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202300"/>
  <mc:AlternateContent xmlns:mc="http://schemas.openxmlformats.org/markup-compatibility/2006">
    <mc:Choice Requires="x15">
      <x15ac:absPath xmlns:x15ac="http://schemas.microsoft.com/office/spreadsheetml/2010/11/ac" url="https://gfbanorte-my.sharepoint.com/personal/a3653161_banorte_com/Documents/CAMPAÑA MAYO 2026/"/>
    </mc:Choice>
  </mc:AlternateContent>
  <xr:revisionPtr revIDLastSave="0" documentId="8_{ADCCF439-C2FF-4E0F-B5C9-468ACDE32173}" xr6:coauthVersionLast="47" xr6:coauthVersionMax="47" xr10:uidLastSave="{00000000-0000-0000-0000-000000000000}"/>
  <workbookProtection workbookAlgorithmName="SHA-512" workbookHashValue="PinoBthGG8ARRg8MPQbaCUr2SaWySmYTHxaRKARsdzASvee4d1q9nrBejsOvCr3X6bnunnFQ1g6KbAjRUrXw2w==" workbookSaltValue="f/ufbzkHGLvypmO0IGai1w==" workbookSpinCount="100000" lockStructure="1"/>
  <bookViews>
    <workbookView xWindow="-120" yWindow="-120" windowWidth="20730" windowHeight="11040" xr2:uid="{8EEEA571-F04E-4838-B461-BC91F4672CF3}"/>
  </bookViews>
  <sheets>
    <sheet name="Carátula" sheetId="1" r:id="rId1"/>
    <sheet name="Tabla Notaría" sheetId="10" r:id="rId2"/>
    <sheet name="Oferta Vinculante" sheetId="11" r:id="rId3"/>
    <sheet name="Fecha Pago" sheetId="4" state="hidden" r:id="rId4"/>
    <sheet name="Notariales Estados" sheetId="5" state="hidden" r:id="rId5"/>
    <sheet name="Catálogos" sheetId="2" state="hidden" r:id="rId6"/>
    <sheet name="Avalúos" sheetId="6" state="hidden" r:id="rId7"/>
    <sheet name="Prepagos" sheetId="7" state="hidden" r:id="rId8"/>
    <sheet name="CAT" sheetId="8" state="hidden" r:id="rId9"/>
  </sheets>
  <externalReferences>
    <externalReference r:id="rId10"/>
    <externalReference r:id="rId11"/>
  </externalReferences>
  <definedNames>
    <definedName name="_Inciso_Apoyo" localSheetId="2">'Oferta Vinculante'!$M$44</definedName>
    <definedName name="_Inciso_Cofinavit" localSheetId="2">'Oferta Vinculante'!$M$38</definedName>
    <definedName name="_Inciso_Gravamen_Separado" localSheetId="2">'Oferta Vinculante'!$M$29</definedName>
    <definedName name="_Inciso_Vigilancia" localSheetId="2">'Oferta Vinculante'!$M$25</definedName>
    <definedName name="A" localSheetId="2">#REF!</definedName>
    <definedName name="A" localSheetId="1">#REF!</definedName>
    <definedName name="A">#REF!</definedName>
    <definedName name="Aforo" localSheetId="2">'Oferta Vinculante'!$M$13</definedName>
    <definedName name="Aforo_3_Fovissste" localSheetId="2">#REF!</definedName>
    <definedName name="Aforo_3_Fovissste" localSheetId="1">#REF!</definedName>
    <definedName name="Aforo_3_Fovissste">#REF!</definedName>
    <definedName name="Aforo_Accesible" localSheetId="2">#REF!</definedName>
    <definedName name="Aforo_Accesible" localSheetId="1">#REF!</definedName>
    <definedName name="Aforo_Accesible">#REF!</definedName>
    <definedName name="Aforo_Máximo" localSheetId="2">#REF!</definedName>
    <definedName name="Aforo_Máximo" localSheetId="1">#REF!</definedName>
    <definedName name="Aforo_Máximo">#REF!</definedName>
    <definedName name="Aforo_Máximo_2" localSheetId="2">#REF!</definedName>
    <definedName name="Aforo_Máximo_2" localSheetId="1">#REF!</definedName>
    <definedName name="Aforo_Máximo_2">#REF!</definedName>
    <definedName name="Aforo_Máximo_A_Usar_Apoyo" localSheetId="2">#REF!</definedName>
    <definedName name="Aforo_Máximo_A_Usar_Apoyo" localSheetId="1">#REF!</definedName>
    <definedName name="Aforo_Máximo_A_Usar_Apoyo">#REF!</definedName>
    <definedName name="Aforo_Máximo_A_Usar_Tradicional" localSheetId="2">#REF!</definedName>
    <definedName name="Aforo_Máximo_A_Usar_Tradicional" localSheetId="1">#REF!</definedName>
    <definedName name="Aforo_Máximo_A_Usar_Tradicional">#REF!</definedName>
    <definedName name="Aforo_Máximo_del_Layout" localSheetId="2">#REF!</definedName>
    <definedName name="Aforo_Máximo_del_Layout" localSheetId="1">#REF!</definedName>
    <definedName name="Aforo_Máximo_del_Layout">#REF!</definedName>
    <definedName name="Aforo3_Cofin" localSheetId="2">#REF!</definedName>
    <definedName name="Aforo3_Cofin" localSheetId="1">#REF!</definedName>
    <definedName name="Aforo3_Cofin">#REF!</definedName>
    <definedName name="Alia2_" localSheetId="2">#REF!</definedName>
    <definedName name="Alia2_" localSheetId="1">#REF!</definedName>
    <definedName name="Alia2_">#REF!</definedName>
    <definedName name="Amplio" localSheetId="2">#REF!</definedName>
    <definedName name="Amplio" localSheetId="1">#REF!</definedName>
    <definedName name="Amplio">#REF!</definedName>
    <definedName name="Anterior" localSheetId="3">'Fecha Pago'!1048576:1048576</definedName>
    <definedName name="Anualidades_Remanente_SSV" localSheetId="2">#REF!</definedName>
    <definedName name="Anualidades_Remanente_SSV" localSheetId="1">#REF!</definedName>
    <definedName name="Anualidades_Remanente_SSV">#REF!</definedName>
    <definedName name="Año_Cotización" localSheetId="2">#REF!</definedName>
    <definedName name="Año_Cotización" localSheetId="1">#REF!</definedName>
    <definedName name="Año_Cotización">#REF!</definedName>
    <definedName name="Año_Fecha_Cotización" localSheetId="2">#REF!</definedName>
    <definedName name="Año_Fecha_Cotización" localSheetId="1">#REF!</definedName>
    <definedName name="Año_Fecha_Cotización">#REF!</definedName>
    <definedName name="AObD" localSheetId="2">#REF!</definedName>
    <definedName name="AObD" localSheetId="1">#REF!</definedName>
    <definedName name="AObD">#REF!</definedName>
    <definedName name="AObT" localSheetId="2">#REF!</definedName>
    <definedName name="AObT" localSheetId="1">#REF!</definedName>
    <definedName name="AObT">#REF!</definedName>
    <definedName name="AOp" localSheetId="2">#REF!</definedName>
    <definedName name="AOp" localSheetId="1">#REF!</definedName>
    <definedName name="AOp">#REF!</definedName>
    <definedName name="Aplica_IVA?" localSheetId="2">#REF!</definedName>
    <definedName name="Aplica_IVA?" localSheetId="1">#REF!</definedName>
    <definedName name="Aplica_IVA?">#REF!</definedName>
    <definedName name="Aplica_Seguro_de_Daños?" localSheetId="2">#REF!</definedName>
    <definedName name="Aplica_Seguro_de_Daños?" localSheetId="1">#REF!</definedName>
    <definedName name="Aplica_Seguro_de_Daños?">#REF!</definedName>
    <definedName name="Aport_obligatoria_antes_de_adicional" localSheetId="2">#REF!</definedName>
    <definedName name="Aport_obligatoria_antes_de_adicional" localSheetId="1">#REF!</definedName>
    <definedName name="Aport_obligatoria_antes_de_adicional">#REF!</definedName>
    <definedName name="Aportación_Adicional" localSheetId="2">#REF!</definedName>
    <definedName name="Aportación_Adicional" localSheetId="1">#REF!</definedName>
    <definedName name="Aportación_Adicional">#REF!</definedName>
    <definedName name="Aportación_Cliente_obligatoria" localSheetId="2">#REF!</definedName>
    <definedName name="Aportación_Cliente_obligatoria" localSheetId="1">#REF!</definedName>
    <definedName name="Aportación_Cliente_obligatoria">#REF!</definedName>
    <definedName name="Aportación_Cliente_obligatoria_Antes_De_Método_Alterno" localSheetId="2">#REF!</definedName>
    <definedName name="Aportación_Cliente_obligatoria_Antes_De_Método_Alterno" localSheetId="1">#REF!</definedName>
    <definedName name="Aportación_Cliente_obligatoria_Antes_De_Método_Alterno">#REF!</definedName>
    <definedName name="Aportación_Patronal" localSheetId="2">#REF!</definedName>
    <definedName name="Aportación_Patronal" localSheetId="1">#REF!</definedName>
    <definedName name="Aportación_Patronal">#REF!</definedName>
    <definedName name="Apoyo_Infonavit" localSheetId="2">#REF!</definedName>
    <definedName name="Apoyo_Infonavit" localSheetId="1">#REF!</definedName>
    <definedName name="Apoyo_Infonavit">#REF!</definedName>
    <definedName name="_xlnm.Print_Area" localSheetId="0">Carátula!$B$1:$P$287</definedName>
    <definedName name="_xlnm.Print_Area" localSheetId="2">'Oferta Vinculante'!$A$2:$E$175</definedName>
    <definedName name="_xlnm.Print_Area" localSheetId="1">'Tabla Notaría'!$A$1:$F$252</definedName>
    <definedName name="Avalúo_Cotización_Contado" localSheetId="2">#REF!</definedName>
    <definedName name="Avalúo_Cotización_Contado" localSheetId="1">#REF!</definedName>
    <definedName name="Avalúo_Cotización_Contado">#REF!</definedName>
    <definedName name="Avalúo_Cotización_Financiado" localSheetId="2">#REF!</definedName>
    <definedName name="Avalúo_Cotización_Financiado" localSheetId="1">#REF!</definedName>
    <definedName name="Avalúo_Cotización_Financiado">#REF!</definedName>
    <definedName name="Avalúo_goalseek_ingreso" localSheetId="2">#REF!</definedName>
    <definedName name="Avalúo_goalseek_ingreso" localSheetId="1">#REF!</definedName>
    <definedName name="Avalúo_goalseek_ingreso">#REF!</definedName>
    <definedName name="Avalúo_goalseek_pago" localSheetId="2">#REF!</definedName>
    <definedName name="Avalúo_goalseek_pago" localSheetId="1">#REF!</definedName>
    <definedName name="Avalúo_goalseek_pago">#REF!</definedName>
    <definedName name="Avalúo_Máximo" localSheetId="2">#REF!</definedName>
    <definedName name="Avalúo_Máximo" localSheetId="1">#REF!</definedName>
    <definedName name="Avalúo_Máximo">#REF!</definedName>
    <definedName name="Avalúo_Mínimo" localSheetId="2">#REF!</definedName>
    <definedName name="Avalúo_Mínimo" localSheetId="1">#REF!</definedName>
    <definedName name="Avalúo_Mínimo">#REF!</definedName>
    <definedName name="Avalúo_Tradicional_Definitivo" localSheetId="2">#REF!</definedName>
    <definedName name="Avalúo_Tradicional_Definitivo" localSheetId="1">#REF!</definedName>
    <definedName name="Avalúo_Tradicional_Definitivo">#REF!</definedName>
    <definedName name="B" localSheetId="2">#REF!</definedName>
    <definedName name="B" localSheetId="1">#REF!</definedName>
    <definedName name="B">#REF!</definedName>
    <definedName name="C_" localSheetId="2">#REF!</definedName>
    <definedName name="C_" localSheetId="1">#REF!</definedName>
    <definedName name="C_">#REF!</definedName>
    <definedName name="Cálculo_Interés_CAT" localSheetId="2">'Oferta Vinculante'!$M$15</definedName>
    <definedName name="Capacidad_Crédito_Cónyuge_Fovissste" localSheetId="2">#REF!</definedName>
    <definedName name="Capacidad_Crédito_Cónyuge_Fovissste" localSheetId="1">#REF!</definedName>
    <definedName name="Capacidad_Crédito_Cónyuge_Fovissste">#REF!</definedName>
    <definedName name="Capacidad_Crédito_Titular_Fovissste" localSheetId="2">#REF!</definedName>
    <definedName name="Capacidad_Crédito_Titular_Fovissste" localSheetId="1">#REF!</definedName>
    <definedName name="Capacidad_Crédito_Titular_Fovissste">#REF!</definedName>
    <definedName name="Capacidad_de_Pago" localSheetId="2">#REF!</definedName>
    <definedName name="Capacidad_de_Pago" localSheetId="1">#REF!</definedName>
    <definedName name="Capacidad_de_Pago">#REF!</definedName>
    <definedName name="Captura.Aforo" localSheetId="2">#REF!</definedName>
    <definedName name="Captura.Aforo" localSheetId="1">#REF!</definedName>
    <definedName name="Captura.Aforo">#REF!</definedName>
    <definedName name="Captura.Aplica_Com_Apertura?" localSheetId="2">#REF!</definedName>
    <definedName name="Captura.Aplica_Com_Apertura?" localSheetId="1">#REF!</definedName>
    <definedName name="Captura.Aplica_Com_Apertura?">#REF!</definedName>
    <definedName name="Captura.AportaciónAdicional" localSheetId="2">#REF!</definedName>
    <definedName name="Captura.AportaciónAdicional" localSheetId="1">#REF!</definedName>
    <definedName name="Captura.AportaciónAdicional">#REF!</definedName>
    <definedName name="Captura.Cofinavit.Programa" localSheetId="2">#REF!</definedName>
    <definedName name="Captura.Cofinavit.Programa" localSheetId="1">#REF!</definedName>
    <definedName name="Captura.Cofinavit.Programa">#REF!</definedName>
    <definedName name="Captura.Com_Apertura_Financiada?" localSheetId="2">#REF!</definedName>
    <definedName name="Captura.Com_Apertura_Financiada?" localSheetId="1">#REF!</definedName>
    <definedName name="Captura.Com_Apertura_Financiada?">#REF!</definedName>
    <definedName name="Captura.Crédito_Cónyuge" localSheetId="2">#REF!</definedName>
    <definedName name="Captura.Crédito_Cónyuge" localSheetId="1">#REF!</definedName>
    <definedName name="Captura.Crédito_Cónyuge">#REF!</definedName>
    <definedName name="Captura.Crédito_Titular" localSheetId="2">#REF!</definedName>
    <definedName name="Captura.Crédito_Titular" localSheetId="1">#REF!</definedName>
    <definedName name="Captura.Crédito_Titular">#REF!</definedName>
    <definedName name="Captura.CréditoSolicitado" localSheetId="2">#REF!</definedName>
    <definedName name="Captura.CréditoSolicitado" localSheetId="1">#REF!</definedName>
    <definedName name="Captura.CréditoSolicitado">#REF!</definedName>
    <definedName name="Captura.Descuento_Crédito_Cónyuge" localSheetId="2">#REF!</definedName>
    <definedName name="Captura.Descuento_Crédito_Cónyuge" localSheetId="1">#REF!</definedName>
    <definedName name="Captura.Descuento_Crédito_Cónyuge">#REF!</definedName>
    <definedName name="Captura.Descuento_Crédito_Titular" localSheetId="2">#REF!</definedName>
    <definedName name="Captura.Descuento_Crédito_Titular" localSheetId="1">#REF!</definedName>
    <definedName name="Captura.Descuento_Crédito_Titular">#REF!</definedName>
    <definedName name="Captura.Descuento_EcoTec_Titular" localSheetId="2">#REF!</definedName>
    <definedName name="Captura.Descuento_EcoTec_Titular" localSheetId="1">#REF!</definedName>
    <definedName name="Captura.Descuento_EcoTec_Titular">#REF!</definedName>
    <definedName name="Captura.Ingreso_Cónyuge" localSheetId="2">#REF!</definedName>
    <definedName name="Captura.Ingreso_Cónyuge" localSheetId="1">#REF!</definedName>
    <definedName name="Captura.Ingreso_Cónyuge">#REF!</definedName>
    <definedName name="Captura.Ingreso_Mensual_Bruto_Titular" localSheetId="2">#REF!</definedName>
    <definedName name="Captura.Ingreso_Mensual_Bruto_Titular" localSheetId="1">#REF!</definedName>
    <definedName name="Captura.Ingreso_Mensual_Bruto_Titular">#REF!</definedName>
    <definedName name="Captura.Programa" localSheetId="2">#REF!</definedName>
    <definedName name="Captura.Programa" localSheetId="1">#REF!</definedName>
    <definedName name="Captura.Programa">#REF!</definedName>
    <definedName name="Captura.Subcuenta_Cónyuge" localSheetId="2">#REF!</definedName>
    <definedName name="Captura.Subcuenta_Cónyuge" localSheetId="1">#REF!</definedName>
    <definedName name="Captura.Subcuenta_Cónyuge">#REF!</definedName>
    <definedName name="Captura.Subcuenta_Titular" localSheetId="2">#REF!</definedName>
    <definedName name="Captura.Subcuenta_Titular" localSheetId="1">#REF!</definedName>
    <definedName name="Captura.Subcuenta_Titular">#REF!</definedName>
    <definedName name="Captura.Tasa" localSheetId="2">#REF!</definedName>
    <definedName name="Captura.Tasa" localSheetId="1">#REF!</definedName>
    <definedName name="Captura.Tasa">#REF!</definedName>
    <definedName name="Captura.ValorVivienda" localSheetId="2">#REF!</definedName>
    <definedName name="Captura.ValorVivienda" localSheetId="1">#REF!</definedName>
    <definedName name="Captura.ValorVivienda">#REF!</definedName>
    <definedName name="Captura_Aportación_Adicional" localSheetId="2">#REF!</definedName>
    <definedName name="Captura_Aportación_Adicional" localSheetId="1">#REF!</definedName>
    <definedName name="Captura_Aportación_Adicional">#REF!</definedName>
    <definedName name="Captura_Descuento_ecotecnologías" localSheetId="2">#REF!</definedName>
    <definedName name="Captura_Descuento_ecotecnologías" localSheetId="1">#REF!</definedName>
    <definedName name="Captura_Descuento_ecotecnologías">#REF!</definedName>
    <definedName name="Captura_Incompleta" localSheetId="2">#REF!</definedName>
    <definedName name="Captura_Incompleta" localSheetId="1">#REF!</definedName>
    <definedName name="Captura_Incompleta">#REF!</definedName>
    <definedName name="Casa" localSheetId="2">#REF!</definedName>
    <definedName name="Casa" localSheetId="1">#REF!</definedName>
    <definedName name="Casa">#REF!</definedName>
    <definedName name="CAT" localSheetId="2">#REF!</definedName>
    <definedName name="CAT" localSheetId="1">#REF!</definedName>
    <definedName name="CAT">#REF!</definedName>
    <definedName name="CAT_Apoyo_Infonavit" localSheetId="2">#REF!</definedName>
    <definedName name="CAT_Apoyo_Infonavit" localSheetId="1">#REF!</definedName>
    <definedName name="CAT_Apoyo_Infonavit">#REF!</definedName>
    <definedName name="CAT_Construcción_Pagos_Crecientes" localSheetId="2">#REF!</definedName>
    <definedName name="CAT_Construcción_Pagos_Crecientes" localSheetId="1">#REF!</definedName>
    <definedName name="CAT_Construcción_Pagos_Crecientes">#REF!</definedName>
    <definedName name="CAT_Construcción_Tradicional" localSheetId="2">#REF!</definedName>
    <definedName name="CAT_Construcción_Tradicional" localSheetId="1">#REF!</definedName>
    <definedName name="CAT_Construcción_Tradicional">#REF!</definedName>
    <definedName name="CAT_Pagos_Crecientes" localSheetId="2">#REF!</definedName>
    <definedName name="CAT_Pagos_Crecientes" localSheetId="1">#REF!</definedName>
    <definedName name="CAT_Pagos_Crecientes">#REF!</definedName>
    <definedName name="CAT_Tradicional" localSheetId="2">#REF!</definedName>
    <definedName name="CAT_Tradicional" localSheetId="1">#REF!</definedName>
    <definedName name="CAT_Tradicional">#REF!</definedName>
    <definedName name="Catálogo_Aclaraciones" localSheetId="2">#REF!</definedName>
    <definedName name="Catálogo_Aclaraciones" localSheetId="1">#REF!</definedName>
    <definedName name="Catálogo_Aclaraciones">#REF!</definedName>
    <definedName name="Catálogo_Destinos" localSheetId="2">#REF!</definedName>
    <definedName name="Catálogo_Destinos" localSheetId="1">#REF!</definedName>
    <definedName name="Catálogo_Destinos">#REF!</definedName>
    <definedName name="Catálogo_General_Aclaraciones" localSheetId="2">#REF!</definedName>
    <definedName name="Catálogo_General_Aclaraciones" localSheetId="1">#REF!</definedName>
    <definedName name="Catálogo_General_Aclaraciones">#REF!</definedName>
    <definedName name="Catálogo_Productos" localSheetId="2">#REF!</definedName>
    <definedName name="Catálogo_Productos" localSheetId="1">#REF!</definedName>
    <definedName name="Catálogo_Productos">#REF!</definedName>
    <definedName name="CD" localSheetId="2">#REF!</definedName>
    <definedName name="CD" localSheetId="1">#REF!</definedName>
    <definedName name="CD">#REF!</definedName>
    <definedName name="Código" localSheetId="2">#REF!</definedName>
    <definedName name="Código" localSheetId="1">#REF!</definedName>
    <definedName name="Código">#REF!</definedName>
    <definedName name="Código_Cotiza_en" localSheetId="2">#REF!</definedName>
    <definedName name="Código_Cotiza_en" localSheetId="1">#REF!</definedName>
    <definedName name="Código_Cotiza_en">#REF!</definedName>
    <definedName name="Código_Destino" localSheetId="2">#REF!</definedName>
    <definedName name="Código_Destino" localSheetId="1">#REF!</definedName>
    <definedName name="Código_Destino">#REF!</definedName>
    <definedName name="Código_Esquema_Especial" localSheetId="2">#REF!</definedName>
    <definedName name="Código_Esquema_Especial" localSheetId="1">#REF!</definedName>
    <definedName name="Código_Esquema_Especial">#REF!</definedName>
    <definedName name="CODIGO_PRODUCTO" localSheetId="2">#REF!</definedName>
    <definedName name="CODIGO_PRODUCTO" localSheetId="1">#REF!</definedName>
    <definedName name="CODIGO_PRODUCTO">#REF!</definedName>
    <definedName name="Código_Producto" localSheetId="2">#REF!</definedName>
    <definedName name="Código_Producto" localSheetId="1">#REF!</definedName>
    <definedName name="Código_Producto">#REF!</definedName>
    <definedName name="Código_Rango_de_Vivienda" localSheetId="2">#REF!</definedName>
    <definedName name="Código_Rango_de_Vivienda" localSheetId="1">#REF!</definedName>
    <definedName name="Código_Rango_de_Vivienda">#REF!</definedName>
    <definedName name="COFFEE_Cofinavit" localSheetId="2">#REF!</definedName>
    <definedName name="COFFEE_Cofinavit" localSheetId="1">#REF!</definedName>
    <definedName name="COFFEE_Cofinavit">#REF!</definedName>
    <definedName name="COFFEE_Generales" localSheetId="2">#REF!</definedName>
    <definedName name="COFFEE_Generales" localSheetId="1">#REF!</definedName>
    <definedName name="COFFEE_Generales">#REF!</definedName>
    <definedName name="COFI.UMBRAL_INCREMENTO_110" localSheetId="2">#REF!</definedName>
    <definedName name="COFI.UMBRAL_INCREMENTO_110" localSheetId="1">#REF!</definedName>
    <definedName name="COFI.UMBRAL_INCREMENTO_110">#REF!</definedName>
    <definedName name="Cofinavit" localSheetId="2">#REF!</definedName>
    <definedName name="Cofinavit" localSheetId="1">#REF!</definedName>
    <definedName name="Cofinavit">#REF!</definedName>
    <definedName name="Cofinavit_AG" localSheetId="2">#REF!</definedName>
    <definedName name="Cofinavit_AG" localSheetId="1">#REF!</definedName>
    <definedName name="Cofinavit_AG">#REF!</definedName>
    <definedName name="COI" localSheetId="2">#REF!</definedName>
    <definedName name="COI" localSheetId="1">#REF!</definedName>
    <definedName name="COI">#REF!</definedName>
    <definedName name="Columna_Layout" localSheetId="2">#REF!</definedName>
    <definedName name="Columna_Layout" localSheetId="1">#REF!</definedName>
    <definedName name="Columna_Layout">#REF!</definedName>
    <definedName name="Com_Ap_goalseek_ingreso" localSheetId="2">#REF!</definedName>
    <definedName name="Com_Ap_goalseek_ingreso" localSheetId="1">#REF!</definedName>
    <definedName name="Com_Ap_goalseek_ingreso">#REF!</definedName>
    <definedName name="Com_Ap_goalseek_pago" localSheetId="2">#REF!</definedName>
    <definedName name="Com_Ap_goalseek_pago" localSheetId="1">#REF!</definedName>
    <definedName name="Com_Ap_goalseek_pago">#REF!</definedName>
    <definedName name="Com_Av_goalseek_ingreso" localSheetId="2">#REF!</definedName>
    <definedName name="Com_Av_goalseek_ingreso" localSheetId="1">#REF!</definedName>
    <definedName name="Com_Av_goalseek_ingreso">#REF!</definedName>
    <definedName name="Com_Av_goalseek_pago" localSheetId="2">#REF!</definedName>
    <definedName name="Com_Av_goalseek_pago" localSheetId="1">#REF!</definedName>
    <definedName name="Com_Av_goalseek_pago">#REF!</definedName>
    <definedName name="Com_inv_goalseek_ingreso" localSheetId="2">#REF!</definedName>
    <definedName name="Com_inv_goalseek_ingreso" localSheetId="1">#REF!</definedName>
    <definedName name="Com_inv_goalseek_ingreso">#REF!</definedName>
    <definedName name="Com_inv_goalseek_pago" localSheetId="2">#REF!</definedName>
    <definedName name="Com_inv_goalseek_pago" localSheetId="1">#REF!</definedName>
    <definedName name="Com_inv_goalseek_pago">#REF!</definedName>
    <definedName name="Combinación_Ocultar_columnas" localSheetId="2">#REF!</definedName>
    <definedName name="Combinación_Ocultar_columnas" localSheetId="1">#REF!</definedName>
    <definedName name="Combinación_Ocultar_columnas">#REF!</definedName>
    <definedName name="COMBO_SI_NO" localSheetId="2">#REF!</definedName>
    <definedName name="COMBO_SI_NO" localSheetId="1">#REF!</definedName>
    <definedName name="COMBO_SI_NO">#REF!</definedName>
    <definedName name="COMBO_TIPO_SEGURO" localSheetId="2">#REF!</definedName>
    <definedName name="COMBO_TIPO_SEGURO" localSheetId="1">#REF!</definedName>
    <definedName name="COMBO_TIPO_SEGURO">#REF!</definedName>
    <definedName name="COMBO_TIPO_SEGURO_AMPLIO_BASICO" localSheetId="2">#REF!</definedName>
    <definedName name="COMBO_TIPO_SEGURO_AMPLIO_BASICO" localSheetId="1">#REF!</definedName>
    <definedName name="COMBO_TIPO_SEGURO_AMPLIO_BASICO">#REF!</definedName>
    <definedName name="Comisión_Apertura" localSheetId="2">#REF!</definedName>
    <definedName name="Comisión_Apertura" localSheetId="1">#REF!</definedName>
    <definedName name="Comisión_Apertura">#REF!</definedName>
    <definedName name="Comisión_Apertura_sin_IVA" localSheetId="2">#REF!</definedName>
    <definedName name="Comisión_Apertura_sin_IVA" localSheetId="1">#REF!</definedName>
    <definedName name="Comisión_Apertura_sin_IVA">#REF!</definedName>
    <definedName name="Comisión_Avalúo" localSheetId="2">#REF!</definedName>
    <definedName name="Comisión_Avalúo" localSheetId="1">#REF!</definedName>
    <definedName name="Comisión_Avalúo">#REF!</definedName>
    <definedName name="Comisión_Avalúo_sin_IVA" localSheetId="2">#REF!</definedName>
    <definedName name="Comisión_Avalúo_sin_IVA" localSheetId="1">#REF!</definedName>
    <definedName name="Comisión_Avalúo_sin_IVA">#REF!</definedName>
    <definedName name="Comisión_Diferida" localSheetId="2">#REF!</definedName>
    <definedName name="Comisión_Diferida" localSheetId="1">#REF!</definedName>
    <definedName name="Comisión_Diferida">#REF!</definedName>
    <definedName name="Comisión_Investigación_sin_IVA" localSheetId="2">#REF!</definedName>
    <definedName name="Comisión_Investigación_sin_IVA" localSheetId="1">#REF!</definedName>
    <definedName name="Comisión_Investigación_sin_IVA">#REF!</definedName>
    <definedName name="Comisión_Ministración" localSheetId="2">#REF!</definedName>
    <definedName name="Comisión_Ministración" localSheetId="1">#REF!</definedName>
    <definedName name="Comisión_Ministración">#REF!</definedName>
    <definedName name="Comisión_Ministración_Layout" localSheetId="2">#REF!</definedName>
    <definedName name="Comisión_Ministración_Layout" localSheetId="1">#REF!</definedName>
    <definedName name="Comisión_Ministración_Layout">#REF!</definedName>
    <definedName name="Comisión_por_Apertura_Contado" localSheetId="2">#REF!</definedName>
    <definedName name="Comisión_por_Apertura_Contado" localSheetId="1">#REF!</definedName>
    <definedName name="Comisión_por_Apertura_Contado">#REF!</definedName>
    <definedName name="Comisión_por_Apertura_Financiada" localSheetId="2">#REF!</definedName>
    <definedName name="Comisión_por_Apertura_Financiada" localSheetId="1">#REF!</definedName>
    <definedName name="Comisión_por_Apertura_Financiada">#REF!</definedName>
    <definedName name="Comisión_por_Investigación_CAT" localSheetId="2">#REF!</definedName>
    <definedName name="Comisión_por_Investigación_CAT" localSheetId="1">#REF!</definedName>
    <definedName name="Comisión_por_Investigación_CAT">#REF!</definedName>
    <definedName name="Comp_Pago_Por_Mil" localSheetId="2">#REF!</definedName>
    <definedName name="Comp_Pago_Por_Mil" localSheetId="1">#REF!</definedName>
    <definedName name="Comp_Pago_Por_Mil">#REF!</definedName>
    <definedName name="Comp_Pago_Total" localSheetId="2">#REF!</definedName>
    <definedName name="Comp_Pago_Total" localSheetId="1">#REF!</definedName>
    <definedName name="Comp_Pago_Total">#REF!</definedName>
    <definedName name="Comp_Tasa_Interés" localSheetId="2">#REF!</definedName>
    <definedName name="Comp_Tasa_Interés" localSheetId="1">#REF!</definedName>
    <definedName name="Comp_Tasa_Interés">#REF!</definedName>
    <definedName name="Comportamiento_Tasa_Fuerte" localSheetId="2">#REF!</definedName>
    <definedName name="Comportamiento_Tasa_Fuerte" localSheetId="1">#REF!</definedName>
    <definedName name="Comportamiento_Tasa_Fuerte">#REF!</definedName>
    <definedName name="Constante_para_Salario_Mínimo_Mensual" localSheetId="2">#REF!</definedName>
    <definedName name="Constante_para_Salario_Mínimo_Mensual" localSheetId="1">#REF!</definedName>
    <definedName name="Constante_para_Salario_Mínimo_Mensual">#REF!</definedName>
    <definedName name="Construcción" localSheetId="2">#REF!</definedName>
    <definedName name="Construcción" localSheetId="1">#REF!</definedName>
    <definedName name="Construcción">#REF!</definedName>
    <definedName name="Contado" localSheetId="2">#REF!</definedName>
    <definedName name="Contado" localSheetId="1">#REF!</definedName>
    <definedName name="Contado">#REF!</definedName>
    <definedName name="Contenido_Notarial" localSheetId="2">'Oferta Vinculante'!$M$19</definedName>
    <definedName name="Conyugal" localSheetId="2">#REF!</definedName>
    <definedName name="Conyugal" localSheetId="1">#REF!</definedName>
    <definedName name="Conyugal">#REF!</definedName>
    <definedName name="Cotiza_en" localSheetId="2">#REF!</definedName>
    <definedName name="Cotiza_en" localSheetId="1">#REF!</definedName>
    <definedName name="Cotiza_en">#REF!</definedName>
    <definedName name="Cotización_Nombre_Completo_Destino_Producto" localSheetId="2">#REF!</definedName>
    <definedName name="Cotización_Nombre_Completo_Destino_Producto" localSheetId="1">#REF!</definedName>
    <definedName name="Cotización_Nombre_Completo_Destino_Producto">#REF!</definedName>
    <definedName name="CPD" localSheetId="2">#REF!</definedName>
    <definedName name="CPD" localSheetId="1">#REF!</definedName>
    <definedName name="CPD">#REF!</definedName>
    <definedName name="CPDC" localSheetId="2">#REF!</definedName>
    <definedName name="CPDC" localSheetId="1">#REF!</definedName>
    <definedName name="CPDC">#REF!</definedName>
    <definedName name="CPI" localSheetId="2">#REF!</definedName>
    <definedName name="CPI" localSheetId="1">#REF!</definedName>
    <definedName name="CPI">#REF!</definedName>
    <definedName name="CPIC" localSheetId="2">#REF!</definedName>
    <definedName name="CPIC" localSheetId="1">#REF!</definedName>
    <definedName name="CPIC">#REF!</definedName>
    <definedName name="Crédito_a_Otorgar_Cónyuge" localSheetId="2">#REF!</definedName>
    <definedName name="Crédito_a_Otorgar_Cónyuge" localSheetId="1">#REF!</definedName>
    <definedName name="Crédito_a_Otorgar_Cónyuge">#REF!</definedName>
    <definedName name="Crédito_a_Otorgar_Titular" localSheetId="2">#REF!</definedName>
    <definedName name="Crédito_a_Otorgar_Titular" localSheetId="1">#REF!</definedName>
    <definedName name="Crédito_a_Otorgar_Titular">#REF!</definedName>
    <definedName name="Crédito_Apoyo" localSheetId="2">#REF!</definedName>
    <definedName name="Crédito_Apoyo" localSheetId="1">#REF!</definedName>
    <definedName name="Crédito_Apoyo">#REF!</definedName>
    <definedName name="Crédito_Banorte" localSheetId="2">#REF!</definedName>
    <definedName name="Crédito_Banorte" localSheetId="1">#REF!</definedName>
    <definedName name="Crédito_Banorte">#REF!</definedName>
    <definedName name="Crédito_Banorte_Anterior" localSheetId="2">#REF!</definedName>
    <definedName name="Crédito_Banorte_Anterior" localSheetId="1">#REF!</definedName>
    <definedName name="Crédito_Banorte_Anterior">#REF!</definedName>
    <definedName name="Crédito_Banorte_Antes_De_Método_Alterno" localSheetId="2">#REF!</definedName>
    <definedName name="Crédito_Banorte_Antes_De_Método_Alterno" localSheetId="1">#REF!</definedName>
    <definedName name="Crédito_Banorte_Antes_De_Método_Alterno">#REF!</definedName>
    <definedName name="Crédito_Banorte_Antes_de_Opcional" localSheetId="2">#REF!</definedName>
    <definedName name="Crédito_Banorte_Antes_de_Opcional" localSheetId="1">#REF!</definedName>
    <definedName name="Crédito_Banorte_Antes_de_Opcional">#REF!</definedName>
    <definedName name="Crédito_Banorte_Mayo2014" localSheetId="2">#REF!</definedName>
    <definedName name="Crédito_Banorte_Mayo2014" localSheetId="1">#REF!</definedName>
    <definedName name="Crédito_Banorte_Mayo2014">#REF!</definedName>
    <definedName name="Crédito_Cónyuge_Cofinavit" localSheetId="2">#REF!</definedName>
    <definedName name="Crédito_Cónyuge_Cofinavit" localSheetId="1">#REF!</definedName>
    <definedName name="Crédito_Cónyuge_Cofinavit">#REF!</definedName>
    <definedName name="Crédito_goalseek_final" localSheetId="2">#REF!</definedName>
    <definedName name="Crédito_goalseek_final" localSheetId="1">#REF!</definedName>
    <definedName name="Crédito_goalseek_final">#REF!</definedName>
    <definedName name="Crédito_goalseek_por_ingreso" localSheetId="2">#REF!</definedName>
    <definedName name="Crédito_goalseek_por_ingreso" localSheetId="1">#REF!</definedName>
    <definedName name="Crédito_goalseek_por_ingreso">#REF!</definedName>
    <definedName name="Crédito_goalseek_por_pago" localSheetId="2">#REF!</definedName>
    <definedName name="Crédito_goalseek_por_pago" localSheetId="1">#REF!</definedName>
    <definedName name="Crédito_goalseek_por_pago">#REF!</definedName>
    <definedName name="Crédito_Máximo" localSheetId="2">#REF!</definedName>
    <definedName name="Crédito_Máximo" localSheetId="1">#REF!</definedName>
    <definedName name="Crédito_Máximo">#REF!</definedName>
    <definedName name="Crédito_Mínimo" localSheetId="2">#REF!</definedName>
    <definedName name="Crédito_Mínimo" localSheetId="1">#REF!</definedName>
    <definedName name="Crédito_Mínimo">#REF!</definedName>
    <definedName name="Crédito_por_capacidad_de_pago" localSheetId="2">#REF!</definedName>
    <definedName name="Crédito_por_capacidad_de_pago" localSheetId="1">#REF!</definedName>
    <definedName name="Crédito_por_capacidad_de_pago">#REF!</definedName>
    <definedName name="Crédito_por_despeje_con_pago_creciente" localSheetId="2">#REF!</definedName>
    <definedName name="Crédito_por_despeje_con_pago_creciente" localSheetId="1">#REF!</definedName>
    <definedName name="Crédito_por_despeje_con_pago_creciente">#REF!</definedName>
    <definedName name="Crédito_por_despeje_sin_pago_creciente" localSheetId="2">#REF!</definedName>
    <definedName name="Crédito_por_despeje_sin_pago_creciente" localSheetId="1">#REF!</definedName>
    <definedName name="Crédito_por_despeje_sin_pago_creciente">#REF!</definedName>
    <definedName name="Crédito_por_fórmula" localSheetId="2">#REF!</definedName>
    <definedName name="Crédito_por_fórmula" localSheetId="1">#REF!</definedName>
    <definedName name="Crédito_por_fórmula">#REF!</definedName>
    <definedName name="Crédito_según_Aforo" localSheetId="2">#REF!</definedName>
    <definedName name="Crédito_según_Aforo" localSheetId="1">#REF!</definedName>
    <definedName name="Crédito_según_Aforo">#REF!</definedName>
    <definedName name="Crédito_Titular_Cofinavit" localSheetId="2">#REF!</definedName>
    <definedName name="Crédito_Titular_Cofinavit" localSheetId="1">#REF!</definedName>
    <definedName name="Crédito_Titular_Cofinavit">#REF!</definedName>
    <definedName name="Crédito_Tradicional" localSheetId="2">#REF!</definedName>
    <definedName name="Crédito_Tradicional" localSheetId="1">#REF!</definedName>
    <definedName name="Crédito_Tradicional">#REF!</definedName>
    <definedName name="Crédito_Tradicional_Definitivo" localSheetId="2">#REF!</definedName>
    <definedName name="Crédito_Tradicional_Definitivo" localSheetId="1">#REF!</definedName>
    <definedName name="Crédito_Tradicional_Definitivo">#REF!</definedName>
    <definedName name="CT" localSheetId="2">#REF!</definedName>
    <definedName name="CT" localSheetId="1">#REF!</definedName>
    <definedName name="CT">#REF!</definedName>
    <definedName name="CVTO" localSheetId="2">#REF!</definedName>
    <definedName name="CVTO" localSheetId="1">#REF!</definedName>
    <definedName name="CVTO">#REF!</definedName>
    <definedName name="D" localSheetId="2">#REF!</definedName>
    <definedName name="D" localSheetId="1">#REF!</definedName>
    <definedName name="D">#REF!</definedName>
    <definedName name="Db.Variantes" localSheetId="2">#REF!</definedName>
    <definedName name="Db.Variantes" localSheetId="1">#REF!</definedName>
    <definedName name="Db.Variantes">#REF!</definedName>
    <definedName name="Descuento_Cónyuge_Cofinavit" localSheetId="2">#REF!</definedName>
    <definedName name="Descuento_Cónyuge_Cofinavit" localSheetId="1">#REF!</definedName>
    <definedName name="Descuento_Cónyuge_Cofinavit">#REF!</definedName>
    <definedName name="Descuento_Cónyuge_Fovissste" localSheetId="2">#REF!</definedName>
    <definedName name="Descuento_Cónyuge_Fovissste" localSheetId="1">#REF!</definedName>
    <definedName name="Descuento_Cónyuge_Fovissste">#REF!</definedName>
    <definedName name="Descuento_ecotecnologías" localSheetId="2">#REF!</definedName>
    <definedName name="Descuento_ecotecnologías" localSheetId="1">#REF!</definedName>
    <definedName name="Descuento_ecotecnologías">#REF!</definedName>
    <definedName name="Descuento_en_tasa" localSheetId="2">#REF!</definedName>
    <definedName name="Descuento_en_tasa" localSheetId="1">#REF!</definedName>
    <definedName name="Descuento_en_tasa">#REF!</definedName>
    <definedName name="Descuento_Titular_Cofinavit" localSheetId="2">#REF!</definedName>
    <definedName name="Descuento_Titular_Cofinavit" localSheetId="1">#REF!</definedName>
    <definedName name="Descuento_Titular_Cofinavit">#REF!</definedName>
    <definedName name="Descuento_Titular_Fovissste" localSheetId="2">#REF!</definedName>
    <definedName name="Descuento_Titular_Fovissste" localSheetId="1">#REF!</definedName>
    <definedName name="Descuento_Titular_Fovissste">#REF!</definedName>
    <definedName name="Destino" localSheetId="2">#REF!</definedName>
    <definedName name="Destino" localSheetId="1">#REF!</definedName>
    <definedName name="Destino">#REF!</definedName>
    <definedName name="Destino.Aplica_Daños?" localSheetId="2">#REF!</definedName>
    <definedName name="Destino.Aplica_Daños?" localSheetId="1">#REF!</definedName>
    <definedName name="Destino.Aplica_Daños?">#REF!</definedName>
    <definedName name="Destino.Aplican_Productos?" localSheetId="2">#REF!</definedName>
    <definedName name="Destino.Aplican_Productos?" localSheetId="1">#REF!</definedName>
    <definedName name="Destino.Aplican_Productos?">#REF!</definedName>
    <definedName name="Destino.Financía_Gastos_Iniciales?" localSheetId="2">#REF!</definedName>
    <definedName name="Destino.Financía_Gastos_Iniciales?" localSheetId="1">#REF!</definedName>
    <definedName name="Destino.Financía_Gastos_Iniciales?">#REF!</definedName>
    <definedName name="Destino.Gravamen_se_cancela_aparte?" localSheetId="2">#REF!</definedName>
    <definedName name="Destino.Gravamen_se_cancela_aparte?" localSheetId="1">#REF!</definedName>
    <definedName name="Destino.Gravamen_se_cancela_aparte?">#REF!</definedName>
    <definedName name="Destino.Id_Tipo_Cobro_GN" localSheetId="2">#REF!</definedName>
    <definedName name="Destino.Id_Tipo_Cobro_GN" localSheetId="1">#REF!</definedName>
    <definedName name="Destino.Id_Tipo_Cobro_GN">#REF!</definedName>
    <definedName name="Destino.Ignora_Rangos_Vivienda" localSheetId="2">#REF!</definedName>
    <definedName name="Destino.Ignora_Rangos_Vivienda" localSheetId="1">#REF!</definedName>
    <definedName name="Destino.Ignora_Rangos_Vivienda">#REF!</definedName>
    <definedName name="Destino.Importa_Destino_Anterior?" localSheetId="2">#REF!</definedName>
    <definedName name="Destino.Importa_Destino_Anterior?" localSheetId="1">#REF!</definedName>
    <definedName name="Destino.Importa_Destino_Anterior?">#REF!</definedName>
    <definedName name="Destino.Índice_Ajustado" localSheetId="2">#REF!</definedName>
    <definedName name="Destino.Índice_Ajustado" localSheetId="1">#REF!</definedName>
    <definedName name="Destino.Índice_Ajustado">#REF!</definedName>
    <definedName name="Destino.Nombre" localSheetId="2">#REF!</definedName>
    <definedName name="Destino.Nombre" localSheetId="1">#REF!</definedName>
    <definedName name="Destino.Nombre">#REF!</definedName>
    <definedName name="Destino.Requiere_Vigilancia?" localSheetId="2">#REF!</definedName>
    <definedName name="Destino.Requiere_Vigilancia?" localSheetId="1">#REF!</definedName>
    <definedName name="Destino.Requiere_Vigilancia?">#REF!</definedName>
    <definedName name="Destino.Tasa_Interés" localSheetId="2">#REF!</definedName>
    <definedName name="Destino.Tasa_Interés" localSheetId="1">#REF!</definedName>
    <definedName name="Destino.Tasa_Interés">#REF!</definedName>
    <definedName name="Destino_anterior_causa_IVA" localSheetId="2">#REF!</definedName>
    <definedName name="Destino_anterior_causa_IVA" localSheetId="1">#REF!</definedName>
    <definedName name="Destino_anterior_causa_IVA">#REF!</definedName>
    <definedName name="Destino_Anterior_Causa_IVA?" localSheetId="2">#REF!</definedName>
    <definedName name="Destino_Anterior_Causa_IVA?" localSheetId="1">#REF!</definedName>
    <definedName name="Destino_Anterior_Causa_IVA?">#REF!</definedName>
    <definedName name="Destino_con_IVA_condicional?" localSheetId="2">#REF!</definedName>
    <definedName name="Destino_con_IVA_condicional?" localSheetId="1">#REF!</definedName>
    <definedName name="Destino_con_IVA_condicional?">#REF!</definedName>
    <definedName name="Destino_con_IVA_directo?" localSheetId="2">#REF!</definedName>
    <definedName name="Destino_con_IVA_directo?" localSheetId="1">#REF!</definedName>
    <definedName name="Destino_con_IVA_directo?">#REF!</definedName>
    <definedName name="Destino_Devuelve_Efectivo" localSheetId="2">#REF!</definedName>
    <definedName name="Destino_Devuelve_Efectivo" localSheetId="1">#REF!</definedName>
    <definedName name="Destino_Devuelve_Efectivo">#REF!</definedName>
    <definedName name="Destino_Soporta_Ministraciones" localSheetId="2">#REF!</definedName>
    <definedName name="Destino_Soporta_Ministraciones" localSheetId="1">#REF!</definedName>
    <definedName name="Destino_Soporta_Ministraciones">#REF!</definedName>
    <definedName name="Destino_Soporta_Programas_Especiales?" localSheetId="2">#REF!</definedName>
    <definedName name="Destino_Soporta_Programas_Especiales?" localSheetId="1">#REF!</definedName>
    <definedName name="Destino_Soporta_Programas_Especiales?">#REF!</definedName>
    <definedName name="Destinos_Con_IVA_Condicional" localSheetId="2">#REF!</definedName>
    <definedName name="Destinos_Con_IVA_Condicional" localSheetId="1">#REF!</definedName>
    <definedName name="Destinos_Con_IVA_Condicional">#REF!</definedName>
    <definedName name="Destinos_Con_IVA_Directo" localSheetId="2">#REF!</definedName>
    <definedName name="Destinos_Con_IVA_Directo" localSheetId="1">#REF!</definedName>
    <definedName name="Destinos_Con_IVA_Directo">#REF!</definedName>
    <definedName name="Día_Cotización" localSheetId="2">#REF!</definedName>
    <definedName name="Día_Cotización" localSheetId="1">#REF!</definedName>
    <definedName name="Día_Cotización">#REF!</definedName>
    <definedName name="Día_máximo" localSheetId="2">#REF!</definedName>
    <definedName name="Día_máximo" localSheetId="1">#REF!</definedName>
    <definedName name="Día_máximo">#REF!</definedName>
    <definedName name="Día_Primer_Pago" localSheetId="2">#REF!</definedName>
    <definedName name="Día_Primer_Pago" localSheetId="1">#REF!</definedName>
    <definedName name="Día_Primer_Pago">#REF!</definedName>
    <definedName name="Días_PMT" localSheetId="2">#REF!</definedName>
    <definedName name="Días_PMT" localSheetId="1">#REF!</definedName>
    <definedName name="Días_PMT">#REF!</definedName>
    <definedName name="Duración_Intereses" localSheetId="2">#REF!</definedName>
    <definedName name="Duración_Intereses" localSheetId="1">#REF!</definedName>
    <definedName name="Duración_Intereses">#REF!</definedName>
    <definedName name="E" localSheetId="2">#REF!</definedName>
    <definedName name="E" localSheetId="1">#REF!</definedName>
    <definedName name="E">#REF!</definedName>
    <definedName name="Enganche" localSheetId="2">#REF!</definedName>
    <definedName name="Enganche" localSheetId="1">#REF!</definedName>
    <definedName name="Enganche">#REF!</definedName>
    <definedName name="Esquema" localSheetId="2">'Oferta Vinculante'!#REF!</definedName>
    <definedName name="Esquema_Especial" localSheetId="2">#REF!</definedName>
    <definedName name="Esquema_Especial" localSheetId="1">#REF!</definedName>
    <definedName name="Esquema_Especial">#REF!</definedName>
    <definedName name="Estado" localSheetId="2">#REF!</definedName>
    <definedName name="Estado" localSheetId="1">#REF!</definedName>
    <definedName name="Estado">#REF!</definedName>
    <definedName name="Estados" localSheetId="2">#REF!</definedName>
    <definedName name="Estados" localSheetId="1">#REF!</definedName>
    <definedName name="Estados">#REF!</definedName>
    <definedName name="Etiqueta_Aclaración_Aportación_Adicional" localSheetId="2">#REF!</definedName>
    <definedName name="Etiqueta_Aclaración_Aportación_Adicional" localSheetId="1">#REF!</definedName>
    <definedName name="Etiqueta_Aclaración_Aportación_Adicional">#REF!</definedName>
    <definedName name="Etiqueta_Años" localSheetId="2">#REF!</definedName>
    <definedName name="Etiqueta_Años" localSheetId="1">#REF!</definedName>
    <definedName name="Etiqueta_Años">#REF!</definedName>
    <definedName name="Etiqueta_Aportación_Opcional_Cofinanciamiento" localSheetId="2">#REF!</definedName>
    <definedName name="Etiqueta_Aportación_Opcional_Cofinanciamiento" localSheetId="1">#REF!</definedName>
    <definedName name="Etiqueta_Aportación_Opcional_Cofinanciamiento">#REF!</definedName>
    <definedName name="Etiqueta_Avalúo_para_Leyenda" localSheetId="2">#REF!</definedName>
    <definedName name="Etiqueta_Avalúo_para_Leyenda" localSheetId="1">#REF!</definedName>
    <definedName name="Etiqueta_Avalúo_para_Leyenda">#REF!</definedName>
    <definedName name="Etiqueta_Crédito_Banorte_Cofinanciamiento" localSheetId="2">#REF!</definedName>
    <definedName name="Etiqueta_Crédito_Banorte_Cofinanciamiento" localSheetId="1">#REF!</definedName>
    <definedName name="Etiqueta_Crédito_Banorte_Cofinanciamiento">#REF!</definedName>
    <definedName name="Etiqueta_Meses_de_más" localSheetId="2">#REF!</definedName>
    <definedName name="Etiqueta_Meses_de_más" localSheetId="1">#REF!</definedName>
    <definedName name="Etiqueta_Meses_de_más">#REF!</definedName>
    <definedName name="Etiqueta_Monto_de_Recursos_Extra" localSheetId="2">#REF!</definedName>
    <definedName name="Etiqueta_Monto_de_Recursos_Extra" localSheetId="1">#REF!</definedName>
    <definedName name="Etiqueta_Monto_de_Recursos_Extra">#REF!</definedName>
    <definedName name="Etiqueta_Neto_Gastos_Originación" localSheetId="2">#REF!</definedName>
    <definedName name="Etiqueta_Neto_Gastos_Originación" localSheetId="1">#REF!</definedName>
    <definedName name="Etiqueta_Neto_Gastos_Originación">#REF!</definedName>
    <definedName name="Etiqueta_VSM_Mensual" localSheetId="2">#REF!</definedName>
    <definedName name="Etiqueta_VSM_Mensual" localSheetId="1">#REF!</definedName>
    <definedName name="Etiqueta_VSM_Mensual">#REF!</definedName>
    <definedName name="Etiquetas" localSheetId="2">#REF!</definedName>
    <definedName name="Etiquetas" localSheetId="1">#REF!</definedName>
    <definedName name="Etiquetas">#REF!</definedName>
    <definedName name="Existe_Recurso_Extra?" localSheetId="2">#REF!</definedName>
    <definedName name="Existe_Recurso_Extra?" localSheetId="1">#REF!</definedName>
    <definedName name="Existe_Recurso_Extra?">#REF!</definedName>
    <definedName name="F_" localSheetId="2">#REF!</definedName>
    <definedName name="F_" localSheetId="1">#REF!</definedName>
    <definedName name="F_">#REF!</definedName>
    <definedName name="Factor_IVA_Comisiones" localSheetId="2">#REF!</definedName>
    <definedName name="Factor_IVA_Comisiones" localSheetId="1">#REF!</definedName>
    <definedName name="Factor_IVA_Comisiones">#REF!</definedName>
    <definedName name="Factor_Pago_15_IVA_Fr" localSheetId="2">#REF!</definedName>
    <definedName name="Factor_Pago_15_IVA_Fr" localSheetId="1">#REF!</definedName>
    <definedName name="Factor_Pago_15_IVA_Fr">#REF!</definedName>
    <definedName name="Factor_Pago_15_IVA_No_Fr" localSheetId="2">#REF!</definedName>
    <definedName name="Factor_Pago_15_IVA_No_Fr" localSheetId="1">#REF!</definedName>
    <definedName name="Factor_Pago_15_IVA_No_Fr">#REF!</definedName>
    <definedName name="Factor_Pago_15_sin_IVA" localSheetId="2">#REF!</definedName>
    <definedName name="Factor_Pago_15_sin_IVA" localSheetId="1">#REF!</definedName>
    <definedName name="Factor_Pago_15_sin_IVA">#REF!</definedName>
    <definedName name="Factor_Pago_15_sin_IVA_Accesible" localSheetId="2">#REF!</definedName>
    <definedName name="Factor_Pago_15_sin_IVA_Accesible" localSheetId="1">#REF!</definedName>
    <definedName name="Factor_Pago_15_sin_IVA_Accesible">#REF!</definedName>
    <definedName name="Factor_Pago_15_sin_IVA_Accesible_Plus" localSheetId="2">#REF!</definedName>
    <definedName name="Factor_Pago_15_sin_IVA_Accesible_Plus" localSheetId="1">#REF!</definedName>
    <definedName name="Factor_Pago_15_sin_IVA_Accesible_Plus">#REF!</definedName>
    <definedName name="Factor_Pago_15_sin_IVA_Mas_por_Menos" localSheetId="2">#REF!</definedName>
    <definedName name="Factor_Pago_15_sin_IVA_Mas_por_Menos" localSheetId="1">#REF!</definedName>
    <definedName name="Factor_Pago_15_sin_IVA_Mas_por_Menos">#REF!</definedName>
    <definedName name="Factor_Pago_20_IVA_Fr" localSheetId="2">#REF!</definedName>
    <definedName name="Factor_Pago_20_IVA_Fr" localSheetId="1">#REF!</definedName>
    <definedName name="Factor_Pago_20_IVA_Fr">#REF!</definedName>
    <definedName name="Factor_Pago_20_IVA_No_Fr" localSheetId="2">#REF!</definedName>
    <definedName name="Factor_Pago_20_IVA_No_Fr" localSheetId="1">#REF!</definedName>
    <definedName name="Factor_Pago_20_IVA_No_Fr">#REF!</definedName>
    <definedName name="Factor_Pago_20_sin_IVA" localSheetId="2">#REF!</definedName>
    <definedName name="Factor_Pago_20_sin_IVA" localSheetId="1">#REF!</definedName>
    <definedName name="Factor_Pago_20_sin_IVA">#REF!</definedName>
    <definedName name="Factor_Pago_20_sin_IVA_Accesible" localSheetId="2">#REF!</definedName>
    <definedName name="Factor_Pago_20_sin_IVA_Accesible" localSheetId="1">#REF!</definedName>
    <definedName name="Factor_Pago_20_sin_IVA_Accesible">#REF!</definedName>
    <definedName name="Factor_Pago_20_sin_IVA_Accesible_Plus" localSheetId="2">#REF!</definedName>
    <definedName name="Factor_Pago_20_sin_IVA_Accesible_Plus" localSheetId="1">#REF!</definedName>
    <definedName name="Factor_Pago_20_sin_IVA_Accesible_Plus">#REF!</definedName>
    <definedName name="Factor_Pago_20_sin_IVA_Mas_por_Menos" localSheetId="2">#REF!</definedName>
    <definedName name="Factor_Pago_20_sin_IVA_Mas_por_Menos" localSheetId="1">#REF!</definedName>
    <definedName name="Factor_Pago_20_sin_IVA_Mas_por_Menos">#REF!</definedName>
    <definedName name="Factor_Pago_por_Mil_con_IVA" localSheetId="2">#REF!</definedName>
    <definedName name="Factor_Pago_por_Mil_con_IVA" localSheetId="1">#REF!</definedName>
    <definedName name="Factor_Pago_por_Mil_con_IVA">#REF!</definedName>
    <definedName name="Factor_Pago_por_Mil_sin_IVA" localSheetId="2">#REF!</definedName>
    <definedName name="Factor_Pago_por_Mil_sin_IVA" localSheetId="1">#REF!</definedName>
    <definedName name="Factor_Pago_por_Mil_sin_IVA">#REF!</definedName>
    <definedName name="Factor_para_Crédito_a_Otorgar" localSheetId="2">#REF!</definedName>
    <definedName name="Factor_para_Crédito_a_Otorgar" localSheetId="1">#REF!</definedName>
    <definedName name="Factor_para_Crédito_a_Otorgar">#REF!</definedName>
    <definedName name="FAP" localSheetId="2">#REF!</definedName>
    <definedName name="FAP" localSheetId="1">#REF!</definedName>
    <definedName name="FAP">#REF!</definedName>
    <definedName name="Fecha_Cotización" localSheetId="2">#REF!</definedName>
    <definedName name="Fecha_Cotización" localSheetId="1">#REF!</definedName>
    <definedName name="Fecha_Cotización">#REF!</definedName>
    <definedName name="Fecha_Diferente" localSheetId="2">#REF!</definedName>
    <definedName name="Fecha_Diferente" localSheetId="1">#REF!</definedName>
    <definedName name="Fecha_Diferente">#REF!</definedName>
    <definedName name="Fechas_de_Pago" localSheetId="2">#REF!</definedName>
    <definedName name="Fechas_de_Pago" localSheetId="1">#REF!</definedName>
    <definedName name="Fechas_de_Pago">#REF!</definedName>
    <definedName name="Financiada" localSheetId="2">#REF!</definedName>
    <definedName name="Financiada" localSheetId="1">#REF!</definedName>
    <definedName name="Financiada">#REF!</definedName>
    <definedName name="Financiado" localSheetId="2">#REF!</definedName>
    <definedName name="Financiado" localSheetId="1">#REF!</definedName>
    <definedName name="Financiado">#REF!</definedName>
    <definedName name="Financiados" localSheetId="2">#REF!</definedName>
    <definedName name="Financiados" localSheetId="1">#REF!</definedName>
    <definedName name="Financiados">#REF!</definedName>
    <definedName name="Flujo_Cero_Parcial" localSheetId="2">#REF!</definedName>
    <definedName name="Flujo_Cero_Parcial" localSheetId="1">#REF!</definedName>
    <definedName name="Flujo_Cero_Parcial">#REF!</definedName>
    <definedName name="Forma_Pago_Comisión_Apertura" localSheetId="2">#REF!</definedName>
    <definedName name="Forma_Pago_Comisión_Apertura" localSheetId="1">#REF!</definedName>
    <definedName name="Forma_Pago_Comisión_Apertura">#REF!</definedName>
    <definedName name="Forma_Pago_Gastos_Iniciales" localSheetId="2">#REF!</definedName>
    <definedName name="Forma_Pago_Gastos_Iniciales" localSheetId="1">#REF!</definedName>
    <definedName name="Forma_Pago_Gastos_Iniciales">#REF!</definedName>
    <definedName name="FOVISSSTE" localSheetId="2">#REF!</definedName>
    <definedName name="FOVISSSTE" localSheetId="1">#REF!</definedName>
    <definedName name="FOVISSSTE">#REF!</definedName>
    <definedName name="FPM" localSheetId="2">#REF!</definedName>
    <definedName name="FPM" localSheetId="1">#REF!</definedName>
    <definedName name="FPM">#REF!</definedName>
    <definedName name="Fragmento_Desglose_Factores_Incremento_MxM" localSheetId="2">#REF!</definedName>
    <definedName name="Fragmento_Desglose_Factores_Incremento_MxM" localSheetId="1">#REF!</definedName>
    <definedName name="Fragmento_Desglose_Factores_Incremento_MxM">#REF!</definedName>
    <definedName name="Fragmento_Desglose_Tasas_MxM" localSheetId="2">#REF!</definedName>
    <definedName name="Fragmento_Desglose_Tasas_MxM" localSheetId="1">#REF!</definedName>
    <definedName name="Fragmento_Desglose_Tasas_MxM">#REF!</definedName>
    <definedName name="Frecuencia_Anualidades" localSheetId="2">#REF!</definedName>
    <definedName name="Frecuencia_Anualidades" localSheetId="1">#REF!</definedName>
    <definedName name="Frecuencia_Anualidades">#REF!</definedName>
    <definedName name="Frecuencia_Aportación_Patronal" localSheetId="2">#REF!</definedName>
    <definedName name="Frecuencia_Aportación_Patronal" localSheetId="1">#REF!</definedName>
    <definedName name="Frecuencia_Aportación_Patronal">#REF!</definedName>
    <definedName name="Frontera" localSheetId="2">#REF!</definedName>
    <definedName name="Frontera" localSheetId="1">#REF!</definedName>
    <definedName name="Frontera">#REF!</definedName>
    <definedName name="gastos" localSheetId="2">#REF!</definedName>
    <definedName name="gastos" localSheetId="1">#REF!</definedName>
    <definedName name="gastos">#REF!</definedName>
    <definedName name="Gastos_not_goalseek_ingreso" localSheetId="2">#REF!</definedName>
    <definedName name="Gastos_not_goalseek_ingreso" localSheetId="1">#REF!</definedName>
    <definedName name="Gastos_not_goalseek_ingreso">#REF!</definedName>
    <definedName name="Gastos_not_goalseek_pago" localSheetId="2">#REF!</definedName>
    <definedName name="Gastos_not_goalseek_pago" localSheetId="1">#REF!</definedName>
    <definedName name="Gastos_not_goalseek_pago">#REF!</definedName>
    <definedName name="Gastos_Originación" localSheetId="2">#REF!</definedName>
    <definedName name="Gastos_Originación" localSheetId="1">#REF!</definedName>
    <definedName name="Gastos_Originación">#REF!</definedName>
    <definedName name="GI.Monto_CAv_Contado" localSheetId="2">#REF!</definedName>
    <definedName name="GI.Monto_CAv_Contado" localSheetId="1">#REF!</definedName>
    <definedName name="GI.Monto_CAv_Contado">#REF!</definedName>
    <definedName name="GI.Monto_CAv_Financiar" localSheetId="2">#REF!</definedName>
    <definedName name="GI.Monto_CAv_Financiar" localSheetId="1">#REF!</definedName>
    <definedName name="GI.Monto_CAv_Financiar">#REF!</definedName>
    <definedName name="GI.Monto_CInv_Contado" localSheetId="2">#REF!</definedName>
    <definedName name="GI.Monto_CInv_Contado" localSheetId="1">#REF!</definedName>
    <definedName name="GI.Monto_CInv_Contado">#REF!</definedName>
    <definedName name="GI.Monto_CInv_Financiar" localSheetId="2">#REF!</definedName>
    <definedName name="GI.Monto_CInv_Financiar" localSheetId="1">#REF!</definedName>
    <definedName name="GI.Monto_CInv_Financiar">#REF!</definedName>
    <definedName name="GI.Monto_Financiar_Total" localSheetId="2">#REF!</definedName>
    <definedName name="GI.Monto_Financiar_Total" localSheetId="1">#REF!</definedName>
    <definedName name="GI.Monto_Financiar_Total">#REF!</definedName>
    <definedName name="GI.Monto_GN_Contado" localSheetId="2">#REF!</definedName>
    <definedName name="GI.Monto_GN_Contado" localSheetId="1">#REF!</definedName>
    <definedName name="GI.Monto_GN_Contado">#REF!</definedName>
    <definedName name="GI.Monto_GN_Financiar" localSheetId="2">#REF!</definedName>
    <definedName name="GI.Monto_GN_Financiar" localSheetId="1">#REF!</definedName>
    <definedName name="GI.Monto_GN_Financiar">#REF!</definedName>
    <definedName name="Hay_Daños?" localSheetId="2">#REF!</definedName>
    <definedName name="Hay_Daños?" localSheetId="1">#REF!</definedName>
    <definedName name="Hay_Daños?">#REF!</definedName>
    <definedName name="Hay_Vida?" localSheetId="2">#REF!</definedName>
    <definedName name="Hay_Vida?" localSheetId="1">#REF!</definedName>
    <definedName name="Hay_Vida?">#REF!</definedName>
    <definedName name="i.Aclaración_Tasa" localSheetId="2">'Oferta Vinculante'!$J$35</definedName>
    <definedName name="i.CAT" localSheetId="2">'Oferta Vinculante'!$J$30</definedName>
    <definedName name="i.Com_Inv_Etiqueta" localSheetId="2">'Oferta Vinculante'!$J$15</definedName>
    <definedName name="i.Comisión_Apertura" localSheetId="2">'Oferta Vinculante'!#REF!</definedName>
    <definedName name="i.Comisión_Autorización" localSheetId="2">'Oferta Vinculante'!$J$16</definedName>
    <definedName name="i.Comisión_Investigación" localSheetId="2">'Oferta Vinculante'!$J$14</definedName>
    <definedName name="i.Comisión_Supervisión_Obra" localSheetId="2">'Oferta Vinculante'!$J$13</definedName>
    <definedName name="i.Destino" localSheetId="2">'Oferta Vinculante'!$J$7</definedName>
    <definedName name="i.Etiqueta_Monto" localSheetId="1">'Tabla Notaría'!#REF!</definedName>
    <definedName name="i.Etiqueta_Tasa" localSheetId="1">'Tabla Notaría'!#REF!</definedName>
    <definedName name="i.Etiqueta_Tasas_Interés" localSheetId="2">'Oferta Vinculante'!$J$10</definedName>
    <definedName name="i.Fecha_Cotización" localSheetId="2">'Oferta Vinculante'!$J$5</definedName>
    <definedName name="i.Importe_Solicitado" localSheetId="2">'Oferta Vinculante'!$J$8</definedName>
    <definedName name="i.Nomenclatura_Notarial" localSheetId="2">'Oferta Vinculante'!$J$32</definedName>
    <definedName name="i.Plazo_en_Años" localSheetId="2">'Oferta Vinculante'!$J$12</definedName>
    <definedName name="i.Tasa_Ordinaria" localSheetId="2">'Oferta Vinculante'!$J$11</definedName>
    <definedName name="i.Valor_Garantía" localSheetId="2">'Oferta Vinculante'!$J$9</definedName>
    <definedName name="IAD" localSheetId="2">#REF!</definedName>
    <definedName name="IAD" localSheetId="1">#REF!</definedName>
    <definedName name="IAD">#REF!</definedName>
    <definedName name="IMB" localSheetId="2">#REF!</definedName>
    <definedName name="IMB" localSheetId="1">#REF!</definedName>
    <definedName name="IMB">#REF!</definedName>
    <definedName name="IncDiez" localSheetId="2">#REF!</definedName>
    <definedName name="IncDiez" localSheetId="1">#REF!</definedName>
    <definedName name="IncDiez">#REF!</definedName>
    <definedName name="Incremento_avalúo_COFINAVIT" localSheetId="2">#REF!</definedName>
    <definedName name="Incremento_avalúo_COFINAVIT" localSheetId="1">#REF!</definedName>
    <definedName name="Incremento_avalúo_COFINAVIT">#REF!</definedName>
    <definedName name="Incremento_Comisión_por_Aut" localSheetId="2">#REF!</definedName>
    <definedName name="Incremento_Comisión_por_Aut" localSheetId="1">#REF!</definedName>
    <definedName name="Incremento_Comisión_por_Aut">#REF!</definedName>
    <definedName name="Incremento_Comisión_por_Aut_Nota5_Accesible" localSheetId="2">#REF!</definedName>
    <definedName name="Incremento_Comisión_por_Aut_Nota5_Accesible" localSheetId="1">#REF!</definedName>
    <definedName name="Incremento_Comisión_por_Aut_Nota5_Accesible">#REF!</definedName>
    <definedName name="Incremento_Comisión_por_Aut_Nota5_Accesible_Plus" localSheetId="2">#REF!</definedName>
    <definedName name="Incremento_Comisión_por_Aut_Nota5_Accesible_Plus" localSheetId="1">#REF!</definedName>
    <definedName name="Incremento_Comisión_por_Aut_Nota5_Accesible_Plus">#REF!</definedName>
    <definedName name="Incremento_Comisión_por_Aut_Nota5_Mas_por_Menos" localSheetId="2">#REF!</definedName>
    <definedName name="Incremento_Comisión_por_Aut_Nota5_Mas_por_Menos" localSheetId="1">#REF!</definedName>
    <definedName name="Incremento_Comisión_por_Aut_Nota5_Mas_por_Menos">#REF!</definedName>
    <definedName name="Incremento_en_pago" localSheetId="2">#REF!</definedName>
    <definedName name="Incremento_en_pago" localSheetId="1">#REF!</definedName>
    <definedName name="Incremento_en_pago">#REF!</definedName>
    <definedName name="Incremento_pago_15" localSheetId="2">#REF!</definedName>
    <definedName name="Incremento_pago_15" localSheetId="1">#REF!</definedName>
    <definedName name="Incremento_pago_15">#REF!</definedName>
    <definedName name="Incremento_pago_15_Accesible" localSheetId="2">#REF!</definedName>
    <definedName name="Incremento_pago_15_Accesible" localSheetId="1">#REF!</definedName>
    <definedName name="Incremento_pago_15_Accesible">#REF!</definedName>
    <definedName name="Incremento_pago_15_Accesible_Plus" localSheetId="2">#REF!</definedName>
    <definedName name="Incremento_pago_15_Accesible_Plus" localSheetId="1">#REF!</definedName>
    <definedName name="Incremento_pago_15_Accesible_Plus">#REF!</definedName>
    <definedName name="Incremento_pago_15_Mas_por_Menos" localSheetId="2">#REF!</definedName>
    <definedName name="Incremento_pago_15_Mas_por_Menos" localSheetId="1">#REF!</definedName>
    <definedName name="Incremento_pago_15_Mas_por_Menos">#REF!</definedName>
    <definedName name="Incremento_pago_20" localSheetId="2">#REF!</definedName>
    <definedName name="Incremento_pago_20" localSheetId="1">#REF!</definedName>
    <definedName name="Incremento_pago_20">#REF!</definedName>
    <definedName name="Incremento_pago_20_Accesible" localSheetId="2">#REF!</definedName>
    <definedName name="Incremento_pago_20_Accesible" localSheetId="1">#REF!</definedName>
    <definedName name="Incremento_pago_20_Accesible">#REF!</definedName>
    <definedName name="Incremento_pago_20_Accesible_Plus" localSheetId="2">#REF!</definedName>
    <definedName name="Incremento_pago_20_Accesible_Plus" localSheetId="1">#REF!</definedName>
    <definedName name="Incremento_pago_20_Accesible_Plus">#REF!</definedName>
    <definedName name="Incremento_pago_20_Mas_por_Menos" localSheetId="2">#REF!</definedName>
    <definedName name="Incremento_pago_20_Mas_por_Menos" localSheetId="1">#REF!</definedName>
    <definedName name="Incremento_pago_20_Mas_por_Menos">#REF!</definedName>
    <definedName name="Índice_Destino_Ajustado" localSheetId="2">#REF!</definedName>
    <definedName name="Índice_Destino_Ajustado" localSheetId="1">#REF!</definedName>
    <definedName name="Índice_Destino_Ajustado">#REF!</definedName>
    <definedName name="Índice_Esquema_Especial" localSheetId="2">#REF!</definedName>
    <definedName name="Índice_Esquema_Especial" localSheetId="1">#REF!</definedName>
    <definedName name="Índice_Esquema_Especial">#REF!</definedName>
    <definedName name="Índice_Producto" localSheetId="2">#REF!</definedName>
    <definedName name="Índice_Producto" localSheetId="1">#REF!</definedName>
    <definedName name="Índice_Producto">#REF!</definedName>
    <definedName name="Individual" localSheetId="2">#REF!</definedName>
    <definedName name="Individual" localSheetId="1">#REF!</definedName>
    <definedName name="Individual">#REF!</definedName>
    <definedName name="INFONAVIT" localSheetId="2">#REF!</definedName>
    <definedName name="INFONAVIT" localSheetId="1">#REF!</definedName>
    <definedName name="INFONAVIT">#REF!</definedName>
    <definedName name="Ingreso_Apoyo" localSheetId="2">#REF!</definedName>
    <definedName name="Ingreso_Apoyo" localSheetId="1">#REF!</definedName>
    <definedName name="Ingreso_Apoyo">#REF!</definedName>
    <definedName name="Ingreso_Cónyuge_Cofinavit" localSheetId="2">#REF!</definedName>
    <definedName name="Ingreso_Cónyuge_Cofinavit" localSheetId="1">#REF!</definedName>
    <definedName name="Ingreso_Cónyuge_Cofinavit">#REF!</definedName>
    <definedName name="Ingreso_Cónyuge_Fovissste" localSheetId="2">#REF!</definedName>
    <definedName name="Ingreso_Cónyuge_Fovissste" localSheetId="1">#REF!</definedName>
    <definedName name="Ingreso_Cónyuge_Fovissste">#REF!</definedName>
    <definedName name="Ingreso_Mínimo" localSheetId="2">#REF!</definedName>
    <definedName name="Ingreso_Mínimo" localSheetId="1">#REF!</definedName>
    <definedName name="Ingreso_Mínimo">#REF!</definedName>
    <definedName name="Ingreso_Titular_Cofinavit" localSheetId="2">#REF!</definedName>
    <definedName name="Ingreso_Titular_Cofinavit" localSheetId="1">#REF!</definedName>
    <definedName name="Ingreso_Titular_Cofinavit">#REF!</definedName>
    <definedName name="Ingreso_Titular_Fovissste" localSheetId="2">#REF!</definedName>
    <definedName name="Ingreso_Titular_Fovissste" localSheetId="1">#REF!</definedName>
    <definedName name="Ingreso_Titular_Fovissste">#REF!</definedName>
    <definedName name="Ingreso_Tradicional" localSheetId="2">#REF!</definedName>
    <definedName name="Ingreso_Tradicional" localSheetId="1">#REF!</definedName>
    <definedName name="Ingreso_Tradicional">#REF!</definedName>
    <definedName name="Ingresos_Adicionales_Cofinavit" localSheetId="2">#REF!</definedName>
    <definedName name="Ingresos_Adicionales_Cofinavit" localSheetId="1">#REF!</definedName>
    <definedName name="Ingresos_Adicionales_Cofinavit">#REF!</definedName>
    <definedName name="Inicio_Aportaciones" localSheetId="2">#REF!</definedName>
    <definedName name="Inicio_Aportaciones" localSheetId="1">#REF!</definedName>
    <definedName name="Inicio_Aportaciones">#REF!</definedName>
    <definedName name="InstitutoVivienda.Etiqueta_Unidad_Mensual" localSheetId="2">#REF!</definedName>
    <definedName name="InstitutoVivienda.Etiqueta_Unidad_Mensual" localSheetId="1">#REF!</definedName>
    <definedName name="InstitutoVivienda.Etiqueta_Unidad_Mensual">#REF!</definedName>
    <definedName name="InstitutoVivienda.Valor_Base" localSheetId="2">#REF!</definedName>
    <definedName name="InstitutoVivienda.Valor_Base" localSheetId="1">#REF!</definedName>
    <definedName name="InstitutoVivienda.Valor_Base">#REF!</definedName>
    <definedName name="Intervinientes" localSheetId="2">#REF!</definedName>
    <definedName name="Intervinientes" localSheetId="1">#REF!</definedName>
    <definedName name="Intervinientes">#REF!</definedName>
    <definedName name="IVA" localSheetId="2">#REF!</definedName>
    <definedName name="IVA" localSheetId="1">#REF!</definedName>
    <definedName name="IVA">#REF!</definedName>
    <definedName name="IVA_Comisiones" localSheetId="2">#REF!</definedName>
    <definedName name="IVA_Comisiones" localSheetId="1">#REF!</definedName>
    <definedName name="IVA_Comisiones">#REF!</definedName>
    <definedName name="IVA_Intereses" localSheetId="2">#REF!</definedName>
    <definedName name="IVA_Intereses" localSheetId="1">#REF!</definedName>
    <definedName name="IVA_Intereses">#REF!</definedName>
    <definedName name="IVA_por_Destino_Condicional" localSheetId="2">#REF!</definedName>
    <definedName name="IVA_por_Destino_Condicional" localSheetId="1">#REF!</definedName>
    <definedName name="IVA_por_Destino_Condicional">#REF!</definedName>
    <definedName name="IVA_por_Destino_Directo" localSheetId="2">#REF!</definedName>
    <definedName name="IVA_por_Destino_Directo" localSheetId="1">#REF!</definedName>
    <definedName name="IVA_por_Destino_Directo">#REF!</definedName>
    <definedName name="ixProducto" localSheetId="2">#REF!</definedName>
    <definedName name="ixProducto" localSheetId="1">#REF!</definedName>
    <definedName name="ixProducto">#REF!</definedName>
    <definedName name="L.Comisión_por_Investigación" localSheetId="2">#REF!</definedName>
    <definedName name="L.Comisión_por_Investigación" localSheetId="1">#REF!</definedName>
    <definedName name="L.Comisión_por_Investigación">#REF!</definedName>
    <definedName name="L.Porcentaje_Apertura" localSheetId="2">#REF!</definedName>
    <definedName name="L.Porcentaje_Apertura" localSheetId="1">#REF!</definedName>
    <definedName name="L.Porcentaje_Apertura">#REF!</definedName>
    <definedName name="L.Porcentaje_Financiar_Gastos_Iniciales" localSheetId="2">#REF!</definedName>
    <definedName name="L.Porcentaje_Financiar_Gastos_Iniciales" localSheetId="1">#REF!</definedName>
    <definedName name="L.Porcentaje_Financiar_Gastos_Iniciales">#REF!</definedName>
    <definedName name="Layout.Mes_Dcto_Tasa" localSheetId="2">#REF!</definedName>
    <definedName name="Layout.Mes_Dcto_Tasa" localSheetId="1">#REF!</definedName>
    <definedName name="Layout.Mes_Dcto_Tasa">#REF!</definedName>
    <definedName name="Layout_Completo" localSheetId="2">#REF!</definedName>
    <definedName name="Layout_Completo" localSheetId="1">#REF!</definedName>
    <definedName name="Layout_Completo">#REF!</definedName>
    <definedName name="Leyenda_Avalúo" localSheetId="2">#REF!</definedName>
    <definedName name="Leyenda_Avalúo" localSheetId="1">#REF!</definedName>
    <definedName name="Leyenda_Avalúo">#REF!</definedName>
    <definedName name="Leyenda_Comisión_por_Apertura_1" localSheetId="2">#REF!</definedName>
    <definedName name="Leyenda_Comisión_por_Apertura_1" localSheetId="1">#REF!</definedName>
    <definedName name="Leyenda_Comisión_por_Apertura_1">#REF!</definedName>
    <definedName name="Leyenda_Comisión_por_Apertura_2" localSheetId="2">#REF!</definedName>
    <definedName name="Leyenda_Comisión_por_Apertura_2" localSheetId="1">#REF!</definedName>
    <definedName name="Leyenda_Comisión_por_Apertura_2">#REF!</definedName>
    <definedName name="Leyenda_Comisión_por_Apertura_3" localSheetId="2">#REF!</definedName>
    <definedName name="Leyenda_Comisión_por_Apertura_3" localSheetId="1">#REF!</definedName>
    <definedName name="Leyenda_Comisión_por_Apertura_3">#REF!</definedName>
    <definedName name="Leyenda_Datos_Crédito_Adicional_1" localSheetId="2">#REF!</definedName>
    <definedName name="Leyenda_Datos_Crédito_Adicional_1" localSheetId="1">#REF!</definedName>
    <definedName name="Leyenda_Datos_Crédito_Adicional_1">#REF!</definedName>
    <definedName name="Leyenda_Datos_Crédito_Adicional_2" localSheetId="2">#REF!</definedName>
    <definedName name="Leyenda_Datos_Crédito_Adicional_2" localSheetId="1">#REF!</definedName>
    <definedName name="Leyenda_Datos_Crédito_Adicional_2">#REF!</definedName>
    <definedName name="Leyenda_Final_Daños" localSheetId="2">#REF!</definedName>
    <definedName name="Leyenda_Final_Daños" localSheetId="1">#REF!</definedName>
    <definedName name="Leyenda_Final_Daños">#REF!</definedName>
    <definedName name="Leyenda_Final_Vida" localSheetId="2">#REF!</definedName>
    <definedName name="Leyenda_Final_Vida" localSheetId="1">#REF!</definedName>
    <definedName name="Leyenda_Final_Vida">#REF!</definedName>
    <definedName name="LeyendaAsistencia" localSheetId="2">#REF!</definedName>
    <definedName name="LeyendaAsistencia" localSheetId="1">#REF!</definedName>
    <definedName name="LeyendaAsistencia">#REF!</definedName>
    <definedName name="LeyendaMomentos" localSheetId="2">#REF!</definedName>
    <definedName name="LeyendaMomentos" localSheetId="1">#REF!</definedName>
    <definedName name="LeyendaMomentos">#REF!</definedName>
    <definedName name="LeyendaPaqDaños" localSheetId="2">#REF!</definedName>
    <definedName name="LeyendaPaqDaños" localSheetId="1">#REF!</definedName>
    <definedName name="LeyendaPaqDaños">#REF!</definedName>
    <definedName name="LeyendaPaqVida" localSheetId="2">#REF!</definedName>
    <definedName name="LeyendaPaqVida" localSheetId="1">#REF!</definedName>
    <definedName name="LeyendaPaqVida">#REF!</definedName>
    <definedName name="LeyendaRecursosExcedidosCofinavit" localSheetId="2">#REF!</definedName>
    <definedName name="LeyendaRecursosExcedidosCofinavit" localSheetId="1">#REF!</definedName>
    <definedName name="LeyendaRecursosExcedidosCofinavit">#REF!</definedName>
    <definedName name="LIC" localSheetId="2">#REF!</definedName>
    <definedName name="LIC" localSheetId="1">#REF!</definedName>
    <definedName name="LIC">#REF!</definedName>
    <definedName name="Liquidez" localSheetId="2">#REF!</definedName>
    <definedName name="Liquidez" localSheetId="1">#REF!</definedName>
    <definedName name="Liquidez">#REF!</definedName>
    <definedName name="LSAOp" localSheetId="2">#REF!</definedName>
    <definedName name="LSAOp" localSheetId="1">#REF!</definedName>
    <definedName name="LSAOp">#REF!</definedName>
    <definedName name="LSC" localSheetId="2">#REF!</definedName>
    <definedName name="LSC" localSheetId="1">#REF!</definedName>
    <definedName name="LSC">#REF!</definedName>
    <definedName name="Mancomunado" localSheetId="2">#REF!</definedName>
    <definedName name="Mancomunado" localSheetId="1">#REF!</definedName>
    <definedName name="Mancomunado">#REF!</definedName>
    <definedName name="Matriz_Capital" localSheetId="2">#REF!</definedName>
    <definedName name="Matriz_Capital" localSheetId="1">#REF!</definedName>
    <definedName name="Matriz_Capital">#REF!</definedName>
    <definedName name="Matriz_Capital_CAT" localSheetId="2">#REF!</definedName>
    <definedName name="Matriz_Capital_CAT" localSheetId="1">#REF!</definedName>
    <definedName name="Matriz_Capital_CAT">#REF!</definedName>
    <definedName name="Matriz_Descuentos" localSheetId="2">#REF!</definedName>
    <definedName name="Matriz_Descuentos" localSheetId="1">#REF!</definedName>
    <definedName name="Matriz_Descuentos">#REF!</definedName>
    <definedName name="Máximo_Crédito_Fovissste" localSheetId="2">#REF!</definedName>
    <definedName name="Máximo_Crédito_Fovissste" localSheetId="1">#REF!</definedName>
    <definedName name="Máximo_Crédito_Fovissste">#REF!</definedName>
    <definedName name="Máximo_Crédito_Infonavit_Cónyuge" localSheetId="2">#REF!</definedName>
    <definedName name="Máximo_Crédito_Infonavit_Cónyuge" localSheetId="1">#REF!</definedName>
    <definedName name="Máximo_Crédito_Infonavit_Cónyuge">#REF!</definedName>
    <definedName name="Máximo_crédito_infonavit_ingresos_adicionales_conyuge" localSheetId="2">#REF!</definedName>
    <definedName name="Máximo_crédito_infonavit_ingresos_adicionales_conyuge" localSheetId="1">#REF!</definedName>
    <definedName name="Máximo_crédito_infonavit_ingresos_adicionales_conyuge">#REF!</definedName>
    <definedName name="Máximo_crédito_infonavit_ingresos_adicionales_titular" localSheetId="2">#REF!</definedName>
    <definedName name="Máximo_crédito_infonavit_ingresos_adicionales_titular" localSheetId="1">#REF!</definedName>
    <definedName name="Máximo_crédito_infonavit_ingresos_adicionales_titular">#REF!</definedName>
    <definedName name="Máximo_Crédito_Infonavit_Titular" localSheetId="2">#REF!</definedName>
    <definedName name="Máximo_Crédito_Infonavit_Titular" localSheetId="1">#REF!</definedName>
    <definedName name="Máximo_Crédito_Infonavit_Titular">#REF!</definedName>
    <definedName name="Mejora_más_Remodelación" localSheetId="2">#REF!</definedName>
    <definedName name="Mejora_más_Remodelación" localSheetId="1">#REF!</definedName>
    <definedName name="Mejora_más_Remodelación">#REF!</definedName>
    <definedName name="Mes_Cotización" localSheetId="2">#REF!</definedName>
    <definedName name="Mes_Cotización" localSheetId="1">#REF!</definedName>
    <definedName name="Mes_Cotización">#REF!</definedName>
    <definedName name="Mes_Descto_en_Tasa" localSheetId="2">#REF!</definedName>
    <definedName name="Mes_Descto_en_Tasa" localSheetId="1">#REF!</definedName>
    <definedName name="Mes_Descto_en_Tasa">#REF!</definedName>
    <definedName name="Mes_Incremento_Comisión" localSheetId="2">#REF!</definedName>
    <definedName name="Mes_Incremento_Comisión" localSheetId="1">#REF!</definedName>
    <definedName name="Mes_Incremento_Comisión">#REF!</definedName>
    <definedName name="Mes_Incremento_Pago" localSheetId="2">#REF!</definedName>
    <definedName name="Mes_Incremento_Pago" localSheetId="1">#REF!</definedName>
    <definedName name="Mes_Incremento_Pago">#REF!</definedName>
    <definedName name="Mes_Primer_Pago" localSheetId="2">#REF!</definedName>
    <definedName name="Mes_Primer_Pago" localSheetId="1">#REF!</definedName>
    <definedName name="Mes_Primer_Pago">#REF!</definedName>
    <definedName name="Meses_de_más" localSheetId="2">#REF!</definedName>
    <definedName name="Meses_de_más" localSheetId="1">#REF!</definedName>
    <definedName name="Meses_de_más">#REF!</definedName>
    <definedName name="Meses_Devolución" localSheetId="2">#REF!</definedName>
    <definedName name="Meses_Devolución" localSheetId="1">#REF!</definedName>
    <definedName name="Meses_Devolución">#REF!</definedName>
    <definedName name="Meses_gracia_de_capital" localSheetId="2">#REF!</definedName>
    <definedName name="Meses_gracia_de_capital" localSheetId="1">#REF!</definedName>
    <definedName name="Meses_gracia_de_capital">#REF!</definedName>
    <definedName name="Meses_Gratis_Seguro_Daños" localSheetId="2">#REF!</definedName>
    <definedName name="Meses_Gratis_Seguro_Daños" localSheetId="1">#REF!</definedName>
    <definedName name="Meses_Gratis_Seguro_Daños">#REF!</definedName>
    <definedName name="Meses_Gratis_Seguro_Desempleo" localSheetId="2">#REF!</definedName>
    <definedName name="Meses_Gratis_Seguro_Desempleo" localSheetId="1">#REF!</definedName>
    <definedName name="Meses_Gratis_Seguro_Desempleo">#REF!</definedName>
    <definedName name="Meses_Gratis_Seguro_Vida" localSheetId="2">#REF!</definedName>
    <definedName name="Meses_Gratis_Seguro_Vida" localSheetId="1">#REF!</definedName>
    <definedName name="Meses_Gratis_Seguro_Vida">#REF!</definedName>
    <definedName name="Millón_de_UDIS" localSheetId="2">#REF!</definedName>
    <definedName name="Millón_de_UDIS" localSheetId="1">#REF!</definedName>
    <definedName name="Millón_de_UDIS">#REF!</definedName>
    <definedName name="Monto_CAper_Financiar" localSheetId="2">#REF!</definedName>
    <definedName name="Monto_CAper_Financiar" localSheetId="1">#REF!</definedName>
    <definedName name="Monto_CAper_Financiar">#REF!</definedName>
    <definedName name="Monto_Comisión_Avalúo" localSheetId="2">#REF!</definedName>
    <definedName name="Monto_Comisión_Avalúo" localSheetId="1">#REF!</definedName>
    <definedName name="Monto_Comisión_Avalúo">#REF!</definedName>
    <definedName name="Monto_Crédito_Principal" localSheetId="2">#REF!</definedName>
    <definedName name="Monto_Crédito_Principal" localSheetId="1">#REF!</definedName>
    <definedName name="Monto_Crédito_Principal">#REF!</definedName>
    <definedName name="Monto_de_Recursos_Extra" localSheetId="2">#REF!</definedName>
    <definedName name="Monto_de_Recursos_Extra" localSheetId="1">#REF!</definedName>
    <definedName name="Monto_de_Recursos_Extra">#REF!</definedName>
    <definedName name="Monto_Devolución" localSheetId="2">#REF!</definedName>
    <definedName name="Monto_Devolución" localSheetId="1">#REF!</definedName>
    <definedName name="Monto_Devolución">#REF!</definedName>
    <definedName name="Monto_Inicial_Disponible_Cónyuge" localSheetId="2">#REF!</definedName>
    <definedName name="Monto_Inicial_Disponible_Cónyuge" localSheetId="1">#REF!</definedName>
    <definedName name="Monto_Inicial_Disponible_Cónyuge">#REF!</definedName>
    <definedName name="Monto_Inicial_Disponible_Titular" localSheetId="2">#REF!</definedName>
    <definedName name="Monto_Inicial_Disponible_Titular" localSheetId="1">#REF!</definedName>
    <definedName name="Monto_Inicial_Disponible_Titular">#REF!</definedName>
    <definedName name="Monto_para_seguro_daños" localSheetId="2">#REF!</definedName>
    <definedName name="Monto_para_seguro_daños" localSheetId="1">#REF!</definedName>
    <definedName name="Monto_para_seguro_daños">#REF!</definedName>
    <definedName name="Monto_para_validar_aforo_Fovissste" localSheetId="2">#REF!</definedName>
    <definedName name="Monto_para_validar_aforo_Fovissste" localSheetId="1">#REF!</definedName>
    <definedName name="Monto_para_validar_aforo_Fovissste">#REF!</definedName>
    <definedName name="Monto_Remanente_Cónyuge" localSheetId="2">#REF!</definedName>
    <definedName name="Monto_Remanente_Cónyuge" localSheetId="1">#REF!</definedName>
    <definedName name="Monto_Remanente_Cónyuge">#REF!</definedName>
    <definedName name="Monto_Remanente_Titular" localSheetId="2">#REF!</definedName>
    <definedName name="Monto_Remanente_Titular" localSheetId="1">#REF!</definedName>
    <definedName name="Monto_Remanente_Titular">#REF!</definedName>
    <definedName name="Monto_Total_de_Crédito" localSheetId="2">#REF!</definedName>
    <definedName name="Monto_Total_de_Crédito" localSheetId="1">#REF!</definedName>
    <definedName name="Monto_Total_de_Crédito">#REF!</definedName>
    <definedName name="Mujer_Banorte" localSheetId="2">#REF!</definedName>
    <definedName name="Mujer_Banorte" localSheetId="1">#REF!</definedName>
    <definedName name="Mujer_Banorte">#REF!</definedName>
    <definedName name="Mujer_Banorte.Cuota" localSheetId="2">#REF!</definedName>
    <definedName name="Mujer_Banorte.Cuota" localSheetId="1">#REF!</definedName>
    <definedName name="Mujer_Banorte.Cuota">#REF!</definedName>
    <definedName name="Mujer_Banorte.Porcentaje" localSheetId="2">#REF!</definedName>
    <definedName name="Mujer_Banorte.Porcentaje" localSheetId="1">#REF!</definedName>
    <definedName name="Mujer_Banorte.Porcentaje">#REF!</definedName>
    <definedName name="Mujer_Banorte.Tope" localSheetId="2">#REF!</definedName>
    <definedName name="Mujer_Banorte.Tope" localSheetId="1">#REF!</definedName>
    <definedName name="Mujer_Banorte.Tope">#REF!</definedName>
    <definedName name="Multitasa" localSheetId="2">#REF!</definedName>
    <definedName name="Multitasa" localSheetId="1">#REF!</definedName>
    <definedName name="Multitasa">#REF!</definedName>
    <definedName name="Neto_Gastos_Originación" localSheetId="2">#REF!</definedName>
    <definedName name="Neto_Gastos_Originación" localSheetId="1">#REF!</definedName>
    <definedName name="Neto_Gastos_Originación">#REF!</definedName>
    <definedName name="Ninguno" localSheetId="2">#REF!</definedName>
    <definedName name="Ninguno" localSheetId="1">#REF!</definedName>
    <definedName name="Ninguno">#REF!</definedName>
    <definedName name="NN.Catalogo" localSheetId="2">#REF!</definedName>
    <definedName name="NN.Catalogo" localSheetId="1">#REF!</definedName>
    <definedName name="NN.Catalogo">#REF!</definedName>
    <definedName name="No" localSheetId="2">#REF!</definedName>
    <definedName name="No" localSheetId="1">#REF!</definedName>
    <definedName name="No">#REF!</definedName>
    <definedName name="No_Frontera" localSheetId="2">#REF!</definedName>
    <definedName name="No_Frontera" localSheetId="1">#REF!</definedName>
    <definedName name="No_Frontera">#REF!</definedName>
    <definedName name="Nombre_Cliente" localSheetId="2">'Oferta Vinculante'!$M$10</definedName>
    <definedName name="Nombre_Cotiza_En" localSheetId="2">#REF!</definedName>
    <definedName name="Nombre_Cotiza_En" localSheetId="1">#REF!</definedName>
    <definedName name="Nombre_Cotiza_En">#REF!</definedName>
    <definedName name="Nombre_Destino" localSheetId="2">#REF!</definedName>
    <definedName name="Nombre_Destino" localSheetId="1">#REF!</definedName>
    <definedName name="Nombre_Destino">#REF!</definedName>
    <definedName name="Nombre_Esquema_Especial" localSheetId="2">#REF!</definedName>
    <definedName name="Nombre_Esquema_Especial" localSheetId="1">#REF!</definedName>
    <definedName name="Nombre_Esquema_Especial">#REF!</definedName>
    <definedName name="Nombre_Estado" localSheetId="2">#REF!</definedName>
    <definedName name="Nombre_Estado" localSheetId="1">#REF!</definedName>
    <definedName name="Nombre_Estado">#REF!</definedName>
    <definedName name="Nombre_IVA" localSheetId="2">#REF!</definedName>
    <definedName name="Nombre_IVA" localSheetId="1">#REF!</definedName>
    <definedName name="Nombre_IVA">#REF!</definedName>
    <definedName name="Nombre_Opción_Pago_Anticipado" localSheetId="2">#REF!</definedName>
    <definedName name="Nombre_Opción_Pago_Anticipado" localSheetId="1">#REF!</definedName>
    <definedName name="Nombre_Opción_Pago_Anticipado">#REF!</definedName>
    <definedName name="Nombre_Producto" localSheetId="2">#REF!</definedName>
    <definedName name="Nombre_Producto" localSheetId="1">#REF!</definedName>
    <definedName name="Nombre_Producto">#REF!</definedName>
    <definedName name="Nota_1" localSheetId="2">#REF!</definedName>
    <definedName name="Nota_1" localSheetId="1">#REF!</definedName>
    <definedName name="Nota_1">#REF!</definedName>
    <definedName name="Nota_1_Tabla" localSheetId="2">#REF!</definedName>
    <definedName name="Nota_1_Tabla" localSheetId="1">#REF!</definedName>
    <definedName name="Nota_1_Tabla">#REF!</definedName>
    <definedName name="Notariales.Monto" localSheetId="2">#REF!</definedName>
    <definedName name="Notariales.Monto" localSheetId="1">#REF!</definedName>
    <definedName name="Notariales.Monto">#REF!</definedName>
    <definedName name="Notariales.Nomenclatura_General" localSheetId="2">#REF!</definedName>
    <definedName name="Notariales.Nomenclatura_General" localSheetId="1">#REF!</definedName>
    <definedName name="Notariales.Nomenclatura_General">#REF!</definedName>
    <definedName name="Notariales.Nomenclatura_OV" localSheetId="2">#REF!</definedName>
    <definedName name="Notariales.Nomenclatura_OV" localSheetId="1">#REF!</definedName>
    <definedName name="Notariales.Nomenclatura_OV">#REF!</definedName>
    <definedName name="Notariales.Nota" localSheetId="2">#REF!</definedName>
    <definedName name="Notariales.Nota" localSheetId="1">#REF!</definedName>
    <definedName name="Notariales.Nota">#REF!</definedName>
    <definedName name="Notariales.Nota_Desglosada" localSheetId="2">#REF!</definedName>
    <definedName name="Notariales.Nota_Desglosada" localSheetId="1">#REF!</definedName>
    <definedName name="Notariales.Nota_Desglosada">#REF!</definedName>
    <definedName name="Notariales.Nota_Pie_OV" localSheetId="2">#REF!</definedName>
    <definedName name="Notariales.Nota_Pie_OV" localSheetId="1">#REF!</definedName>
    <definedName name="Notariales.Nota_Pie_OV">#REF!</definedName>
    <definedName name="Notariales.Nota_Pie_OV_Visible?" localSheetId="2">#REF!</definedName>
    <definedName name="Notariales.Nota_Pie_OV_Visible?" localSheetId="1">#REF!</definedName>
    <definedName name="Notariales.Nota_Pie_OV_Visible?">#REF!</definedName>
    <definedName name="Notariales.Porcentaje" localSheetId="2">#REF!</definedName>
    <definedName name="Notariales.Porcentaje" localSheetId="1">#REF!</definedName>
    <definedName name="Notariales.Porcentaje">#REF!</definedName>
    <definedName name="Número_anualidades" localSheetId="2">#REF!</definedName>
    <definedName name="Número_anualidades" localSheetId="1">#REF!</definedName>
    <definedName name="Número_anualidades">#REF!</definedName>
    <definedName name="Número_Ministraciones_Layout" localSheetId="2">#REF!</definedName>
    <definedName name="Número_Ministraciones_Layout" localSheetId="1">#REF!</definedName>
    <definedName name="Número_Ministraciones_Layout">#REF!</definedName>
    <definedName name="Opción_Pago_Anticipado" localSheetId="2">#REF!</definedName>
    <definedName name="Opción_Pago_Anticipado" localSheetId="1">#REF!</definedName>
    <definedName name="Opción_Pago_Anticipado">#REF!</definedName>
    <definedName name="Opciones_Prepagos_Apoyo" localSheetId="2">#REF!</definedName>
    <definedName name="Opciones_Prepagos_Apoyo" localSheetId="1">#REF!</definedName>
    <definedName name="Opciones_Prepagos_Apoyo">#REF!</definedName>
    <definedName name="Opciones_Prepagos_Cofinavit" localSheetId="2">#REF!</definedName>
    <definedName name="Opciones_Prepagos_Cofinavit" localSheetId="1">#REF!</definedName>
    <definedName name="Opciones_Prepagos_Cofinavit">#REF!</definedName>
    <definedName name="Opciones_Prepagos_Fovissste" localSheetId="2">#REF!</definedName>
    <definedName name="Opciones_Prepagos_Fovissste" localSheetId="1">#REF!</definedName>
    <definedName name="Opciones_Prepagos_Fovissste">#REF!</definedName>
    <definedName name="Opciones_Prepagos_Tradicional" localSheetId="2">#REF!</definedName>
    <definedName name="Opciones_Prepagos_Tradicional" localSheetId="1">#REF!</definedName>
    <definedName name="Opciones_Prepagos_Tradicional">#REF!</definedName>
    <definedName name="origen" localSheetId="2">#REF!</definedName>
    <definedName name="origen" localSheetId="1">#REF!</definedName>
    <definedName name="origen">#REF!</definedName>
    <definedName name="Pago_mensual_neto" localSheetId="2">#REF!</definedName>
    <definedName name="Pago_mensual_neto" localSheetId="1">#REF!</definedName>
    <definedName name="Pago_mensual_neto">#REF!</definedName>
    <definedName name="Pago_Mensual_Tradicional" localSheetId="2">#REF!</definedName>
    <definedName name="Pago_Mensual_Tradicional" localSheetId="1">#REF!</definedName>
    <definedName name="Pago_Mensual_Tradicional">#REF!</definedName>
    <definedName name="Pago_Mínimo" localSheetId="2">#REF!</definedName>
    <definedName name="Pago_Mínimo" localSheetId="1">#REF!</definedName>
    <definedName name="Pago_Mínimo">#REF!</definedName>
    <definedName name="Pagos_Ant_Apoyo_A" localSheetId="2">#REF!</definedName>
    <definedName name="Pagos_Ant_Apoyo_A" localSheetId="1">#REF!</definedName>
    <definedName name="Pagos_Ant_Apoyo_A">#REF!</definedName>
    <definedName name="Pagos_Ant_Apoyo_B" localSheetId="2">#REF!</definedName>
    <definedName name="Pagos_Ant_Apoyo_B" localSheetId="1">#REF!</definedName>
    <definedName name="Pagos_Ant_Apoyo_B">#REF!</definedName>
    <definedName name="Pagos_Ant_Apoyo_C" localSheetId="2">#REF!</definedName>
    <definedName name="Pagos_Ant_Apoyo_C" localSheetId="1">#REF!</definedName>
    <definedName name="Pagos_Ant_Apoyo_C">#REF!</definedName>
    <definedName name="Pagos_Ant_Cofinavit_A" localSheetId="2">#REF!</definedName>
    <definedName name="Pagos_Ant_Cofinavit_A" localSheetId="1">#REF!</definedName>
    <definedName name="Pagos_Ant_Cofinavit_A">#REF!</definedName>
    <definedName name="Pagos_Ant_Cofinavit_B" localSheetId="2">#REF!</definedName>
    <definedName name="Pagos_Ant_Cofinavit_B" localSheetId="1">#REF!</definedName>
    <definedName name="Pagos_Ant_Cofinavit_B">#REF!</definedName>
    <definedName name="Pagos_Ant_Cofinavit_C" localSheetId="2">#REF!</definedName>
    <definedName name="Pagos_Ant_Cofinavit_C" localSheetId="1">#REF!</definedName>
    <definedName name="Pagos_Ant_Cofinavit_C">#REF!</definedName>
    <definedName name="Pagos_Ant_D" localSheetId="2">#REF!</definedName>
    <definedName name="Pagos_Ant_D" localSheetId="1">#REF!</definedName>
    <definedName name="Pagos_Ant_D">#REF!</definedName>
    <definedName name="Pagos_Ant_Fovissste_A" localSheetId="2">#REF!</definedName>
    <definedName name="Pagos_Ant_Fovissste_A" localSheetId="1">#REF!</definedName>
    <definedName name="Pagos_Ant_Fovissste_A">#REF!</definedName>
    <definedName name="Pagos_Ant_Fovissste_B" localSheetId="2">#REF!</definedName>
    <definedName name="Pagos_Ant_Fovissste_B" localSheetId="1">#REF!</definedName>
    <definedName name="Pagos_Ant_Fovissste_B">#REF!</definedName>
    <definedName name="Pagos_Ant_Fovissste_C" localSheetId="2">#REF!</definedName>
    <definedName name="Pagos_Ant_Fovissste_C" localSheetId="1">#REF!</definedName>
    <definedName name="Pagos_Ant_Fovissste_C">#REF!</definedName>
    <definedName name="Pagos_Ant_LiquidezyTerreno" localSheetId="2">#REF!</definedName>
    <definedName name="Pagos_Ant_LiquidezyTerreno" localSheetId="1">#REF!</definedName>
    <definedName name="Pagos_Ant_LiquidezyTerreno">#REF!</definedName>
    <definedName name="Pagos_Ant_Tradicional_A" localSheetId="2">#REF!</definedName>
    <definedName name="Pagos_Ant_Tradicional_A" localSheetId="1">#REF!</definedName>
    <definedName name="Pagos_Ant_Tradicional_A">#REF!</definedName>
    <definedName name="Pagos_Ant_Tradicional_B" localSheetId="2">#REF!</definedName>
    <definedName name="Pagos_Ant_Tradicional_B" localSheetId="1">#REF!</definedName>
    <definedName name="Pagos_Ant_Tradicional_B">#REF!</definedName>
    <definedName name="Pagos_Ant_Tradicional_C" localSheetId="2">#REF!</definedName>
    <definedName name="Pagos_Ant_Tradicional_C" localSheetId="1">#REF!</definedName>
    <definedName name="Pagos_Ant_Tradicional_C">#REF!</definedName>
    <definedName name="Param_Crédito_Cónyuge_Cofinavit" localSheetId="2">#REF!</definedName>
    <definedName name="Param_Crédito_Cónyuge_Cofinavit" localSheetId="1">#REF!</definedName>
    <definedName name="Param_Crédito_Cónyuge_Cofinavit">#REF!</definedName>
    <definedName name="Param_Crédito_Cónyuge_Cofinavit_IA" localSheetId="2">#REF!</definedName>
    <definedName name="Param_Crédito_Cónyuge_Cofinavit_IA" localSheetId="1">#REF!</definedName>
    <definedName name="Param_Crédito_Cónyuge_Cofinavit_IA">#REF!</definedName>
    <definedName name="Param_Crédito_Fovissste" localSheetId="2">#REF!</definedName>
    <definedName name="Param_Crédito_Fovissste" localSheetId="1">#REF!</definedName>
    <definedName name="Param_Crédito_Fovissste">#REF!</definedName>
    <definedName name="Param_Crédito_Titular_Cofinavit" localSheetId="2">#REF!</definedName>
    <definedName name="Param_Crédito_Titular_Cofinavit" localSheetId="1">#REF!</definedName>
    <definedName name="Param_Crédito_Titular_Cofinavit">#REF!</definedName>
    <definedName name="Param_Crédito_Titular_Cofinavit_IA" localSheetId="2">#REF!</definedName>
    <definedName name="Param_Crédito_Titular_Cofinavit_IA" localSheetId="1">#REF!</definedName>
    <definedName name="Param_Crédito_Titular_Cofinavit_IA">#REF!</definedName>
    <definedName name="Param_Ingreso_Mínimo_Especial_Apoyo" localSheetId="2">#REF!</definedName>
    <definedName name="Param_Ingreso_Mínimo_Especial_Apoyo" localSheetId="1">#REF!</definedName>
    <definedName name="Param_Ingreso_Mínimo_Especial_Apoyo">#REF!</definedName>
    <definedName name="Param_Ingreso_Mínimo_General" localSheetId="2">#REF!</definedName>
    <definedName name="Param_Ingreso_Mínimo_General" localSheetId="1">#REF!</definedName>
    <definedName name="Param_Ingreso_Mínimo_General">#REF!</definedName>
    <definedName name="Param_Tope_Aportación_Apoyo" localSheetId="2">#REF!</definedName>
    <definedName name="Param_Tope_Aportación_Apoyo" localSheetId="1">#REF!</definedName>
    <definedName name="Param_Tope_Aportación_Apoyo">#REF!</definedName>
    <definedName name="Periodo" localSheetId="2">#REF!</definedName>
    <definedName name="Periodo" localSheetId="1">#REF!</definedName>
    <definedName name="Periodo">#REF!</definedName>
    <definedName name="Plazo_Crédito" localSheetId="2">#REF!</definedName>
    <definedName name="Plazo_Crédito" localSheetId="1">#REF!</definedName>
    <definedName name="Plazo_Crédito">#REF!</definedName>
    <definedName name="Plazo_Crédito_en_años" localSheetId="2">#REF!</definedName>
    <definedName name="Plazo_Crédito_en_años" localSheetId="1">#REF!</definedName>
    <definedName name="Plazo_Crédito_en_años">#REF!</definedName>
    <definedName name="Plazo_Etiqueta_Notaría" localSheetId="2">#REF!</definedName>
    <definedName name="Plazo_Etiqueta_Notaría" localSheetId="1">#REF!</definedName>
    <definedName name="Plazo_Etiqueta_Notaría">#REF!</definedName>
    <definedName name="Plazo_Máximo" localSheetId="2">#REF!</definedName>
    <definedName name="Plazo_Máximo" localSheetId="1">#REF!</definedName>
    <definedName name="Plazo_Máximo">#REF!</definedName>
    <definedName name="Plazo_Máximo_AG" localSheetId="2">#REF!</definedName>
    <definedName name="Plazo_Máximo_AG" localSheetId="1">#REF!</definedName>
    <definedName name="Plazo_Máximo_AG">#REF!</definedName>
    <definedName name="Plazo_Ministraciones_Layout" localSheetId="2">#REF!</definedName>
    <definedName name="Plazo_Ministraciones_Layout" localSheetId="1">#REF!</definedName>
    <definedName name="Plazo_Ministraciones_Layout">#REF!</definedName>
    <definedName name="Plazo_por_Combo" localSheetId="2">#REF!</definedName>
    <definedName name="Plazo_por_Combo" localSheetId="1">#REF!</definedName>
    <definedName name="Plazo_por_Combo">#REF!</definedName>
    <definedName name="Plazos_Disponibles" localSheetId="2">#REF!</definedName>
    <definedName name="Plazos_Disponibles" localSheetId="1">#REF!</definedName>
    <definedName name="Plazos_Disponibles">#REF!</definedName>
    <definedName name="Por_avalúo" localSheetId="2">#REF!</definedName>
    <definedName name="Por_avalúo" localSheetId="1">#REF!</definedName>
    <definedName name="Por_avalúo">#REF!</definedName>
    <definedName name="Por_crédito" localSheetId="2">#REF!</definedName>
    <definedName name="Por_crédito" localSheetId="1">#REF!</definedName>
    <definedName name="Por_crédito">#REF!</definedName>
    <definedName name="Por_ingreso_mensual" localSheetId="2">#REF!</definedName>
    <definedName name="Por_ingreso_mensual" localSheetId="1">#REF!</definedName>
    <definedName name="Por_ingreso_mensual">#REF!</definedName>
    <definedName name="Por_pago_mensual" localSheetId="2">#REF!</definedName>
    <definedName name="Por_pago_mensual" localSheetId="1">#REF!</definedName>
    <definedName name="Por_pago_mensual">#REF!</definedName>
    <definedName name="Porcentaje_Aportación_Patronal" localSheetId="2">#REF!</definedName>
    <definedName name="Porcentaje_Aportación_Patronal" localSheetId="1">#REF!</definedName>
    <definedName name="Porcentaje_Aportación_Patronal">#REF!</definedName>
    <definedName name="Porcentaje_Comisión_Apertura" localSheetId="2">#REF!</definedName>
    <definedName name="Porcentaje_Comisión_Apertura" localSheetId="1">#REF!</definedName>
    <definedName name="Porcentaje_Comisión_Apertura">#REF!</definedName>
    <definedName name="Porcentaje_Comisión_Avalúo" localSheetId="2">#REF!</definedName>
    <definedName name="Porcentaje_Comisión_Avalúo" localSheetId="1">#REF!</definedName>
    <definedName name="Porcentaje_Comisión_Avalúo">#REF!</definedName>
    <definedName name="Porcentaje_Crédito_sin_Com" localSheetId="2">#REF!</definedName>
    <definedName name="Porcentaje_Crédito_sin_Com" localSheetId="1">#REF!</definedName>
    <definedName name="Porcentaje_Crédito_sin_Com">#REF!</definedName>
    <definedName name="Porcentaje_de_Crédito_Cónyuge" localSheetId="2">#REF!</definedName>
    <definedName name="Porcentaje_de_Crédito_Cónyuge" localSheetId="1">#REF!</definedName>
    <definedName name="Porcentaje_de_Crédito_Cónyuge">#REF!</definedName>
    <definedName name="Porcentaje_del_avalúo_para_MID" localSheetId="2">#REF!</definedName>
    <definedName name="Porcentaje_del_avalúo_para_MID" localSheetId="1">#REF!</definedName>
    <definedName name="Porcentaje_del_avalúo_para_MID">#REF!</definedName>
    <definedName name="Porcentaje_Devolución" localSheetId="2">#REF!</definedName>
    <definedName name="Porcentaje_Devolución" localSheetId="1">#REF!</definedName>
    <definedName name="Porcentaje_Devolución">#REF!</definedName>
    <definedName name="Porcentaje_Enganche_Req" localSheetId="2">#REF!</definedName>
    <definedName name="Porcentaje_Enganche_Req" localSheetId="1">#REF!</definedName>
    <definedName name="Porcentaje_Enganche_Req">#REF!</definedName>
    <definedName name="Porcentaje_Gastos_Infonavit" localSheetId="2">#REF!</definedName>
    <definedName name="Porcentaje_Gastos_Infonavit" localSheetId="1">#REF!</definedName>
    <definedName name="Porcentaje_Gastos_Infonavit">#REF!</definedName>
    <definedName name="PRODUCTO" localSheetId="2">#REF!</definedName>
    <definedName name="PRODUCTO" localSheetId="1">#REF!</definedName>
    <definedName name="PRODUCTO">#REF!</definedName>
    <definedName name="Producto.Multitasa?_VBA" localSheetId="2">#REF!</definedName>
    <definedName name="Producto.Multitasa?_VBA" localSheetId="1">#REF!</definedName>
    <definedName name="Producto.Multitasa?_VBA">#REF!</definedName>
    <definedName name="Producto.Nombre" localSheetId="2">#REF!</definedName>
    <definedName name="Producto.Nombre" localSheetId="1">#REF!</definedName>
    <definedName name="Producto.Nombre">#REF!</definedName>
    <definedName name="Producto.Pagos_Crecientes?" localSheetId="2">#REF!</definedName>
    <definedName name="Producto.Pagos_Crecientes?" localSheetId="1">#REF!</definedName>
    <definedName name="Producto.Pagos_Crecientes?">#REF!</definedName>
    <definedName name="Producto.Tasa_Final" localSheetId="2">#REF!</definedName>
    <definedName name="Producto.Tasa_Final" localSheetId="1">#REF!</definedName>
    <definedName name="Producto.Tasa_Final">#REF!</definedName>
    <definedName name="Producto.Tasa_Interés" localSheetId="2">#REF!</definedName>
    <definedName name="Producto.Tasa_Interés" localSheetId="1">#REF!</definedName>
    <definedName name="Producto.Tasa_Interés">#REF!</definedName>
    <definedName name="Recurso_faltante" localSheetId="2">#REF!</definedName>
    <definedName name="Recurso_faltante" localSheetId="1">#REF!</definedName>
    <definedName name="Recurso_faltante">#REF!</definedName>
    <definedName name="Recursos_para_Adquirir_la_Vivienda" localSheetId="2">#REF!</definedName>
    <definedName name="Recursos_para_Adquirir_la_Vivienda" localSheetId="1">#REF!</definedName>
    <definedName name="Recursos_para_Adquirir_la_Vivienda">#REF!</definedName>
    <definedName name="Recursos_para_cubrir_los_gastos_de_originación" localSheetId="2">#REF!</definedName>
    <definedName name="Recursos_para_cubrir_los_gastos_de_originación" localSheetId="1">#REF!</definedName>
    <definedName name="Recursos_para_cubrir_los_gastos_de_originación">#REF!</definedName>
    <definedName name="Reduce_Plazo" localSheetId="2">#REF!</definedName>
    <definedName name="Reduce_Plazo" localSheetId="1">#REF!</definedName>
    <definedName name="Reduce_Plazo">#REF!</definedName>
    <definedName name="Reduce_Plazo_y_Pago" localSheetId="2">#REF!</definedName>
    <definedName name="Reduce_Plazo_y_Pago" localSheetId="1">#REF!</definedName>
    <definedName name="Reduce_Plazo_y_Pago">#REF!</definedName>
    <definedName name="Relación_Ingreso_Pago" localSheetId="2">#REF!</definedName>
    <definedName name="Relación_Ingreso_Pago" localSheetId="1">#REF!</definedName>
    <definedName name="Relación_Ingreso_Pago">#REF!</definedName>
    <definedName name="Remodelación" localSheetId="2">#REF!</definedName>
    <definedName name="Remodelación" localSheetId="1">#REF!</definedName>
    <definedName name="Remodelación">#REF!</definedName>
    <definedName name="Respalda2" localSheetId="2">#REF!</definedName>
    <definedName name="Respalda2" localSheetId="1">#REF!</definedName>
    <definedName name="Respalda2">#REF!</definedName>
    <definedName name="Restante_Aportación_Adicional" localSheetId="2">#REF!</definedName>
    <definedName name="Restante_Aportación_Adicional" localSheetId="1">#REF!</definedName>
    <definedName name="Restante_Aportación_Adicional">#REF!</definedName>
    <definedName name="Restante_Aportación_Adicional2" localSheetId="2">#REF!</definedName>
    <definedName name="Restante_Aportación_Adicional2" localSheetId="1">#REF!</definedName>
    <definedName name="Restante_Aportación_Adicional2">#REF!</definedName>
    <definedName name="Restante_Aportación_Adicional3" localSheetId="2">#REF!</definedName>
    <definedName name="Restante_Aportación_Adicional3" localSheetId="1">#REF!</definedName>
    <definedName name="Restante_Aportación_Adicional3">#REF!</definedName>
    <definedName name="Resultado_Crédito_de_Institución" localSheetId="2">#REF!</definedName>
    <definedName name="Resultado_Crédito_de_Institución" localSheetId="1">#REF!</definedName>
    <definedName name="Resultado_Crédito_de_Institución">#REF!</definedName>
    <definedName name="Resultado_Monto_Remanente_Cony" localSheetId="2">#REF!</definedName>
    <definedName name="Resultado_Monto_Remanente_Cony" localSheetId="1">#REF!</definedName>
    <definedName name="Resultado_Monto_Remanente_Cony">#REF!</definedName>
    <definedName name="Resultado_Monto_Remanente_Tit" localSheetId="2">#REF!</definedName>
    <definedName name="Resultado_Monto_Remanente_Tit" localSheetId="1">#REF!</definedName>
    <definedName name="Resultado_Monto_Remanente_Tit">#REF!</definedName>
    <definedName name="Resultado_Monto_Remanente_Total" localSheetId="2">#REF!</definedName>
    <definedName name="Resultado_Monto_Remanente_Total" localSheetId="1">#REF!</definedName>
    <definedName name="Resultado_Monto_Remanente_Total">#REF!</definedName>
    <definedName name="Resultado_Saldo_Subcuenta" localSheetId="2">#REF!</definedName>
    <definedName name="Resultado_Saldo_Subcuenta" localSheetId="1">#REF!</definedName>
    <definedName name="Resultado_Saldo_Subcuenta">#REF!</definedName>
    <definedName name="RG_MomentosVida" localSheetId="2">#REF!</definedName>
    <definedName name="RG_MomentosVida" localSheetId="1">#REF!</definedName>
    <definedName name="RG_MomentosVida">#REF!</definedName>
    <definedName name="RG_SeguroDaños" localSheetId="2">#REF!</definedName>
    <definedName name="RG_SeguroDaños" localSheetId="1">#REF!</definedName>
    <definedName name="RG_SeguroDaños">#REF!</definedName>
    <definedName name="RG_SegurosBanorte" localSheetId="2">#REF!</definedName>
    <definedName name="RG_SegurosBanorte" localSheetId="1">#REF!</definedName>
    <definedName name="RG_SegurosBanorte">#REF!</definedName>
    <definedName name="RG_SeguroVida" localSheetId="2">#REF!</definedName>
    <definedName name="RG_SeguroVida" localSheetId="1">#REF!</definedName>
    <definedName name="RG_SeguroVida">#REF!</definedName>
    <definedName name="RG_ServicioAsistencia" localSheetId="2">#REF!</definedName>
    <definedName name="RG_ServicioAsistencia" localSheetId="1">#REF!</definedName>
    <definedName name="RG_ServicioAsistencia">#REF!</definedName>
    <definedName name="RG_TipoSeguroBanorte" localSheetId="2">#REF!</definedName>
    <definedName name="RG_TipoSeguroBanorte" localSheetId="1">#REF!</definedName>
    <definedName name="RG_TipoSeguroBanorte">#REF!</definedName>
    <definedName name="SA" localSheetId="2">#REF!</definedName>
    <definedName name="SA" localSheetId="1">#REF!</definedName>
    <definedName name="SA">#REF!</definedName>
    <definedName name="Salario_Mínimo" localSheetId="2">#REF!</definedName>
    <definedName name="Salario_Mínimo" localSheetId="1">#REF!</definedName>
    <definedName name="Salario_Mínimo">#REF!</definedName>
    <definedName name="Saldo_SAR_Cónyuge" localSheetId="2">#REF!</definedName>
    <definedName name="Saldo_SAR_Cónyuge" localSheetId="1">#REF!</definedName>
    <definedName name="Saldo_SAR_Cónyuge">#REF!</definedName>
    <definedName name="Saldo_SAR_Titular" localSheetId="2">#REF!</definedName>
    <definedName name="Saldo_SAR_Titular" localSheetId="1">#REF!</definedName>
    <definedName name="Saldo_SAR_Titular">#REF!</definedName>
    <definedName name="Salida_plazo_macro" localSheetId="2">#REF!</definedName>
    <definedName name="Salida_plazo_macro" localSheetId="1">#REF!</definedName>
    <definedName name="Salida_plazo_macro">#REF!</definedName>
    <definedName name="Seguro_Daños" localSheetId="2">#REF!</definedName>
    <definedName name="Seguro_Daños" localSheetId="1">#REF!</definedName>
    <definedName name="Seguro_Daños">#REF!</definedName>
    <definedName name="Seguro_Daños_CAT" localSheetId="2">#REF!</definedName>
    <definedName name="Seguro_Daños_CAT" localSheetId="1">#REF!</definedName>
    <definedName name="Seguro_Daños_CAT">#REF!</definedName>
    <definedName name="Seguro_Daños_CAT_Layout" localSheetId="2">#REF!</definedName>
    <definedName name="Seguro_Daños_CAT_Layout" localSheetId="1">#REF!</definedName>
    <definedName name="Seguro_Daños_CAT_Layout">#REF!</definedName>
    <definedName name="Seguro_Daños_Layout" localSheetId="2">#REF!</definedName>
    <definedName name="Seguro_Daños_Layout" localSheetId="1">#REF!</definedName>
    <definedName name="Seguro_Daños_Layout">#REF!</definedName>
    <definedName name="Seguro_Desempleo" localSheetId="2">#REF!</definedName>
    <definedName name="Seguro_Desempleo" localSheetId="1">#REF!</definedName>
    <definedName name="Seguro_Desempleo">#REF!</definedName>
    <definedName name="Seguro_Vida" localSheetId="2">#REF!</definedName>
    <definedName name="Seguro_Vida" localSheetId="1">#REF!</definedName>
    <definedName name="Seguro_Vida">#REF!</definedName>
    <definedName name="Seguro_Vida_Layout" localSheetId="2">#REF!</definedName>
    <definedName name="Seguro_Vida_Layout" localSheetId="1">#REF!</definedName>
    <definedName name="Seguro_Vida_Layout">#REF!</definedName>
    <definedName name="Sel_Desembolso_Inicial" localSheetId="2">#REF!</definedName>
    <definedName name="Sel_Desembolso_Inicial" localSheetId="1">#REF!</definedName>
    <definedName name="Sel_Desembolso_Inicial">#REF!</definedName>
    <definedName name="Sel_Destino_Anterior_Es_Terreno" localSheetId="2">#REF!</definedName>
    <definedName name="Sel_Destino_Anterior_Es_Terreno" localSheetId="1">#REF!</definedName>
    <definedName name="Sel_Destino_Anterior_Es_Terreno">#REF!</definedName>
    <definedName name="Sel_Donde_Cotiza" localSheetId="2">#REF!</definedName>
    <definedName name="Sel_Donde_Cotiza" localSheetId="1">#REF!</definedName>
    <definedName name="Sel_Donde_Cotiza">#REF!</definedName>
    <definedName name="Sel_IVA_en_Destino_Anterior" localSheetId="2">#REF!</definedName>
    <definedName name="Sel_IVA_en_Destino_Anterior" localSheetId="1">#REF!</definedName>
    <definedName name="Sel_IVA_en_Destino_Anterior">#REF!</definedName>
    <definedName name="Sel_Pago_Anticipado" localSheetId="2">#REF!</definedName>
    <definedName name="Sel_Pago_Anticipado" localSheetId="1">#REF!</definedName>
    <definedName name="Sel_Pago_Anticipado">#REF!</definedName>
    <definedName name="Sel_Tasa" localSheetId="2">#REF!</definedName>
    <definedName name="Sel_Tasa" localSheetId="1">#REF!</definedName>
    <definedName name="Sel_Tasa">#REF!</definedName>
    <definedName name="Selección_Combo_Plazo" localSheetId="2">#REF!</definedName>
    <definedName name="Selección_Combo_Plazo" localSheetId="1">#REF!</definedName>
    <definedName name="Selección_Combo_Plazo">#REF!</definedName>
    <definedName name="Selección_Por_Producto" localSheetId="2">#REF!</definedName>
    <definedName name="Selección_Por_Producto" localSheetId="1">#REF!</definedName>
    <definedName name="Selección_Por_Producto">#REF!</definedName>
    <definedName name="SelProducto" localSheetId="2">#REF!</definedName>
    <definedName name="SelProducto" localSheetId="1">#REF!</definedName>
    <definedName name="SelProducto">#REF!</definedName>
    <definedName name="Si" localSheetId="2">#REF!</definedName>
    <definedName name="Si" localSheetId="1">#REF!</definedName>
    <definedName name="Si">#REF!</definedName>
    <definedName name="SinSeguro" localSheetId="2">#REF!</definedName>
    <definedName name="SinSeguro" localSheetId="1">#REF!</definedName>
    <definedName name="SinSeguro">#REF!</definedName>
    <definedName name="SSV" localSheetId="2">#REF!</definedName>
    <definedName name="SSV" localSheetId="1">#REF!</definedName>
    <definedName name="SSV">#REF!</definedName>
    <definedName name="SSV_Cónyuge" localSheetId="2">#REF!</definedName>
    <definedName name="SSV_Cónyuge" localSheetId="1">#REF!</definedName>
    <definedName name="SSV_Cónyuge">#REF!</definedName>
    <definedName name="SSV_Titular" localSheetId="2">#REF!</definedName>
    <definedName name="SSV_Titular" localSheetId="1">#REF!</definedName>
    <definedName name="SSV_Titular">#REF!</definedName>
    <definedName name="Subrogación" localSheetId="2">#REF!</definedName>
    <definedName name="Subrogación" localSheetId="1">#REF!</definedName>
    <definedName name="Subrogación">#REF!</definedName>
    <definedName name="Suma_Gastos_Originación" localSheetId="2">#REF!</definedName>
    <definedName name="Suma_Gastos_Originación" localSheetId="1">#REF!</definedName>
    <definedName name="Suma_Gastos_Originación">#REF!</definedName>
    <definedName name="TablaCliente.Col.PagoMensual" localSheetId="2">#REF!</definedName>
    <definedName name="TablaCliente.Col.PagoMensual" localSheetId="1">#REF!</definedName>
    <definedName name="TablaCliente.Col.PagoMensual">#REF!</definedName>
    <definedName name="Tasa_año_4_a_7" localSheetId="2">#REF!</definedName>
    <definedName name="Tasa_año_4_a_7" localSheetId="1">#REF!</definedName>
    <definedName name="Tasa_año_4_a_7">#REF!</definedName>
    <definedName name="Tasa_año_7_en_adelante" localSheetId="2">#REF!</definedName>
    <definedName name="Tasa_año_7_en_adelante" localSheetId="1">#REF!</definedName>
    <definedName name="Tasa_año_7_en_adelante">#REF!</definedName>
    <definedName name="Tasa_Final" localSheetId="2">#REF!</definedName>
    <definedName name="Tasa_Final" localSheetId="1">#REF!</definedName>
    <definedName name="Tasa_Final">#REF!</definedName>
    <definedName name="Tasa_inicial" localSheetId="2">#REF!</definedName>
    <definedName name="Tasa_inicial" localSheetId="1">#REF!</definedName>
    <definedName name="Tasa_inicial">#REF!</definedName>
    <definedName name="Tasa_Inicial_Layout" localSheetId="2">#REF!</definedName>
    <definedName name="Tasa_Inicial_Layout" localSheetId="1">#REF!</definedName>
    <definedName name="Tasa_Inicial_Layout">#REF!</definedName>
    <definedName name="Tasa_Moratoria" localSheetId="2">'Oferta Vinculante'!$M$14</definedName>
    <definedName name="Tasas" localSheetId="2">#REF!</definedName>
    <definedName name="Tasas" localSheetId="1">#REF!</definedName>
    <definedName name="Tasas">#REF!</definedName>
    <definedName name="Tasas_Gémini" localSheetId="2">#REF!</definedName>
    <definedName name="Tasas_Gémini" localSheetId="1">#REF!</definedName>
    <definedName name="Tasas_Gémini">#REF!</definedName>
    <definedName name="Terreno" localSheetId="2">#REF!</definedName>
    <definedName name="Terreno" localSheetId="1">#REF!</definedName>
    <definedName name="Terreno">#REF!</definedName>
    <definedName name="Terreno_Urbanizado" localSheetId="2">#REF!</definedName>
    <definedName name="Terreno_Urbanizado" localSheetId="1">#REF!</definedName>
    <definedName name="Terreno_Urbanizado">#REF!</definedName>
    <definedName name="Texto_Esquema" localSheetId="2">#REF!</definedName>
    <definedName name="Texto_Esquema" localSheetId="1">#REF!</definedName>
    <definedName name="Texto_Esquema">#REF!</definedName>
    <definedName name="Tipo_Crédito_Banorte" localSheetId="2">#REF!</definedName>
    <definedName name="Tipo_Crédito_Banorte" localSheetId="1">#REF!</definedName>
    <definedName name="Tipo_Crédito_Banorte">#REF!</definedName>
    <definedName name="Tipo_Crédito_COF_o_FOV" localSheetId="2">#REF!</definedName>
    <definedName name="Tipo_Crédito_COF_o_FOV" localSheetId="1">#REF!</definedName>
    <definedName name="Tipo_Crédito_COF_o_FOV">#REF!</definedName>
    <definedName name="Tipo_Seguro_VBA" localSheetId="2">#REF!</definedName>
    <definedName name="Tipo_Seguro_VBA" localSheetId="1">#REF!</definedName>
    <definedName name="Tipo_Seguro_VBA">#REF!</definedName>
    <definedName name="Tipo_simulación" localSheetId="2">#REF!</definedName>
    <definedName name="Tipo_simulación" localSheetId="1">#REF!</definedName>
    <definedName name="Tipo_simulación">#REF!</definedName>
    <definedName name="Título_Avalúo_Cotización" localSheetId="2">#REF!</definedName>
    <definedName name="Título_Avalúo_Cotización" localSheetId="1">#REF!</definedName>
    <definedName name="Título_Avalúo_Cotización">#REF!</definedName>
    <definedName name="Título_Avalúo_Largo" localSheetId="2">#REF!</definedName>
    <definedName name="Título_Avalúo_Largo" localSheetId="1">#REF!</definedName>
    <definedName name="Título_Avalúo_Largo">#REF!</definedName>
    <definedName name="Título_Avalúo_Oferta_Vinculante" localSheetId="2">#REF!</definedName>
    <definedName name="Título_Avalúo_Oferta_Vinculante" localSheetId="1">#REF!</definedName>
    <definedName name="Título_Avalúo_Oferta_Vinculante">#REF!</definedName>
    <definedName name="Título_Comisión_por_Apertura_1" localSheetId="2">#REF!</definedName>
    <definedName name="Título_Comisión_por_Apertura_1" localSheetId="1">#REF!</definedName>
    <definedName name="Título_Comisión_por_Apertura_1">#REF!</definedName>
    <definedName name="Título_Comisión_por_Apertura_2" localSheetId="2">#REF!</definedName>
    <definedName name="Título_Comisión_por_Apertura_2" localSheetId="1">#REF!</definedName>
    <definedName name="Título_Comisión_por_Apertura_2">#REF!</definedName>
    <definedName name="Título_Comisión_por_Apertura_3" localSheetId="2">#REF!</definedName>
    <definedName name="Título_Comisión_por_Apertura_3" localSheetId="1">#REF!</definedName>
    <definedName name="Título_Comisión_por_Apertura_3">#REF!</definedName>
    <definedName name="Título_Comisión_por_Apertura_General" localSheetId="2">#REF!</definedName>
    <definedName name="Título_Comisión_por_Apertura_General" localSheetId="1">#REF!</definedName>
    <definedName name="Título_Comisión_por_Apertura_General">#REF!</definedName>
    <definedName name="Título_Investigación_Corta_Cotización" localSheetId="2">#REF!</definedName>
    <definedName name="Título_Investigación_Corta_Cotización" localSheetId="1">#REF!</definedName>
    <definedName name="Título_Investigación_Corta_Cotización">#REF!</definedName>
    <definedName name="Título_Investigación_Larga_Cotización" localSheetId="2">#REF!</definedName>
    <definedName name="Título_Investigación_Larga_Cotización" localSheetId="1">#REF!</definedName>
    <definedName name="Título_Investigación_Larga_Cotización">#REF!</definedName>
    <definedName name="_xlnm.Print_Titles" localSheetId="0">Carátula!$1:$43</definedName>
    <definedName name="_xlnm.Print_Titles" localSheetId="1">'Tabla Notaría'!$1:$11</definedName>
    <definedName name="Tope_Aport_Adicional_Cofinavit" localSheetId="2">#REF!</definedName>
    <definedName name="Tope_Aport_Adicional_Cofinavit" localSheetId="1">#REF!</definedName>
    <definedName name="Tope_Aport_Adicional_Cofinavit">#REF!</definedName>
    <definedName name="Tope_Aport_Adicional_Fovissste" localSheetId="2">#REF!</definedName>
    <definedName name="Tope_Aport_Adicional_Fovissste" localSheetId="1">#REF!</definedName>
    <definedName name="Tope_Aport_Adicional_Fovissste">#REF!</definedName>
    <definedName name="Tope_Aportación_Adicional" localSheetId="2">#REF!</definedName>
    <definedName name="Tope_Aportación_Adicional" localSheetId="1">#REF!</definedName>
    <definedName name="Tope_Aportación_Adicional">#REF!</definedName>
    <definedName name="Tope_Aportación_Adicional2" localSheetId="2">#REF!</definedName>
    <definedName name="Tope_Aportación_Adicional2" localSheetId="1">#REF!</definedName>
    <definedName name="Tope_Aportación_Adicional2">#REF!</definedName>
    <definedName name="Tope_Aportación_Patronal" localSheetId="2">#REF!</definedName>
    <definedName name="Tope_Aportación_Patronal" localSheetId="1">#REF!</definedName>
    <definedName name="Tope_Aportación_Patronal">#REF!</definedName>
    <definedName name="Tope_en_UDIS" localSheetId="2">#REF!</definedName>
    <definedName name="Tope_en_UDIS" localSheetId="1">#REF!</definedName>
    <definedName name="Tope_en_UDIS">#REF!</definedName>
    <definedName name="Tope_para_Comisión_Avalúo" localSheetId="2">#REF!</definedName>
    <definedName name="Tope_para_Comisión_Avalúo" localSheetId="1">#REF!</definedName>
    <definedName name="Tope_para_Comisión_Avalúo">#REF!</definedName>
    <definedName name="UDIS" localSheetId="2">#REF!</definedName>
    <definedName name="UDIS" localSheetId="1">#REF!</definedName>
    <definedName name="UDIS">#REF!</definedName>
    <definedName name="UmbralRecursosExcedidosCofi" localSheetId="2">#REF!</definedName>
    <definedName name="UmbralRecursosExcedidosCofi" localSheetId="1">#REF!</definedName>
    <definedName name="UmbralRecursosExcedidosCofi">#REF!</definedName>
    <definedName name="Un_mdp" localSheetId="2">#REF!</definedName>
    <definedName name="Un_mdp" localSheetId="1">#REF!</definedName>
    <definedName name="Un_mdp">#REF!</definedName>
    <definedName name="VA" localSheetId="2">#REF!</definedName>
    <definedName name="VA" localSheetId="1">#REF!</definedName>
    <definedName name="VA">#REF!</definedName>
    <definedName name="VAA" localSheetId="2">#REF!</definedName>
    <definedName name="VAA" localSheetId="1">#REF!</definedName>
    <definedName name="VAA">#REF!</definedName>
    <definedName name="Valor_avalúo" localSheetId="2">#REF!</definedName>
    <definedName name="Valor_avalúo" localSheetId="1">#REF!</definedName>
    <definedName name="Valor_avalúo">#REF!</definedName>
    <definedName name="Valor_avalúo_con_incremento" localSheetId="2">#REF!</definedName>
    <definedName name="Valor_avalúo_con_incremento" localSheetId="1">#REF!</definedName>
    <definedName name="Valor_avalúo_con_incremento">#REF!</definedName>
    <definedName name="Valor_avalúo_con_incremento_directo" localSheetId="2">#REF!</definedName>
    <definedName name="Valor_avalúo_con_incremento_directo" localSheetId="1">#REF!</definedName>
    <definedName name="Valor_avalúo_con_incremento_directo">#REF!</definedName>
    <definedName name="Valor_avalúo_sin_incremento" localSheetId="2">#REF!</definedName>
    <definedName name="Valor_avalúo_sin_incremento" localSheetId="1">#REF!</definedName>
    <definedName name="Valor_avalúo_sin_incremento">#REF!</definedName>
    <definedName name="Valor_Máximo_vivienda" localSheetId="2">#REF!</definedName>
    <definedName name="Valor_Máximo_vivienda" localSheetId="1">#REF!</definedName>
    <definedName name="Valor_Máximo_vivienda">#REF!</definedName>
    <definedName name="Valor_mínimo_de_Crédito" localSheetId="2">#REF!</definedName>
    <definedName name="Valor_mínimo_de_Crédito" localSheetId="1">#REF!</definedName>
    <definedName name="Valor_mínimo_de_Crédito">#REF!</definedName>
    <definedName name="Valor_mínimo_Vivienda" localSheetId="2">#REF!</definedName>
    <definedName name="Valor_mínimo_Vivienda" localSheetId="1">#REF!</definedName>
    <definedName name="Valor_mínimo_Vivienda">#REF!</definedName>
    <definedName name="Valor_vivienda_Apoyo" localSheetId="2">#REF!</definedName>
    <definedName name="Valor_vivienda_Apoyo" localSheetId="1">#REF!</definedName>
    <definedName name="Valor_vivienda_Apoyo">#REF!</definedName>
    <definedName name="Valor_vivienda_Cofinavit" localSheetId="2">#REF!</definedName>
    <definedName name="Valor_vivienda_Cofinavit" localSheetId="1">#REF!</definedName>
    <definedName name="Valor_vivienda_Cofinavit">#REF!</definedName>
    <definedName name="Valor_vivienda_Fovissste" localSheetId="2">#REF!</definedName>
    <definedName name="Valor_vivienda_Fovissste" localSheetId="1">#REF!</definedName>
    <definedName name="Valor_vivienda_Fovissste">#REF!</definedName>
    <definedName name="Valor_vivienda_Tradicional" localSheetId="2">#REF!</definedName>
    <definedName name="Valor_vivienda_Tradicional" localSheetId="1">#REF!</definedName>
    <definedName name="Valor_vivienda_Tradicional">#REF!</definedName>
    <definedName name="Variante.Seguro" localSheetId="2">#REF!</definedName>
    <definedName name="Variante.Seguro" localSheetId="1">#REF!</definedName>
    <definedName name="Variante.Seguro">#REF!</definedName>
    <definedName name="Variante.Selección" localSheetId="2">#REF!</definedName>
    <definedName name="Variante.Selección" localSheetId="1">#REF!</definedName>
    <definedName name="Variante.Selección">#REF!</definedName>
    <definedName name="Variante.Tipo_Promo" localSheetId="2">#REF!</definedName>
    <definedName name="Variante.Tipo_Promo" localSheetId="1">#REF!</definedName>
    <definedName name="Variante.Tipo_Promo">#REF!</definedName>
    <definedName name="VDC_Avalúo" comment="Variable para el Despeje del Crédito" localSheetId="2">#REF!</definedName>
    <definedName name="VDC_Avalúo" comment="Variable para el Despeje del Crédito" localSheetId="1">#REF!</definedName>
    <definedName name="VDC_Avalúo" comment="Variable para el Despeje del Crédito">#REF!</definedName>
    <definedName name="VDC_Com_Ap" comment="Variable para el Despeje del Crédito" localSheetId="2">#REF!</definedName>
    <definedName name="VDC_Com_Ap" comment="Variable para el Despeje del Crédito" localSheetId="1">#REF!</definedName>
    <definedName name="VDC_Com_Ap" comment="Variable para el Despeje del Crédito">#REF!</definedName>
    <definedName name="VDC_Com_Av" comment="Variable para el Despeje del Crédito" localSheetId="2">#REF!</definedName>
    <definedName name="VDC_Com_Av" comment="Variable para el Despeje del Crédito" localSheetId="1">#REF!</definedName>
    <definedName name="VDC_Com_Av" comment="Variable para el Despeje del Crédito">#REF!</definedName>
    <definedName name="VDC_Com_Inv" comment="Variable para el Despeje del Crédito" localSheetId="2">#REF!</definedName>
    <definedName name="VDC_Com_Inv" comment="Variable para el Despeje del Crédito" localSheetId="1">#REF!</definedName>
    <definedName name="VDC_Com_Inv" comment="Variable para el Despeje del Crédito">#REF!</definedName>
    <definedName name="VDC_Crédito" comment="Variable para el Despeje del Crédito" localSheetId="2">#REF!</definedName>
    <definedName name="VDC_Crédito" comment="Variable para el Despeje del Crédito" localSheetId="1">#REF!</definedName>
    <definedName name="VDC_Crédito" comment="Variable para el Despeje del Crédito">#REF!</definedName>
    <definedName name="VDC_Gastos_Not" comment="Variable para el Despeje del Crédito" localSheetId="2">#REF!</definedName>
    <definedName name="VDC_Gastos_Not" comment="Variable para el Despeje del Crédito" localSheetId="1">#REF!</definedName>
    <definedName name="VDC_Gastos_Not" comment="Variable para el Despeje del Crédito">#REF!</definedName>
    <definedName name="VDC_i" comment="Variable para el Despeje del Crédito" localSheetId="2">#REF!</definedName>
    <definedName name="VDC_i" comment="Variable para el Despeje del Crédito" localSheetId="1">#REF!</definedName>
    <definedName name="VDC_i" comment="Variable para el Despeje del Crédito">#REF!</definedName>
    <definedName name="VDC_n" comment="Variable para el Despeje del Crédito" localSheetId="2">#REF!</definedName>
    <definedName name="VDC_n" comment="Variable para el Despeje del Crédito" localSheetId="1">#REF!</definedName>
    <definedName name="VDC_n" comment="Variable para el Despeje del Crédito">#REF!</definedName>
    <definedName name="VDP_Avalúo" comment="Variable para Despeje del Pago" localSheetId="2">#REF!</definedName>
    <definedName name="VDP_Avalúo" comment="Variable para Despeje del Pago" localSheetId="1">#REF!</definedName>
    <definedName name="VDP_Avalúo" comment="Variable para Despeje del Pago">#REF!</definedName>
    <definedName name="VDP_Com_Ap" comment="Variable para Despeje del Pago" localSheetId="2">#REF!</definedName>
    <definedName name="VDP_Com_Ap" comment="Variable para Despeje del Pago" localSheetId="1">#REF!</definedName>
    <definedName name="VDP_Com_Ap" comment="Variable para Despeje del Pago">#REF!</definedName>
    <definedName name="VDP_Com_Av" comment="Variable para Despeje del Pago" localSheetId="2">#REF!</definedName>
    <definedName name="VDP_Com_Av" comment="Variable para Despeje del Pago" localSheetId="1">#REF!</definedName>
    <definedName name="VDP_Com_Av" comment="Variable para Despeje del Pago">#REF!</definedName>
    <definedName name="VDP_Com_Inv" comment="Variable para Despeje del Pago" localSheetId="2">#REF!</definedName>
    <definedName name="VDP_Com_Inv" comment="Variable para Despeje del Pago" localSheetId="1">#REF!</definedName>
    <definedName name="VDP_Com_Inv" comment="Variable para Despeje del Pago">#REF!</definedName>
    <definedName name="VDP_Crédito" comment="Variable para Despeje del Pago" localSheetId="2">#REF!</definedName>
    <definedName name="VDP_Crédito" comment="Variable para Despeje del Pago" localSheetId="1">#REF!</definedName>
    <definedName name="VDP_Crédito" comment="Variable para Despeje del Pago">#REF!</definedName>
    <definedName name="VDP_Gastos_Not" comment="Variable para Despeje del Pago" localSheetId="2">#REF!</definedName>
    <definedName name="VDP_Gastos_Not" comment="Variable para Despeje del Pago" localSheetId="1">#REF!</definedName>
    <definedName name="VDP_Gastos_Not" comment="Variable para Despeje del Pago">#REF!</definedName>
    <definedName name="VDP_i" comment="Variable para Despeje del Pago" localSheetId="2">#REF!</definedName>
    <definedName name="VDP_i" comment="Variable para Despeje del Pago" localSheetId="1">#REF!</definedName>
    <definedName name="VDP_i" comment="Variable para Despeje del Pago">#REF!</definedName>
    <definedName name="VDP_n" comment="Variable para Despeje del Pago" localSheetId="2">#REF!</definedName>
    <definedName name="VDP_n" comment="Variable para Despeje del Pago" localSheetId="1">#REF!</definedName>
    <definedName name="VDP_n" comment="Variable para Despeje del Pago">#REF!</definedName>
    <definedName name="VSM_para_Crédito_FOVISSSTE" localSheetId="2">#REF!</definedName>
    <definedName name="VSM_para_Crédito_FOVISSSTE" localSheetId="1">#REF!</definedName>
    <definedName name="VSM_para_Crédito_FOVISSSTE">#REF!</definedName>
    <definedName name="VSM_para_crédito_INFONAVIT_Cónyuge" localSheetId="2">#REF!</definedName>
    <definedName name="VSM_para_crédito_INFONAVIT_Cónyuge" localSheetId="1">#REF!</definedName>
    <definedName name="VSM_para_crédito_INFONAVIT_Cónyuge">#REF!</definedName>
    <definedName name="VSM_para_crédito_INFONAVIT_Titular" localSheetId="2">#REF!</definedName>
    <definedName name="VSM_para_crédito_INFONAVIT_Titular" localSheetId="1">#REF!</definedName>
    <definedName name="VSM_para_crédito_INFONAVIT_Titular">#REF!</definedName>
    <definedName name="VSM_para_Ingreso" localSheetId="2">#REF!</definedName>
    <definedName name="VSM_para_Ingreso" localSheetId="1">#REF!</definedName>
    <definedName name="VSM_para_Ingreso">#REF!</definedName>
    <definedName name="VSM_para_SSV" localSheetId="2">#REF!</definedName>
    <definedName name="VSM_para_SSV" localSheetId="1">#REF!</definedName>
    <definedName name="VSM_para_SSV">#REF!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8" l="1"/>
  <c r="I6" i="6"/>
  <c r="L27" i="1" s="1"/>
  <c r="F17" i="1"/>
  <c r="I43" i="1" l="1"/>
  <c r="K10" i="2"/>
  <c r="J13" i="2" s="1"/>
  <c r="B39" i="11"/>
  <c r="B26" i="11"/>
  <c r="B27" i="11" s="1"/>
  <c r="B21" i="11"/>
  <c r="B17" i="11"/>
  <c r="B16" i="11"/>
  <c r="D168" i="11"/>
  <c r="D129" i="11"/>
  <c r="A122" i="11"/>
  <c r="I121" i="11"/>
  <c r="A72" i="11"/>
  <c r="A57" i="11"/>
  <c r="A52" i="11"/>
  <c r="B52" i="11" s="1"/>
  <c r="E48" i="11"/>
  <c r="A48" i="11"/>
  <c r="K46" i="11"/>
  <c r="E46" i="11"/>
  <c r="A46" i="11"/>
  <c r="A45" i="11"/>
  <c r="D43" i="11"/>
  <c r="D42" i="11"/>
  <c r="D41" i="11"/>
  <c r="E39" i="11"/>
  <c r="D39" i="11"/>
  <c r="D38" i="11"/>
  <c r="A36" i="11"/>
  <c r="D33" i="11"/>
  <c r="M31" i="11"/>
  <c r="D32" i="11" s="1"/>
  <c r="D31" i="11"/>
  <c r="K29" i="11"/>
  <c r="K26" i="11"/>
  <c r="B38" i="11" s="1"/>
  <c r="I24" i="11"/>
  <c r="A24" i="11"/>
  <c r="J17" i="11"/>
  <c r="H18" i="11" s="1"/>
  <c r="H16" i="11" s="1"/>
  <c r="H17" i="11"/>
  <c r="K1" i="2" l="1"/>
  <c r="N10" i="2" s="1"/>
  <c r="R12" i="2"/>
  <c r="H28" i="1"/>
  <c r="H27" i="1"/>
  <c r="H26" i="1"/>
  <c r="H25" i="1"/>
  <c r="C8" i="10"/>
  <c r="B37" i="1"/>
  <c r="N17" i="2"/>
  <c r="N17" i="1"/>
  <c r="N15" i="1"/>
  <c r="B22" i="11" s="1"/>
  <c r="L27" i="2"/>
  <c r="L25" i="2"/>
  <c r="L23" i="2"/>
  <c r="N23" i="2" s="1"/>
  <c r="E3" i="11"/>
  <c r="E129" i="11" s="1"/>
  <c r="E168" i="11" s="1"/>
  <c r="L17" i="2"/>
  <c r="L16" i="2"/>
  <c r="N16" i="2"/>
  <c r="M17" i="2"/>
  <c r="M16" i="2"/>
  <c r="G1" i="5"/>
  <c r="L28" i="1" s="1"/>
  <c r="G2" i="8" l="1"/>
  <c r="H7" i="8" s="1"/>
  <c r="R4" i="2"/>
  <c r="F44" i="1"/>
  <c r="H3" i="7" s="1"/>
  <c r="M24" i="2"/>
  <c r="N19" i="1"/>
  <c r="M21" i="1" s="1"/>
  <c r="M23" i="2"/>
  <c r="N24" i="2" s="1"/>
  <c r="I21" i="1" s="1"/>
  <c r="O17" i="2"/>
  <c r="O16" i="2"/>
  <c r="Q6" i="2"/>
  <c r="E1" i="5"/>
  <c r="N44" i="1"/>
  <c r="C4" i="10"/>
  <c r="C6" i="10"/>
  <c r="O4" i="8" l="1"/>
  <c r="B3" i="7"/>
  <c r="C7" i="10"/>
  <c r="B18" i="11"/>
  <c r="B3" i="8"/>
  <c r="K18" i="2"/>
  <c r="K15" i="2"/>
  <c r="B4" i="8"/>
  <c r="B2" i="8"/>
  <c r="H2" i="7"/>
  <c r="E2" i="7"/>
  <c r="D2" i="7"/>
  <c r="C2" i="7"/>
  <c r="J14" i="2" l="1"/>
  <c r="B6" i="6"/>
  <c r="H30" i="1"/>
  <c r="D29" i="5"/>
  <c r="D13" i="5"/>
  <c r="I5" i="6" l="1"/>
  <c r="C20" i="6"/>
  <c r="C19" i="6"/>
  <c r="L29" i="1"/>
  <c r="H46" i="11" s="1"/>
  <c r="E47" i="11" s="1"/>
  <c r="L32" i="1" l="1"/>
  <c r="N6" i="2"/>
  <c r="D12" i="4" l="1"/>
  <c r="D13" i="4" s="1"/>
  <c r="D14" i="4" s="1"/>
  <c r="D15" i="4" s="1"/>
  <c r="D16" i="4" s="1"/>
  <c r="E44" i="1"/>
  <c r="H31" i="1"/>
  <c r="R1" i="2" s="1"/>
  <c r="H29" i="1"/>
  <c r="B2" i="4"/>
  <c r="B1" i="8" l="1"/>
  <c r="A8" i="8" s="1"/>
  <c r="H8" i="8" s="1"/>
  <c r="B29" i="11"/>
  <c r="L44" i="1"/>
  <c r="B40" i="11" s="1"/>
  <c r="O2" i="8"/>
  <c r="O5" i="8" s="1"/>
  <c r="B45" i="1"/>
  <c r="H1" i="7"/>
  <c r="D3" i="7" s="1"/>
  <c r="H1" i="4"/>
  <c r="L44" i="4" s="1"/>
  <c r="D10" i="4"/>
  <c r="A9" i="8" l="1"/>
  <c r="H9" i="8" s="1"/>
  <c r="B13" i="10"/>
  <c r="K45" i="1"/>
  <c r="N45" i="1"/>
  <c r="C3" i="7"/>
  <c r="A10" i="8"/>
  <c r="H10" i="8" s="1"/>
  <c r="E45" i="1"/>
  <c r="K341" i="4"/>
  <c r="A4" i="7"/>
  <c r="B46" i="1"/>
  <c r="Q44" i="1"/>
  <c r="L257" i="4"/>
  <c r="L154" i="4"/>
  <c r="K319" i="4"/>
  <c r="K252" i="4"/>
  <c r="L32" i="4"/>
  <c r="L101" i="4"/>
  <c r="L54" i="4"/>
  <c r="L13" i="4"/>
  <c r="L129" i="4"/>
  <c r="L282" i="4"/>
  <c r="L16" i="4"/>
  <c r="L229" i="4"/>
  <c r="K291" i="4"/>
  <c r="K332" i="4"/>
  <c r="L332" i="4"/>
  <c r="K266" i="4"/>
  <c r="L207" i="4"/>
  <c r="L304" i="4"/>
  <c r="L357" i="4"/>
  <c r="L79" i="4"/>
  <c r="K313" i="4"/>
  <c r="L26" i="4"/>
  <c r="L335" i="4"/>
  <c r="L264" i="4"/>
  <c r="L228" i="4"/>
  <c r="K245" i="4"/>
  <c r="L33" i="4"/>
  <c r="L161" i="4"/>
  <c r="L289" i="4"/>
  <c r="K298" i="4"/>
  <c r="L86" i="4"/>
  <c r="L214" i="4"/>
  <c r="L342" i="4"/>
  <c r="K351" i="4"/>
  <c r="L139" i="4"/>
  <c r="L267" i="4"/>
  <c r="K308" i="4"/>
  <c r="K272" i="4"/>
  <c r="L310" i="4"/>
  <c r="L235" i="4"/>
  <c r="L336" i="4"/>
  <c r="K270" i="4"/>
  <c r="K323" i="4"/>
  <c r="K288" i="4"/>
  <c r="L248" i="4"/>
  <c r="L212" i="4"/>
  <c r="K249" i="4"/>
  <c r="L37" i="4"/>
  <c r="L165" i="4"/>
  <c r="L293" i="4"/>
  <c r="K302" i="4"/>
  <c r="L90" i="4"/>
  <c r="L218" i="4"/>
  <c r="L346" i="4"/>
  <c r="K355" i="4"/>
  <c r="L143" i="4"/>
  <c r="L271" i="4"/>
  <c r="L288" i="4"/>
  <c r="L252" i="4"/>
  <c r="L8" i="4"/>
  <c r="L261" i="4"/>
  <c r="L314" i="4"/>
  <c r="K312" i="4"/>
  <c r="L136" i="4"/>
  <c r="L100" i="4"/>
  <c r="K277" i="4"/>
  <c r="L65" i="4"/>
  <c r="L193" i="4"/>
  <c r="L321" i="4"/>
  <c r="K330" i="4"/>
  <c r="L118" i="4"/>
  <c r="L246" i="4"/>
  <c r="K255" i="4"/>
  <c r="L43" i="4"/>
  <c r="L171" i="4"/>
  <c r="L299" i="4"/>
  <c r="L176" i="4"/>
  <c r="K345" i="4"/>
  <c r="L58" i="4"/>
  <c r="L239" i="4"/>
  <c r="L120" i="4"/>
  <c r="L84" i="4"/>
  <c r="K281" i="4"/>
  <c r="L69" i="4"/>
  <c r="L197" i="4"/>
  <c r="L325" i="4"/>
  <c r="K334" i="4"/>
  <c r="L122" i="4"/>
  <c r="L250" i="4"/>
  <c r="K259" i="4"/>
  <c r="L47" i="4"/>
  <c r="L175" i="4"/>
  <c r="L303" i="4"/>
  <c r="L160" i="4"/>
  <c r="L182" i="4"/>
  <c r="L107" i="4"/>
  <c r="L363" i="4"/>
  <c r="L11" i="4"/>
  <c r="L133" i="4"/>
  <c r="L186" i="4"/>
  <c r="L111" i="4"/>
  <c r="L20" i="4"/>
  <c r="L5" i="4"/>
  <c r="D45" i="1" s="1"/>
  <c r="K309" i="4"/>
  <c r="L97" i="4"/>
  <c r="L225" i="4"/>
  <c r="L353" i="4"/>
  <c r="K362" i="4"/>
  <c r="L150" i="4"/>
  <c r="L278" i="4"/>
  <c r="K287" i="4"/>
  <c r="L75" i="4"/>
  <c r="L203" i="4"/>
  <c r="L331" i="4"/>
  <c r="L48" i="4"/>
  <c r="L21" i="4"/>
  <c r="L140" i="4"/>
  <c r="L104" i="4"/>
  <c r="L308" i="4"/>
  <c r="K349" i="4"/>
  <c r="L169" i="4"/>
  <c r="L329" i="4"/>
  <c r="K338" i="4"/>
  <c r="L158" i="4"/>
  <c r="L286" i="4"/>
  <c r="K327" i="4"/>
  <c r="L51" i="4"/>
  <c r="L179" i="4"/>
  <c r="L275" i="4"/>
  <c r="L339" i="4"/>
  <c r="K256" i="4"/>
  <c r="L6" i="4"/>
  <c r="L216" i="4"/>
  <c r="L88" i="4"/>
  <c r="K320" i="4"/>
  <c r="K316" i="4"/>
  <c r="L180" i="4"/>
  <c r="L52" i="4"/>
  <c r="L312" i="4"/>
  <c r="L344" i="4"/>
  <c r="K257" i="4"/>
  <c r="K289" i="4"/>
  <c r="K321" i="4"/>
  <c r="K353" i="4"/>
  <c r="L45" i="4"/>
  <c r="L77" i="4"/>
  <c r="L109" i="4"/>
  <c r="L141" i="4"/>
  <c r="L173" i="4"/>
  <c r="L205" i="4"/>
  <c r="L237" i="4"/>
  <c r="L269" i="4"/>
  <c r="L301" i="4"/>
  <c r="L333" i="4"/>
  <c r="K246" i="4"/>
  <c r="K278" i="4"/>
  <c r="K310" i="4"/>
  <c r="K342" i="4"/>
  <c r="L34" i="4"/>
  <c r="L66" i="4"/>
  <c r="L98" i="4"/>
  <c r="L130" i="4"/>
  <c r="L162" i="4"/>
  <c r="L194" i="4"/>
  <c r="L226" i="4"/>
  <c r="L258" i="4"/>
  <c r="L290" i="4"/>
  <c r="L322" i="4"/>
  <c r="L354" i="4"/>
  <c r="K267" i="4"/>
  <c r="K299" i="4"/>
  <c r="K331" i="4"/>
  <c r="K363" i="4"/>
  <c r="L55" i="4"/>
  <c r="L87" i="4"/>
  <c r="L119" i="4"/>
  <c r="L151" i="4"/>
  <c r="L183" i="4"/>
  <c r="L215" i="4"/>
  <c r="L247" i="4"/>
  <c r="L279" i="4"/>
  <c r="L311" i="4"/>
  <c r="L343" i="4"/>
  <c r="K276" i="4"/>
  <c r="L256" i="4"/>
  <c r="L128" i="4"/>
  <c r="L18" i="4"/>
  <c r="L188" i="4"/>
  <c r="L156" i="4"/>
  <c r="K348" i="4"/>
  <c r="K253" i="4"/>
  <c r="L73" i="4"/>
  <c r="L233" i="4"/>
  <c r="K274" i="4"/>
  <c r="L94" i="4"/>
  <c r="L254" i="4"/>
  <c r="K295" i="4"/>
  <c r="L83" i="4"/>
  <c r="L243" i="4"/>
  <c r="L272" i="4"/>
  <c r="K360" i="4"/>
  <c r="K328" i="4"/>
  <c r="K356" i="4"/>
  <c r="L200" i="4"/>
  <c r="L72" i="4"/>
  <c r="K296" i="4"/>
  <c r="L292" i="4"/>
  <c r="L164" i="4"/>
  <c r="L36" i="4"/>
  <c r="L316" i="4"/>
  <c r="L348" i="4"/>
  <c r="K261" i="4"/>
  <c r="K293" i="4"/>
  <c r="K325" i="4"/>
  <c r="K357" i="4"/>
  <c r="L49" i="4"/>
  <c r="L81" i="4"/>
  <c r="L113" i="4"/>
  <c r="L145" i="4"/>
  <c r="L177" i="4"/>
  <c r="L209" i="4"/>
  <c r="L241" i="4"/>
  <c r="L273" i="4"/>
  <c r="L305" i="4"/>
  <c r="L337" i="4"/>
  <c r="K250" i="4"/>
  <c r="K282" i="4"/>
  <c r="K314" i="4"/>
  <c r="K346" i="4"/>
  <c r="L38" i="4"/>
  <c r="L70" i="4"/>
  <c r="L102" i="4"/>
  <c r="L134" i="4"/>
  <c r="L166" i="4"/>
  <c r="L198" i="4"/>
  <c r="L230" i="4"/>
  <c r="L262" i="4"/>
  <c r="L294" i="4"/>
  <c r="L326" i="4"/>
  <c r="L358" i="4"/>
  <c r="K271" i="4"/>
  <c r="K303" i="4"/>
  <c r="K335" i="4"/>
  <c r="L27" i="4"/>
  <c r="L59" i="4"/>
  <c r="L91" i="4"/>
  <c r="L123" i="4"/>
  <c r="L155" i="4"/>
  <c r="L187" i="4"/>
  <c r="L219" i="4"/>
  <c r="L251" i="4"/>
  <c r="L283" i="4"/>
  <c r="L315" i="4"/>
  <c r="L347" i="4"/>
  <c r="K260" i="4"/>
  <c r="L240" i="4"/>
  <c r="L112" i="4"/>
  <c r="L12" i="4"/>
  <c r="L300" i="4"/>
  <c r="L204" i="4"/>
  <c r="K352" i="4"/>
  <c r="L340" i="4"/>
  <c r="L41" i="4"/>
  <c r="L201" i="4"/>
  <c r="L361" i="4"/>
  <c r="L62" i="4"/>
  <c r="L222" i="4"/>
  <c r="L318" i="4"/>
  <c r="K359" i="4"/>
  <c r="L147" i="4"/>
  <c r="L211" i="4"/>
  <c r="L307" i="4"/>
  <c r="L144" i="4"/>
  <c r="K300" i="4"/>
  <c r="K324" i="4"/>
  <c r="L184" i="4"/>
  <c r="L56" i="4"/>
  <c r="K280" i="4"/>
  <c r="L276" i="4"/>
  <c r="L148" i="4"/>
  <c r="L23" i="4"/>
  <c r="L320" i="4"/>
  <c r="L352" i="4"/>
  <c r="K265" i="4"/>
  <c r="K297" i="4"/>
  <c r="K329" i="4"/>
  <c r="K361" i="4"/>
  <c r="L53" i="4"/>
  <c r="L85" i="4"/>
  <c r="L117" i="4"/>
  <c r="L149" i="4"/>
  <c r="L181" i="4"/>
  <c r="L213" i="4"/>
  <c r="L245" i="4"/>
  <c r="L277" i="4"/>
  <c r="L309" i="4"/>
  <c r="L341" i="4"/>
  <c r="K254" i="4"/>
  <c r="K286" i="4"/>
  <c r="K318" i="4"/>
  <c r="K350" i="4"/>
  <c r="L42" i="4"/>
  <c r="L74" i="4"/>
  <c r="L106" i="4"/>
  <c r="L138" i="4"/>
  <c r="L170" i="4"/>
  <c r="L202" i="4"/>
  <c r="L234" i="4"/>
  <c r="L266" i="4"/>
  <c r="L298" i="4"/>
  <c r="L330" i="4"/>
  <c r="L362" i="4"/>
  <c r="K275" i="4"/>
  <c r="K307" i="4"/>
  <c r="K339" i="4"/>
  <c r="L31" i="4"/>
  <c r="L63" i="4"/>
  <c r="L95" i="4"/>
  <c r="L127" i="4"/>
  <c r="L159" i="4"/>
  <c r="L191" i="4"/>
  <c r="L223" i="4"/>
  <c r="L255" i="4"/>
  <c r="L287" i="4"/>
  <c r="L319" i="4"/>
  <c r="L351" i="4"/>
  <c r="K244" i="4"/>
  <c r="L224" i="4"/>
  <c r="L96" i="4"/>
  <c r="L172" i="4"/>
  <c r="L108" i="4"/>
  <c r="L14" i="4"/>
  <c r="L9" i="4"/>
  <c r="L196" i="4"/>
  <c r="K285" i="4"/>
  <c r="L137" i="4"/>
  <c r="L297" i="4"/>
  <c r="L30" i="4"/>
  <c r="L190" i="4"/>
  <c r="K263" i="4"/>
  <c r="L115" i="4"/>
  <c r="K292" i="4"/>
  <c r="K284" i="4"/>
  <c r="L296" i="4"/>
  <c r="L168" i="4"/>
  <c r="L40" i="4"/>
  <c r="K264" i="4"/>
  <c r="L260" i="4"/>
  <c r="L132" i="4"/>
  <c r="L19" i="4"/>
  <c r="L324" i="4"/>
  <c r="L356" i="4"/>
  <c r="K269" i="4"/>
  <c r="K301" i="4"/>
  <c r="K333" i="4"/>
  <c r="L25" i="4"/>
  <c r="L57" i="4"/>
  <c r="L89" i="4"/>
  <c r="L121" i="4"/>
  <c r="L153" i="4"/>
  <c r="L185" i="4"/>
  <c r="L217" i="4"/>
  <c r="L249" i="4"/>
  <c r="L281" i="4"/>
  <c r="L313" i="4"/>
  <c r="L345" i="4"/>
  <c r="K258" i="4"/>
  <c r="K290" i="4"/>
  <c r="K322" i="4"/>
  <c r="K354" i="4"/>
  <c r="L46" i="4"/>
  <c r="L78" i="4"/>
  <c r="L110" i="4"/>
  <c r="L142" i="4"/>
  <c r="L174" i="4"/>
  <c r="L206" i="4"/>
  <c r="L238" i="4"/>
  <c r="L270" i="4"/>
  <c r="L302" i="4"/>
  <c r="L334" i="4"/>
  <c r="K247" i="4"/>
  <c r="K279" i="4"/>
  <c r="K311" i="4"/>
  <c r="K343" i="4"/>
  <c r="L35" i="4"/>
  <c r="L67" i="4"/>
  <c r="L99" i="4"/>
  <c r="L131" i="4"/>
  <c r="L163" i="4"/>
  <c r="L195" i="4"/>
  <c r="L227" i="4"/>
  <c r="L259" i="4"/>
  <c r="L291" i="4"/>
  <c r="L323" i="4"/>
  <c r="L355" i="4"/>
  <c r="L15" i="4"/>
  <c r="L208" i="4"/>
  <c r="L80" i="4"/>
  <c r="K336" i="4"/>
  <c r="L284" i="4"/>
  <c r="L17" i="4"/>
  <c r="K344" i="4"/>
  <c r="L232" i="4"/>
  <c r="L68" i="4"/>
  <c r="K317" i="4"/>
  <c r="L105" i="4"/>
  <c r="L265" i="4"/>
  <c r="K306" i="4"/>
  <c r="L126" i="4"/>
  <c r="L350" i="4"/>
  <c r="L22" i="4"/>
  <c r="L28" i="4"/>
  <c r="K268" i="4"/>
  <c r="L280" i="4"/>
  <c r="L152" i="4"/>
  <c r="L24" i="4"/>
  <c r="K248" i="4"/>
  <c r="L244" i="4"/>
  <c r="L116" i="4"/>
  <c r="L10" i="4"/>
  <c r="L328" i="4"/>
  <c r="L360" i="4"/>
  <c r="K273" i="4"/>
  <c r="K305" i="4"/>
  <c r="K337" i="4"/>
  <c r="L29" i="4"/>
  <c r="L61" i="4"/>
  <c r="L93" i="4"/>
  <c r="L125" i="4"/>
  <c r="L157" i="4"/>
  <c r="L189" i="4"/>
  <c r="L221" i="4"/>
  <c r="L253" i="4"/>
  <c r="L285" i="4"/>
  <c r="L317" i="4"/>
  <c r="L349" i="4"/>
  <c r="K262" i="4"/>
  <c r="K294" i="4"/>
  <c r="K326" i="4"/>
  <c r="K358" i="4"/>
  <c r="L50" i="4"/>
  <c r="L82" i="4"/>
  <c r="L114" i="4"/>
  <c r="L146" i="4"/>
  <c r="L178" i="4"/>
  <c r="L210" i="4"/>
  <c r="L242" i="4"/>
  <c r="L274" i="4"/>
  <c r="L306" i="4"/>
  <c r="L338" i="4"/>
  <c r="K251" i="4"/>
  <c r="K283" i="4"/>
  <c r="K315" i="4"/>
  <c r="K347" i="4"/>
  <c r="L39" i="4"/>
  <c r="L71" i="4"/>
  <c r="L103" i="4"/>
  <c r="L135" i="4"/>
  <c r="L167" i="4"/>
  <c r="L199" i="4"/>
  <c r="L231" i="4"/>
  <c r="L263" i="4"/>
  <c r="L295" i="4"/>
  <c r="L327" i="4"/>
  <c r="L359" i="4"/>
  <c r="K340" i="4"/>
  <c r="L192" i="4"/>
  <c r="L64" i="4"/>
  <c r="K304" i="4"/>
  <c r="L268" i="4"/>
  <c r="L124" i="4"/>
  <c r="L220" i="4"/>
  <c r="L60" i="4"/>
  <c r="L236" i="4"/>
  <c r="L92" i="4"/>
  <c r="L76" i="4"/>
  <c r="L7" i="4"/>
  <c r="B14" i="10" l="1"/>
  <c r="K46" i="1"/>
  <c r="C4" i="7"/>
  <c r="D46" i="1"/>
  <c r="E46" i="1"/>
  <c r="N46" i="1"/>
  <c r="B47" i="1"/>
  <c r="E3" i="7"/>
  <c r="G44" i="1" s="1"/>
  <c r="P44" i="1" s="1"/>
  <c r="F45" i="1" s="1"/>
  <c r="L45" i="1" s="1"/>
  <c r="E8" i="8"/>
  <c r="E9" i="8"/>
  <c r="E7" i="8"/>
  <c r="B7" i="8"/>
  <c r="G7" i="8" s="1"/>
  <c r="J48" i="11" s="1"/>
  <c r="L48" i="11" s="1"/>
  <c r="B48" i="11" s="1"/>
  <c r="J6" i="8"/>
  <c r="B15" i="10"/>
  <c r="A11" i="8"/>
  <c r="H11" i="8" s="1"/>
  <c r="E10" i="8"/>
  <c r="A5" i="7"/>
  <c r="C5" i="7" l="1"/>
  <c r="D47" i="1"/>
  <c r="E47" i="1"/>
  <c r="K47" i="1"/>
  <c r="N47" i="1"/>
  <c r="B48" i="1"/>
  <c r="C12" i="10"/>
  <c r="F7" i="8"/>
  <c r="D7" i="8"/>
  <c r="C7" i="8" s="1"/>
  <c r="D12" i="10" s="1"/>
  <c r="H45" i="1"/>
  <c r="I45" i="1" s="1"/>
  <c r="Q45" i="1"/>
  <c r="B4" i="7"/>
  <c r="B16" i="10"/>
  <c r="A12" i="8"/>
  <c r="H12" i="8" s="1"/>
  <c r="E11" i="8"/>
  <c r="J45" i="1"/>
  <c r="A6" i="7"/>
  <c r="C6" i="7" l="1"/>
  <c r="I7" i="8"/>
  <c r="J7" i="8" s="1"/>
  <c r="J47" i="11"/>
  <c r="L47" i="11" s="1"/>
  <c r="B46" i="11" s="1"/>
  <c r="E48" i="1"/>
  <c r="K48" i="1"/>
  <c r="D48" i="1"/>
  <c r="B49" i="1"/>
  <c r="E12" i="10"/>
  <c r="N48" i="1"/>
  <c r="B8" i="8"/>
  <c r="F8" i="8" s="1"/>
  <c r="E4" i="7"/>
  <c r="D4" i="7"/>
  <c r="B17" i="10"/>
  <c r="A13" i="8"/>
  <c r="H13" i="8" s="1"/>
  <c r="E12" i="8"/>
  <c r="A7" i="7"/>
  <c r="B3" i="4"/>
  <c r="K3" i="4"/>
  <c r="B4" i="4"/>
  <c r="B5" i="4"/>
  <c r="B7" i="4"/>
  <c r="G45" i="1" l="1"/>
  <c r="P45" i="1" s="1"/>
  <c r="F46" i="1" s="1"/>
  <c r="K49" i="1"/>
  <c r="E49" i="1"/>
  <c r="B50" i="1"/>
  <c r="N49" i="1"/>
  <c r="C7" i="7"/>
  <c r="D49" i="1"/>
  <c r="D8" i="8"/>
  <c r="C8" i="8" s="1"/>
  <c r="D13" i="10" s="1"/>
  <c r="C13" i="10"/>
  <c r="G8" i="8"/>
  <c r="I8" i="8" s="1"/>
  <c r="J8" i="8" s="1"/>
  <c r="B18" i="10"/>
  <c r="A14" i="8"/>
  <c r="H14" i="8" s="1"/>
  <c r="E13" i="8"/>
  <c r="A8" i="7"/>
  <c r="C4" i="4"/>
  <c r="G11" i="4" s="1"/>
  <c r="C10" i="4"/>
  <c r="C3" i="4"/>
  <c r="D3" i="4" s="1"/>
  <c r="N2" i="4"/>
  <c r="K4" i="4" s="1"/>
  <c r="C44" i="1" s="1"/>
  <c r="B10" i="4"/>
  <c r="B8" i="4"/>
  <c r="C5" i="4"/>
  <c r="D5" i="4" s="1"/>
  <c r="J46" i="1" l="1"/>
  <c r="L46" i="1"/>
  <c r="K50" i="1"/>
  <c r="B51" i="1"/>
  <c r="N50" i="1"/>
  <c r="E50" i="1"/>
  <c r="D50" i="1"/>
  <c r="C8" i="7"/>
  <c r="E13" i="10"/>
  <c r="B9" i="8"/>
  <c r="G9" i="8" s="1"/>
  <c r="B19" i="10"/>
  <c r="A15" i="8"/>
  <c r="H15" i="8" s="1"/>
  <c r="E14" i="8"/>
  <c r="Q46" i="1"/>
  <c r="H46" i="1"/>
  <c r="I46" i="1" s="1"/>
  <c r="B5" i="7"/>
  <c r="A9" i="7"/>
  <c r="K5" i="4"/>
  <c r="C45" i="1" s="1"/>
  <c r="L4" i="4"/>
  <c r="D44" i="1" s="1"/>
  <c r="K44" i="1" s="1"/>
  <c r="D4" i="4"/>
  <c r="D6" i="4" s="1"/>
  <c r="K51" i="1" l="1"/>
  <c r="C9" i="7"/>
  <c r="D51" i="1"/>
  <c r="N51" i="1"/>
  <c r="E51" i="1"/>
  <c r="B52" i="1"/>
  <c r="D9" i="8"/>
  <c r="C9" i="8" s="1"/>
  <c r="B10" i="8" s="1"/>
  <c r="G10" i="8" s="1"/>
  <c r="F9" i="8"/>
  <c r="I9" i="8" s="1"/>
  <c r="J9" i="8" s="1"/>
  <c r="C14" i="10"/>
  <c r="D5" i="7"/>
  <c r="E5" i="7"/>
  <c r="G46" i="1" s="1"/>
  <c r="B20" i="10"/>
  <c r="A16" i="8"/>
  <c r="H16" i="8" s="1"/>
  <c r="E15" i="8"/>
  <c r="A10" i="7"/>
  <c r="J44" i="1"/>
  <c r="H44" i="1"/>
  <c r="I44" i="1" s="1"/>
  <c r="K6" i="4"/>
  <c r="C46" i="1" s="1"/>
  <c r="C10" i="7" l="1"/>
  <c r="K52" i="1"/>
  <c r="O44" i="1"/>
  <c r="D52" i="1"/>
  <c r="N52" i="1"/>
  <c r="E52" i="1"/>
  <c r="B53" i="1"/>
  <c r="D14" i="10"/>
  <c r="E14" i="10" s="1"/>
  <c r="F10" i="8"/>
  <c r="I10" i="8" s="1"/>
  <c r="J10" i="8" s="1"/>
  <c r="D10" i="8"/>
  <c r="C10" i="8" s="1"/>
  <c r="C15" i="10"/>
  <c r="B21" i="10"/>
  <c r="A17" i="8"/>
  <c r="H17" i="8" s="1"/>
  <c r="E16" i="8"/>
  <c r="P46" i="1"/>
  <c r="F47" i="1" s="1"/>
  <c r="A11" i="7"/>
  <c r="K7" i="4"/>
  <c r="C47" i="1" s="1"/>
  <c r="K53" i="1" l="1"/>
  <c r="Q47" i="1"/>
  <c r="L47" i="1"/>
  <c r="O45" i="1"/>
  <c r="N53" i="1"/>
  <c r="B54" i="1"/>
  <c r="D54" i="1" s="1"/>
  <c r="D53" i="1"/>
  <c r="C11" i="7"/>
  <c r="E53" i="1"/>
  <c r="B11" i="8"/>
  <c r="G11" i="8" s="1"/>
  <c r="D15" i="10"/>
  <c r="E15" i="10" s="1"/>
  <c r="J47" i="1"/>
  <c r="B6" i="7"/>
  <c r="H47" i="1"/>
  <c r="I47" i="1" s="1"/>
  <c r="B22" i="10"/>
  <c r="A18" i="8"/>
  <c r="H18" i="8" s="1"/>
  <c r="E17" i="8"/>
  <c r="A12" i="7"/>
  <c r="B55" i="1"/>
  <c r="K8" i="4"/>
  <c r="C48" i="1" s="1"/>
  <c r="C12" i="7" l="1"/>
  <c r="K54" i="1"/>
  <c r="E54" i="1"/>
  <c r="N54" i="1"/>
  <c r="K55" i="1"/>
  <c r="O46" i="1"/>
  <c r="N55" i="1"/>
  <c r="C16" i="10"/>
  <c r="F11" i="8"/>
  <c r="I11" i="8" s="1"/>
  <c r="J11" i="8" s="1"/>
  <c r="D11" i="8"/>
  <c r="C11" i="8" s="1"/>
  <c r="E6" i="7"/>
  <c r="D6" i="7"/>
  <c r="B23" i="10"/>
  <c r="A19" i="8"/>
  <c r="H19" i="8" s="1"/>
  <c r="E18" i="8"/>
  <c r="A13" i="7"/>
  <c r="B56" i="1"/>
  <c r="E55" i="1"/>
  <c r="D55" i="1"/>
  <c r="K9" i="4"/>
  <c r="C49" i="1" s="1"/>
  <c r="G47" i="1" l="1"/>
  <c r="P47" i="1" s="1"/>
  <c r="F48" i="1" s="1"/>
  <c r="L48" i="1" s="1"/>
  <c r="C13" i="7"/>
  <c r="K56" i="1"/>
  <c r="N56" i="1"/>
  <c r="D16" i="10"/>
  <c r="E16" i="10" s="1"/>
  <c r="B12" i="8"/>
  <c r="G12" i="8" s="1"/>
  <c r="B24" i="10"/>
  <c r="A20" i="8"/>
  <c r="H20" i="8" s="1"/>
  <c r="E19" i="8"/>
  <c r="A14" i="7"/>
  <c r="C14" i="7" s="1"/>
  <c r="B57" i="1"/>
  <c r="E56" i="1"/>
  <c r="D56" i="1"/>
  <c r="K10" i="4"/>
  <c r="C50" i="1" s="1"/>
  <c r="J48" i="1" l="1"/>
  <c r="Q48" i="1"/>
  <c r="O47" i="1"/>
  <c r="B7" i="7"/>
  <c r="E7" i="7" s="1"/>
  <c r="H48" i="1"/>
  <c r="I48" i="1" s="1"/>
  <c r="K57" i="1"/>
  <c r="N57" i="1"/>
  <c r="C17" i="10"/>
  <c r="F12" i="8"/>
  <c r="I12" i="8" s="1"/>
  <c r="J12" i="8" s="1"/>
  <c r="D12" i="8"/>
  <c r="C12" i="8" s="1"/>
  <c r="B25" i="10"/>
  <c r="A21" i="8"/>
  <c r="H21" i="8" s="1"/>
  <c r="E20" i="8"/>
  <c r="A15" i="7"/>
  <c r="C15" i="7" s="1"/>
  <c r="B58" i="1"/>
  <c r="E57" i="1"/>
  <c r="D57" i="1"/>
  <c r="K11" i="4"/>
  <c r="C51" i="1" s="1"/>
  <c r="D7" i="7" l="1"/>
  <c r="G48" i="1" s="1"/>
  <c r="K58" i="1"/>
  <c r="N58" i="1"/>
  <c r="B13" i="8"/>
  <c r="G13" i="8" s="1"/>
  <c r="D17" i="10"/>
  <c r="E17" i="10" s="1"/>
  <c r="B26" i="10"/>
  <c r="A22" i="8"/>
  <c r="H22" i="8" s="1"/>
  <c r="E21" i="8"/>
  <c r="A16" i="7"/>
  <c r="C16" i="7" s="1"/>
  <c r="B59" i="1"/>
  <c r="E58" i="1"/>
  <c r="D58" i="1"/>
  <c r="K12" i="4"/>
  <c r="C52" i="1" s="1"/>
  <c r="O48" i="1" l="1"/>
  <c r="P48" i="1"/>
  <c r="F49" i="1" s="1"/>
  <c r="L49" i="1" s="1"/>
  <c r="K59" i="1"/>
  <c r="N59" i="1"/>
  <c r="C18" i="10"/>
  <c r="D13" i="8"/>
  <c r="C13" i="8" s="1"/>
  <c r="D18" i="10" s="1"/>
  <c r="F13" i="8"/>
  <c r="I13" i="8" s="1"/>
  <c r="J13" i="8" s="1"/>
  <c r="B27" i="10"/>
  <c r="A23" i="8"/>
  <c r="H23" i="8" s="1"/>
  <c r="E22" i="8"/>
  <c r="A17" i="7"/>
  <c r="C17" i="7" s="1"/>
  <c r="B60" i="1"/>
  <c r="E59" i="1"/>
  <c r="D59" i="1"/>
  <c r="K13" i="4"/>
  <c r="C53" i="1" s="1"/>
  <c r="B8" i="7" l="1"/>
  <c r="D8" i="7" s="1"/>
  <c r="J49" i="1"/>
  <c r="Q49" i="1"/>
  <c r="H49" i="1"/>
  <c r="I49" i="1" s="1"/>
  <c r="K60" i="1"/>
  <c r="E18" i="10"/>
  <c r="N60" i="1"/>
  <c r="B14" i="8"/>
  <c r="G14" i="8" s="1"/>
  <c r="B28" i="10"/>
  <c r="A24" i="8"/>
  <c r="H24" i="8" s="1"/>
  <c r="E23" i="8"/>
  <c r="A18" i="7"/>
  <c r="C18" i="7" s="1"/>
  <c r="B61" i="1"/>
  <c r="E60" i="1"/>
  <c r="D60" i="1"/>
  <c r="K14" i="4"/>
  <c r="C54" i="1" s="1"/>
  <c r="E8" i="7" l="1"/>
  <c r="K61" i="1"/>
  <c r="N61" i="1"/>
  <c r="C19" i="10"/>
  <c r="D14" i="8"/>
  <c r="C14" i="8" s="1"/>
  <c r="F14" i="8"/>
  <c r="I14" i="8" s="1"/>
  <c r="J14" i="8" s="1"/>
  <c r="B29" i="10"/>
  <c r="A25" i="8"/>
  <c r="H25" i="8" s="1"/>
  <c r="E24" i="8"/>
  <c r="G49" i="1"/>
  <c r="A19" i="7"/>
  <c r="C19" i="7" s="1"/>
  <c r="B62" i="1"/>
  <c r="E61" i="1"/>
  <c r="D61" i="1"/>
  <c r="K15" i="4"/>
  <c r="C55" i="1" s="1"/>
  <c r="K62" i="1" l="1"/>
  <c r="P49" i="1"/>
  <c r="F50" i="1" s="1"/>
  <c r="L50" i="1" s="1"/>
  <c r="O49" i="1"/>
  <c r="N62" i="1"/>
  <c r="B15" i="8"/>
  <c r="G15" i="8" s="1"/>
  <c r="D19" i="10"/>
  <c r="E19" i="10" s="1"/>
  <c r="B30" i="10"/>
  <c r="A26" i="8"/>
  <c r="H26" i="8" s="1"/>
  <c r="E25" i="8"/>
  <c r="A20" i="7"/>
  <c r="C20" i="7" s="1"/>
  <c r="B63" i="1"/>
  <c r="E62" i="1"/>
  <c r="D62" i="1"/>
  <c r="K16" i="4"/>
  <c r="C56" i="1" s="1"/>
  <c r="B9" i="7" l="1"/>
  <c r="D9" i="7" s="1"/>
  <c r="Q50" i="1"/>
  <c r="J50" i="1"/>
  <c r="K63" i="1"/>
  <c r="H50" i="1"/>
  <c r="I50" i="1" s="1"/>
  <c r="N63" i="1"/>
  <c r="D15" i="8"/>
  <c r="C15" i="8" s="1"/>
  <c r="F15" i="8"/>
  <c r="I15" i="8" s="1"/>
  <c r="J15" i="8" s="1"/>
  <c r="C20" i="10"/>
  <c r="B31" i="10"/>
  <c r="A27" i="8"/>
  <c r="H27" i="8" s="1"/>
  <c r="E26" i="8"/>
  <c r="A21" i="7"/>
  <c r="C21" i="7" s="1"/>
  <c r="B64" i="1"/>
  <c r="E63" i="1"/>
  <c r="D63" i="1"/>
  <c r="K17" i="4"/>
  <c r="C57" i="1" s="1"/>
  <c r="E9" i="7" l="1"/>
  <c r="K64" i="1"/>
  <c r="N64" i="1"/>
  <c r="B16" i="8"/>
  <c r="G16" i="8" s="1"/>
  <c r="D20" i="10"/>
  <c r="E20" i="10" s="1"/>
  <c r="G50" i="1"/>
  <c r="O50" i="1" s="1"/>
  <c r="B32" i="10"/>
  <c r="A28" i="8"/>
  <c r="H28" i="8" s="1"/>
  <c r="E27" i="8"/>
  <c r="A22" i="7"/>
  <c r="C22" i="7" s="1"/>
  <c r="B65" i="1"/>
  <c r="E64" i="1"/>
  <c r="D64" i="1"/>
  <c r="K18" i="4"/>
  <c r="C58" i="1" s="1"/>
  <c r="K65" i="1" l="1"/>
  <c r="N65" i="1"/>
  <c r="C21" i="10"/>
  <c r="D16" i="8"/>
  <c r="C16" i="8" s="1"/>
  <c r="F16" i="8"/>
  <c r="I16" i="8" s="1"/>
  <c r="J16" i="8" s="1"/>
  <c r="P50" i="1"/>
  <c r="F51" i="1" s="1"/>
  <c r="L51" i="1" s="1"/>
  <c r="B33" i="10"/>
  <c r="A29" i="8"/>
  <c r="H29" i="8" s="1"/>
  <c r="E28" i="8"/>
  <c r="A23" i="7"/>
  <c r="C23" i="7" s="1"/>
  <c r="B66" i="1"/>
  <c r="E65" i="1"/>
  <c r="D65" i="1"/>
  <c r="K19" i="4"/>
  <c r="C59" i="1" s="1"/>
  <c r="K66" i="1" l="1"/>
  <c r="N66" i="1"/>
  <c r="Q51" i="1"/>
  <c r="B10" i="7"/>
  <c r="E10" i="7" s="1"/>
  <c r="J51" i="1"/>
  <c r="H51" i="1"/>
  <c r="I51" i="1" s="1"/>
  <c r="D21" i="10"/>
  <c r="E21" i="10" s="1"/>
  <c r="B17" i="8"/>
  <c r="G17" i="8" s="1"/>
  <c r="B34" i="10"/>
  <c r="A30" i="8"/>
  <c r="H30" i="8" s="1"/>
  <c r="E29" i="8"/>
  <c r="A24" i="7"/>
  <c r="C24" i="7" s="1"/>
  <c r="B67" i="1"/>
  <c r="E66" i="1"/>
  <c r="D66" i="1"/>
  <c r="K20" i="4"/>
  <c r="C60" i="1" s="1"/>
  <c r="K67" i="1" l="1"/>
  <c r="D10" i="7"/>
  <c r="G51" i="1" s="1"/>
  <c r="O51" i="1" s="1"/>
  <c r="N67" i="1"/>
  <c r="C22" i="10"/>
  <c r="D17" i="8"/>
  <c r="C17" i="8" s="1"/>
  <c r="F17" i="8"/>
  <c r="I17" i="8" s="1"/>
  <c r="J17" i="8" s="1"/>
  <c r="B35" i="10"/>
  <c r="A31" i="8"/>
  <c r="H31" i="8" s="1"/>
  <c r="E30" i="8"/>
  <c r="A25" i="7"/>
  <c r="C25" i="7" s="1"/>
  <c r="B68" i="1"/>
  <c r="E67" i="1"/>
  <c r="D67" i="1"/>
  <c r="K21" i="4"/>
  <c r="C61" i="1" s="1"/>
  <c r="K68" i="1" l="1"/>
  <c r="N68" i="1"/>
  <c r="P51" i="1"/>
  <c r="F52" i="1" s="1"/>
  <c r="L52" i="1" s="1"/>
  <c r="B18" i="8"/>
  <c r="G18" i="8" s="1"/>
  <c r="D22" i="10"/>
  <c r="E22" i="10" s="1"/>
  <c r="B36" i="10"/>
  <c r="A32" i="8"/>
  <c r="H32" i="8" s="1"/>
  <c r="E31" i="8"/>
  <c r="A26" i="7"/>
  <c r="C26" i="7" s="1"/>
  <c r="B69" i="1"/>
  <c r="E68" i="1"/>
  <c r="D68" i="1"/>
  <c r="K22" i="4"/>
  <c r="C62" i="1" s="1"/>
  <c r="K69" i="1" l="1"/>
  <c r="Q52" i="1"/>
  <c r="J52" i="1"/>
  <c r="H52" i="1"/>
  <c r="I52" i="1" s="1"/>
  <c r="B11" i="7"/>
  <c r="E11" i="7" s="1"/>
  <c r="N69" i="1"/>
  <c r="F18" i="8"/>
  <c r="I18" i="8" s="1"/>
  <c r="J18" i="8" s="1"/>
  <c r="D18" i="8"/>
  <c r="C18" i="8" s="1"/>
  <c r="C23" i="10"/>
  <c r="B37" i="10"/>
  <c r="A33" i="8"/>
  <c r="H33" i="8" s="1"/>
  <c r="E32" i="8"/>
  <c r="A27" i="7"/>
  <c r="C27" i="7" s="1"/>
  <c r="B70" i="1"/>
  <c r="E69" i="1"/>
  <c r="D69" i="1"/>
  <c r="K23" i="4"/>
  <c r="C63" i="1" s="1"/>
  <c r="K70" i="1" l="1"/>
  <c r="D11" i="7"/>
  <c r="G52" i="1" s="1"/>
  <c r="N70" i="1"/>
  <c r="B19" i="8"/>
  <c r="G19" i="8" s="1"/>
  <c r="D23" i="10"/>
  <c r="E23" i="10" s="1"/>
  <c r="B38" i="10"/>
  <c r="A34" i="8"/>
  <c r="H34" i="8" s="1"/>
  <c r="E33" i="8"/>
  <c r="A28" i="7"/>
  <c r="C28" i="7" s="1"/>
  <c r="B71" i="1"/>
  <c r="E70" i="1"/>
  <c r="D70" i="1"/>
  <c r="K24" i="4"/>
  <c r="C64" i="1" s="1"/>
  <c r="O52" i="1" l="1"/>
  <c r="P52" i="1"/>
  <c r="F53" i="1" s="1"/>
  <c r="L53" i="1" s="1"/>
  <c r="K71" i="1"/>
  <c r="N71" i="1"/>
  <c r="C24" i="10"/>
  <c r="F19" i="8"/>
  <c r="I19" i="8" s="1"/>
  <c r="J19" i="8" s="1"/>
  <c r="D19" i="8"/>
  <c r="C19" i="8" s="1"/>
  <c r="B39" i="10"/>
  <c r="A35" i="8"/>
  <c r="H35" i="8" s="1"/>
  <c r="E34" i="8"/>
  <c r="A29" i="7"/>
  <c r="C29" i="7" s="1"/>
  <c r="B72" i="1"/>
  <c r="E71" i="1"/>
  <c r="D71" i="1"/>
  <c r="K25" i="4"/>
  <c r="C65" i="1" s="1"/>
  <c r="H53" i="1" l="1"/>
  <c r="I53" i="1" s="1"/>
  <c r="J53" i="1"/>
  <c r="B12" i="7"/>
  <c r="E12" i="7" s="1"/>
  <c r="Q53" i="1"/>
  <c r="K72" i="1"/>
  <c r="N72" i="1"/>
  <c r="B20" i="8"/>
  <c r="G20" i="8" s="1"/>
  <c r="D24" i="10"/>
  <c r="E24" i="10" s="1"/>
  <c r="B40" i="10"/>
  <c r="A36" i="8"/>
  <c r="H36" i="8" s="1"/>
  <c r="E35" i="8"/>
  <c r="A30" i="7"/>
  <c r="C30" i="7" s="1"/>
  <c r="B73" i="1"/>
  <c r="E72" i="1"/>
  <c r="D72" i="1"/>
  <c r="K26" i="4"/>
  <c r="C66" i="1" s="1"/>
  <c r="D12" i="7" l="1"/>
  <c r="G53" i="1" s="1"/>
  <c r="O53" i="1" s="1"/>
  <c r="K73" i="1"/>
  <c r="N73" i="1"/>
  <c r="F20" i="8"/>
  <c r="I20" i="8" s="1"/>
  <c r="J20" i="8" s="1"/>
  <c r="D20" i="8"/>
  <c r="C20" i="8" s="1"/>
  <c r="C25" i="10"/>
  <c r="B41" i="10"/>
  <c r="A37" i="8"/>
  <c r="H37" i="8" s="1"/>
  <c r="E36" i="8"/>
  <c r="A31" i="7"/>
  <c r="C31" i="7" s="1"/>
  <c r="B74" i="1"/>
  <c r="E73" i="1"/>
  <c r="D73" i="1"/>
  <c r="K27" i="4"/>
  <c r="C67" i="1" s="1"/>
  <c r="K74" i="1" l="1"/>
  <c r="N74" i="1"/>
  <c r="B21" i="8"/>
  <c r="G21" i="8" s="1"/>
  <c r="D25" i="10"/>
  <c r="E25" i="10" s="1"/>
  <c r="B42" i="10"/>
  <c r="A38" i="8"/>
  <c r="H38" i="8" s="1"/>
  <c r="E37" i="8"/>
  <c r="P53" i="1"/>
  <c r="F54" i="1" s="1"/>
  <c r="L54" i="1" s="1"/>
  <c r="A32" i="7"/>
  <c r="C32" i="7" s="1"/>
  <c r="B75" i="1"/>
  <c r="E74" i="1"/>
  <c r="D74" i="1"/>
  <c r="K28" i="4"/>
  <c r="C68" i="1" s="1"/>
  <c r="K75" i="1" l="1"/>
  <c r="N75" i="1"/>
  <c r="F21" i="8"/>
  <c r="I21" i="8" s="1"/>
  <c r="J21" i="8" s="1"/>
  <c r="D21" i="8"/>
  <c r="C21" i="8" s="1"/>
  <c r="C26" i="10"/>
  <c r="B43" i="10"/>
  <c r="A39" i="8"/>
  <c r="H39" i="8" s="1"/>
  <c r="E38" i="8"/>
  <c r="A33" i="7"/>
  <c r="C33" i="7" s="1"/>
  <c r="H54" i="1"/>
  <c r="I54" i="1" s="1"/>
  <c r="J54" i="1"/>
  <c r="Q54" i="1"/>
  <c r="B13" i="7"/>
  <c r="B76" i="1"/>
  <c r="E75" i="1"/>
  <c r="D75" i="1"/>
  <c r="K29" i="4"/>
  <c r="C69" i="1" s="1"/>
  <c r="K76" i="1" l="1"/>
  <c r="N76" i="1"/>
  <c r="B22" i="8"/>
  <c r="G22" i="8" s="1"/>
  <c r="D26" i="10"/>
  <c r="E26" i="10" s="1"/>
  <c r="D13" i="7"/>
  <c r="E13" i="7"/>
  <c r="B44" i="10"/>
  <c r="A40" i="8"/>
  <c r="H40" i="8" s="1"/>
  <c r="E39" i="8"/>
  <c r="A34" i="7"/>
  <c r="C34" i="7" s="1"/>
  <c r="B77" i="1"/>
  <c r="E76" i="1"/>
  <c r="D76" i="1"/>
  <c r="K30" i="4"/>
  <c r="C70" i="1" s="1"/>
  <c r="K77" i="1" l="1"/>
  <c r="N77" i="1"/>
  <c r="F22" i="8"/>
  <c r="I22" i="8" s="1"/>
  <c r="J22" i="8" s="1"/>
  <c r="D22" i="8"/>
  <c r="C22" i="8" s="1"/>
  <c r="C27" i="10"/>
  <c r="G54" i="1"/>
  <c r="B45" i="10"/>
  <c r="A41" i="8"/>
  <c r="H41" i="8" s="1"/>
  <c r="E40" i="8"/>
  <c r="A35" i="7"/>
  <c r="C35" i="7" s="1"/>
  <c r="B78" i="1"/>
  <c r="E77" i="1"/>
  <c r="D77" i="1"/>
  <c r="K31" i="4"/>
  <c r="C71" i="1" s="1"/>
  <c r="K78" i="1" l="1"/>
  <c r="P54" i="1"/>
  <c r="F55" i="1" s="1"/>
  <c r="L55" i="1" s="1"/>
  <c r="O54" i="1"/>
  <c r="N78" i="1"/>
  <c r="D27" i="10"/>
  <c r="E27" i="10" s="1"/>
  <c r="B23" i="8"/>
  <c r="G23" i="8" s="1"/>
  <c r="B46" i="10"/>
  <c r="A42" i="8"/>
  <c r="H42" i="8" s="1"/>
  <c r="E41" i="8"/>
  <c r="A36" i="7"/>
  <c r="C36" i="7" s="1"/>
  <c r="B79" i="1"/>
  <c r="E78" i="1"/>
  <c r="D78" i="1"/>
  <c r="K32" i="4"/>
  <c r="C72" i="1" s="1"/>
  <c r="J55" i="1" l="1"/>
  <c r="Q55" i="1"/>
  <c r="B14" i="7"/>
  <c r="E14" i="7" s="1"/>
  <c r="H55" i="1"/>
  <c r="I55" i="1" s="1"/>
  <c r="K79" i="1"/>
  <c r="N79" i="1"/>
  <c r="C28" i="10"/>
  <c r="F23" i="8"/>
  <c r="I23" i="8" s="1"/>
  <c r="J23" i="8" s="1"/>
  <c r="D23" i="8"/>
  <c r="C23" i="8" s="1"/>
  <c r="B47" i="10"/>
  <c r="A43" i="8"/>
  <c r="H43" i="8" s="1"/>
  <c r="E42" i="8"/>
  <c r="A37" i="7"/>
  <c r="C37" i="7" s="1"/>
  <c r="B80" i="1"/>
  <c r="E79" i="1"/>
  <c r="D79" i="1"/>
  <c r="K33" i="4"/>
  <c r="C73" i="1" s="1"/>
  <c r="D14" i="7" l="1"/>
  <c r="G55" i="1" s="1"/>
  <c r="O55" i="1" s="1"/>
  <c r="K80" i="1"/>
  <c r="N80" i="1"/>
  <c r="B24" i="8"/>
  <c r="G24" i="8" s="1"/>
  <c r="D28" i="10"/>
  <c r="E28" i="10" s="1"/>
  <c r="B48" i="10"/>
  <c r="A44" i="8"/>
  <c r="H44" i="8" s="1"/>
  <c r="E43" i="8"/>
  <c r="A38" i="7"/>
  <c r="C38" i="7" s="1"/>
  <c r="B81" i="1"/>
  <c r="E80" i="1"/>
  <c r="D80" i="1"/>
  <c r="K34" i="4"/>
  <c r="C74" i="1" s="1"/>
  <c r="K81" i="1" l="1"/>
  <c r="P55" i="1"/>
  <c r="F56" i="1" s="1"/>
  <c r="N81" i="1"/>
  <c r="F24" i="8"/>
  <c r="I24" i="8" s="1"/>
  <c r="J24" i="8" s="1"/>
  <c r="C29" i="10"/>
  <c r="D24" i="8"/>
  <c r="C24" i="8" s="1"/>
  <c r="B49" i="10"/>
  <c r="A45" i="8"/>
  <c r="H45" i="8" s="1"/>
  <c r="E44" i="8"/>
  <c r="A39" i="7"/>
  <c r="C39" i="7" s="1"/>
  <c r="B82" i="1"/>
  <c r="E81" i="1"/>
  <c r="D81" i="1"/>
  <c r="K35" i="4"/>
  <c r="C75" i="1" s="1"/>
  <c r="K82" i="1" l="1"/>
  <c r="B15" i="7"/>
  <c r="E15" i="7" s="1"/>
  <c r="L56" i="1"/>
  <c r="H56" i="1"/>
  <c r="I56" i="1" s="1"/>
  <c r="Q56" i="1"/>
  <c r="J56" i="1"/>
  <c r="N82" i="1"/>
  <c r="B25" i="8"/>
  <c r="G25" i="8" s="1"/>
  <c r="D29" i="10"/>
  <c r="E29" i="10" s="1"/>
  <c r="B50" i="10"/>
  <c r="A46" i="8"/>
  <c r="H46" i="8" s="1"/>
  <c r="E45" i="8"/>
  <c r="A40" i="7"/>
  <c r="C40" i="7" s="1"/>
  <c r="E82" i="1"/>
  <c r="B83" i="1"/>
  <c r="D82" i="1"/>
  <c r="K36" i="4"/>
  <c r="C76" i="1" s="1"/>
  <c r="D15" i="7" l="1"/>
  <c r="G56" i="1" s="1"/>
  <c r="K83" i="1"/>
  <c r="N83" i="1"/>
  <c r="F25" i="8"/>
  <c r="I25" i="8" s="1"/>
  <c r="J25" i="8" s="1"/>
  <c r="D25" i="8"/>
  <c r="C25" i="8" s="1"/>
  <c r="C30" i="10"/>
  <c r="B51" i="10"/>
  <c r="A47" i="8"/>
  <c r="H47" i="8" s="1"/>
  <c r="E46" i="8"/>
  <c r="A41" i="7"/>
  <c r="C41" i="7" s="1"/>
  <c r="E83" i="1"/>
  <c r="B84" i="1"/>
  <c r="D83" i="1"/>
  <c r="K37" i="4"/>
  <c r="C77" i="1" s="1"/>
  <c r="O56" i="1" l="1"/>
  <c r="P56" i="1"/>
  <c r="F57" i="1" s="1"/>
  <c r="L57" i="1" s="1"/>
  <c r="K84" i="1"/>
  <c r="N84" i="1"/>
  <c r="B26" i="8"/>
  <c r="G26" i="8" s="1"/>
  <c r="D30" i="10"/>
  <c r="E30" i="10" s="1"/>
  <c r="B52" i="10"/>
  <c r="A48" i="8"/>
  <c r="H48" i="8" s="1"/>
  <c r="E47" i="8"/>
  <c r="A42" i="7"/>
  <c r="C42" i="7" s="1"/>
  <c r="B85" i="1"/>
  <c r="E84" i="1"/>
  <c r="D84" i="1"/>
  <c r="K38" i="4"/>
  <c r="C78" i="1" s="1"/>
  <c r="B16" i="7" l="1"/>
  <c r="E16" i="7" s="1"/>
  <c r="H57" i="1"/>
  <c r="I57" i="1" s="1"/>
  <c r="J57" i="1"/>
  <c r="Q57" i="1"/>
  <c r="K85" i="1"/>
  <c r="N85" i="1"/>
  <c r="F26" i="8"/>
  <c r="I26" i="8" s="1"/>
  <c r="J26" i="8" s="1"/>
  <c r="D26" i="8"/>
  <c r="C26" i="8" s="1"/>
  <c r="C31" i="10"/>
  <c r="B53" i="10"/>
  <c r="A49" i="8"/>
  <c r="H49" i="8" s="1"/>
  <c r="E48" i="8"/>
  <c r="A43" i="7"/>
  <c r="C43" i="7" s="1"/>
  <c r="B86" i="1"/>
  <c r="E85" i="1"/>
  <c r="D85" i="1"/>
  <c r="K39" i="4"/>
  <c r="C79" i="1" s="1"/>
  <c r="D16" i="7" l="1"/>
  <c r="K86" i="1"/>
  <c r="N86" i="1"/>
  <c r="B27" i="8"/>
  <c r="G27" i="8" s="1"/>
  <c r="D31" i="10"/>
  <c r="E31" i="10" s="1"/>
  <c r="B54" i="10"/>
  <c r="A50" i="8"/>
  <c r="H50" i="8" s="1"/>
  <c r="E49" i="8"/>
  <c r="G57" i="1"/>
  <c r="A44" i="7"/>
  <c r="C44" i="7" s="1"/>
  <c r="B87" i="1"/>
  <c r="D86" i="1"/>
  <c r="E86" i="1"/>
  <c r="K40" i="4"/>
  <c r="C80" i="1" s="1"/>
  <c r="P57" i="1" l="1"/>
  <c r="F58" i="1" s="1"/>
  <c r="L58" i="1" s="1"/>
  <c r="O57" i="1"/>
  <c r="K87" i="1"/>
  <c r="N87" i="1"/>
  <c r="C32" i="10"/>
  <c r="D27" i="8"/>
  <c r="C27" i="8" s="1"/>
  <c r="F27" i="8"/>
  <c r="I27" i="8" s="1"/>
  <c r="J27" i="8" s="1"/>
  <c r="B55" i="10"/>
  <c r="A51" i="8"/>
  <c r="H51" i="8" s="1"/>
  <c r="E50" i="8"/>
  <c r="A45" i="7"/>
  <c r="C45" i="7" s="1"/>
  <c r="B88" i="1"/>
  <c r="D87" i="1"/>
  <c r="E87" i="1"/>
  <c r="K41" i="4"/>
  <c r="C81" i="1" s="1"/>
  <c r="B17" i="7" l="1"/>
  <c r="D17" i="7" s="1"/>
  <c r="Q58" i="1"/>
  <c r="J58" i="1"/>
  <c r="H58" i="1"/>
  <c r="I58" i="1" s="1"/>
  <c r="K88" i="1"/>
  <c r="N88" i="1"/>
  <c r="B28" i="8"/>
  <c r="G28" i="8" s="1"/>
  <c r="D32" i="10"/>
  <c r="E32" i="10" s="1"/>
  <c r="B56" i="10"/>
  <c r="A52" i="8"/>
  <c r="H52" i="8" s="1"/>
  <c r="E51" i="8"/>
  <c r="A46" i="7"/>
  <c r="C46" i="7" s="1"/>
  <c r="B89" i="1"/>
  <c r="D88" i="1"/>
  <c r="E88" i="1"/>
  <c r="K42" i="4"/>
  <c r="C82" i="1" s="1"/>
  <c r="E17" i="7" l="1"/>
  <c r="G58" i="1"/>
  <c r="O58" i="1" s="1"/>
  <c r="K89" i="1"/>
  <c r="N89" i="1"/>
  <c r="D28" i="8"/>
  <c r="C28" i="8" s="1"/>
  <c r="F28" i="8"/>
  <c r="I28" i="8" s="1"/>
  <c r="J28" i="8" s="1"/>
  <c r="C33" i="10"/>
  <c r="B57" i="10"/>
  <c r="A53" i="8"/>
  <c r="H53" i="8" s="1"/>
  <c r="E52" i="8"/>
  <c r="A47" i="7"/>
  <c r="C47" i="7" s="1"/>
  <c r="B90" i="1"/>
  <c r="E89" i="1"/>
  <c r="D89" i="1"/>
  <c r="K43" i="4"/>
  <c r="C83" i="1" s="1"/>
  <c r="P58" i="1" l="1"/>
  <c r="F59" i="1" s="1"/>
  <c r="L59" i="1" s="1"/>
  <c r="K90" i="1"/>
  <c r="N90" i="1"/>
  <c r="B29" i="8"/>
  <c r="G29" i="8" s="1"/>
  <c r="D33" i="10"/>
  <c r="E33" i="10" s="1"/>
  <c r="B58" i="10"/>
  <c r="A54" i="8"/>
  <c r="H54" i="8" s="1"/>
  <c r="E53" i="8"/>
  <c r="A48" i="7"/>
  <c r="C48" i="7" s="1"/>
  <c r="B91" i="1"/>
  <c r="D90" i="1"/>
  <c r="E90" i="1"/>
  <c r="K44" i="4"/>
  <c r="C84" i="1" s="1"/>
  <c r="Q59" i="1" l="1"/>
  <c r="B18" i="7"/>
  <c r="E18" i="7" s="1"/>
  <c r="G59" i="1" s="1"/>
  <c r="J59" i="1"/>
  <c r="H59" i="1"/>
  <c r="I59" i="1" s="1"/>
  <c r="K91" i="1"/>
  <c r="N91" i="1"/>
  <c r="D29" i="8"/>
  <c r="C29" i="8" s="1"/>
  <c r="F29" i="8"/>
  <c r="I29" i="8" s="1"/>
  <c r="J29" i="8" s="1"/>
  <c r="C34" i="10"/>
  <c r="B59" i="10"/>
  <c r="A55" i="8"/>
  <c r="H55" i="8" s="1"/>
  <c r="E54" i="8"/>
  <c r="A49" i="7"/>
  <c r="C49" i="7" s="1"/>
  <c r="D91" i="1"/>
  <c r="E91" i="1"/>
  <c r="B92" i="1"/>
  <c r="K45" i="4"/>
  <c r="C85" i="1" s="1"/>
  <c r="D18" i="7" l="1"/>
  <c r="O59" i="1"/>
  <c r="K92" i="1"/>
  <c r="N92" i="1"/>
  <c r="B30" i="8"/>
  <c r="G30" i="8" s="1"/>
  <c r="D34" i="10"/>
  <c r="E34" i="10" s="1"/>
  <c r="B60" i="10"/>
  <c r="A56" i="8"/>
  <c r="H56" i="8" s="1"/>
  <c r="E55" i="8"/>
  <c r="P59" i="1"/>
  <c r="F60" i="1" s="1"/>
  <c r="L60" i="1" s="1"/>
  <c r="A50" i="7"/>
  <c r="C50" i="7" s="1"/>
  <c r="B93" i="1"/>
  <c r="E92" i="1"/>
  <c r="D92" i="1"/>
  <c r="K46" i="4"/>
  <c r="C86" i="1" s="1"/>
  <c r="K93" i="1" l="1"/>
  <c r="N93" i="1"/>
  <c r="C35" i="10"/>
  <c r="F30" i="8"/>
  <c r="I30" i="8" s="1"/>
  <c r="J30" i="8" s="1"/>
  <c r="D30" i="8"/>
  <c r="C30" i="8" s="1"/>
  <c r="D35" i="10" s="1"/>
  <c r="B61" i="10"/>
  <c r="A57" i="8"/>
  <c r="H57" i="8" s="1"/>
  <c r="E56" i="8"/>
  <c r="A51" i="7"/>
  <c r="C51" i="7" s="1"/>
  <c r="B19" i="7"/>
  <c r="Q60" i="1"/>
  <c r="J60" i="1"/>
  <c r="H60" i="1"/>
  <c r="I60" i="1" s="1"/>
  <c r="B94" i="1"/>
  <c r="E93" i="1"/>
  <c r="D93" i="1"/>
  <c r="K47" i="4"/>
  <c r="C87" i="1" s="1"/>
  <c r="K94" i="1" l="1"/>
  <c r="N94" i="1"/>
  <c r="E35" i="10"/>
  <c r="B31" i="8"/>
  <c r="G31" i="8" s="1"/>
  <c r="D19" i="7"/>
  <c r="E19" i="7"/>
  <c r="G60" i="1" s="1"/>
  <c r="O60" i="1" s="1"/>
  <c r="B62" i="10"/>
  <c r="A58" i="8"/>
  <c r="H58" i="8" s="1"/>
  <c r="E57" i="8"/>
  <c r="A52" i="7"/>
  <c r="C52" i="7" s="1"/>
  <c r="B95" i="1"/>
  <c r="D94" i="1"/>
  <c r="E94" i="1"/>
  <c r="K48" i="4"/>
  <c r="C88" i="1" s="1"/>
  <c r="K95" i="1" l="1"/>
  <c r="N95" i="1"/>
  <c r="C36" i="10"/>
  <c r="D31" i="8"/>
  <c r="C31" i="8" s="1"/>
  <c r="F31" i="8"/>
  <c r="I31" i="8" s="1"/>
  <c r="J31" i="8" s="1"/>
  <c r="B63" i="10"/>
  <c r="A59" i="8"/>
  <c r="H59" i="8" s="1"/>
  <c r="E58" i="8"/>
  <c r="A53" i="7"/>
  <c r="C53" i="7" s="1"/>
  <c r="P60" i="1"/>
  <c r="F61" i="1" s="1"/>
  <c r="L61" i="1" s="1"/>
  <c r="B96" i="1"/>
  <c r="D95" i="1"/>
  <c r="E95" i="1"/>
  <c r="K49" i="4"/>
  <c r="C89" i="1" s="1"/>
  <c r="K96" i="1" l="1"/>
  <c r="N96" i="1"/>
  <c r="B32" i="8"/>
  <c r="G32" i="8" s="1"/>
  <c r="D36" i="10"/>
  <c r="E36" i="10" s="1"/>
  <c r="B64" i="10"/>
  <c r="A60" i="8"/>
  <c r="H60" i="8" s="1"/>
  <c r="E59" i="8"/>
  <c r="Q61" i="1"/>
  <c r="H61" i="1"/>
  <c r="I61" i="1" s="1"/>
  <c r="J61" i="1"/>
  <c r="B20" i="7"/>
  <c r="A54" i="7"/>
  <c r="C54" i="7" s="1"/>
  <c r="B97" i="1"/>
  <c r="D96" i="1"/>
  <c r="E96" i="1"/>
  <c r="K50" i="4"/>
  <c r="C90" i="1" s="1"/>
  <c r="K97" i="1" l="1"/>
  <c r="N97" i="1"/>
  <c r="D32" i="8"/>
  <c r="C32" i="8" s="1"/>
  <c r="F32" i="8"/>
  <c r="I32" i="8" s="1"/>
  <c r="J32" i="8" s="1"/>
  <c r="C37" i="10"/>
  <c r="E20" i="7"/>
  <c r="D20" i="7"/>
  <c r="B65" i="10"/>
  <c r="A61" i="8"/>
  <c r="H61" i="8" s="1"/>
  <c r="E60" i="8"/>
  <c r="A55" i="7"/>
  <c r="C55" i="7" s="1"/>
  <c r="B98" i="1"/>
  <c r="E97" i="1"/>
  <c r="D97" i="1"/>
  <c r="K51" i="4"/>
  <c r="C91" i="1" s="1"/>
  <c r="K98" i="1" l="1"/>
  <c r="N98" i="1"/>
  <c r="B33" i="8"/>
  <c r="G33" i="8" s="1"/>
  <c r="D37" i="10"/>
  <c r="E37" i="10" s="1"/>
  <c r="B66" i="10"/>
  <c r="A62" i="8"/>
  <c r="H62" i="8" s="1"/>
  <c r="E61" i="8"/>
  <c r="G61" i="1"/>
  <c r="O61" i="1" s="1"/>
  <c r="A56" i="7"/>
  <c r="C56" i="7" s="1"/>
  <c r="E98" i="1"/>
  <c r="B99" i="1"/>
  <c r="D98" i="1"/>
  <c r="K52" i="4"/>
  <c r="C92" i="1" s="1"/>
  <c r="K99" i="1" l="1"/>
  <c r="N99" i="1"/>
  <c r="F33" i="8"/>
  <c r="I33" i="8" s="1"/>
  <c r="J33" i="8" s="1"/>
  <c r="C38" i="10"/>
  <c r="D33" i="8"/>
  <c r="C33" i="8" s="1"/>
  <c r="B67" i="10"/>
  <c r="A63" i="8"/>
  <c r="H63" i="8" s="1"/>
  <c r="E62" i="8"/>
  <c r="P61" i="1"/>
  <c r="F62" i="1" s="1"/>
  <c r="A57" i="7"/>
  <c r="C57" i="7" s="1"/>
  <c r="B100" i="1"/>
  <c r="D99" i="1"/>
  <c r="E99" i="1"/>
  <c r="K53" i="4"/>
  <c r="C93" i="1" s="1"/>
  <c r="K100" i="1" l="1"/>
  <c r="H62" i="1"/>
  <c r="I62" i="1" s="1"/>
  <c r="L62" i="1"/>
  <c r="N100" i="1"/>
  <c r="B34" i="8"/>
  <c r="G34" i="8" s="1"/>
  <c r="D38" i="10"/>
  <c r="E38" i="10" s="1"/>
  <c r="Q62" i="1"/>
  <c r="J62" i="1"/>
  <c r="B21" i="7"/>
  <c r="B68" i="10"/>
  <c r="A64" i="8"/>
  <c r="H64" i="8" s="1"/>
  <c r="E63" i="8"/>
  <c r="A58" i="7"/>
  <c r="C58" i="7" s="1"/>
  <c r="B101" i="1"/>
  <c r="E100" i="1"/>
  <c r="D100" i="1"/>
  <c r="K54" i="4"/>
  <c r="C94" i="1" s="1"/>
  <c r="K101" i="1" l="1"/>
  <c r="N101" i="1"/>
  <c r="F34" i="8"/>
  <c r="I34" i="8" s="1"/>
  <c r="J34" i="8" s="1"/>
  <c r="D34" i="8"/>
  <c r="C34" i="8" s="1"/>
  <c r="C39" i="10"/>
  <c r="D21" i="7"/>
  <c r="E21" i="7"/>
  <c r="G62" i="1" s="1"/>
  <c r="O62" i="1" s="1"/>
  <c r="B69" i="10"/>
  <c r="A65" i="8"/>
  <c r="H65" i="8" s="1"/>
  <c r="E64" i="8"/>
  <c r="A59" i="7"/>
  <c r="C59" i="7" s="1"/>
  <c r="E101" i="1"/>
  <c r="B102" i="1"/>
  <c r="D101" i="1"/>
  <c r="K55" i="4"/>
  <c r="C95" i="1" s="1"/>
  <c r="K102" i="1" l="1"/>
  <c r="N102" i="1"/>
  <c r="B35" i="8"/>
  <c r="G35" i="8" s="1"/>
  <c r="D39" i="10"/>
  <c r="E39" i="10" s="1"/>
  <c r="B70" i="10"/>
  <c r="A66" i="8"/>
  <c r="H66" i="8" s="1"/>
  <c r="E65" i="8"/>
  <c r="P62" i="1"/>
  <c r="F63" i="1" s="1"/>
  <c r="A60" i="7"/>
  <c r="C60" i="7" s="1"/>
  <c r="B103" i="1"/>
  <c r="D102" i="1"/>
  <c r="E102" i="1"/>
  <c r="K56" i="4"/>
  <c r="C96" i="1" s="1"/>
  <c r="Q63" i="1" l="1"/>
  <c r="L63" i="1"/>
  <c r="K103" i="1"/>
  <c r="N103" i="1"/>
  <c r="D35" i="8"/>
  <c r="C35" i="8" s="1"/>
  <c r="C40" i="10"/>
  <c r="F35" i="8"/>
  <c r="I35" i="8" s="1"/>
  <c r="J35" i="8" s="1"/>
  <c r="B22" i="7"/>
  <c r="H63" i="1"/>
  <c r="I63" i="1" s="1"/>
  <c r="J63" i="1"/>
  <c r="B71" i="10"/>
  <c r="A67" i="8"/>
  <c r="H67" i="8" s="1"/>
  <c r="E66" i="8"/>
  <c r="A61" i="7"/>
  <c r="C61" i="7" s="1"/>
  <c r="B104" i="1"/>
  <c r="D103" i="1"/>
  <c r="E103" i="1"/>
  <c r="K57" i="4"/>
  <c r="C97" i="1" s="1"/>
  <c r="K104" i="1" l="1"/>
  <c r="N104" i="1"/>
  <c r="D40" i="10"/>
  <c r="E40" i="10" s="1"/>
  <c r="B36" i="8"/>
  <c r="G36" i="8" s="1"/>
  <c r="E22" i="7"/>
  <c r="G63" i="1" s="1"/>
  <c r="O63" i="1" s="1"/>
  <c r="D22" i="7"/>
  <c r="B72" i="10"/>
  <c r="A68" i="8"/>
  <c r="H68" i="8" s="1"/>
  <c r="E67" i="8"/>
  <c r="A62" i="7"/>
  <c r="C62" i="7" s="1"/>
  <c r="B105" i="1"/>
  <c r="D104" i="1"/>
  <c r="E104" i="1"/>
  <c r="K58" i="4"/>
  <c r="C98" i="1" s="1"/>
  <c r="K105" i="1" l="1"/>
  <c r="N105" i="1"/>
  <c r="F36" i="8"/>
  <c r="I36" i="8" s="1"/>
  <c r="J36" i="8" s="1"/>
  <c r="D36" i="8"/>
  <c r="C36" i="8" s="1"/>
  <c r="C41" i="10"/>
  <c r="P63" i="1"/>
  <c r="F64" i="1" s="1"/>
  <c r="B73" i="10"/>
  <c r="A69" i="8"/>
  <c r="H69" i="8" s="1"/>
  <c r="E68" i="8"/>
  <c r="A63" i="7"/>
  <c r="C63" i="7" s="1"/>
  <c r="B106" i="1"/>
  <c r="E105" i="1"/>
  <c r="D105" i="1"/>
  <c r="K59" i="4"/>
  <c r="C99" i="1" s="1"/>
  <c r="K106" i="1" l="1"/>
  <c r="B23" i="7"/>
  <c r="E23" i="7" s="1"/>
  <c r="L64" i="1"/>
  <c r="N106" i="1"/>
  <c r="B37" i="8"/>
  <c r="G37" i="8" s="1"/>
  <c r="D41" i="10"/>
  <c r="E41" i="10" s="1"/>
  <c r="Q64" i="1"/>
  <c r="J64" i="1"/>
  <c r="H64" i="1"/>
  <c r="I64" i="1" s="1"/>
  <c r="B74" i="10"/>
  <c r="A70" i="8"/>
  <c r="H70" i="8" s="1"/>
  <c r="E69" i="8"/>
  <c r="A64" i="7"/>
  <c r="C64" i="7" s="1"/>
  <c r="B107" i="1"/>
  <c r="D106" i="1"/>
  <c r="E106" i="1"/>
  <c r="K60" i="4"/>
  <c r="C100" i="1" s="1"/>
  <c r="D23" i="7" l="1"/>
  <c r="G64" i="1" s="1"/>
  <c r="O64" i="1" s="1"/>
  <c r="K107" i="1"/>
  <c r="N107" i="1"/>
  <c r="D37" i="8"/>
  <c r="C37" i="8" s="1"/>
  <c r="C42" i="10"/>
  <c r="F37" i="8"/>
  <c r="I37" i="8" s="1"/>
  <c r="J37" i="8" s="1"/>
  <c r="B75" i="10"/>
  <c r="A71" i="8"/>
  <c r="H71" i="8" s="1"/>
  <c r="E70" i="8"/>
  <c r="A65" i="7"/>
  <c r="C65" i="7" s="1"/>
  <c r="B108" i="1"/>
  <c r="D107" i="1"/>
  <c r="E107" i="1"/>
  <c r="K61" i="4"/>
  <c r="C101" i="1" s="1"/>
  <c r="K108" i="1" l="1"/>
  <c r="N108" i="1"/>
  <c r="B38" i="8"/>
  <c r="G38" i="8" s="1"/>
  <c r="D42" i="10"/>
  <c r="E42" i="10" s="1"/>
  <c r="B76" i="10"/>
  <c r="A72" i="8"/>
  <c r="H72" i="8" s="1"/>
  <c r="E71" i="8"/>
  <c r="P64" i="1"/>
  <c r="F65" i="1" s="1"/>
  <c r="A66" i="7"/>
  <c r="C66" i="7" s="1"/>
  <c r="E108" i="1"/>
  <c r="D108" i="1"/>
  <c r="B109" i="1"/>
  <c r="K62" i="4"/>
  <c r="C102" i="1" s="1"/>
  <c r="K109" i="1" l="1"/>
  <c r="B24" i="7"/>
  <c r="E24" i="7" s="1"/>
  <c r="L65" i="1"/>
  <c r="N109" i="1"/>
  <c r="D38" i="8"/>
  <c r="C38" i="8" s="1"/>
  <c r="C43" i="10"/>
  <c r="F38" i="8"/>
  <c r="I38" i="8" s="1"/>
  <c r="J38" i="8" s="1"/>
  <c r="J65" i="1"/>
  <c r="H65" i="1"/>
  <c r="I65" i="1" s="1"/>
  <c r="Q65" i="1"/>
  <c r="B77" i="10"/>
  <c r="A73" i="8"/>
  <c r="H73" i="8" s="1"/>
  <c r="E72" i="8"/>
  <c r="A67" i="7"/>
  <c r="C67" i="7" s="1"/>
  <c r="B110" i="1"/>
  <c r="E109" i="1"/>
  <c r="D109" i="1"/>
  <c r="K63" i="4"/>
  <c r="C103" i="1" s="1"/>
  <c r="D24" i="7" l="1"/>
  <c r="G65" i="1" s="1"/>
  <c r="O65" i="1" s="1"/>
  <c r="K110" i="1"/>
  <c r="N110" i="1"/>
  <c r="D43" i="10"/>
  <c r="E43" i="10" s="1"/>
  <c r="B39" i="8"/>
  <c r="G39" i="8" s="1"/>
  <c r="B78" i="10"/>
  <c r="A74" i="8"/>
  <c r="H74" i="8" s="1"/>
  <c r="E73" i="8"/>
  <c r="A68" i="7"/>
  <c r="C68" i="7" s="1"/>
  <c r="B111" i="1"/>
  <c r="E110" i="1"/>
  <c r="D110" i="1"/>
  <c r="K64" i="4"/>
  <c r="C104" i="1" s="1"/>
  <c r="K111" i="1" l="1"/>
  <c r="N111" i="1"/>
  <c r="C44" i="10"/>
  <c r="F39" i="8"/>
  <c r="I39" i="8" s="1"/>
  <c r="J39" i="8" s="1"/>
  <c r="D39" i="8"/>
  <c r="C39" i="8" s="1"/>
  <c r="B79" i="10"/>
  <c r="A75" i="8"/>
  <c r="H75" i="8" s="1"/>
  <c r="E74" i="8"/>
  <c r="P65" i="1"/>
  <c r="F66" i="1" s="1"/>
  <c r="A69" i="7"/>
  <c r="C69" i="7" s="1"/>
  <c r="B112" i="1"/>
  <c r="E111" i="1"/>
  <c r="D111" i="1"/>
  <c r="K65" i="4"/>
  <c r="C105" i="1" s="1"/>
  <c r="H66" i="1" l="1"/>
  <c r="I66" i="1" s="1"/>
  <c r="L66" i="1"/>
  <c r="K112" i="1"/>
  <c r="N112" i="1"/>
  <c r="B40" i="8"/>
  <c r="G40" i="8" s="1"/>
  <c r="D44" i="10"/>
  <c r="E44" i="10" s="1"/>
  <c r="Q66" i="1"/>
  <c r="B25" i="7"/>
  <c r="J66" i="1"/>
  <c r="B80" i="10"/>
  <c r="A76" i="8"/>
  <c r="H76" i="8" s="1"/>
  <c r="E75" i="8"/>
  <c r="A70" i="7"/>
  <c r="C70" i="7" s="1"/>
  <c r="B113" i="1"/>
  <c r="E112" i="1"/>
  <c r="D112" i="1"/>
  <c r="K66" i="4"/>
  <c r="C106" i="1" s="1"/>
  <c r="K113" i="1" l="1"/>
  <c r="N113" i="1"/>
  <c r="D40" i="8"/>
  <c r="C40" i="8" s="1"/>
  <c r="C45" i="10"/>
  <c r="F40" i="8"/>
  <c r="I40" i="8" s="1"/>
  <c r="J40" i="8" s="1"/>
  <c r="E25" i="7"/>
  <c r="D25" i="7"/>
  <c r="B81" i="10"/>
  <c r="A77" i="8"/>
  <c r="H77" i="8" s="1"/>
  <c r="E76" i="8"/>
  <c r="A71" i="7"/>
  <c r="C71" i="7" s="1"/>
  <c r="B114" i="1"/>
  <c r="E113" i="1"/>
  <c r="D113" i="1"/>
  <c r="K67" i="4"/>
  <c r="C107" i="1" s="1"/>
  <c r="G66" i="1" l="1"/>
  <c r="O66" i="1" s="1"/>
  <c r="K114" i="1"/>
  <c r="N114" i="1"/>
  <c r="D45" i="10"/>
  <c r="E45" i="10" s="1"/>
  <c r="B41" i="8"/>
  <c r="G41" i="8" s="1"/>
  <c r="B82" i="10"/>
  <c r="A78" i="8"/>
  <c r="H78" i="8" s="1"/>
  <c r="E77" i="8"/>
  <c r="A72" i="7"/>
  <c r="C72" i="7" s="1"/>
  <c r="B115" i="1"/>
  <c r="D114" i="1"/>
  <c r="E114" i="1"/>
  <c r="K68" i="4"/>
  <c r="C108" i="1" s="1"/>
  <c r="P66" i="1" l="1"/>
  <c r="F67" i="1" s="1"/>
  <c r="Q67" i="1" s="1"/>
  <c r="K115" i="1"/>
  <c r="N115" i="1"/>
  <c r="C46" i="10"/>
  <c r="F41" i="8"/>
  <c r="I41" i="8" s="1"/>
  <c r="J41" i="8" s="1"/>
  <c r="D41" i="8"/>
  <c r="C41" i="8" s="1"/>
  <c r="B83" i="10"/>
  <c r="A79" i="8"/>
  <c r="H79" i="8" s="1"/>
  <c r="E78" i="8"/>
  <c r="A73" i="7"/>
  <c r="C73" i="7" s="1"/>
  <c r="D115" i="1"/>
  <c r="E115" i="1"/>
  <c r="B116" i="1"/>
  <c r="K69" i="4"/>
  <c r="C109" i="1" s="1"/>
  <c r="B26" i="7" l="1"/>
  <c r="D26" i="7" s="1"/>
  <c r="H67" i="1"/>
  <c r="I67" i="1" s="1"/>
  <c r="J67" i="1"/>
  <c r="L67" i="1"/>
  <c r="K116" i="1"/>
  <c r="N116" i="1"/>
  <c r="D46" i="10"/>
  <c r="E46" i="10" s="1"/>
  <c r="B42" i="8"/>
  <c r="G42" i="8" s="1"/>
  <c r="B84" i="10"/>
  <c r="A80" i="8"/>
  <c r="H80" i="8" s="1"/>
  <c r="E79" i="8"/>
  <c r="A74" i="7"/>
  <c r="C74" i="7" s="1"/>
  <c r="E116" i="1"/>
  <c r="B117" i="1"/>
  <c r="D116" i="1"/>
  <c r="K70" i="4"/>
  <c r="C110" i="1" s="1"/>
  <c r="E26" i="7" l="1"/>
  <c r="G67" i="1" s="1"/>
  <c r="P67" i="1" s="1"/>
  <c r="F68" i="1" s="1"/>
  <c r="L68" i="1" s="1"/>
  <c r="K117" i="1"/>
  <c r="N117" i="1"/>
  <c r="D42" i="8"/>
  <c r="C42" i="8" s="1"/>
  <c r="F42" i="8"/>
  <c r="I42" i="8" s="1"/>
  <c r="J42" i="8" s="1"/>
  <c r="C47" i="10"/>
  <c r="B85" i="10"/>
  <c r="A81" i="8"/>
  <c r="H81" i="8" s="1"/>
  <c r="E80" i="8"/>
  <c r="A75" i="7"/>
  <c r="C75" i="7" s="1"/>
  <c r="B118" i="1"/>
  <c r="E117" i="1"/>
  <c r="D117" i="1"/>
  <c r="K71" i="4"/>
  <c r="C111" i="1" s="1"/>
  <c r="O67" i="1" l="1"/>
  <c r="J68" i="1"/>
  <c r="H68" i="1"/>
  <c r="I68" i="1" s="1"/>
  <c r="Q68" i="1"/>
  <c r="B27" i="7"/>
  <c r="E27" i="7" s="1"/>
  <c r="K118" i="1"/>
  <c r="N118" i="1"/>
  <c r="D47" i="10"/>
  <c r="E47" i="10" s="1"/>
  <c r="B43" i="8"/>
  <c r="G43" i="8" s="1"/>
  <c r="B86" i="10"/>
  <c r="A82" i="8"/>
  <c r="H82" i="8" s="1"/>
  <c r="E81" i="8"/>
  <c r="A76" i="7"/>
  <c r="C76" i="7" s="1"/>
  <c r="B119" i="1"/>
  <c r="D118" i="1"/>
  <c r="E118" i="1"/>
  <c r="K72" i="4"/>
  <c r="C112" i="1" s="1"/>
  <c r="D27" i="7" l="1"/>
  <c r="G68" i="1" s="1"/>
  <c r="O68" i="1" s="1"/>
  <c r="K119" i="1"/>
  <c r="N119" i="1"/>
  <c r="C48" i="10"/>
  <c r="F43" i="8"/>
  <c r="I43" i="8" s="1"/>
  <c r="J43" i="8" s="1"/>
  <c r="D43" i="8"/>
  <c r="C43" i="8" s="1"/>
  <c r="D48" i="10" s="1"/>
  <c r="B87" i="10"/>
  <c r="A83" i="8"/>
  <c r="H83" i="8" s="1"/>
  <c r="E82" i="8"/>
  <c r="A77" i="7"/>
  <c r="C77" i="7" s="1"/>
  <c r="D119" i="1"/>
  <c r="E119" i="1"/>
  <c r="B120" i="1"/>
  <c r="K73" i="4"/>
  <c r="C113" i="1" s="1"/>
  <c r="K120" i="1" l="1"/>
  <c r="N120" i="1"/>
  <c r="E48" i="10"/>
  <c r="B44" i="8"/>
  <c r="B88" i="10"/>
  <c r="A84" i="8"/>
  <c r="H84" i="8" s="1"/>
  <c r="E83" i="8"/>
  <c r="P68" i="1"/>
  <c r="F69" i="1" s="1"/>
  <c r="A78" i="7"/>
  <c r="C78" i="7" s="1"/>
  <c r="B121" i="1"/>
  <c r="D120" i="1"/>
  <c r="E120" i="1"/>
  <c r="K74" i="4"/>
  <c r="C114" i="1" s="1"/>
  <c r="B28" i="7" l="1"/>
  <c r="D28" i="7" s="1"/>
  <c r="L69" i="1"/>
  <c r="K121" i="1"/>
  <c r="N121" i="1"/>
  <c r="F44" i="8"/>
  <c r="G44" i="8"/>
  <c r="C49" i="10"/>
  <c r="D44" i="8"/>
  <c r="C44" i="8" s="1"/>
  <c r="J69" i="1"/>
  <c r="Q69" i="1"/>
  <c r="H69" i="1"/>
  <c r="I69" i="1" s="1"/>
  <c r="B89" i="10"/>
  <c r="A85" i="8"/>
  <c r="H85" i="8" s="1"/>
  <c r="E84" i="8"/>
  <c r="A79" i="7"/>
  <c r="C79" i="7" s="1"/>
  <c r="E121" i="1"/>
  <c r="B122" i="1"/>
  <c r="D121" i="1"/>
  <c r="K75" i="4"/>
  <c r="C115" i="1" s="1"/>
  <c r="E28" i="7" l="1"/>
  <c r="K122" i="1"/>
  <c r="I44" i="8"/>
  <c r="J44" i="8" s="1"/>
  <c r="N122" i="1"/>
  <c r="D49" i="10"/>
  <c r="E49" i="10" s="1"/>
  <c r="B45" i="8"/>
  <c r="G45" i="8" s="1"/>
  <c r="B90" i="10"/>
  <c r="A86" i="8"/>
  <c r="H86" i="8" s="1"/>
  <c r="E85" i="8"/>
  <c r="G69" i="1"/>
  <c r="A80" i="7"/>
  <c r="C80" i="7" s="1"/>
  <c r="B123" i="1"/>
  <c r="D122" i="1"/>
  <c r="E122" i="1"/>
  <c r="K76" i="4"/>
  <c r="C116" i="1" s="1"/>
  <c r="K123" i="1" l="1"/>
  <c r="P69" i="1"/>
  <c r="F70" i="1" s="1"/>
  <c r="L70" i="1" s="1"/>
  <c r="O69" i="1"/>
  <c r="N123" i="1"/>
  <c r="C50" i="10"/>
  <c r="D45" i="8"/>
  <c r="C45" i="8" s="1"/>
  <c r="D50" i="10" s="1"/>
  <c r="F45" i="8"/>
  <c r="I45" i="8" s="1"/>
  <c r="J45" i="8" s="1"/>
  <c r="B91" i="10"/>
  <c r="A87" i="8"/>
  <c r="H87" i="8" s="1"/>
  <c r="E86" i="8"/>
  <c r="A81" i="7"/>
  <c r="C81" i="7" s="1"/>
  <c r="B124" i="1"/>
  <c r="E123" i="1"/>
  <c r="D123" i="1"/>
  <c r="K77" i="4"/>
  <c r="C117" i="1" s="1"/>
  <c r="B29" i="7" l="1"/>
  <c r="E29" i="7" s="1"/>
  <c r="J70" i="1"/>
  <c r="Q70" i="1"/>
  <c r="H70" i="1"/>
  <c r="I70" i="1" s="1"/>
  <c r="K124" i="1"/>
  <c r="E50" i="10"/>
  <c r="N124" i="1"/>
  <c r="B46" i="8"/>
  <c r="G46" i="8" s="1"/>
  <c r="B92" i="10"/>
  <c r="A88" i="8"/>
  <c r="H88" i="8" s="1"/>
  <c r="E87" i="8"/>
  <c r="A82" i="7"/>
  <c r="C82" i="7" s="1"/>
  <c r="E124" i="1"/>
  <c r="D124" i="1"/>
  <c r="B125" i="1"/>
  <c r="K78" i="4"/>
  <c r="C118" i="1" s="1"/>
  <c r="D29" i="7" l="1"/>
  <c r="G70" i="1" s="1"/>
  <c r="K125" i="1"/>
  <c r="N125" i="1"/>
  <c r="C51" i="10"/>
  <c r="F46" i="8"/>
  <c r="I46" i="8" s="1"/>
  <c r="J46" i="8" s="1"/>
  <c r="D46" i="8"/>
  <c r="C46" i="8" s="1"/>
  <c r="B93" i="10"/>
  <c r="A89" i="8"/>
  <c r="H89" i="8" s="1"/>
  <c r="E88" i="8"/>
  <c r="A83" i="7"/>
  <c r="C83" i="7" s="1"/>
  <c r="B126" i="1"/>
  <c r="D125" i="1"/>
  <c r="E125" i="1"/>
  <c r="K79" i="4"/>
  <c r="C119" i="1" s="1"/>
  <c r="K126" i="1" l="1"/>
  <c r="P70" i="1"/>
  <c r="F71" i="1" s="1"/>
  <c r="L71" i="1" s="1"/>
  <c r="O70" i="1"/>
  <c r="N126" i="1"/>
  <c r="D51" i="10"/>
  <c r="E51" i="10" s="1"/>
  <c r="B47" i="8"/>
  <c r="G47" i="8" s="1"/>
  <c r="B94" i="10"/>
  <c r="A90" i="8"/>
  <c r="H90" i="8" s="1"/>
  <c r="E89" i="8"/>
  <c r="A84" i="7"/>
  <c r="C84" i="7" s="1"/>
  <c r="B127" i="1"/>
  <c r="D126" i="1"/>
  <c r="E126" i="1"/>
  <c r="K80" i="4"/>
  <c r="C120" i="1" s="1"/>
  <c r="B30" i="7" l="1"/>
  <c r="E30" i="7" s="1"/>
  <c r="J71" i="1"/>
  <c r="H71" i="1"/>
  <c r="I71" i="1" s="1"/>
  <c r="Q71" i="1"/>
  <c r="K127" i="1"/>
  <c r="N127" i="1"/>
  <c r="F47" i="8"/>
  <c r="I47" i="8" s="1"/>
  <c r="J47" i="8" s="1"/>
  <c r="D47" i="8"/>
  <c r="C47" i="8" s="1"/>
  <c r="C52" i="10"/>
  <c r="B95" i="10"/>
  <c r="A91" i="8"/>
  <c r="H91" i="8" s="1"/>
  <c r="E90" i="8"/>
  <c r="A85" i="7"/>
  <c r="C85" i="7" s="1"/>
  <c r="B128" i="1"/>
  <c r="E127" i="1"/>
  <c r="D127" i="1"/>
  <c r="K81" i="4"/>
  <c r="C121" i="1" s="1"/>
  <c r="D30" i="7" l="1"/>
  <c r="G71" i="1"/>
  <c r="O71" i="1" s="1"/>
  <c r="K128" i="1"/>
  <c r="N128" i="1"/>
  <c r="B48" i="8"/>
  <c r="G48" i="8" s="1"/>
  <c r="D52" i="10"/>
  <c r="E52" i="10" s="1"/>
  <c r="B96" i="10"/>
  <c r="A92" i="8"/>
  <c r="H92" i="8" s="1"/>
  <c r="E91" i="8"/>
  <c r="A86" i="7"/>
  <c r="C86" i="7" s="1"/>
  <c r="B129" i="1"/>
  <c r="D128" i="1"/>
  <c r="E128" i="1"/>
  <c r="K82" i="4"/>
  <c r="C122" i="1" s="1"/>
  <c r="P71" i="1" l="1"/>
  <c r="F72" i="1" s="1"/>
  <c r="L72" i="1" s="1"/>
  <c r="K129" i="1"/>
  <c r="N129" i="1"/>
  <c r="C53" i="10"/>
  <c r="F48" i="8"/>
  <c r="I48" i="8" s="1"/>
  <c r="J48" i="8" s="1"/>
  <c r="D48" i="8"/>
  <c r="C48" i="8" s="1"/>
  <c r="B97" i="10"/>
  <c r="A93" i="8"/>
  <c r="H93" i="8" s="1"/>
  <c r="E92" i="8"/>
  <c r="A87" i="7"/>
  <c r="C87" i="7" s="1"/>
  <c r="E129" i="1"/>
  <c r="B130" i="1"/>
  <c r="D129" i="1"/>
  <c r="K83" i="4"/>
  <c r="C123" i="1" s="1"/>
  <c r="Q72" i="1" l="1"/>
  <c r="B31" i="7"/>
  <c r="D31" i="7" s="1"/>
  <c r="J72" i="1"/>
  <c r="H72" i="1"/>
  <c r="I72" i="1" s="1"/>
  <c r="K130" i="1"/>
  <c r="N130" i="1"/>
  <c r="B49" i="8"/>
  <c r="G49" i="8" s="1"/>
  <c r="D53" i="10"/>
  <c r="E53" i="10" s="1"/>
  <c r="B98" i="10"/>
  <c r="A94" i="8"/>
  <c r="H94" i="8" s="1"/>
  <c r="E93" i="8"/>
  <c r="A88" i="7"/>
  <c r="C88" i="7" s="1"/>
  <c r="D130" i="1"/>
  <c r="B131" i="1"/>
  <c r="E130" i="1"/>
  <c r="K84" i="4"/>
  <c r="C124" i="1" s="1"/>
  <c r="E31" i="7" l="1"/>
  <c r="K131" i="1"/>
  <c r="N131" i="1"/>
  <c r="F49" i="8"/>
  <c r="I49" i="8" s="1"/>
  <c r="J49" i="8" s="1"/>
  <c r="D49" i="8"/>
  <c r="C49" i="8" s="1"/>
  <c r="C54" i="10"/>
  <c r="B99" i="10"/>
  <c r="A95" i="8"/>
  <c r="H95" i="8" s="1"/>
  <c r="E94" i="8"/>
  <c r="A89" i="7"/>
  <c r="C89" i="7" s="1"/>
  <c r="G72" i="1"/>
  <c r="O72" i="1" s="1"/>
  <c r="B132" i="1"/>
  <c r="D131" i="1"/>
  <c r="E131" i="1"/>
  <c r="K85" i="4"/>
  <c r="C125" i="1" s="1"/>
  <c r="K132" i="1" l="1"/>
  <c r="N132" i="1"/>
  <c r="B50" i="8"/>
  <c r="G50" i="8" s="1"/>
  <c r="D54" i="10"/>
  <c r="E54" i="10" s="1"/>
  <c r="B100" i="10"/>
  <c r="A96" i="8"/>
  <c r="H96" i="8" s="1"/>
  <c r="E95" i="8"/>
  <c r="P72" i="1"/>
  <c r="F73" i="1" s="1"/>
  <c r="L73" i="1" s="1"/>
  <c r="A90" i="7"/>
  <c r="C90" i="7" s="1"/>
  <c r="B133" i="1"/>
  <c r="D132" i="1"/>
  <c r="E132" i="1"/>
  <c r="K86" i="4"/>
  <c r="C126" i="1" s="1"/>
  <c r="K133" i="1" l="1"/>
  <c r="N133" i="1"/>
  <c r="D50" i="8"/>
  <c r="C50" i="8" s="1"/>
  <c r="F50" i="8"/>
  <c r="I50" i="8" s="1"/>
  <c r="J50" i="8" s="1"/>
  <c r="C55" i="10"/>
  <c r="B101" i="10"/>
  <c r="A97" i="8"/>
  <c r="H97" i="8" s="1"/>
  <c r="E96" i="8"/>
  <c r="H73" i="1"/>
  <c r="I73" i="1" s="1"/>
  <c r="Q73" i="1"/>
  <c r="J73" i="1"/>
  <c r="B32" i="7"/>
  <c r="A91" i="7"/>
  <c r="C91" i="7" s="1"/>
  <c r="E133" i="1"/>
  <c r="D133" i="1"/>
  <c r="B134" i="1"/>
  <c r="K87" i="4"/>
  <c r="C127" i="1" s="1"/>
  <c r="K134" i="1" l="1"/>
  <c r="N134" i="1"/>
  <c r="B51" i="8"/>
  <c r="G51" i="8" s="1"/>
  <c r="D55" i="10"/>
  <c r="E55" i="10" s="1"/>
  <c r="E32" i="7"/>
  <c r="D32" i="7"/>
  <c r="B102" i="10"/>
  <c r="A98" i="8"/>
  <c r="H98" i="8" s="1"/>
  <c r="E97" i="8"/>
  <c r="A92" i="7"/>
  <c r="C92" i="7" s="1"/>
  <c r="B135" i="1"/>
  <c r="D134" i="1"/>
  <c r="E134" i="1"/>
  <c r="K88" i="4"/>
  <c r="C128" i="1" s="1"/>
  <c r="G73" i="1" l="1"/>
  <c r="O73" i="1" s="1"/>
  <c r="K135" i="1"/>
  <c r="N135" i="1"/>
  <c r="F51" i="8"/>
  <c r="I51" i="8" s="1"/>
  <c r="J51" i="8" s="1"/>
  <c r="D51" i="8"/>
  <c r="C51" i="8" s="1"/>
  <c r="C56" i="10"/>
  <c r="B103" i="10"/>
  <c r="A99" i="8"/>
  <c r="H99" i="8" s="1"/>
  <c r="E98" i="8"/>
  <c r="A93" i="7"/>
  <c r="C93" i="7" s="1"/>
  <c r="B136" i="1"/>
  <c r="D135" i="1"/>
  <c r="E135" i="1"/>
  <c r="K89" i="4"/>
  <c r="C129" i="1" s="1"/>
  <c r="P73" i="1" l="1"/>
  <c r="F74" i="1" s="1"/>
  <c r="L74" i="1" s="1"/>
  <c r="K136" i="1"/>
  <c r="N136" i="1"/>
  <c r="D56" i="10"/>
  <c r="E56" i="10" s="1"/>
  <c r="B52" i="8"/>
  <c r="G52" i="8" s="1"/>
  <c r="B104" i="10"/>
  <c r="A100" i="8"/>
  <c r="H100" i="8" s="1"/>
  <c r="E99" i="8"/>
  <c r="A94" i="7"/>
  <c r="C94" i="7" s="1"/>
  <c r="D136" i="1"/>
  <c r="B137" i="1"/>
  <c r="E136" i="1"/>
  <c r="K90" i="4"/>
  <c r="C130" i="1" s="1"/>
  <c r="H74" i="1" l="1"/>
  <c r="I74" i="1" s="1"/>
  <c r="J74" i="1"/>
  <c r="B33" i="7"/>
  <c r="E33" i="7" s="1"/>
  <c r="Q74" i="1"/>
  <c r="K137" i="1"/>
  <c r="N137" i="1"/>
  <c r="D52" i="8"/>
  <c r="C52" i="8" s="1"/>
  <c r="D57" i="10" s="1"/>
  <c r="F52" i="8"/>
  <c r="I52" i="8" s="1"/>
  <c r="J52" i="8" s="1"/>
  <c r="C57" i="10"/>
  <c r="B105" i="10"/>
  <c r="A101" i="8"/>
  <c r="H101" i="8" s="1"/>
  <c r="E100" i="8"/>
  <c r="A95" i="7"/>
  <c r="C95" i="7" s="1"/>
  <c r="B138" i="1"/>
  <c r="E137" i="1"/>
  <c r="D137" i="1"/>
  <c r="K91" i="4"/>
  <c r="C131" i="1" s="1"/>
  <c r="D33" i="7" l="1"/>
  <c r="G74" i="1" s="1"/>
  <c r="K138" i="1"/>
  <c r="N138" i="1"/>
  <c r="E57" i="10"/>
  <c r="B53" i="8"/>
  <c r="G53" i="8" s="1"/>
  <c r="B106" i="10"/>
  <c r="A102" i="8"/>
  <c r="H102" i="8" s="1"/>
  <c r="E101" i="8"/>
  <c r="A96" i="7"/>
  <c r="C96" i="7" s="1"/>
  <c r="B139" i="1"/>
  <c r="D138" i="1"/>
  <c r="E138" i="1"/>
  <c r="K92" i="4"/>
  <c r="C132" i="1" s="1"/>
  <c r="P74" i="1" l="1"/>
  <c r="F75" i="1" s="1"/>
  <c r="L75" i="1" s="1"/>
  <c r="O74" i="1"/>
  <c r="K139" i="1"/>
  <c r="N139" i="1"/>
  <c r="C58" i="10"/>
  <c r="D53" i="8"/>
  <c r="C53" i="8" s="1"/>
  <c r="F53" i="8"/>
  <c r="I53" i="8" s="1"/>
  <c r="J53" i="8" s="1"/>
  <c r="B107" i="10"/>
  <c r="A103" i="8"/>
  <c r="H103" i="8" s="1"/>
  <c r="E102" i="8"/>
  <c r="A97" i="7"/>
  <c r="C97" i="7" s="1"/>
  <c r="D139" i="1"/>
  <c r="E139" i="1"/>
  <c r="B140" i="1"/>
  <c r="K93" i="4"/>
  <c r="C133" i="1" s="1"/>
  <c r="J75" i="1" l="1"/>
  <c r="B34" i="7"/>
  <c r="E34" i="7" s="1"/>
  <c r="Q75" i="1"/>
  <c r="H75" i="1"/>
  <c r="I75" i="1" s="1"/>
  <c r="K140" i="1"/>
  <c r="N140" i="1"/>
  <c r="B54" i="8"/>
  <c r="G54" i="8" s="1"/>
  <c r="D58" i="10"/>
  <c r="E58" i="10" s="1"/>
  <c r="B108" i="10"/>
  <c r="A104" i="8"/>
  <c r="H104" i="8" s="1"/>
  <c r="E103" i="8"/>
  <c r="A98" i="7"/>
  <c r="C98" i="7" s="1"/>
  <c r="B141" i="1"/>
  <c r="E140" i="1"/>
  <c r="D140" i="1"/>
  <c r="K94" i="4"/>
  <c r="C134" i="1" s="1"/>
  <c r="D34" i="7" l="1"/>
  <c r="G75" i="1" s="1"/>
  <c r="O75" i="1" s="1"/>
  <c r="K141" i="1"/>
  <c r="N141" i="1"/>
  <c r="C59" i="10"/>
  <c r="D54" i="8"/>
  <c r="C54" i="8" s="1"/>
  <c r="F54" i="8"/>
  <c r="I54" i="8" s="1"/>
  <c r="J54" i="8" s="1"/>
  <c r="B109" i="10"/>
  <c r="A105" i="8"/>
  <c r="H105" i="8" s="1"/>
  <c r="E104" i="8"/>
  <c r="A99" i="7"/>
  <c r="C99" i="7" s="1"/>
  <c r="B142" i="1"/>
  <c r="D141" i="1"/>
  <c r="E141" i="1"/>
  <c r="K95" i="4"/>
  <c r="C135" i="1" s="1"/>
  <c r="K142" i="1" l="1"/>
  <c r="P75" i="1"/>
  <c r="F76" i="1" s="1"/>
  <c r="N142" i="1"/>
  <c r="B55" i="8"/>
  <c r="G55" i="8" s="1"/>
  <c r="D59" i="10"/>
  <c r="E59" i="10" s="1"/>
  <c r="B110" i="10"/>
  <c r="A106" i="8"/>
  <c r="H106" i="8" s="1"/>
  <c r="E105" i="8"/>
  <c r="A100" i="7"/>
  <c r="C100" i="7" s="1"/>
  <c r="B143" i="1"/>
  <c r="D142" i="1"/>
  <c r="E142" i="1"/>
  <c r="K96" i="4"/>
  <c r="C136" i="1" s="1"/>
  <c r="B35" i="7" l="1"/>
  <c r="E35" i="7" s="1"/>
  <c r="L76" i="1"/>
  <c r="K143" i="1"/>
  <c r="J76" i="1"/>
  <c r="Q76" i="1"/>
  <c r="H76" i="1"/>
  <c r="I76" i="1" s="1"/>
  <c r="N143" i="1"/>
  <c r="F55" i="8"/>
  <c r="I55" i="8" s="1"/>
  <c r="J55" i="8" s="1"/>
  <c r="C60" i="10"/>
  <c r="D55" i="8"/>
  <c r="C55" i="8" s="1"/>
  <c r="B111" i="10"/>
  <c r="A107" i="8"/>
  <c r="H107" i="8" s="1"/>
  <c r="E106" i="8"/>
  <c r="A101" i="7"/>
  <c r="C101" i="7" s="1"/>
  <c r="B144" i="1"/>
  <c r="D143" i="1"/>
  <c r="E143" i="1"/>
  <c r="K97" i="4"/>
  <c r="C137" i="1" s="1"/>
  <c r="D35" i="7" l="1"/>
  <c r="K144" i="1"/>
  <c r="N144" i="1"/>
  <c r="D60" i="10"/>
  <c r="E60" i="10" s="1"/>
  <c r="B56" i="8"/>
  <c r="G56" i="8" s="1"/>
  <c r="G76" i="1"/>
  <c r="B112" i="10"/>
  <c r="A108" i="8"/>
  <c r="H108" i="8" s="1"/>
  <c r="E107" i="8"/>
  <c r="A102" i="7"/>
  <c r="C102" i="7" s="1"/>
  <c r="E144" i="1"/>
  <c r="B145" i="1"/>
  <c r="D144" i="1"/>
  <c r="K98" i="4"/>
  <c r="C138" i="1" s="1"/>
  <c r="P76" i="1" l="1"/>
  <c r="F77" i="1" s="1"/>
  <c r="L77" i="1" s="1"/>
  <c r="O76" i="1"/>
  <c r="K145" i="1"/>
  <c r="N145" i="1"/>
  <c r="C61" i="10"/>
  <c r="F56" i="8"/>
  <c r="I56" i="8" s="1"/>
  <c r="J56" i="8" s="1"/>
  <c r="D56" i="8"/>
  <c r="C56" i="8" s="1"/>
  <c r="B113" i="10"/>
  <c r="A109" i="8"/>
  <c r="H109" i="8" s="1"/>
  <c r="E108" i="8"/>
  <c r="A103" i="7"/>
  <c r="C103" i="7" s="1"/>
  <c r="E145" i="1"/>
  <c r="B146" i="1"/>
  <c r="D145" i="1"/>
  <c r="K99" i="4"/>
  <c r="C139" i="1" s="1"/>
  <c r="B36" i="7" l="1"/>
  <c r="D36" i="7" s="1"/>
  <c r="J77" i="1"/>
  <c r="H77" i="1"/>
  <c r="I77" i="1" s="1"/>
  <c r="Q77" i="1"/>
  <c r="K146" i="1"/>
  <c r="N146" i="1"/>
  <c r="D61" i="10"/>
  <c r="E61" i="10" s="1"/>
  <c r="B57" i="8"/>
  <c r="G57" i="8" s="1"/>
  <c r="B114" i="10"/>
  <c r="A110" i="8"/>
  <c r="H110" i="8" s="1"/>
  <c r="E109" i="8"/>
  <c r="A104" i="7"/>
  <c r="C104" i="7" s="1"/>
  <c r="D146" i="1"/>
  <c r="B147" i="1"/>
  <c r="E146" i="1"/>
  <c r="K100" i="4"/>
  <c r="C140" i="1" s="1"/>
  <c r="E36" i="7" l="1"/>
  <c r="G77" i="1"/>
  <c r="O77" i="1" s="1"/>
  <c r="K147" i="1"/>
  <c r="N147" i="1"/>
  <c r="C62" i="10"/>
  <c r="F57" i="8"/>
  <c r="I57" i="8" s="1"/>
  <c r="J57" i="8" s="1"/>
  <c r="D57" i="8"/>
  <c r="C57" i="8" s="1"/>
  <c r="B115" i="10"/>
  <c r="A111" i="8"/>
  <c r="H111" i="8" s="1"/>
  <c r="E110" i="8"/>
  <c r="A105" i="7"/>
  <c r="C105" i="7" s="1"/>
  <c r="B148" i="1"/>
  <c r="D147" i="1"/>
  <c r="E147" i="1"/>
  <c r="K101" i="4"/>
  <c r="C141" i="1" s="1"/>
  <c r="P77" i="1" l="1"/>
  <c r="F78" i="1" s="1"/>
  <c r="L78" i="1" s="1"/>
  <c r="K148" i="1"/>
  <c r="N148" i="1"/>
  <c r="B58" i="8"/>
  <c r="G58" i="8" s="1"/>
  <c r="D62" i="10"/>
  <c r="E62" i="10" s="1"/>
  <c r="B116" i="10"/>
  <c r="A112" i="8"/>
  <c r="H112" i="8" s="1"/>
  <c r="E111" i="8"/>
  <c r="A106" i="7"/>
  <c r="C106" i="7" s="1"/>
  <c r="E148" i="1"/>
  <c r="B149" i="1"/>
  <c r="D148" i="1"/>
  <c r="K102" i="4"/>
  <c r="C142" i="1" s="1"/>
  <c r="H78" i="1" l="1"/>
  <c r="I78" i="1" s="1"/>
  <c r="J78" i="1"/>
  <c r="Q78" i="1"/>
  <c r="B37" i="7"/>
  <c r="D37" i="7" s="1"/>
  <c r="K149" i="1"/>
  <c r="N149" i="1"/>
  <c r="C63" i="10"/>
  <c r="F58" i="8"/>
  <c r="I58" i="8" s="1"/>
  <c r="J58" i="8" s="1"/>
  <c r="D58" i="8"/>
  <c r="C58" i="8" s="1"/>
  <c r="B117" i="10"/>
  <c r="A113" i="8"/>
  <c r="H113" i="8" s="1"/>
  <c r="E112" i="8"/>
  <c r="A107" i="7"/>
  <c r="C107" i="7" s="1"/>
  <c r="E149" i="1"/>
  <c r="B150" i="1"/>
  <c r="D149" i="1"/>
  <c r="K103" i="4"/>
  <c r="C143" i="1" s="1"/>
  <c r="E37" i="7" l="1"/>
  <c r="G78" i="1" s="1"/>
  <c r="O78" i="1" s="1"/>
  <c r="K150" i="1"/>
  <c r="N150" i="1"/>
  <c r="D63" i="10"/>
  <c r="E63" i="10" s="1"/>
  <c r="B59" i="8"/>
  <c r="G59" i="8" s="1"/>
  <c r="B118" i="10"/>
  <c r="A114" i="8"/>
  <c r="H114" i="8" s="1"/>
  <c r="E113" i="8"/>
  <c r="A108" i="7"/>
  <c r="C108" i="7" s="1"/>
  <c r="D150" i="1"/>
  <c r="B151" i="1"/>
  <c r="E150" i="1"/>
  <c r="K104" i="4"/>
  <c r="C144" i="1" s="1"/>
  <c r="P78" i="1" l="1"/>
  <c r="F79" i="1" s="1"/>
  <c r="L79" i="1" s="1"/>
  <c r="K151" i="1"/>
  <c r="N151" i="1"/>
  <c r="D59" i="8"/>
  <c r="C59" i="8" s="1"/>
  <c r="F59" i="8"/>
  <c r="I59" i="8" s="1"/>
  <c r="J59" i="8" s="1"/>
  <c r="C64" i="10"/>
  <c r="B119" i="10"/>
  <c r="A115" i="8"/>
  <c r="H115" i="8" s="1"/>
  <c r="E114" i="8"/>
  <c r="A109" i="7"/>
  <c r="C109" i="7" s="1"/>
  <c r="B152" i="1"/>
  <c r="D151" i="1"/>
  <c r="E151" i="1"/>
  <c r="K105" i="4"/>
  <c r="C145" i="1" s="1"/>
  <c r="B38" i="7" l="1"/>
  <c r="E38" i="7" s="1"/>
  <c r="H79" i="1"/>
  <c r="I79" i="1" s="1"/>
  <c r="Q79" i="1"/>
  <c r="J79" i="1"/>
  <c r="K152" i="1"/>
  <c r="N152" i="1"/>
  <c r="D64" i="10"/>
  <c r="E64" i="10" s="1"/>
  <c r="B60" i="8"/>
  <c r="G60" i="8" s="1"/>
  <c r="B120" i="10"/>
  <c r="A116" i="8"/>
  <c r="H116" i="8" s="1"/>
  <c r="E115" i="8"/>
  <c r="A110" i="7"/>
  <c r="C110" i="7" s="1"/>
  <c r="D152" i="1"/>
  <c r="B153" i="1"/>
  <c r="E152" i="1"/>
  <c r="K106" i="4"/>
  <c r="C146" i="1" s="1"/>
  <c r="D38" i="7" l="1"/>
  <c r="G79" i="1"/>
  <c r="O79" i="1" s="1"/>
  <c r="K153" i="1"/>
  <c r="N153" i="1"/>
  <c r="C65" i="10"/>
  <c r="D60" i="8"/>
  <c r="C60" i="8" s="1"/>
  <c r="F60" i="8"/>
  <c r="I60" i="8" s="1"/>
  <c r="J60" i="8" s="1"/>
  <c r="B121" i="10"/>
  <c r="A117" i="8"/>
  <c r="H117" i="8" s="1"/>
  <c r="E116" i="8"/>
  <c r="A111" i="7"/>
  <c r="C111" i="7" s="1"/>
  <c r="B154" i="1"/>
  <c r="D153" i="1"/>
  <c r="E153" i="1"/>
  <c r="K107" i="4"/>
  <c r="C147" i="1" s="1"/>
  <c r="P79" i="1" l="1"/>
  <c r="F80" i="1" s="1"/>
  <c r="L80" i="1" s="1"/>
  <c r="K154" i="1"/>
  <c r="N154" i="1"/>
  <c r="B61" i="8"/>
  <c r="G61" i="8" s="1"/>
  <c r="D65" i="10"/>
  <c r="E65" i="10" s="1"/>
  <c r="B122" i="10"/>
  <c r="A118" i="8"/>
  <c r="H118" i="8" s="1"/>
  <c r="E117" i="8"/>
  <c r="A112" i="7"/>
  <c r="C112" i="7" s="1"/>
  <c r="D154" i="1"/>
  <c r="B155" i="1"/>
  <c r="E154" i="1"/>
  <c r="K108" i="4"/>
  <c r="C148" i="1" s="1"/>
  <c r="Q80" i="1" l="1"/>
  <c r="J80" i="1"/>
  <c r="B39" i="7"/>
  <c r="E39" i="7" s="1"/>
  <c r="H80" i="1"/>
  <c r="I80" i="1" s="1"/>
  <c r="K155" i="1"/>
  <c r="N155" i="1"/>
  <c r="C66" i="10"/>
  <c r="F61" i="8"/>
  <c r="I61" i="8" s="1"/>
  <c r="J61" i="8" s="1"/>
  <c r="D61" i="8"/>
  <c r="C61" i="8" s="1"/>
  <c r="B123" i="10"/>
  <c r="A119" i="8"/>
  <c r="H119" i="8" s="1"/>
  <c r="E118" i="8"/>
  <c r="A113" i="7"/>
  <c r="C113" i="7" s="1"/>
  <c r="B156" i="1"/>
  <c r="D155" i="1"/>
  <c r="E155" i="1"/>
  <c r="K109" i="4"/>
  <c r="C149" i="1" s="1"/>
  <c r="D39" i="7" l="1"/>
  <c r="G80" i="1" s="1"/>
  <c r="O80" i="1" s="1"/>
  <c r="K156" i="1"/>
  <c r="N156" i="1"/>
  <c r="D66" i="10"/>
  <c r="E66" i="10" s="1"/>
  <c r="B62" i="8"/>
  <c r="G62" i="8" s="1"/>
  <c r="B124" i="10"/>
  <c r="A120" i="8"/>
  <c r="H120" i="8" s="1"/>
  <c r="E119" i="8"/>
  <c r="A114" i="7"/>
  <c r="C114" i="7" s="1"/>
  <c r="B157" i="1"/>
  <c r="E156" i="1"/>
  <c r="D156" i="1"/>
  <c r="K110" i="4"/>
  <c r="C150" i="1" s="1"/>
  <c r="P80" i="1" l="1"/>
  <c r="F81" i="1" s="1"/>
  <c r="L81" i="1" s="1"/>
  <c r="K157" i="1"/>
  <c r="N157" i="1"/>
  <c r="F62" i="8"/>
  <c r="I62" i="8" s="1"/>
  <c r="J62" i="8" s="1"/>
  <c r="D62" i="8"/>
  <c r="C62" i="8" s="1"/>
  <c r="C67" i="10"/>
  <c r="B125" i="10"/>
  <c r="A121" i="8"/>
  <c r="H121" i="8" s="1"/>
  <c r="E120" i="8"/>
  <c r="A115" i="7"/>
  <c r="C115" i="7" s="1"/>
  <c r="B158" i="1"/>
  <c r="D157" i="1"/>
  <c r="E157" i="1"/>
  <c r="K111" i="4"/>
  <c r="C151" i="1" s="1"/>
  <c r="B40" i="7" l="1"/>
  <c r="D40" i="7" s="1"/>
  <c r="J81" i="1"/>
  <c r="Q81" i="1"/>
  <c r="H81" i="1"/>
  <c r="I81" i="1" s="1"/>
  <c r="K158" i="1"/>
  <c r="N158" i="1"/>
  <c r="B63" i="8"/>
  <c r="G63" i="8" s="1"/>
  <c r="D67" i="10"/>
  <c r="E67" i="10" s="1"/>
  <c r="B126" i="10"/>
  <c r="A122" i="8"/>
  <c r="H122" i="8" s="1"/>
  <c r="E121" i="8"/>
  <c r="A116" i="7"/>
  <c r="C116" i="7" s="1"/>
  <c r="D158" i="1"/>
  <c r="E158" i="1"/>
  <c r="B159" i="1"/>
  <c r="K112" i="4"/>
  <c r="C152" i="1" s="1"/>
  <c r="E40" i="7" l="1"/>
  <c r="G81" i="1"/>
  <c r="O81" i="1" s="1"/>
  <c r="K159" i="1"/>
  <c r="N159" i="1"/>
  <c r="C68" i="10"/>
  <c r="D63" i="8"/>
  <c r="C63" i="8" s="1"/>
  <c r="F63" i="8"/>
  <c r="I63" i="8" s="1"/>
  <c r="J63" i="8" s="1"/>
  <c r="B127" i="10"/>
  <c r="A123" i="8"/>
  <c r="H123" i="8" s="1"/>
  <c r="E122" i="8"/>
  <c r="A117" i="7"/>
  <c r="C117" i="7" s="1"/>
  <c r="B160" i="1"/>
  <c r="D159" i="1"/>
  <c r="E159" i="1"/>
  <c r="K113" i="4"/>
  <c r="C153" i="1" s="1"/>
  <c r="P81" i="1" l="1"/>
  <c r="F82" i="1" s="1"/>
  <c r="L82" i="1" s="1"/>
  <c r="K160" i="1"/>
  <c r="N160" i="1"/>
  <c r="B64" i="8"/>
  <c r="G64" i="8" s="1"/>
  <c r="D68" i="10"/>
  <c r="E68" i="10" s="1"/>
  <c r="B128" i="10"/>
  <c r="A124" i="8"/>
  <c r="H124" i="8" s="1"/>
  <c r="E123" i="8"/>
  <c r="A118" i="7"/>
  <c r="C118" i="7" s="1"/>
  <c r="B161" i="1"/>
  <c r="D160" i="1"/>
  <c r="E160" i="1"/>
  <c r="K114" i="4"/>
  <c r="C154" i="1" s="1"/>
  <c r="J82" i="1" l="1"/>
  <c r="B41" i="7"/>
  <c r="D41" i="7" s="1"/>
  <c r="Q82" i="1"/>
  <c r="H82" i="1"/>
  <c r="I82" i="1" s="1"/>
  <c r="K161" i="1"/>
  <c r="N161" i="1"/>
  <c r="F64" i="8"/>
  <c r="I64" i="8" s="1"/>
  <c r="J64" i="8" s="1"/>
  <c r="D64" i="8"/>
  <c r="C64" i="8" s="1"/>
  <c r="C69" i="10"/>
  <c r="B129" i="10"/>
  <c r="A125" i="8"/>
  <c r="H125" i="8" s="1"/>
  <c r="E124" i="8"/>
  <c r="A119" i="7"/>
  <c r="C119" i="7" s="1"/>
  <c r="B162" i="1"/>
  <c r="D161" i="1"/>
  <c r="E161" i="1"/>
  <c r="K115" i="4"/>
  <c r="C155" i="1" s="1"/>
  <c r="E41" i="7" l="1"/>
  <c r="K162" i="1"/>
  <c r="N162" i="1"/>
  <c r="B65" i="8"/>
  <c r="G65" i="8" s="1"/>
  <c r="D69" i="10"/>
  <c r="E69" i="10" s="1"/>
  <c r="B130" i="10"/>
  <c r="A126" i="8"/>
  <c r="H126" i="8" s="1"/>
  <c r="E125" i="8"/>
  <c r="A120" i="7"/>
  <c r="C120" i="7" s="1"/>
  <c r="G82" i="1"/>
  <c r="O82" i="1" s="1"/>
  <c r="D162" i="1"/>
  <c r="B163" i="1"/>
  <c r="E162" i="1"/>
  <c r="K116" i="4"/>
  <c r="C156" i="1" s="1"/>
  <c r="K163" i="1" l="1"/>
  <c r="N163" i="1"/>
  <c r="D65" i="8"/>
  <c r="C65" i="8" s="1"/>
  <c r="C70" i="10"/>
  <c r="F65" i="8"/>
  <c r="I65" i="8" s="1"/>
  <c r="J65" i="8" s="1"/>
  <c r="B131" i="10"/>
  <c r="A127" i="8"/>
  <c r="H127" i="8" s="1"/>
  <c r="E126" i="8"/>
  <c r="P82" i="1"/>
  <c r="F83" i="1" s="1"/>
  <c r="L83" i="1" s="1"/>
  <c r="A121" i="7"/>
  <c r="C121" i="7" s="1"/>
  <c r="B164" i="1"/>
  <c r="E163" i="1"/>
  <c r="D163" i="1"/>
  <c r="K117" i="4"/>
  <c r="C157" i="1" s="1"/>
  <c r="K164" i="1" l="1"/>
  <c r="N164" i="1"/>
  <c r="B66" i="8"/>
  <c r="G66" i="8" s="1"/>
  <c r="D70" i="10"/>
  <c r="E70" i="10" s="1"/>
  <c r="B132" i="10"/>
  <c r="A128" i="8"/>
  <c r="H128" i="8" s="1"/>
  <c r="E127" i="8"/>
  <c r="A122" i="7"/>
  <c r="C122" i="7" s="1"/>
  <c r="H83" i="1"/>
  <c r="I83" i="1" s="1"/>
  <c r="B42" i="7"/>
  <c r="J83" i="1"/>
  <c r="Q83" i="1"/>
  <c r="D164" i="1"/>
  <c r="B165" i="1"/>
  <c r="E164" i="1"/>
  <c r="K118" i="4"/>
  <c r="C158" i="1" s="1"/>
  <c r="K165" i="1" l="1"/>
  <c r="N165" i="1"/>
  <c r="F66" i="8"/>
  <c r="I66" i="8" s="1"/>
  <c r="J66" i="8" s="1"/>
  <c r="C71" i="10"/>
  <c r="D66" i="8"/>
  <c r="C66" i="8" s="1"/>
  <c r="D71" i="10" s="1"/>
  <c r="E42" i="7"/>
  <c r="G83" i="1" s="1"/>
  <c r="O83" i="1" s="1"/>
  <c r="D42" i="7"/>
  <c r="B133" i="10"/>
  <c r="A129" i="8"/>
  <c r="H129" i="8" s="1"/>
  <c r="E128" i="8"/>
  <c r="A123" i="7"/>
  <c r="C123" i="7" s="1"/>
  <c r="B166" i="1"/>
  <c r="D165" i="1"/>
  <c r="E165" i="1"/>
  <c r="K119" i="4"/>
  <c r="C159" i="1" s="1"/>
  <c r="K166" i="1" l="1"/>
  <c r="E71" i="10"/>
  <c r="N166" i="1"/>
  <c r="B67" i="8"/>
  <c r="G67" i="8" s="1"/>
  <c r="B134" i="10"/>
  <c r="A130" i="8"/>
  <c r="H130" i="8" s="1"/>
  <c r="E129" i="8"/>
  <c r="A124" i="7"/>
  <c r="C124" i="7" s="1"/>
  <c r="P83" i="1"/>
  <c r="F84" i="1" s="1"/>
  <c r="L84" i="1" s="1"/>
  <c r="B167" i="1"/>
  <c r="D166" i="1"/>
  <c r="E166" i="1"/>
  <c r="K120" i="4"/>
  <c r="C160" i="1" s="1"/>
  <c r="K167" i="1" l="1"/>
  <c r="N167" i="1"/>
  <c r="C72" i="10"/>
  <c r="D67" i="8"/>
  <c r="C67" i="8" s="1"/>
  <c r="D72" i="10" s="1"/>
  <c r="F67" i="8"/>
  <c r="I67" i="8" s="1"/>
  <c r="J67" i="8" s="1"/>
  <c r="B135" i="10"/>
  <c r="A131" i="8"/>
  <c r="H131" i="8" s="1"/>
  <c r="E130" i="8"/>
  <c r="B43" i="7"/>
  <c r="Q84" i="1"/>
  <c r="H84" i="1"/>
  <c r="I84" i="1" s="1"/>
  <c r="J84" i="1"/>
  <c r="A125" i="7"/>
  <c r="C125" i="7" s="1"/>
  <c r="B168" i="1"/>
  <c r="D167" i="1"/>
  <c r="E167" i="1"/>
  <c r="K121" i="4"/>
  <c r="C161" i="1" s="1"/>
  <c r="E72" i="10" l="1"/>
  <c r="K168" i="1"/>
  <c r="N168" i="1"/>
  <c r="B68" i="8"/>
  <c r="G68" i="8" s="1"/>
  <c r="D43" i="7"/>
  <c r="E43" i="7"/>
  <c r="G84" i="1" s="1"/>
  <c r="O84" i="1" s="1"/>
  <c r="B136" i="10"/>
  <c r="A132" i="8"/>
  <c r="H132" i="8" s="1"/>
  <c r="E131" i="8"/>
  <c r="A126" i="7"/>
  <c r="C126" i="7" s="1"/>
  <c r="B169" i="1"/>
  <c r="D168" i="1"/>
  <c r="E168" i="1"/>
  <c r="K122" i="4"/>
  <c r="C162" i="1" s="1"/>
  <c r="K169" i="1" l="1"/>
  <c r="N169" i="1"/>
  <c r="C73" i="10"/>
  <c r="F68" i="8"/>
  <c r="I68" i="8" s="1"/>
  <c r="J68" i="8" s="1"/>
  <c r="D68" i="8"/>
  <c r="C68" i="8" s="1"/>
  <c r="B137" i="10"/>
  <c r="A133" i="8"/>
  <c r="H133" i="8" s="1"/>
  <c r="E132" i="8"/>
  <c r="A127" i="7"/>
  <c r="C127" i="7" s="1"/>
  <c r="P84" i="1"/>
  <c r="F85" i="1" s="1"/>
  <c r="L85" i="1" s="1"/>
  <c r="D169" i="1"/>
  <c r="B170" i="1"/>
  <c r="E169" i="1"/>
  <c r="K123" i="4"/>
  <c r="C163" i="1" s="1"/>
  <c r="K170" i="1" l="1"/>
  <c r="N170" i="1"/>
  <c r="B69" i="8"/>
  <c r="G69" i="8" s="1"/>
  <c r="D73" i="10"/>
  <c r="E73" i="10" s="1"/>
  <c r="B138" i="10"/>
  <c r="A134" i="8"/>
  <c r="H134" i="8" s="1"/>
  <c r="E133" i="8"/>
  <c r="J85" i="1"/>
  <c r="B44" i="7"/>
  <c r="H85" i="1"/>
  <c r="I85" i="1" s="1"/>
  <c r="Q85" i="1"/>
  <c r="A128" i="7"/>
  <c r="C128" i="7" s="1"/>
  <c r="B171" i="1"/>
  <c r="E170" i="1"/>
  <c r="D170" i="1"/>
  <c r="K124" i="4"/>
  <c r="C164" i="1" s="1"/>
  <c r="K171" i="1" l="1"/>
  <c r="N171" i="1"/>
  <c r="D69" i="8"/>
  <c r="C69" i="8" s="1"/>
  <c r="D74" i="10" s="1"/>
  <c r="F69" i="8"/>
  <c r="I69" i="8" s="1"/>
  <c r="J69" i="8" s="1"/>
  <c r="C74" i="10"/>
  <c r="E44" i="7"/>
  <c r="D44" i="7"/>
  <c r="B139" i="10"/>
  <c r="A135" i="8"/>
  <c r="H135" i="8" s="1"/>
  <c r="E134" i="8"/>
  <c r="A129" i="7"/>
  <c r="C129" i="7" s="1"/>
  <c r="D171" i="1"/>
  <c r="B172" i="1"/>
  <c r="E171" i="1"/>
  <c r="K125" i="4"/>
  <c r="C165" i="1" s="1"/>
  <c r="K172" i="1" l="1"/>
  <c r="N172" i="1"/>
  <c r="E74" i="10"/>
  <c r="B70" i="8"/>
  <c r="G70" i="8" s="1"/>
  <c r="B140" i="10"/>
  <c r="A136" i="8"/>
  <c r="H136" i="8" s="1"/>
  <c r="E135" i="8"/>
  <c r="G85" i="1"/>
  <c r="O85" i="1" s="1"/>
  <c r="A130" i="7"/>
  <c r="C130" i="7" s="1"/>
  <c r="B173" i="1"/>
  <c r="E172" i="1"/>
  <c r="D172" i="1"/>
  <c r="K126" i="4"/>
  <c r="C166" i="1" s="1"/>
  <c r="K173" i="1" l="1"/>
  <c r="N173" i="1"/>
  <c r="C75" i="10"/>
  <c r="D70" i="8"/>
  <c r="C70" i="8" s="1"/>
  <c r="F70" i="8"/>
  <c r="I70" i="8" s="1"/>
  <c r="J70" i="8" s="1"/>
  <c r="B141" i="10"/>
  <c r="A137" i="8"/>
  <c r="H137" i="8" s="1"/>
  <c r="E136" i="8"/>
  <c r="P85" i="1"/>
  <c r="F86" i="1" s="1"/>
  <c r="A131" i="7"/>
  <c r="C131" i="7" s="1"/>
  <c r="E173" i="1"/>
  <c r="B174" i="1"/>
  <c r="D173" i="1"/>
  <c r="K127" i="4"/>
  <c r="C167" i="1" s="1"/>
  <c r="K174" i="1" l="1"/>
  <c r="H86" i="1"/>
  <c r="I86" i="1" s="1"/>
  <c r="L86" i="1"/>
  <c r="N174" i="1"/>
  <c r="B71" i="8"/>
  <c r="G71" i="8" s="1"/>
  <c r="D75" i="10"/>
  <c r="E75" i="10" s="1"/>
  <c r="B45" i="7"/>
  <c r="J86" i="1"/>
  <c r="Q86" i="1"/>
  <c r="B142" i="10"/>
  <c r="A138" i="8"/>
  <c r="H138" i="8" s="1"/>
  <c r="E137" i="8"/>
  <c r="A132" i="7"/>
  <c r="C132" i="7" s="1"/>
  <c r="B175" i="1"/>
  <c r="D174" i="1"/>
  <c r="E174" i="1"/>
  <c r="K128" i="4"/>
  <c r="C168" i="1" s="1"/>
  <c r="K175" i="1" l="1"/>
  <c r="N175" i="1"/>
  <c r="D71" i="8"/>
  <c r="C71" i="8" s="1"/>
  <c r="F71" i="8"/>
  <c r="I71" i="8" s="1"/>
  <c r="J71" i="8" s="1"/>
  <c r="C76" i="10"/>
  <c r="D45" i="7"/>
  <c r="E45" i="7"/>
  <c r="G86" i="1" s="1"/>
  <c r="O86" i="1" s="1"/>
  <c r="B143" i="10"/>
  <c r="A139" i="8"/>
  <c r="H139" i="8" s="1"/>
  <c r="E138" i="8"/>
  <c r="A133" i="7"/>
  <c r="C133" i="7" s="1"/>
  <c r="B176" i="1"/>
  <c r="D175" i="1"/>
  <c r="E175" i="1"/>
  <c r="K129" i="4"/>
  <c r="C169" i="1" s="1"/>
  <c r="K176" i="1" l="1"/>
  <c r="N176" i="1"/>
  <c r="D76" i="10"/>
  <c r="E76" i="10" s="1"/>
  <c r="B72" i="8"/>
  <c r="G72" i="8" s="1"/>
  <c r="P86" i="1"/>
  <c r="F87" i="1" s="1"/>
  <c r="L87" i="1" s="1"/>
  <c r="B144" i="10"/>
  <c r="A140" i="8"/>
  <c r="H140" i="8" s="1"/>
  <c r="E139" i="8"/>
  <c r="A134" i="7"/>
  <c r="C134" i="7" s="1"/>
  <c r="D176" i="1"/>
  <c r="E176" i="1"/>
  <c r="B177" i="1"/>
  <c r="K130" i="4"/>
  <c r="C170" i="1" s="1"/>
  <c r="K177" i="1" l="1"/>
  <c r="N177" i="1"/>
  <c r="B46" i="7"/>
  <c r="E46" i="7" s="1"/>
  <c r="Q87" i="1"/>
  <c r="C77" i="10"/>
  <c r="F72" i="8"/>
  <c r="I72" i="8" s="1"/>
  <c r="J72" i="8" s="1"/>
  <c r="D72" i="8"/>
  <c r="C72" i="8" s="1"/>
  <c r="H87" i="1"/>
  <c r="I87" i="1" s="1"/>
  <c r="J87" i="1"/>
  <c r="B145" i="10"/>
  <c r="A141" i="8"/>
  <c r="H141" i="8" s="1"/>
  <c r="E140" i="8"/>
  <c r="A135" i="7"/>
  <c r="C135" i="7" s="1"/>
  <c r="B178" i="1"/>
  <c r="D177" i="1"/>
  <c r="E177" i="1"/>
  <c r="K131" i="4"/>
  <c r="C171" i="1" s="1"/>
  <c r="K178" i="1" l="1"/>
  <c r="D46" i="7"/>
  <c r="G87" i="1" s="1"/>
  <c r="N178" i="1"/>
  <c r="D77" i="10"/>
  <c r="E77" i="10" s="1"/>
  <c r="B73" i="8"/>
  <c r="G73" i="8" s="1"/>
  <c r="B146" i="10"/>
  <c r="A142" i="8"/>
  <c r="H142" i="8" s="1"/>
  <c r="E141" i="8"/>
  <c r="A136" i="7"/>
  <c r="C136" i="7" s="1"/>
  <c r="B179" i="1"/>
  <c r="E178" i="1"/>
  <c r="D178" i="1"/>
  <c r="K132" i="4"/>
  <c r="C172" i="1" s="1"/>
  <c r="O87" i="1" l="1"/>
  <c r="P87" i="1"/>
  <c r="F88" i="1" s="1"/>
  <c r="L88" i="1" s="1"/>
  <c r="K179" i="1"/>
  <c r="N179" i="1"/>
  <c r="F73" i="8"/>
  <c r="I73" i="8" s="1"/>
  <c r="J73" i="8" s="1"/>
  <c r="D73" i="8"/>
  <c r="C73" i="8" s="1"/>
  <c r="C78" i="10"/>
  <c r="B147" i="10"/>
  <c r="A143" i="8"/>
  <c r="H143" i="8" s="1"/>
  <c r="E142" i="8"/>
  <c r="A137" i="7"/>
  <c r="C137" i="7" s="1"/>
  <c r="D179" i="1"/>
  <c r="B180" i="1"/>
  <c r="E179" i="1"/>
  <c r="K133" i="4"/>
  <c r="C173" i="1" s="1"/>
  <c r="B47" i="7" l="1"/>
  <c r="D47" i="7" s="1"/>
  <c r="J88" i="1"/>
  <c r="H88" i="1"/>
  <c r="I88" i="1" s="1"/>
  <c r="Q88" i="1"/>
  <c r="K180" i="1"/>
  <c r="N180" i="1"/>
  <c r="B74" i="8"/>
  <c r="G74" i="8" s="1"/>
  <c r="D78" i="10"/>
  <c r="E78" i="10" s="1"/>
  <c r="B148" i="10"/>
  <c r="A144" i="8"/>
  <c r="H144" i="8" s="1"/>
  <c r="E143" i="8"/>
  <c r="A138" i="7"/>
  <c r="C138" i="7" s="1"/>
  <c r="B181" i="1"/>
  <c r="E180" i="1"/>
  <c r="D180" i="1"/>
  <c r="K134" i="4"/>
  <c r="C174" i="1" s="1"/>
  <c r="E47" i="7" l="1"/>
  <c r="K181" i="1"/>
  <c r="N181" i="1"/>
  <c r="G88" i="1"/>
  <c r="C79" i="10"/>
  <c r="D74" i="8"/>
  <c r="C74" i="8" s="1"/>
  <c r="F74" i="8"/>
  <c r="I74" i="8" s="1"/>
  <c r="J74" i="8" s="1"/>
  <c r="B149" i="10"/>
  <c r="A145" i="8"/>
  <c r="H145" i="8" s="1"/>
  <c r="E144" i="8"/>
  <c r="A139" i="7"/>
  <c r="C139" i="7" s="1"/>
  <c r="B182" i="1"/>
  <c r="D181" i="1"/>
  <c r="E181" i="1"/>
  <c r="K135" i="4"/>
  <c r="C175" i="1" s="1"/>
  <c r="P88" i="1" l="1"/>
  <c r="F89" i="1" s="1"/>
  <c r="L89" i="1" s="1"/>
  <c r="O88" i="1"/>
  <c r="K182" i="1"/>
  <c r="N182" i="1"/>
  <c r="B75" i="8"/>
  <c r="G75" i="8" s="1"/>
  <c r="D79" i="10"/>
  <c r="E79" i="10" s="1"/>
  <c r="B150" i="10"/>
  <c r="A146" i="8"/>
  <c r="H146" i="8" s="1"/>
  <c r="E145" i="8"/>
  <c r="A140" i="7"/>
  <c r="C140" i="7" s="1"/>
  <c r="B183" i="1"/>
  <c r="E182" i="1"/>
  <c r="D182" i="1"/>
  <c r="K136" i="4"/>
  <c r="C176" i="1" s="1"/>
  <c r="B48" i="7" l="1"/>
  <c r="E48" i="7" s="1"/>
  <c r="J89" i="1"/>
  <c r="Q89" i="1"/>
  <c r="H89" i="1"/>
  <c r="I89" i="1" s="1"/>
  <c r="K183" i="1"/>
  <c r="N183" i="1"/>
  <c r="C80" i="10"/>
  <c r="D75" i="8"/>
  <c r="C75" i="8" s="1"/>
  <c r="F75" i="8"/>
  <c r="I75" i="8" s="1"/>
  <c r="J75" i="8" s="1"/>
  <c r="B151" i="10"/>
  <c r="A147" i="8"/>
  <c r="H147" i="8" s="1"/>
  <c r="E146" i="8"/>
  <c r="A141" i="7"/>
  <c r="C141" i="7" s="1"/>
  <c r="D183" i="1"/>
  <c r="B184" i="1"/>
  <c r="E183" i="1"/>
  <c r="K137" i="4"/>
  <c r="C177" i="1" s="1"/>
  <c r="D48" i="7" l="1"/>
  <c r="G89" i="1"/>
  <c r="O89" i="1" s="1"/>
  <c r="K184" i="1"/>
  <c r="N184" i="1"/>
  <c r="B76" i="8"/>
  <c r="G76" i="8" s="1"/>
  <c r="D80" i="10"/>
  <c r="E80" i="10" s="1"/>
  <c r="B152" i="10"/>
  <c r="A148" i="8"/>
  <c r="H148" i="8" s="1"/>
  <c r="E147" i="8"/>
  <c r="A142" i="7"/>
  <c r="C142" i="7" s="1"/>
  <c r="D184" i="1"/>
  <c r="B185" i="1"/>
  <c r="E184" i="1"/>
  <c r="K138" i="4"/>
  <c r="C178" i="1" s="1"/>
  <c r="P89" i="1" l="1"/>
  <c r="F90" i="1" s="1"/>
  <c r="L90" i="1" s="1"/>
  <c r="K185" i="1"/>
  <c r="N185" i="1"/>
  <c r="F76" i="8"/>
  <c r="I76" i="8" s="1"/>
  <c r="J76" i="8" s="1"/>
  <c r="C81" i="10"/>
  <c r="D76" i="8"/>
  <c r="C76" i="8" s="1"/>
  <c r="B153" i="10"/>
  <c r="A149" i="8"/>
  <c r="H149" i="8" s="1"/>
  <c r="E148" i="8"/>
  <c r="A143" i="7"/>
  <c r="C143" i="7" s="1"/>
  <c r="E185" i="1"/>
  <c r="D185" i="1"/>
  <c r="B186" i="1"/>
  <c r="K139" i="4"/>
  <c r="C179" i="1" s="1"/>
  <c r="J90" i="1" l="1"/>
  <c r="H90" i="1"/>
  <c r="I90" i="1" s="1"/>
  <c r="Q90" i="1"/>
  <c r="B49" i="7"/>
  <c r="E49" i="7" s="1"/>
  <c r="K186" i="1"/>
  <c r="N186" i="1"/>
  <c r="D81" i="10"/>
  <c r="E81" i="10" s="1"/>
  <c r="B77" i="8"/>
  <c r="G77" i="8" s="1"/>
  <c r="B154" i="10"/>
  <c r="A150" i="8"/>
  <c r="H150" i="8" s="1"/>
  <c r="E149" i="8"/>
  <c r="A144" i="7"/>
  <c r="C144" i="7" s="1"/>
  <c r="B187" i="1"/>
  <c r="D186" i="1"/>
  <c r="E186" i="1"/>
  <c r="K140" i="4"/>
  <c r="C180" i="1" s="1"/>
  <c r="D49" i="7" l="1"/>
  <c r="G90" i="1" s="1"/>
  <c r="K187" i="1"/>
  <c r="N187" i="1"/>
  <c r="C82" i="10"/>
  <c r="F77" i="8"/>
  <c r="I77" i="8" s="1"/>
  <c r="J77" i="8" s="1"/>
  <c r="D77" i="8"/>
  <c r="C77" i="8" s="1"/>
  <c r="B155" i="10"/>
  <c r="A151" i="8"/>
  <c r="H151" i="8" s="1"/>
  <c r="E150" i="8"/>
  <c r="A145" i="7"/>
  <c r="C145" i="7" s="1"/>
  <c r="B188" i="1"/>
  <c r="D187" i="1"/>
  <c r="E187" i="1"/>
  <c r="K141" i="4"/>
  <c r="C181" i="1" s="1"/>
  <c r="O90" i="1" l="1"/>
  <c r="P90" i="1"/>
  <c r="F91" i="1" s="1"/>
  <c r="L91" i="1" s="1"/>
  <c r="K188" i="1"/>
  <c r="N188" i="1"/>
  <c r="B78" i="8"/>
  <c r="G78" i="8" s="1"/>
  <c r="D82" i="10"/>
  <c r="E82" i="10" s="1"/>
  <c r="B156" i="10"/>
  <c r="A152" i="8"/>
  <c r="H152" i="8" s="1"/>
  <c r="E151" i="8"/>
  <c r="A146" i="7"/>
  <c r="C146" i="7" s="1"/>
  <c r="B189" i="1"/>
  <c r="D188" i="1"/>
  <c r="E188" i="1"/>
  <c r="K142" i="4"/>
  <c r="C182" i="1" s="1"/>
  <c r="B50" i="7" l="1"/>
  <c r="E50" i="7" s="1"/>
  <c r="Q91" i="1"/>
  <c r="J91" i="1"/>
  <c r="H91" i="1"/>
  <c r="I91" i="1" s="1"/>
  <c r="K189" i="1"/>
  <c r="N189" i="1"/>
  <c r="F78" i="8"/>
  <c r="I78" i="8" s="1"/>
  <c r="J78" i="8" s="1"/>
  <c r="D78" i="8"/>
  <c r="C78" i="8" s="1"/>
  <c r="C83" i="10"/>
  <c r="B157" i="10"/>
  <c r="A153" i="8"/>
  <c r="H153" i="8" s="1"/>
  <c r="E152" i="8"/>
  <c r="A147" i="7"/>
  <c r="C147" i="7" s="1"/>
  <c r="E189" i="1"/>
  <c r="B190" i="1"/>
  <c r="D189" i="1"/>
  <c r="K143" i="4"/>
  <c r="C183" i="1" s="1"/>
  <c r="D50" i="7" l="1"/>
  <c r="K190" i="1"/>
  <c r="N190" i="1"/>
  <c r="D83" i="10"/>
  <c r="E83" i="10" s="1"/>
  <c r="B79" i="8"/>
  <c r="G79" i="8" s="1"/>
  <c r="G91" i="1"/>
  <c r="O91" i="1" s="1"/>
  <c r="B158" i="10"/>
  <c r="A154" i="8"/>
  <c r="H154" i="8" s="1"/>
  <c r="E153" i="8"/>
  <c r="A148" i="7"/>
  <c r="C148" i="7" s="1"/>
  <c r="B191" i="1"/>
  <c r="D190" i="1"/>
  <c r="E190" i="1"/>
  <c r="K144" i="4"/>
  <c r="C184" i="1" s="1"/>
  <c r="K191" i="1" l="1"/>
  <c r="N191" i="1"/>
  <c r="D79" i="8"/>
  <c r="C79" i="8" s="1"/>
  <c r="C84" i="10"/>
  <c r="F79" i="8"/>
  <c r="I79" i="8" s="1"/>
  <c r="J79" i="8" s="1"/>
  <c r="P91" i="1"/>
  <c r="F92" i="1" s="1"/>
  <c r="B159" i="10"/>
  <c r="A155" i="8"/>
  <c r="H155" i="8" s="1"/>
  <c r="E154" i="8"/>
  <c r="A149" i="7"/>
  <c r="C149" i="7" s="1"/>
  <c r="B192" i="1"/>
  <c r="E191" i="1"/>
  <c r="D191" i="1"/>
  <c r="K145" i="4"/>
  <c r="C185" i="1" s="1"/>
  <c r="K192" i="1" l="1"/>
  <c r="B51" i="7"/>
  <c r="D51" i="7" s="1"/>
  <c r="L92" i="1"/>
  <c r="N192" i="1"/>
  <c r="H92" i="1"/>
  <c r="I92" i="1" s="1"/>
  <c r="J92" i="1"/>
  <c r="Q92" i="1"/>
  <c r="D84" i="10"/>
  <c r="E84" i="10" s="1"/>
  <c r="B80" i="8"/>
  <c r="G80" i="8" s="1"/>
  <c r="B160" i="10"/>
  <c r="A156" i="8"/>
  <c r="H156" i="8" s="1"/>
  <c r="E155" i="8"/>
  <c r="A150" i="7"/>
  <c r="C150" i="7" s="1"/>
  <c r="B193" i="1"/>
  <c r="D192" i="1"/>
  <c r="E192" i="1"/>
  <c r="K146" i="4"/>
  <c r="C186" i="1" s="1"/>
  <c r="E51" i="7" l="1"/>
  <c r="K193" i="1"/>
  <c r="N193" i="1"/>
  <c r="G92" i="1"/>
  <c r="O92" i="1" s="1"/>
  <c r="C85" i="10"/>
  <c r="F80" i="8"/>
  <c r="I80" i="8" s="1"/>
  <c r="J80" i="8" s="1"/>
  <c r="D80" i="8"/>
  <c r="C80" i="8" s="1"/>
  <c r="B161" i="10"/>
  <c r="A157" i="8"/>
  <c r="H157" i="8" s="1"/>
  <c r="E156" i="8"/>
  <c r="A151" i="7"/>
  <c r="C151" i="7" s="1"/>
  <c r="B194" i="1"/>
  <c r="D193" i="1"/>
  <c r="E193" i="1"/>
  <c r="K147" i="4"/>
  <c r="C187" i="1" s="1"/>
  <c r="K194" i="1" l="1"/>
  <c r="P92" i="1"/>
  <c r="F93" i="1" s="1"/>
  <c r="N194" i="1"/>
  <c r="B81" i="8"/>
  <c r="G81" i="8" s="1"/>
  <c r="D85" i="10"/>
  <c r="E85" i="10" s="1"/>
  <c r="B162" i="10"/>
  <c r="A158" i="8"/>
  <c r="H158" i="8" s="1"/>
  <c r="E157" i="8"/>
  <c r="A152" i="7"/>
  <c r="C152" i="7" s="1"/>
  <c r="B195" i="1"/>
  <c r="E194" i="1"/>
  <c r="D194" i="1"/>
  <c r="K148" i="4"/>
  <c r="C188" i="1" s="1"/>
  <c r="K195" i="1" l="1"/>
  <c r="B52" i="7"/>
  <c r="E52" i="7" s="1"/>
  <c r="L93" i="1"/>
  <c r="Q93" i="1"/>
  <c r="H93" i="1"/>
  <c r="I93" i="1" s="1"/>
  <c r="J93" i="1"/>
  <c r="N195" i="1"/>
  <c r="D81" i="8"/>
  <c r="C81" i="8" s="1"/>
  <c r="F81" i="8"/>
  <c r="I81" i="8" s="1"/>
  <c r="J81" i="8" s="1"/>
  <c r="C86" i="10"/>
  <c r="B163" i="10"/>
  <c r="A159" i="8"/>
  <c r="H159" i="8" s="1"/>
  <c r="E158" i="8"/>
  <c r="A153" i="7"/>
  <c r="C153" i="7" s="1"/>
  <c r="B196" i="1"/>
  <c r="D195" i="1"/>
  <c r="E195" i="1"/>
  <c r="K149" i="4"/>
  <c r="C189" i="1" s="1"/>
  <c r="D52" i="7" l="1"/>
  <c r="G93" i="1"/>
  <c r="O93" i="1" s="1"/>
  <c r="K196" i="1"/>
  <c r="N196" i="1"/>
  <c r="B82" i="8"/>
  <c r="G82" i="8" s="1"/>
  <c r="D86" i="10"/>
  <c r="E86" i="10" s="1"/>
  <c r="B164" i="10"/>
  <c r="A160" i="8"/>
  <c r="H160" i="8" s="1"/>
  <c r="E159" i="8"/>
  <c r="A154" i="7"/>
  <c r="C154" i="7" s="1"/>
  <c r="B197" i="1"/>
  <c r="E196" i="1"/>
  <c r="D196" i="1"/>
  <c r="K150" i="4"/>
  <c r="C190" i="1" s="1"/>
  <c r="P93" i="1" l="1"/>
  <c r="F94" i="1" s="1"/>
  <c r="L94" i="1" s="1"/>
  <c r="K197" i="1"/>
  <c r="N197" i="1"/>
  <c r="F82" i="8"/>
  <c r="I82" i="8" s="1"/>
  <c r="J82" i="8" s="1"/>
  <c r="D82" i="8"/>
  <c r="C82" i="8" s="1"/>
  <c r="C87" i="10"/>
  <c r="B165" i="10"/>
  <c r="A161" i="8"/>
  <c r="H161" i="8" s="1"/>
  <c r="E160" i="8"/>
  <c r="A155" i="7"/>
  <c r="C155" i="7" s="1"/>
  <c r="B198" i="1"/>
  <c r="E197" i="1"/>
  <c r="D197" i="1"/>
  <c r="K151" i="4"/>
  <c r="C191" i="1" s="1"/>
  <c r="Q94" i="1" l="1"/>
  <c r="B53" i="7"/>
  <c r="D53" i="7" s="1"/>
  <c r="H94" i="1"/>
  <c r="I94" i="1" s="1"/>
  <c r="J94" i="1"/>
  <c r="K198" i="1"/>
  <c r="N198" i="1"/>
  <c r="B83" i="8"/>
  <c r="G83" i="8" s="1"/>
  <c r="D87" i="10"/>
  <c r="E87" i="10" s="1"/>
  <c r="B166" i="10"/>
  <c r="A162" i="8"/>
  <c r="H162" i="8" s="1"/>
  <c r="E161" i="8"/>
  <c r="A156" i="7"/>
  <c r="C156" i="7" s="1"/>
  <c r="B199" i="1"/>
  <c r="D198" i="1"/>
  <c r="E198" i="1"/>
  <c r="K152" i="4"/>
  <c r="C192" i="1" s="1"/>
  <c r="E53" i="7" l="1"/>
  <c r="G94" i="1" s="1"/>
  <c r="O94" i="1" s="1"/>
  <c r="K199" i="1"/>
  <c r="N199" i="1"/>
  <c r="D83" i="8"/>
  <c r="C83" i="8" s="1"/>
  <c r="F83" i="8"/>
  <c r="I83" i="8" s="1"/>
  <c r="J83" i="8" s="1"/>
  <c r="C88" i="10"/>
  <c r="B167" i="10"/>
  <c r="A163" i="8"/>
  <c r="H163" i="8" s="1"/>
  <c r="E162" i="8"/>
  <c r="A157" i="7"/>
  <c r="C157" i="7" s="1"/>
  <c r="B200" i="1"/>
  <c r="E199" i="1"/>
  <c r="D199" i="1"/>
  <c r="K153" i="4"/>
  <c r="C193" i="1" s="1"/>
  <c r="P94" i="1" l="1"/>
  <c r="F95" i="1" s="1"/>
  <c r="L95" i="1" s="1"/>
  <c r="K200" i="1"/>
  <c r="N200" i="1"/>
  <c r="B84" i="8"/>
  <c r="G84" i="8" s="1"/>
  <c r="D88" i="10"/>
  <c r="E88" i="10" s="1"/>
  <c r="B168" i="10"/>
  <c r="A164" i="8"/>
  <c r="H164" i="8" s="1"/>
  <c r="E163" i="8"/>
  <c r="A158" i="7"/>
  <c r="C158" i="7" s="1"/>
  <c r="B201" i="1"/>
  <c r="D200" i="1"/>
  <c r="E200" i="1"/>
  <c r="K154" i="4"/>
  <c r="C194" i="1" s="1"/>
  <c r="Q95" i="1" l="1"/>
  <c r="H95" i="1"/>
  <c r="I95" i="1" s="1"/>
  <c r="J95" i="1"/>
  <c r="B54" i="7"/>
  <c r="E54" i="7" s="1"/>
  <c r="K201" i="1"/>
  <c r="N201" i="1"/>
  <c r="C89" i="10"/>
  <c r="D84" i="8"/>
  <c r="C84" i="8" s="1"/>
  <c r="F84" i="8"/>
  <c r="I84" i="8" s="1"/>
  <c r="J84" i="8" s="1"/>
  <c r="B169" i="10"/>
  <c r="A165" i="8"/>
  <c r="H165" i="8" s="1"/>
  <c r="E164" i="8"/>
  <c r="A159" i="7"/>
  <c r="C159" i="7" s="1"/>
  <c r="B202" i="1"/>
  <c r="D201" i="1"/>
  <c r="E201" i="1"/>
  <c r="K155" i="4"/>
  <c r="C195" i="1" s="1"/>
  <c r="D54" i="7" l="1"/>
  <c r="G95" i="1"/>
  <c r="O95" i="1" s="1"/>
  <c r="K202" i="1"/>
  <c r="N202" i="1"/>
  <c r="B85" i="8"/>
  <c r="G85" i="8" s="1"/>
  <c r="D89" i="10"/>
  <c r="E89" i="10" s="1"/>
  <c r="B170" i="10"/>
  <c r="A166" i="8"/>
  <c r="H166" i="8" s="1"/>
  <c r="E165" i="8"/>
  <c r="A160" i="7"/>
  <c r="C160" i="7" s="1"/>
  <c r="B203" i="1"/>
  <c r="E202" i="1"/>
  <c r="D202" i="1"/>
  <c r="K156" i="4"/>
  <c r="C196" i="1" s="1"/>
  <c r="P95" i="1" l="1"/>
  <c r="F96" i="1" s="1"/>
  <c r="L96" i="1" s="1"/>
  <c r="K203" i="1"/>
  <c r="N203" i="1"/>
  <c r="F85" i="8"/>
  <c r="I85" i="8" s="1"/>
  <c r="J85" i="8" s="1"/>
  <c r="C90" i="10"/>
  <c r="D85" i="8"/>
  <c r="C85" i="8" s="1"/>
  <c r="B171" i="10"/>
  <c r="A167" i="8"/>
  <c r="H167" i="8" s="1"/>
  <c r="E166" i="8"/>
  <c r="A161" i="7"/>
  <c r="C161" i="7" s="1"/>
  <c r="B204" i="1"/>
  <c r="E203" i="1"/>
  <c r="D203" i="1"/>
  <c r="K157" i="4"/>
  <c r="C197" i="1" s="1"/>
  <c r="H96" i="1" l="1"/>
  <c r="I96" i="1" s="1"/>
  <c r="J96" i="1"/>
  <c r="Q96" i="1"/>
  <c r="B55" i="7"/>
  <c r="D55" i="7" s="1"/>
  <c r="K204" i="1"/>
  <c r="N204" i="1"/>
  <c r="B86" i="8"/>
  <c r="G86" i="8" s="1"/>
  <c r="D90" i="10"/>
  <c r="E90" i="10" s="1"/>
  <c r="B172" i="10"/>
  <c r="A168" i="8"/>
  <c r="H168" i="8" s="1"/>
  <c r="E167" i="8"/>
  <c r="A162" i="7"/>
  <c r="C162" i="7" s="1"/>
  <c r="B205" i="1"/>
  <c r="E204" i="1"/>
  <c r="D204" i="1"/>
  <c r="K158" i="4"/>
  <c r="C198" i="1" s="1"/>
  <c r="E55" i="7" l="1"/>
  <c r="K205" i="1"/>
  <c r="N205" i="1"/>
  <c r="C91" i="10"/>
  <c r="D86" i="8"/>
  <c r="C86" i="8" s="1"/>
  <c r="F86" i="8"/>
  <c r="I86" i="8" s="1"/>
  <c r="J86" i="8" s="1"/>
  <c r="B173" i="10"/>
  <c r="A169" i="8"/>
  <c r="H169" i="8" s="1"/>
  <c r="E168" i="8"/>
  <c r="G96" i="1"/>
  <c r="O96" i="1" s="1"/>
  <c r="A163" i="7"/>
  <c r="C163" i="7" s="1"/>
  <c r="B206" i="1"/>
  <c r="E205" i="1"/>
  <c r="D205" i="1"/>
  <c r="K159" i="4"/>
  <c r="C199" i="1" s="1"/>
  <c r="K206" i="1" l="1"/>
  <c r="N206" i="1"/>
  <c r="B87" i="8"/>
  <c r="G87" i="8" s="1"/>
  <c r="D91" i="10"/>
  <c r="E91" i="10" s="1"/>
  <c r="B174" i="10"/>
  <c r="A170" i="8"/>
  <c r="H170" i="8" s="1"/>
  <c r="E169" i="8"/>
  <c r="P96" i="1"/>
  <c r="F97" i="1" s="1"/>
  <c r="A164" i="7"/>
  <c r="C164" i="7" s="1"/>
  <c r="B207" i="1"/>
  <c r="D206" i="1"/>
  <c r="E206" i="1"/>
  <c r="K160" i="4"/>
  <c r="C200" i="1" s="1"/>
  <c r="K207" i="1" l="1"/>
  <c r="J97" i="1"/>
  <c r="L97" i="1"/>
  <c r="N207" i="1"/>
  <c r="C92" i="10"/>
  <c r="F87" i="8"/>
  <c r="I87" i="8" s="1"/>
  <c r="J87" i="8" s="1"/>
  <c r="D87" i="8"/>
  <c r="C87" i="8" s="1"/>
  <c r="D92" i="10" s="1"/>
  <c r="H97" i="1"/>
  <c r="I97" i="1" s="1"/>
  <c r="B56" i="7"/>
  <c r="Q97" i="1"/>
  <c r="B175" i="10"/>
  <c r="A171" i="8"/>
  <c r="H171" i="8" s="1"/>
  <c r="E170" i="8"/>
  <c r="A165" i="7"/>
  <c r="C165" i="7" s="1"/>
  <c r="E207" i="1"/>
  <c r="B208" i="1"/>
  <c r="D207" i="1"/>
  <c r="K161" i="4"/>
  <c r="C201" i="1" s="1"/>
  <c r="E92" i="10" l="1"/>
  <c r="K208" i="1"/>
  <c r="N208" i="1"/>
  <c r="B88" i="8"/>
  <c r="G88" i="8" s="1"/>
  <c r="E56" i="7"/>
  <c r="G97" i="1" s="1"/>
  <c r="O97" i="1" s="1"/>
  <c r="D56" i="7"/>
  <c r="B176" i="10"/>
  <c r="A172" i="8"/>
  <c r="H172" i="8" s="1"/>
  <c r="E171" i="8"/>
  <c r="A166" i="7"/>
  <c r="C166" i="7" s="1"/>
  <c r="B209" i="1"/>
  <c r="D208" i="1"/>
  <c r="E208" i="1"/>
  <c r="K162" i="4"/>
  <c r="C202" i="1" s="1"/>
  <c r="K209" i="1" l="1"/>
  <c r="N209" i="1"/>
  <c r="F88" i="8"/>
  <c r="I88" i="8" s="1"/>
  <c r="J88" i="8" s="1"/>
  <c r="C93" i="10"/>
  <c r="D88" i="8"/>
  <c r="C88" i="8" s="1"/>
  <c r="B177" i="10"/>
  <c r="A173" i="8"/>
  <c r="H173" i="8" s="1"/>
  <c r="E172" i="8"/>
  <c r="P97" i="1"/>
  <c r="F98" i="1" s="1"/>
  <c r="L98" i="1" s="1"/>
  <c r="A167" i="7"/>
  <c r="C167" i="7" s="1"/>
  <c r="B210" i="1"/>
  <c r="E209" i="1"/>
  <c r="D209" i="1"/>
  <c r="K163" i="4"/>
  <c r="C203" i="1" s="1"/>
  <c r="K210" i="1" l="1"/>
  <c r="N210" i="1"/>
  <c r="D93" i="10"/>
  <c r="E93" i="10" s="1"/>
  <c r="B89" i="8"/>
  <c r="G89" i="8" s="1"/>
  <c r="B178" i="10"/>
  <c r="A174" i="8"/>
  <c r="H174" i="8" s="1"/>
  <c r="E173" i="8"/>
  <c r="A168" i="7"/>
  <c r="C168" i="7" s="1"/>
  <c r="B57" i="7"/>
  <c r="H98" i="1"/>
  <c r="I98" i="1" s="1"/>
  <c r="J98" i="1"/>
  <c r="Q98" i="1"/>
  <c r="B211" i="1"/>
  <c r="D210" i="1"/>
  <c r="E210" i="1"/>
  <c r="K164" i="4"/>
  <c r="C204" i="1" s="1"/>
  <c r="K211" i="1" l="1"/>
  <c r="N211" i="1"/>
  <c r="D89" i="8"/>
  <c r="C89" i="8" s="1"/>
  <c r="C94" i="10"/>
  <c r="F89" i="8"/>
  <c r="I89" i="8" s="1"/>
  <c r="J89" i="8" s="1"/>
  <c r="E57" i="7"/>
  <c r="D57" i="7"/>
  <c r="B179" i="10"/>
  <c r="A175" i="8"/>
  <c r="H175" i="8" s="1"/>
  <c r="E174" i="8"/>
  <c r="A169" i="7"/>
  <c r="C169" i="7" s="1"/>
  <c r="B212" i="1"/>
  <c r="D211" i="1"/>
  <c r="E211" i="1"/>
  <c r="K165" i="4"/>
  <c r="C205" i="1" s="1"/>
  <c r="G98" i="1" l="1"/>
  <c r="O98" i="1" s="1"/>
  <c r="K212" i="1"/>
  <c r="N212" i="1"/>
  <c r="D94" i="10"/>
  <c r="E94" i="10" s="1"/>
  <c r="B90" i="8"/>
  <c r="G90" i="8" s="1"/>
  <c r="B180" i="10"/>
  <c r="A176" i="8"/>
  <c r="H176" i="8" s="1"/>
  <c r="E175" i="8"/>
  <c r="A170" i="7"/>
  <c r="C170" i="7" s="1"/>
  <c r="B213" i="1"/>
  <c r="D212" i="1"/>
  <c r="E212" i="1"/>
  <c r="K166" i="4"/>
  <c r="C206" i="1" s="1"/>
  <c r="P98" i="1" l="1"/>
  <c r="F99" i="1" s="1"/>
  <c r="L99" i="1" s="1"/>
  <c r="K213" i="1"/>
  <c r="N213" i="1"/>
  <c r="C95" i="10"/>
  <c r="D90" i="8"/>
  <c r="C90" i="8" s="1"/>
  <c r="F90" i="8"/>
  <c r="I90" i="8" s="1"/>
  <c r="J90" i="8" s="1"/>
  <c r="B181" i="10"/>
  <c r="A177" i="8"/>
  <c r="H177" i="8" s="1"/>
  <c r="E176" i="8"/>
  <c r="A171" i="7"/>
  <c r="C171" i="7" s="1"/>
  <c r="B214" i="1"/>
  <c r="D213" i="1"/>
  <c r="E213" i="1"/>
  <c r="K167" i="4"/>
  <c r="C207" i="1" s="1"/>
  <c r="J99" i="1" l="1"/>
  <c r="B58" i="7"/>
  <c r="E58" i="7" s="1"/>
  <c r="H99" i="1"/>
  <c r="I99" i="1" s="1"/>
  <c r="Q99" i="1"/>
  <c r="K214" i="1"/>
  <c r="N214" i="1"/>
  <c r="D95" i="10"/>
  <c r="E95" i="10" s="1"/>
  <c r="B91" i="8"/>
  <c r="G91" i="8" s="1"/>
  <c r="B182" i="10"/>
  <c r="A178" i="8"/>
  <c r="H178" i="8" s="1"/>
  <c r="E177" i="8"/>
  <c r="A172" i="7"/>
  <c r="C172" i="7" s="1"/>
  <c r="B215" i="1"/>
  <c r="E214" i="1"/>
  <c r="D214" i="1"/>
  <c r="K168" i="4"/>
  <c r="C208" i="1" s="1"/>
  <c r="D58" i="7" l="1"/>
  <c r="G99" i="1"/>
  <c r="O99" i="1" s="1"/>
  <c r="K215" i="1"/>
  <c r="N215" i="1"/>
  <c r="D91" i="8"/>
  <c r="C91" i="8" s="1"/>
  <c r="F91" i="8"/>
  <c r="I91" i="8" s="1"/>
  <c r="J91" i="8" s="1"/>
  <c r="C96" i="10"/>
  <c r="B183" i="10"/>
  <c r="A179" i="8"/>
  <c r="H179" i="8" s="1"/>
  <c r="E178" i="8"/>
  <c r="A173" i="7"/>
  <c r="C173" i="7" s="1"/>
  <c r="B216" i="1"/>
  <c r="E215" i="1"/>
  <c r="D215" i="1"/>
  <c r="K169" i="4"/>
  <c r="C209" i="1" s="1"/>
  <c r="P99" i="1" l="1"/>
  <c r="F100" i="1" s="1"/>
  <c r="L100" i="1" s="1"/>
  <c r="K216" i="1"/>
  <c r="N216" i="1"/>
  <c r="B92" i="8"/>
  <c r="G92" i="8" s="1"/>
  <c r="D96" i="10"/>
  <c r="E96" i="10" s="1"/>
  <c r="B184" i="10"/>
  <c r="A180" i="8"/>
  <c r="H180" i="8" s="1"/>
  <c r="E179" i="8"/>
  <c r="A174" i="7"/>
  <c r="C174" i="7" s="1"/>
  <c r="B217" i="1"/>
  <c r="D216" i="1"/>
  <c r="E216" i="1"/>
  <c r="K170" i="4"/>
  <c r="C210" i="1" s="1"/>
  <c r="B59" i="7" l="1"/>
  <c r="D59" i="7" s="1"/>
  <c r="J100" i="1"/>
  <c r="H100" i="1"/>
  <c r="I100" i="1" s="1"/>
  <c r="Q100" i="1"/>
  <c r="K217" i="1"/>
  <c r="N217" i="1"/>
  <c r="F92" i="8"/>
  <c r="I92" i="8" s="1"/>
  <c r="J92" i="8" s="1"/>
  <c r="D92" i="8"/>
  <c r="C92" i="8" s="1"/>
  <c r="C97" i="10"/>
  <c r="B185" i="10"/>
  <c r="A181" i="8"/>
  <c r="H181" i="8" s="1"/>
  <c r="E180" i="8"/>
  <c r="A175" i="7"/>
  <c r="C175" i="7" s="1"/>
  <c r="B218" i="1"/>
  <c r="E217" i="1"/>
  <c r="D217" i="1"/>
  <c r="K171" i="4"/>
  <c r="C211" i="1" s="1"/>
  <c r="E59" i="7" l="1"/>
  <c r="G100" i="1"/>
  <c r="O100" i="1" s="1"/>
  <c r="K218" i="1"/>
  <c r="N218" i="1"/>
  <c r="B93" i="8"/>
  <c r="G93" i="8" s="1"/>
  <c r="D97" i="10"/>
  <c r="E97" i="10" s="1"/>
  <c r="B186" i="10"/>
  <c r="A182" i="8"/>
  <c r="H182" i="8" s="1"/>
  <c r="E181" i="8"/>
  <c r="A176" i="7"/>
  <c r="C176" i="7" s="1"/>
  <c r="B219" i="1"/>
  <c r="D218" i="1"/>
  <c r="E218" i="1"/>
  <c r="K172" i="4"/>
  <c r="C212" i="1" s="1"/>
  <c r="P100" i="1" l="1"/>
  <c r="F101" i="1" s="1"/>
  <c r="L101" i="1" s="1"/>
  <c r="K219" i="1"/>
  <c r="N219" i="1"/>
  <c r="D93" i="8"/>
  <c r="C93" i="8" s="1"/>
  <c r="C98" i="10"/>
  <c r="F93" i="8"/>
  <c r="I93" i="8" s="1"/>
  <c r="J93" i="8" s="1"/>
  <c r="B187" i="10"/>
  <c r="A183" i="8"/>
  <c r="H183" i="8" s="1"/>
  <c r="E182" i="8"/>
  <c r="A177" i="7"/>
  <c r="C177" i="7" s="1"/>
  <c r="B220" i="1"/>
  <c r="D219" i="1"/>
  <c r="E219" i="1"/>
  <c r="K173" i="4"/>
  <c r="C213" i="1" s="1"/>
  <c r="B60" i="7" l="1"/>
  <c r="E60" i="7" s="1"/>
  <c r="Q101" i="1"/>
  <c r="J101" i="1"/>
  <c r="H101" i="1"/>
  <c r="I101" i="1" s="1"/>
  <c r="K220" i="1"/>
  <c r="N220" i="1"/>
  <c r="B94" i="8"/>
  <c r="G94" i="8" s="1"/>
  <c r="D98" i="10"/>
  <c r="E98" i="10" s="1"/>
  <c r="B188" i="10"/>
  <c r="A184" i="8"/>
  <c r="H184" i="8" s="1"/>
  <c r="E183" i="8"/>
  <c r="A178" i="7"/>
  <c r="C178" i="7" s="1"/>
  <c r="B221" i="1"/>
  <c r="E220" i="1"/>
  <c r="D220" i="1"/>
  <c r="K174" i="4"/>
  <c r="C214" i="1" s="1"/>
  <c r="D60" i="7" l="1"/>
  <c r="K221" i="1"/>
  <c r="N221" i="1"/>
  <c r="G101" i="1"/>
  <c r="O101" i="1" s="1"/>
  <c r="F94" i="8"/>
  <c r="I94" i="8" s="1"/>
  <c r="J94" i="8" s="1"/>
  <c r="C99" i="10"/>
  <c r="D94" i="8"/>
  <c r="C94" i="8" s="1"/>
  <c r="B189" i="10"/>
  <c r="A185" i="8"/>
  <c r="H185" i="8" s="1"/>
  <c r="E184" i="8"/>
  <c r="A179" i="7"/>
  <c r="C179" i="7" s="1"/>
  <c r="B222" i="1"/>
  <c r="E221" i="1"/>
  <c r="D221" i="1"/>
  <c r="K175" i="4"/>
  <c r="C215" i="1" s="1"/>
  <c r="K222" i="1" l="1"/>
  <c r="N222" i="1"/>
  <c r="P101" i="1"/>
  <c r="F102" i="1" s="1"/>
  <c r="D99" i="10"/>
  <c r="E99" i="10" s="1"/>
  <c r="B95" i="8"/>
  <c r="G95" i="8" s="1"/>
  <c r="B190" i="10"/>
  <c r="A186" i="8"/>
  <c r="H186" i="8" s="1"/>
  <c r="E185" i="8"/>
  <c r="A180" i="7"/>
  <c r="C180" i="7" s="1"/>
  <c r="B223" i="1"/>
  <c r="D222" i="1"/>
  <c r="E222" i="1"/>
  <c r="K176" i="4"/>
  <c r="C216" i="1" s="1"/>
  <c r="J102" i="1" l="1"/>
  <c r="L102" i="1"/>
  <c r="K223" i="1"/>
  <c r="B61" i="7"/>
  <c r="E61" i="7" s="1"/>
  <c r="H102" i="1"/>
  <c r="I102" i="1" s="1"/>
  <c r="Q102" i="1"/>
  <c r="N223" i="1"/>
  <c r="F95" i="8"/>
  <c r="I95" i="8" s="1"/>
  <c r="J95" i="8" s="1"/>
  <c r="D95" i="8"/>
  <c r="C95" i="8" s="1"/>
  <c r="C100" i="10"/>
  <c r="B191" i="10"/>
  <c r="A187" i="8"/>
  <c r="H187" i="8" s="1"/>
  <c r="E186" i="8"/>
  <c r="A181" i="7"/>
  <c r="C181" i="7" s="1"/>
  <c r="B224" i="1"/>
  <c r="D223" i="1"/>
  <c r="E223" i="1"/>
  <c r="K177" i="4"/>
  <c r="C217" i="1" s="1"/>
  <c r="D61" i="7" l="1"/>
  <c r="G102" i="1" s="1"/>
  <c r="K224" i="1"/>
  <c r="N224" i="1"/>
  <c r="B96" i="8"/>
  <c r="G96" i="8" s="1"/>
  <c r="D100" i="10"/>
  <c r="E100" i="10" s="1"/>
  <c r="B192" i="10"/>
  <c r="A188" i="8"/>
  <c r="H188" i="8" s="1"/>
  <c r="E187" i="8"/>
  <c r="A182" i="7"/>
  <c r="C182" i="7" s="1"/>
  <c r="B225" i="1"/>
  <c r="D224" i="1"/>
  <c r="E224" i="1"/>
  <c r="K178" i="4"/>
  <c r="C218" i="1" s="1"/>
  <c r="K225" i="1" l="1"/>
  <c r="P102" i="1"/>
  <c r="F103" i="1" s="1"/>
  <c r="L103" i="1" s="1"/>
  <c r="O102" i="1"/>
  <c r="N225" i="1"/>
  <c r="C101" i="10"/>
  <c r="D96" i="8"/>
  <c r="C96" i="8" s="1"/>
  <c r="F96" i="8"/>
  <c r="I96" i="8" s="1"/>
  <c r="J96" i="8" s="1"/>
  <c r="B193" i="10"/>
  <c r="A189" i="8"/>
  <c r="H189" i="8" s="1"/>
  <c r="E188" i="8"/>
  <c r="A183" i="7"/>
  <c r="C183" i="7" s="1"/>
  <c r="B226" i="1"/>
  <c r="E225" i="1"/>
  <c r="D225" i="1"/>
  <c r="K179" i="4"/>
  <c r="C219" i="1" s="1"/>
  <c r="B62" i="7" l="1"/>
  <c r="E62" i="7" s="1"/>
  <c r="Q103" i="1"/>
  <c r="J103" i="1"/>
  <c r="H103" i="1"/>
  <c r="I103" i="1" s="1"/>
  <c r="K226" i="1"/>
  <c r="N226" i="1"/>
  <c r="D101" i="10"/>
  <c r="E101" i="10" s="1"/>
  <c r="B97" i="8"/>
  <c r="G97" i="8" s="1"/>
  <c r="B194" i="10"/>
  <c r="A190" i="8"/>
  <c r="H190" i="8" s="1"/>
  <c r="E189" i="8"/>
  <c r="A184" i="7"/>
  <c r="C184" i="7" s="1"/>
  <c r="B227" i="1"/>
  <c r="D226" i="1"/>
  <c r="E226" i="1"/>
  <c r="K180" i="4"/>
  <c r="C220" i="1" s="1"/>
  <c r="D62" i="7" l="1"/>
  <c r="K227" i="1"/>
  <c r="N227" i="1"/>
  <c r="C102" i="10"/>
  <c r="D97" i="8"/>
  <c r="C97" i="8" s="1"/>
  <c r="F97" i="8"/>
  <c r="I97" i="8" s="1"/>
  <c r="J97" i="8" s="1"/>
  <c r="B195" i="10"/>
  <c r="A191" i="8"/>
  <c r="H191" i="8" s="1"/>
  <c r="E190" i="8"/>
  <c r="G103" i="1"/>
  <c r="O103" i="1" s="1"/>
  <c r="A185" i="7"/>
  <c r="C185" i="7" s="1"/>
  <c r="B228" i="1"/>
  <c r="D227" i="1"/>
  <c r="E227" i="1"/>
  <c r="K181" i="4"/>
  <c r="C221" i="1" s="1"/>
  <c r="K228" i="1" l="1"/>
  <c r="N228" i="1"/>
  <c r="B98" i="8"/>
  <c r="G98" i="8" s="1"/>
  <c r="D102" i="10"/>
  <c r="E102" i="10" s="1"/>
  <c r="B196" i="10"/>
  <c r="A192" i="8"/>
  <c r="H192" i="8" s="1"/>
  <c r="E191" i="8"/>
  <c r="P103" i="1"/>
  <c r="F104" i="1" s="1"/>
  <c r="A186" i="7"/>
  <c r="C186" i="7" s="1"/>
  <c r="B229" i="1"/>
  <c r="D228" i="1"/>
  <c r="E228" i="1"/>
  <c r="K182" i="4"/>
  <c r="C222" i="1" s="1"/>
  <c r="K229" i="1" l="1"/>
  <c r="B63" i="7"/>
  <c r="E63" i="7" s="1"/>
  <c r="L104" i="1"/>
  <c r="N229" i="1"/>
  <c r="F98" i="8"/>
  <c r="I98" i="8" s="1"/>
  <c r="J98" i="8" s="1"/>
  <c r="D98" i="8"/>
  <c r="C98" i="8" s="1"/>
  <c r="C103" i="10"/>
  <c r="H104" i="1"/>
  <c r="I104" i="1" s="1"/>
  <c r="B197" i="10"/>
  <c r="A193" i="8"/>
  <c r="H193" i="8" s="1"/>
  <c r="E192" i="8"/>
  <c r="Q104" i="1"/>
  <c r="J104" i="1"/>
  <c r="A187" i="7"/>
  <c r="C187" i="7" s="1"/>
  <c r="B230" i="1"/>
  <c r="E229" i="1"/>
  <c r="D229" i="1"/>
  <c r="K183" i="4"/>
  <c r="C223" i="1" s="1"/>
  <c r="D63" i="7" l="1"/>
  <c r="K230" i="1"/>
  <c r="N230" i="1"/>
  <c r="D103" i="10"/>
  <c r="E103" i="10" s="1"/>
  <c r="B99" i="8"/>
  <c r="G99" i="8" s="1"/>
  <c r="B198" i="10"/>
  <c r="A194" i="8"/>
  <c r="H194" i="8" s="1"/>
  <c r="E193" i="8"/>
  <c r="G104" i="1"/>
  <c r="A188" i="7"/>
  <c r="C188" i="7" s="1"/>
  <c r="B231" i="1"/>
  <c r="D230" i="1"/>
  <c r="E230" i="1"/>
  <c r="K184" i="4"/>
  <c r="C224" i="1" s="1"/>
  <c r="K231" i="1" l="1"/>
  <c r="P104" i="1"/>
  <c r="F105" i="1" s="1"/>
  <c r="L105" i="1" s="1"/>
  <c r="O104" i="1"/>
  <c r="N231" i="1"/>
  <c r="D99" i="8"/>
  <c r="C99" i="8" s="1"/>
  <c r="F99" i="8"/>
  <c r="I99" i="8" s="1"/>
  <c r="J99" i="8" s="1"/>
  <c r="C104" i="10"/>
  <c r="B199" i="10"/>
  <c r="A195" i="8"/>
  <c r="H195" i="8" s="1"/>
  <c r="E194" i="8"/>
  <c r="A189" i="7"/>
  <c r="C189" i="7" s="1"/>
  <c r="B232" i="1"/>
  <c r="E231" i="1"/>
  <c r="D231" i="1"/>
  <c r="K185" i="4"/>
  <c r="C225" i="1" s="1"/>
  <c r="B64" i="7" l="1"/>
  <c r="D64" i="7" s="1"/>
  <c r="H105" i="1"/>
  <c r="I105" i="1" s="1"/>
  <c r="J105" i="1"/>
  <c r="Q105" i="1"/>
  <c r="K232" i="1"/>
  <c r="N232" i="1"/>
  <c r="D104" i="10"/>
  <c r="E104" i="10" s="1"/>
  <c r="B100" i="8"/>
  <c r="G100" i="8" s="1"/>
  <c r="B200" i="10"/>
  <c r="A196" i="8"/>
  <c r="H196" i="8" s="1"/>
  <c r="E195" i="8"/>
  <c r="A190" i="7"/>
  <c r="C190" i="7" s="1"/>
  <c r="B233" i="1"/>
  <c r="D232" i="1"/>
  <c r="E232" i="1"/>
  <c r="K186" i="4"/>
  <c r="C226" i="1" s="1"/>
  <c r="E64" i="7" l="1"/>
  <c r="G105" i="1"/>
  <c r="O105" i="1" s="1"/>
  <c r="K233" i="1"/>
  <c r="N233" i="1"/>
  <c r="C105" i="10"/>
  <c r="F100" i="8"/>
  <c r="I100" i="8" s="1"/>
  <c r="J100" i="8" s="1"/>
  <c r="D100" i="8"/>
  <c r="C100" i="8" s="1"/>
  <c r="B201" i="10"/>
  <c r="A197" i="8"/>
  <c r="H197" i="8" s="1"/>
  <c r="E196" i="8"/>
  <c r="A191" i="7"/>
  <c r="C191" i="7" s="1"/>
  <c r="D233" i="1"/>
  <c r="B234" i="1"/>
  <c r="E233" i="1"/>
  <c r="K187" i="4"/>
  <c r="C227" i="1" s="1"/>
  <c r="P105" i="1" l="1"/>
  <c r="F106" i="1" s="1"/>
  <c r="L106" i="1" s="1"/>
  <c r="K234" i="1"/>
  <c r="N234" i="1"/>
  <c r="B101" i="8"/>
  <c r="G101" i="8" s="1"/>
  <c r="D105" i="10"/>
  <c r="E105" i="10" s="1"/>
  <c r="B202" i="10"/>
  <c r="A198" i="8"/>
  <c r="H198" i="8" s="1"/>
  <c r="E197" i="8"/>
  <c r="A192" i="7"/>
  <c r="C192" i="7" s="1"/>
  <c r="B235" i="1"/>
  <c r="E234" i="1"/>
  <c r="D234" i="1"/>
  <c r="K188" i="4"/>
  <c r="C228" i="1" s="1"/>
  <c r="Q106" i="1" l="1"/>
  <c r="H106" i="1"/>
  <c r="I106" i="1" s="1"/>
  <c r="B65" i="7"/>
  <c r="E65" i="7" s="1"/>
  <c r="J106" i="1"/>
  <c r="K235" i="1"/>
  <c r="N235" i="1"/>
  <c r="C106" i="10"/>
  <c r="F101" i="8"/>
  <c r="I101" i="8" s="1"/>
  <c r="J101" i="8" s="1"/>
  <c r="D101" i="8"/>
  <c r="C101" i="8" s="1"/>
  <c r="B203" i="10"/>
  <c r="A199" i="8"/>
  <c r="H199" i="8" s="1"/>
  <c r="E198" i="8"/>
  <c r="A193" i="7"/>
  <c r="C193" i="7" s="1"/>
  <c r="B236" i="1"/>
  <c r="E235" i="1"/>
  <c r="D235" i="1"/>
  <c r="K189" i="4"/>
  <c r="C229" i="1" s="1"/>
  <c r="D65" i="7" l="1"/>
  <c r="G106" i="1" s="1"/>
  <c r="K236" i="1"/>
  <c r="N236" i="1"/>
  <c r="B102" i="8"/>
  <c r="G102" i="8" s="1"/>
  <c r="D106" i="10"/>
  <c r="E106" i="10" s="1"/>
  <c r="B204" i="10"/>
  <c r="A200" i="8"/>
  <c r="H200" i="8" s="1"/>
  <c r="E199" i="8"/>
  <c r="A194" i="7"/>
  <c r="C194" i="7" s="1"/>
  <c r="B237" i="1"/>
  <c r="E236" i="1"/>
  <c r="D236" i="1"/>
  <c r="K190" i="4"/>
  <c r="C230" i="1" s="1"/>
  <c r="O106" i="1" l="1"/>
  <c r="P106" i="1"/>
  <c r="F107" i="1" s="1"/>
  <c r="L107" i="1" s="1"/>
  <c r="K237" i="1"/>
  <c r="N237" i="1"/>
  <c r="F102" i="8"/>
  <c r="I102" i="8" s="1"/>
  <c r="J102" i="8" s="1"/>
  <c r="D102" i="8"/>
  <c r="C102" i="8" s="1"/>
  <c r="C107" i="10"/>
  <c r="B205" i="10"/>
  <c r="A201" i="8"/>
  <c r="H201" i="8" s="1"/>
  <c r="E200" i="8"/>
  <c r="A195" i="7"/>
  <c r="C195" i="7" s="1"/>
  <c r="E237" i="1"/>
  <c r="B238" i="1"/>
  <c r="D237" i="1"/>
  <c r="K191" i="4"/>
  <c r="C231" i="1" s="1"/>
  <c r="B66" i="7" l="1"/>
  <c r="E66" i="7" s="1"/>
  <c r="Q107" i="1"/>
  <c r="J107" i="1"/>
  <c r="H107" i="1"/>
  <c r="I107" i="1" s="1"/>
  <c r="K238" i="1"/>
  <c r="N238" i="1"/>
  <c r="B103" i="8"/>
  <c r="G103" i="8" s="1"/>
  <c r="D107" i="10"/>
  <c r="E107" i="10" s="1"/>
  <c r="B206" i="10"/>
  <c r="A202" i="8"/>
  <c r="H202" i="8" s="1"/>
  <c r="E201" i="8"/>
  <c r="A196" i="7"/>
  <c r="C196" i="7" s="1"/>
  <c r="B239" i="1"/>
  <c r="E238" i="1"/>
  <c r="D238" i="1"/>
  <c r="K192" i="4"/>
  <c r="C232" i="1" s="1"/>
  <c r="D66" i="7" l="1"/>
  <c r="K239" i="1"/>
  <c r="N239" i="1"/>
  <c r="G107" i="1"/>
  <c r="F103" i="8"/>
  <c r="I103" i="8" s="1"/>
  <c r="J103" i="8" s="1"/>
  <c r="C108" i="10"/>
  <c r="D103" i="8"/>
  <c r="C103" i="8" s="1"/>
  <c r="B207" i="10"/>
  <c r="A203" i="8"/>
  <c r="H203" i="8" s="1"/>
  <c r="E202" i="8"/>
  <c r="A197" i="7"/>
  <c r="C197" i="7" s="1"/>
  <c r="B240" i="1"/>
  <c r="E239" i="1"/>
  <c r="D239" i="1"/>
  <c r="K193" i="4"/>
  <c r="C233" i="1" s="1"/>
  <c r="P107" i="1" l="1"/>
  <c r="F108" i="1" s="1"/>
  <c r="L108" i="1" s="1"/>
  <c r="O107" i="1"/>
  <c r="K240" i="1"/>
  <c r="N240" i="1"/>
  <c r="B104" i="8"/>
  <c r="G104" i="8" s="1"/>
  <c r="D108" i="10"/>
  <c r="E108" i="10" s="1"/>
  <c r="B208" i="10"/>
  <c r="A204" i="8"/>
  <c r="H204" i="8" s="1"/>
  <c r="E203" i="8"/>
  <c r="A198" i="7"/>
  <c r="C198" i="7" s="1"/>
  <c r="D240" i="1"/>
  <c r="E240" i="1"/>
  <c r="B241" i="1"/>
  <c r="K194" i="4"/>
  <c r="C234" i="1" s="1"/>
  <c r="J108" i="1" l="1"/>
  <c r="B67" i="7"/>
  <c r="E67" i="7" s="1"/>
  <c r="H108" i="1"/>
  <c r="I108" i="1" s="1"/>
  <c r="Q108" i="1"/>
  <c r="K241" i="1"/>
  <c r="N241" i="1"/>
  <c r="D104" i="8"/>
  <c r="C104" i="8" s="1"/>
  <c r="F104" i="8"/>
  <c r="I104" i="8" s="1"/>
  <c r="J104" i="8" s="1"/>
  <c r="C109" i="10"/>
  <c r="B209" i="10"/>
  <c r="A205" i="8"/>
  <c r="H205" i="8" s="1"/>
  <c r="E204" i="8"/>
  <c r="A199" i="7"/>
  <c r="C199" i="7" s="1"/>
  <c r="D241" i="1"/>
  <c r="E241" i="1"/>
  <c r="B242" i="1"/>
  <c r="K195" i="4"/>
  <c r="C235" i="1" s="1"/>
  <c r="D67" i="7" l="1"/>
  <c r="K242" i="1"/>
  <c r="N242" i="1"/>
  <c r="B105" i="8"/>
  <c r="G105" i="8" s="1"/>
  <c r="D109" i="10"/>
  <c r="E109" i="10" s="1"/>
  <c r="B210" i="10"/>
  <c r="A206" i="8"/>
  <c r="H206" i="8" s="1"/>
  <c r="E205" i="8"/>
  <c r="G108" i="1"/>
  <c r="A200" i="7"/>
  <c r="C200" i="7" s="1"/>
  <c r="D242" i="1"/>
  <c r="B243" i="1"/>
  <c r="E242" i="1"/>
  <c r="K196" i="4"/>
  <c r="C236" i="1" s="1"/>
  <c r="K243" i="1" l="1"/>
  <c r="P108" i="1"/>
  <c r="F109" i="1" s="1"/>
  <c r="L109" i="1" s="1"/>
  <c r="O108" i="1"/>
  <c r="N243" i="1"/>
  <c r="D105" i="8"/>
  <c r="C105" i="8" s="1"/>
  <c r="C110" i="10"/>
  <c r="F105" i="8"/>
  <c r="I105" i="8" s="1"/>
  <c r="J105" i="8" s="1"/>
  <c r="B211" i="10"/>
  <c r="A207" i="8"/>
  <c r="H207" i="8" s="1"/>
  <c r="E206" i="8"/>
  <c r="A201" i="7"/>
  <c r="C201" i="7" s="1"/>
  <c r="B244" i="1"/>
  <c r="D243" i="1"/>
  <c r="E243" i="1"/>
  <c r="K197" i="4"/>
  <c r="C237" i="1" s="1"/>
  <c r="B68" i="7" l="1"/>
  <c r="E68" i="7" s="1"/>
  <c r="Q109" i="1"/>
  <c r="H109" i="1"/>
  <c r="I109" i="1" s="1"/>
  <c r="J109" i="1"/>
  <c r="K244" i="1"/>
  <c r="N244" i="1"/>
  <c r="B106" i="8"/>
  <c r="G106" i="8" s="1"/>
  <c r="D110" i="10"/>
  <c r="E110" i="10" s="1"/>
  <c r="B212" i="10"/>
  <c r="A208" i="8"/>
  <c r="H208" i="8" s="1"/>
  <c r="E207" i="8"/>
  <c r="A202" i="7"/>
  <c r="C202" i="7" s="1"/>
  <c r="B245" i="1"/>
  <c r="D244" i="1"/>
  <c r="E244" i="1"/>
  <c r="K198" i="4"/>
  <c r="C238" i="1" s="1"/>
  <c r="D68" i="7" l="1"/>
  <c r="K245" i="1"/>
  <c r="N245" i="1"/>
  <c r="F106" i="8"/>
  <c r="I106" i="8" s="1"/>
  <c r="J106" i="8" s="1"/>
  <c r="D106" i="8"/>
  <c r="C106" i="8" s="1"/>
  <c r="C111" i="10"/>
  <c r="G109" i="1"/>
  <c r="B213" i="10"/>
  <c r="A209" i="8"/>
  <c r="H209" i="8" s="1"/>
  <c r="E208" i="8"/>
  <c r="A203" i="7"/>
  <c r="C203" i="7" s="1"/>
  <c r="B246" i="1"/>
  <c r="E245" i="1"/>
  <c r="D245" i="1"/>
  <c r="K199" i="4"/>
  <c r="C239" i="1" s="1"/>
  <c r="K246" i="1" l="1"/>
  <c r="P109" i="1"/>
  <c r="F110" i="1" s="1"/>
  <c r="L110" i="1" s="1"/>
  <c r="O109" i="1"/>
  <c r="N246" i="1"/>
  <c r="D111" i="10"/>
  <c r="E111" i="10" s="1"/>
  <c r="B107" i="8"/>
  <c r="G107" i="8" s="1"/>
  <c r="B214" i="10"/>
  <c r="A210" i="8"/>
  <c r="H210" i="8" s="1"/>
  <c r="E209" i="8"/>
  <c r="A204" i="7"/>
  <c r="C204" i="7" s="1"/>
  <c r="D246" i="1"/>
  <c r="B247" i="1"/>
  <c r="E246" i="1"/>
  <c r="K200" i="4"/>
  <c r="C240" i="1" s="1"/>
  <c r="B69" i="7" l="1"/>
  <c r="D69" i="7" s="1"/>
  <c r="H110" i="1"/>
  <c r="I110" i="1" s="1"/>
  <c r="J110" i="1"/>
  <c r="Q110" i="1"/>
  <c r="K247" i="1"/>
  <c r="N247" i="1"/>
  <c r="F107" i="8"/>
  <c r="I107" i="8" s="1"/>
  <c r="J107" i="8" s="1"/>
  <c r="D107" i="8"/>
  <c r="C107" i="8" s="1"/>
  <c r="C112" i="10"/>
  <c r="B215" i="10"/>
  <c r="A211" i="8"/>
  <c r="H211" i="8" s="1"/>
  <c r="E210" i="8"/>
  <c r="A205" i="7"/>
  <c r="C205" i="7" s="1"/>
  <c r="B248" i="1"/>
  <c r="D247" i="1"/>
  <c r="E247" i="1"/>
  <c r="K201" i="4"/>
  <c r="C241" i="1" s="1"/>
  <c r="E69" i="7" l="1"/>
  <c r="G110" i="1"/>
  <c r="O110" i="1" s="1"/>
  <c r="K248" i="1"/>
  <c r="N248" i="1"/>
  <c r="B108" i="8"/>
  <c r="G108" i="8" s="1"/>
  <c r="D112" i="10"/>
  <c r="E112" i="10" s="1"/>
  <c r="B216" i="10"/>
  <c r="A212" i="8"/>
  <c r="H212" i="8" s="1"/>
  <c r="E211" i="8"/>
  <c r="A206" i="7"/>
  <c r="C206" i="7" s="1"/>
  <c r="D248" i="1"/>
  <c r="E248" i="1"/>
  <c r="B249" i="1"/>
  <c r="K202" i="4"/>
  <c r="C242" i="1" s="1"/>
  <c r="P110" i="1" l="1"/>
  <c r="F111" i="1" s="1"/>
  <c r="L111" i="1" s="1"/>
  <c r="K249" i="1"/>
  <c r="N249" i="1"/>
  <c r="C113" i="10"/>
  <c r="D108" i="8"/>
  <c r="C108" i="8" s="1"/>
  <c r="F108" i="8"/>
  <c r="I108" i="8" s="1"/>
  <c r="J108" i="8" s="1"/>
  <c r="B217" i="10"/>
  <c r="A213" i="8"/>
  <c r="H213" i="8" s="1"/>
  <c r="E212" i="8"/>
  <c r="A207" i="7"/>
  <c r="C207" i="7" s="1"/>
  <c r="B250" i="1"/>
  <c r="E249" i="1"/>
  <c r="D249" i="1"/>
  <c r="K203" i="4"/>
  <c r="C243" i="1" s="1"/>
  <c r="J111" i="1" l="1"/>
  <c r="B70" i="7"/>
  <c r="E70" i="7" s="1"/>
  <c r="G111" i="1" s="1"/>
  <c r="Q111" i="1"/>
  <c r="H111" i="1"/>
  <c r="I111" i="1" s="1"/>
  <c r="K250" i="1"/>
  <c r="N250" i="1"/>
  <c r="B109" i="8"/>
  <c r="G109" i="8" s="1"/>
  <c r="D113" i="10"/>
  <c r="E113" i="10" s="1"/>
  <c r="B218" i="10"/>
  <c r="A214" i="8"/>
  <c r="H214" i="8" s="1"/>
  <c r="E213" i="8"/>
  <c r="A208" i="7"/>
  <c r="C208" i="7" s="1"/>
  <c r="B251" i="1"/>
  <c r="D250" i="1"/>
  <c r="E250" i="1"/>
  <c r="K204" i="4"/>
  <c r="C244" i="1" s="1"/>
  <c r="O111" i="1" l="1"/>
  <c r="D70" i="7"/>
  <c r="K251" i="1"/>
  <c r="N251" i="1"/>
  <c r="D109" i="8"/>
  <c r="C109" i="8" s="1"/>
  <c r="F109" i="8"/>
  <c r="I109" i="8" s="1"/>
  <c r="J109" i="8" s="1"/>
  <c r="C114" i="10"/>
  <c r="B219" i="10"/>
  <c r="A215" i="8"/>
  <c r="H215" i="8" s="1"/>
  <c r="E214" i="8"/>
  <c r="A209" i="7"/>
  <c r="C209" i="7" s="1"/>
  <c r="P111" i="1"/>
  <c r="F112" i="1" s="1"/>
  <c r="L112" i="1" s="1"/>
  <c r="B252" i="1"/>
  <c r="D251" i="1"/>
  <c r="E251" i="1"/>
  <c r="K205" i="4"/>
  <c r="C245" i="1" s="1"/>
  <c r="K252" i="1" l="1"/>
  <c r="N252" i="1"/>
  <c r="B110" i="8"/>
  <c r="G110" i="8" s="1"/>
  <c r="D114" i="10"/>
  <c r="E114" i="10" s="1"/>
  <c r="B220" i="10"/>
  <c r="A216" i="8"/>
  <c r="H216" i="8" s="1"/>
  <c r="E215" i="8"/>
  <c r="J112" i="1"/>
  <c r="H112" i="1"/>
  <c r="I112" i="1" s="1"/>
  <c r="B71" i="7"/>
  <c r="Q112" i="1"/>
  <c r="A210" i="7"/>
  <c r="C210" i="7" s="1"/>
  <c r="B253" i="1"/>
  <c r="E252" i="1"/>
  <c r="D252" i="1"/>
  <c r="K206" i="4"/>
  <c r="C246" i="1" s="1"/>
  <c r="K253" i="1" l="1"/>
  <c r="N253" i="1"/>
  <c r="D110" i="8"/>
  <c r="C110" i="8" s="1"/>
  <c r="F110" i="8"/>
  <c r="I110" i="8" s="1"/>
  <c r="J110" i="8" s="1"/>
  <c r="C115" i="10"/>
  <c r="E71" i="7"/>
  <c r="D71" i="7"/>
  <c r="B221" i="10"/>
  <c r="A217" i="8"/>
  <c r="H217" i="8" s="1"/>
  <c r="E216" i="8"/>
  <c r="A211" i="7"/>
  <c r="C211" i="7" s="1"/>
  <c r="E253" i="1"/>
  <c r="D253" i="1"/>
  <c r="B254" i="1"/>
  <c r="K207" i="4"/>
  <c r="C247" i="1" s="1"/>
  <c r="K254" i="1" l="1"/>
  <c r="N254" i="1"/>
  <c r="B111" i="8"/>
  <c r="G111" i="8" s="1"/>
  <c r="D115" i="10"/>
  <c r="E115" i="10" s="1"/>
  <c r="B222" i="10"/>
  <c r="A218" i="8"/>
  <c r="H218" i="8" s="1"/>
  <c r="E217" i="8"/>
  <c r="G112" i="1"/>
  <c r="O112" i="1" s="1"/>
  <c r="A212" i="7"/>
  <c r="C212" i="7" s="1"/>
  <c r="B255" i="1"/>
  <c r="D254" i="1"/>
  <c r="E254" i="1"/>
  <c r="K208" i="4"/>
  <c r="C248" i="1" s="1"/>
  <c r="K255" i="1" l="1"/>
  <c r="N255" i="1"/>
  <c r="C116" i="10"/>
  <c r="F111" i="8"/>
  <c r="I111" i="8" s="1"/>
  <c r="J111" i="8" s="1"/>
  <c r="D111" i="8"/>
  <c r="C111" i="8" s="1"/>
  <c r="B223" i="10"/>
  <c r="A219" i="8"/>
  <c r="H219" i="8" s="1"/>
  <c r="E218" i="8"/>
  <c r="P112" i="1"/>
  <c r="F113" i="1" s="1"/>
  <c r="L113" i="1" s="1"/>
  <c r="A213" i="7"/>
  <c r="C213" i="7" s="1"/>
  <c r="B256" i="1"/>
  <c r="D255" i="1"/>
  <c r="E255" i="1"/>
  <c r="K209" i="4"/>
  <c r="C249" i="1" s="1"/>
  <c r="K256" i="1" l="1"/>
  <c r="N256" i="1"/>
  <c r="D116" i="10"/>
  <c r="E116" i="10" s="1"/>
  <c r="B112" i="8"/>
  <c r="G112" i="8" s="1"/>
  <c r="H113" i="1"/>
  <c r="I113" i="1" s="1"/>
  <c r="B72" i="7"/>
  <c r="Q113" i="1"/>
  <c r="B224" i="10"/>
  <c r="A220" i="8"/>
  <c r="H220" i="8" s="1"/>
  <c r="E219" i="8"/>
  <c r="J113" i="1"/>
  <c r="A214" i="7"/>
  <c r="C214" i="7" s="1"/>
  <c r="D256" i="1"/>
  <c r="B257" i="1"/>
  <c r="E256" i="1"/>
  <c r="K210" i="4"/>
  <c r="C250" i="1" s="1"/>
  <c r="K257" i="1" l="1"/>
  <c r="N257" i="1"/>
  <c r="D112" i="8"/>
  <c r="C112" i="8" s="1"/>
  <c r="F112" i="8"/>
  <c r="I112" i="8" s="1"/>
  <c r="J112" i="8" s="1"/>
  <c r="C117" i="10"/>
  <c r="E72" i="7"/>
  <c r="D72" i="7"/>
  <c r="B225" i="10"/>
  <c r="A221" i="8"/>
  <c r="H221" i="8" s="1"/>
  <c r="E220" i="8"/>
  <c r="A215" i="7"/>
  <c r="C215" i="7" s="1"/>
  <c r="E257" i="1"/>
  <c r="B258" i="1"/>
  <c r="D257" i="1"/>
  <c r="K211" i="4"/>
  <c r="C251" i="1" s="1"/>
  <c r="G113" i="1" l="1"/>
  <c r="O113" i="1" s="1"/>
  <c r="K258" i="1"/>
  <c r="N258" i="1"/>
  <c r="B113" i="8"/>
  <c r="G113" i="8" s="1"/>
  <c r="D117" i="10"/>
  <c r="E117" i="10" s="1"/>
  <c r="B226" i="10"/>
  <c r="A222" i="8"/>
  <c r="H222" i="8" s="1"/>
  <c r="E221" i="8"/>
  <c r="A216" i="7"/>
  <c r="C216" i="7" s="1"/>
  <c r="B259" i="1"/>
  <c r="E258" i="1"/>
  <c r="D258" i="1"/>
  <c r="K212" i="4"/>
  <c r="C252" i="1" s="1"/>
  <c r="P113" i="1" l="1"/>
  <c r="F114" i="1" s="1"/>
  <c r="Q114" i="1" s="1"/>
  <c r="K259" i="1"/>
  <c r="N259" i="1"/>
  <c r="C118" i="10"/>
  <c r="F113" i="8"/>
  <c r="I113" i="8" s="1"/>
  <c r="J113" i="8" s="1"/>
  <c r="D113" i="8"/>
  <c r="C113" i="8" s="1"/>
  <c r="B227" i="10"/>
  <c r="A223" i="8"/>
  <c r="H223" i="8" s="1"/>
  <c r="E222" i="8"/>
  <c r="A217" i="7"/>
  <c r="C217" i="7" s="1"/>
  <c r="B260" i="1"/>
  <c r="D259" i="1"/>
  <c r="E259" i="1"/>
  <c r="K213" i="4"/>
  <c r="C253" i="1" s="1"/>
  <c r="J114" i="1" l="1"/>
  <c r="H114" i="1"/>
  <c r="I114" i="1" s="1"/>
  <c r="B73" i="7"/>
  <c r="E73" i="7" s="1"/>
  <c r="L114" i="1"/>
  <c r="K260" i="1"/>
  <c r="N260" i="1"/>
  <c r="D118" i="10"/>
  <c r="E118" i="10" s="1"/>
  <c r="B114" i="8"/>
  <c r="G114" i="8" s="1"/>
  <c r="B228" i="10"/>
  <c r="A224" i="8"/>
  <c r="H224" i="8" s="1"/>
  <c r="E223" i="8"/>
  <c r="A218" i="7"/>
  <c r="C218" i="7" s="1"/>
  <c r="B261" i="1"/>
  <c r="E260" i="1"/>
  <c r="D260" i="1"/>
  <c r="K214" i="4"/>
  <c r="C254" i="1" s="1"/>
  <c r="D73" i="7" l="1"/>
  <c r="G114" i="1" s="1"/>
  <c r="P114" i="1" s="1"/>
  <c r="F115" i="1" s="1"/>
  <c r="L115" i="1" s="1"/>
  <c r="K261" i="1"/>
  <c r="N261" i="1"/>
  <c r="C119" i="10"/>
  <c r="F114" i="8"/>
  <c r="I114" i="8" s="1"/>
  <c r="J114" i="8" s="1"/>
  <c r="D114" i="8"/>
  <c r="C114" i="8" s="1"/>
  <c r="B229" i="10"/>
  <c r="A225" i="8"/>
  <c r="H225" i="8" s="1"/>
  <c r="E224" i="8"/>
  <c r="A219" i="7"/>
  <c r="C219" i="7" s="1"/>
  <c r="E261" i="1"/>
  <c r="B262" i="1"/>
  <c r="D261" i="1"/>
  <c r="K215" i="4"/>
  <c r="C255" i="1" s="1"/>
  <c r="O114" i="1" l="1"/>
  <c r="Q115" i="1"/>
  <c r="H115" i="1"/>
  <c r="I115" i="1" s="1"/>
  <c r="J115" i="1"/>
  <c r="B74" i="7"/>
  <c r="E74" i="7" s="1"/>
  <c r="K262" i="1"/>
  <c r="N262" i="1"/>
  <c r="D119" i="10"/>
  <c r="E119" i="10" s="1"/>
  <c r="B115" i="8"/>
  <c r="G115" i="8" s="1"/>
  <c r="B230" i="10"/>
  <c r="A226" i="8"/>
  <c r="H226" i="8" s="1"/>
  <c r="E225" i="8"/>
  <c r="A220" i="7"/>
  <c r="C220" i="7" s="1"/>
  <c r="B263" i="1"/>
  <c r="E262" i="1"/>
  <c r="D262" i="1"/>
  <c r="K216" i="4"/>
  <c r="C256" i="1" s="1"/>
  <c r="D74" i="7" l="1"/>
  <c r="G115" i="1" s="1"/>
  <c r="K263" i="1"/>
  <c r="N263" i="1"/>
  <c r="F115" i="8"/>
  <c r="I115" i="8" s="1"/>
  <c r="J115" i="8" s="1"/>
  <c r="D115" i="8"/>
  <c r="C115" i="8" s="1"/>
  <c r="C120" i="10"/>
  <c r="B231" i="10"/>
  <c r="A227" i="8"/>
  <c r="H227" i="8" s="1"/>
  <c r="E226" i="8"/>
  <c r="A221" i="7"/>
  <c r="C221" i="7" s="1"/>
  <c r="D263" i="1"/>
  <c r="B264" i="1"/>
  <c r="E263" i="1"/>
  <c r="K217" i="4"/>
  <c r="C257" i="1" s="1"/>
  <c r="O115" i="1" l="1"/>
  <c r="P115" i="1"/>
  <c r="F116" i="1" s="1"/>
  <c r="L116" i="1" s="1"/>
  <c r="K264" i="1"/>
  <c r="N264" i="1"/>
  <c r="B116" i="8"/>
  <c r="G116" i="8" s="1"/>
  <c r="D120" i="10"/>
  <c r="E120" i="10" s="1"/>
  <c r="B232" i="10"/>
  <c r="A228" i="8"/>
  <c r="H228" i="8" s="1"/>
  <c r="E227" i="8"/>
  <c r="A222" i="7"/>
  <c r="C222" i="7" s="1"/>
  <c r="B265" i="1"/>
  <c r="D264" i="1"/>
  <c r="E264" i="1"/>
  <c r="K218" i="4"/>
  <c r="C258" i="1" s="1"/>
  <c r="B75" i="7" l="1"/>
  <c r="D75" i="7" s="1"/>
  <c r="Q116" i="1"/>
  <c r="J116" i="1"/>
  <c r="H116" i="1"/>
  <c r="I116" i="1" s="1"/>
  <c r="K265" i="1"/>
  <c r="N265" i="1"/>
  <c r="F116" i="8"/>
  <c r="I116" i="8" s="1"/>
  <c r="J116" i="8" s="1"/>
  <c r="C121" i="10"/>
  <c r="D116" i="8"/>
  <c r="C116" i="8" s="1"/>
  <c r="B233" i="10"/>
  <c r="A229" i="8"/>
  <c r="H229" i="8" s="1"/>
  <c r="E228" i="8"/>
  <c r="A223" i="7"/>
  <c r="C223" i="7" s="1"/>
  <c r="D265" i="1"/>
  <c r="B266" i="1"/>
  <c r="E265" i="1"/>
  <c r="K219" i="4"/>
  <c r="C259" i="1" s="1"/>
  <c r="E75" i="7" l="1"/>
  <c r="K266" i="1"/>
  <c r="N266" i="1"/>
  <c r="D121" i="10"/>
  <c r="E121" i="10" s="1"/>
  <c r="B117" i="8"/>
  <c r="G117" i="8" s="1"/>
  <c r="G116" i="1"/>
  <c r="O116" i="1" s="1"/>
  <c r="B234" i="10"/>
  <c r="A230" i="8"/>
  <c r="H230" i="8" s="1"/>
  <c r="E229" i="8"/>
  <c r="A224" i="7"/>
  <c r="C224" i="7" s="1"/>
  <c r="D266" i="1"/>
  <c r="B267" i="1"/>
  <c r="E266" i="1"/>
  <c r="K220" i="4"/>
  <c r="C260" i="1" s="1"/>
  <c r="K267" i="1" l="1"/>
  <c r="N267" i="1"/>
  <c r="C122" i="10"/>
  <c r="F117" i="8"/>
  <c r="I117" i="8" s="1"/>
  <c r="J117" i="8" s="1"/>
  <c r="D117" i="8"/>
  <c r="C117" i="8" s="1"/>
  <c r="P116" i="1"/>
  <c r="F117" i="1" s="1"/>
  <c r="L117" i="1" s="1"/>
  <c r="B235" i="10"/>
  <c r="A231" i="8"/>
  <c r="H231" i="8" s="1"/>
  <c r="E230" i="8"/>
  <c r="A225" i="7"/>
  <c r="C225" i="7" s="1"/>
  <c r="D267" i="1"/>
  <c r="B268" i="1"/>
  <c r="E267" i="1"/>
  <c r="K221" i="4"/>
  <c r="C261" i="1" s="1"/>
  <c r="K268" i="1" l="1"/>
  <c r="N268" i="1"/>
  <c r="B76" i="7"/>
  <c r="E76" i="7" s="1"/>
  <c r="H117" i="1"/>
  <c r="I117" i="1" s="1"/>
  <c r="D122" i="10"/>
  <c r="E122" i="10" s="1"/>
  <c r="B118" i="8"/>
  <c r="G118" i="8" s="1"/>
  <c r="Q117" i="1"/>
  <c r="J117" i="1"/>
  <c r="B236" i="10"/>
  <c r="A232" i="8"/>
  <c r="H232" i="8" s="1"/>
  <c r="E231" i="8"/>
  <c r="A226" i="7"/>
  <c r="C226" i="7" s="1"/>
  <c r="E268" i="1"/>
  <c r="B269" i="1"/>
  <c r="D268" i="1"/>
  <c r="K222" i="4"/>
  <c r="C262" i="1" s="1"/>
  <c r="D76" i="7" l="1"/>
  <c r="G117" i="1" s="1"/>
  <c r="O117" i="1" s="1"/>
  <c r="K269" i="1"/>
  <c r="N269" i="1"/>
  <c r="C123" i="10"/>
  <c r="F118" i="8"/>
  <c r="I118" i="8" s="1"/>
  <c r="J118" i="8" s="1"/>
  <c r="D118" i="8"/>
  <c r="C118" i="8" s="1"/>
  <c r="B237" i="10"/>
  <c r="A233" i="8"/>
  <c r="H233" i="8" s="1"/>
  <c r="E232" i="8"/>
  <c r="A227" i="7"/>
  <c r="C227" i="7" s="1"/>
  <c r="B270" i="1"/>
  <c r="D269" i="1"/>
  <c r="E269" i="1"/>
  <c r="K223" i="4"/>
  <c r="C263" i="1" s="1"/>
  <c r="K270" i="1" l="1"/>
  <c r="N270" i="1"/>
  <c r="B119" i="8"/>
  <c r="G119" i="8" s="1"/>
  <c r="D123" i="10"/>
  <c r="E123" i="10" s="1"/>
  <c r="P117" i="1"/>
  <c r="F118" i="1" s="1"/>
  <c r="B238" i="10"/>
  <c r="A234" i="8"/>
  <c r="H234" i="8" s="1"/>
  <c r="E233" i="8"/>
  <c r="A228" i="7"/>
  <c r="C228" i="7" s="1"/>
  <c r="B271" i="1"/>
  <c r="E270" i="1"/>
  <c r="D270" i="1"/>
  <c r="K224" i="4"/>
  <c r="C264" i="1" s="1"/>
  <c r="J118" i="1" l="1"/>
  <c r="L118" i="1"/>
  <c r="K271" i="1"/>
  <c r="N271" i="1"/>
  <c r="B77" i="7"/>
  <c r="D77" i="7" s="1"/>
  <c r="H118" i="1"/>
  <c r="I118" i="1" s="1"/>
  <c r="C124" i="10"/>
  <c r="D119" i="8"/>
  <c r="C119" i="8" s="1"/>
  <c r="F119" i="8"/>
  <c r="I119" i="8" s="1"/>
  <c r="J119" i="8" s="1"/>
  <c r="Q118" i="1"/>
  <c r="B239" i="10"/>
  <c r="A235" i="8"/>
  <c r="H235" i="8" s="1"/>
  <c r="E234" i="8"/>
  <c r="A229" i="7"/>
  <c r="C229" i="7" s="1"/>
  <c r="B272" i="1"/>
  <c r="E271" i="1"/>
  <c r="D271" i="1"/>
  <c r="K225" i="4"/>
  <c r="C265" i="1" s="1"/>
  <c r="K272" i="1" l="1"/>
  <c r="E77" i="7"/>
  <c r="G118" i="1" s="1"/>
  <c r="O118" i="1" s="1"/>
  <c r="N272" i="1"/>
  <c r="D124" i="10"/>
  <c r="E124" i="10" s="1"/>
  <c r="B120" i="8"/>
  <c r="G120" i="8" s="1"/>
  <c r="B240" i="10"/>
  <c r="A236" i="8"/>
  <c r="H236" i="8" s="1"/>
  <c r="E235" i="8"/>
  <c r="A230" i="7"/>
  <c r="C230" i="7" s="1"/>
  <c r="D272" i="1"/>
  <c r="E272" i="1"/>
  <c r="B273" i="1"/>
  <c r="K226" i="4"/>
  <c r="C266" i="1" s="1"/>
  <c r="K273" i="1" l="1"/>
  <c r="P118" i="1"/>
  <c r="F119" i="1" s="1"/>
  <c r="N273" i="1"/>
  <c r="C125" i="10"/>
  <c r="D120" i="8"/>
  <c r="C120" i="8" s="1"/>
  <c r="F120" i="8"/>
  <c r="I120" i="8" s="1"/>
  <c r="J120" i="8" s="1"/>
  <c r="B241" i="10"/>
  <c r="A237" i="8"/>
  <c r="H237" i="8" s="1"/>
  <c r="E236" i="8"/>
  <c r="A231" i="7"/>
  <c r="C231" i="7" s="1"/>
  <c r="D273" i="1"/>
  <c r="B274" i="1"/>
  <c r="E273" i="1"/>
  <c r="K227" i="4"/>
  <c r="C267" i="1" s="1"/>
  <c r="K274" i="1" l="1"/>
  <c r="J119" i="1"/>
  <c r="L119" i="1"/>
  <c r="B78" i="7"/>
  <c r="E78" i="7" s="1"/>
  <c r="Q119" i="1"/>
  <c r="H119" i="1"/>
  <c r="I119" i="1" s="1"/>
  <c r="N274" i="1"/>
  <c r="B121" i="8"/>
  <c r="G121" i="8" s="1"/>
  <c r="D125" i="10"/>
  <c r="E125" i="10" s="1"/>
  <c r="B242" i="10"/>
  <c r="A238" i="8"/>
  <c r="H238" i="8" s="1"/>
  <c r="E237" i="8"/>
  <c r="A232" i="7"/>
  <c r="C232" i="7" s="1"/>
  <c r="D274" i="1"/>
  <c r="E274" i="1"/>
  <c r="B275" i="1"/>
  <c r="K228" i="4"/>
  <c r="C268" i="1" s="1"/>
  <c r="D78" i="7" l="1"/>
  <c r="G119" i="1" s="1"/>
  <c r="K275" i="1"/>
  <c r="N275" i="1"/>
  <c r="C126" i="10"/>
  <c r="F121" i="8"/>
  <c r="I121" i="8" s="1"/>
  <c r="J121" i="8" s="1"/>
  <c r="D121" i="8"/>
  <c r="C121" i="8" s="1"/>
  <c r="B243" i="10"/>
  <c r="A239" i="8"/>
  <c r="H239" i="8" s="1"/>
  <c r="E238" i="8"/>
  <c r="A233" i="7"/>
  <c r="C233" i="7" s="1"/>
  <c r="B276" i="1"/>
  <c r="E275" i="1"/>
  <c r="D275" i="1"/>
  <c r="K229" i="4"/>
  <c r="C269" i="1" s="1"/>
  <c r="O119" i="1" l="1"/>
  <c r="P119" i="1"/>
  <c r="F120" i="1" s="1"/>
  <c r="L120" i="1" s="1"/>
  <c r="K276" i="1"/>
  <c r="N276" i="1"/>
  <c r="B122" i="8"/>
  <c r="G122" i="8" s="1"/>
  <c r="D126" i="10"/>
  <c r="E126" i="10" s="1"/>
  <c r="B244" i="10"/>
  <c r="A240" i="8"/>
  <c r="H240" i="8" s="1"/>
  <c r="E239" i="8"/>
  <c r="A234" i="7"/>
  <c r="C234" i="7" s="1"/>
  <c r="E276" i="1"/>
  <c r="B277" i="1"/>
  <c r="D276" i="1"/>
  <c r="K230" i="4"/>
  <c r="C270" i="1" s="1"/>
  <c r="H120" i="1" l="1"/>
  <c r="I120" i="1" s="1"/>
  <c r="B79" i="7"/>
  <c r="E79" i="7" s="1"/>
  <c r="G120" i="1" s="1"/>
  <c r="Q120" i="1"/>
  <c r="J120" i="1"/>
  <c r="K277" i="1"/>
  <c r="N277" i="1"/>
  <c r="F122" i="8"/>
  <c r="I122" i="8" s="1"/>
  <c r="J122" i="8" s="1"/>
  <c r="D122" i="8"/>
  <c r="C122" i="8" s="1"/>
  <c r="C127" i="10"/>
  <c r="B245" i="10"/>
  <c r="A241" i="8"/>
  <c r="H241" i="8" s="1"/>
  <c r="E240" i="8"/>
  <c r="A235" i="7"/>
  <c r="C235" i="7" s="1"/>
  <c r="E277" i="1"/>
  <c r="D277" i="1"/>
  <c r="B278" i="1"/>
  <c r="K231" i="4"/>
  <c r="C271" i="1" s="1"/>
  <c r="D79" i="7" l="1"/>
  <c r="O120" i="1"/>
  <c r="K278" i="1"/>
  <c r="N278" i="1"/>
  <c r="D127" i="10"/>
  <c r="E127" i="10" s="1"/>
  <c r="B123" i="8"/>
  <c r="G123" i="8" s="1"/>
  <c r="B246" i="10"/>
  <c r="A242" i="8"/>
  <c r="H242" i="8" s="1"/>
  <c r="E241" i="8"/>
  <c r="A236" i="7"/>
  <c r="C236" i="7" s="1"/>
  <c r="P120" i="1"/>
  <c r="F121" i="1" s="1"/>
  <c r="L121" i="1" s="1"/>
  <c r="D278" i="1"/>
  <c r="E278" i="1"/>
  <c r="B279" i="1"/>
  <c r="K232" i="4"/>
  <c r="C272" i="1" s="1"/>
  <c r="K279" i="1" l="1"/>
  <c r="N279" i="1"/>
  <c r="C128" i="10"/>
  <c r="F123" i="8"/>
  <c r="I123" i="8" s="1"/>
  <c r="J123" i="8" s="1"/>
  <c r="D123" i="8"/>
  <c r="C123" i="8" s="1"/>
  <c r="B247" i="10"/>
  <c r="A243" i="8"/>
  <c r="H243" i="8" s="1"/>
  <c r="E242" i="8"/>
  <c r="H121" i="1"/>
  <c r="I121" i="1" s="1"/>
  <c r="B80" i="7"/>
  <c r="Q121" i="1"/>
  <c r="J121" i="1"/>
  <c r="A237" i="7"/>
  <c r="C237" i="7" s="1"/>
  <c r="B280" i="1"/>
  <c r="D279" i="1"/>
  <c r="E279" i="1"/>
  <c r="K233" i="4"/>
  <c r="C273" i="1" s="1"/>
  <c r="K280" i="1" l="1"/>
  <c r="N280" i="1"/>
  <c r="D128" i="10"/>
  <c r="E128" i="10" s="1"/>
  <c r="B124" i="8"/>
  <c r="G124" i="8" s="1"/>
  <c r="E80" i="7"/>
  <c r="D80" i="7"/>
  <c r="B248" i="10"/>
  <c r="A244" i="8"/>
  <c r="H244" i="8" s="1"/>
  <c r="E243" i="8"/>
  <c r="A238" i="7"/>
  <c r="C238" i="7" s="1"/>
  <c r="B281" i="1"/>
  <c r="E280" i="1"/>
  <c r="D280" i="1"/>
  <c r="K234" i="4"/>
  <c r="C274" i="1" s="1"/>
  <c r="K281" i="1" l="1"/>
  <c r="N281" i="1"/>
  <c r="F124" i="8"/>
  <c r="I124" i="8" s="1"/>
  <c r="J124" i="8" s="1"/>
  <c r="D124" i="8"/>
  <c r="C124" i="8" s="1"/>
  <c r="C129" i="10"/>
  <c r="B249" i="10"/>
  <c r="A245" i="8"/>
  <c r="H245" i="8" s="1"/>
  <c r="E244" i="8"/>
  <c r="G121" i="1"/>
  <c r="O121" i="1" s="1"/>
  <c r="A239" i="7"/>
  <c r="C239" i="7" s="1"/>
  <c r="E281" i="1"/>
  <c r="B282" i="1"/>
  <c r="D281" i="1"/>
  <c r="K235" i="4"/>
  <c r="C275" i="1" s="1"/>
  <c r="K282" i="1" l="1"/>
  <c r="N282" i="1"/>
  <c r="B125" i="8"/>
  <c r="G125" i="8" s="1"/>
  <c r="D129" i="10"/>
  <c r="E129" i="10" s="1"/>
  <c r="B250" i="10"/>
  <c r="A246" i="8"/>
  <c r="H246" i="8" s="1"/>
  <c r="E245" i="8"/>
  <c r="P121" i="1"/>
  <c r="F122" i="1" s="1"/>
  <c r="L122" i="1" s="1"/>
  <c r="A240" i="7"/>
  <c r="C240" i="7" s="1"/>
  <c r="D282" i="1"/>
  <c r="B283" i="1"/>
  <c r="E282" i="1"/>
  <c r="K236" i="4"/>
  <c r="C276" i="1" s="1"/>
  <c r="K283" i="1" l="1"/>
  <c r="N283" i="1"/>
  <c r="C130" i="10"/>
  <c r="F125" i="8"/>
  <c r="I125" i="8" s="1"/>
  <c r="J125" i="8" s="1"/>
  <c r="D125" i="8"/>
  <c r="C125" i="8" s="1"/>
  <c r="J122" i="1"/>
  <c r="B251" i="10"/>
  <c r="E246" i="8"/>
  <c r="Q122" i="1"/>
  <c r="B81" i="7"/>
  <c r="H122" i="1"/>
  <c r="I122" i="1" s="1"/>
  <c r="A241" i="7"/>
  <c r="C241" i="7" s="1"/>
  <c r="K285" i="1"/>
  <c r="D283" i="1"/>
  <c r="E283" i="1"/>
  <c r="K237" i="4"/>
  <c r="C277" i="1" s="1"/>
  <c r="D130" i="10" l="1"/>
  <c r="E130" i="10" s="1"/>
  <c r="B126" i="8"/>
  <c r="G126" i="8" s="1"/>
  <c r="D81" i="7"/>
  <c r="E81" i="7"/>
  <c r="G122" i="1" s="1"/>
  <c r="O122" i="1" s="1"/>
  <c r="A242" i="7"/>
  <c r="C242" i="7" s="1"/>
  <c r="K238" i="4"/>
  <c r="C278" i="1" s="1"/>
  <c r="C131" i="10" l="1"/>
  <c r="D126" i="8"/>
  <c r="C126" i="8" s="1"/>
  <c r="F126" i="8"/>
  <c r="I126" i="8" s="1"/>
  <c r="J126" i="8" s="1"/>
  <c r="P122" i="1"/>
  <c r="F123" i="1" s="1"/>
  <c r="L123" i="1" s="1"/>
  <c r="K239" i="4"/>
  <c r="C279" i="1" s="1"/>
  <c r="B127" i="8" l="1"/>
  <c r="G127" i="8" s="1"/>
  <c r="D131" i="10"/>
  <c r="E131" i="10" s="1"/>
  <c r="B82" i="7"/>
  <c r="H123" i="1"/>
  <c r="I123" i="1" s="1"/>
  <c r="Q123" i="1"/>
  <c r="J123" i="1"/>
  <c r="K240" i="4"/>
  <c r="C280" i="1" s="1"/>
  <c r="C132" i="10" l="1"/>
  <c r="D127" i="8"/>
  <c r="C127" i="8" s="1"/>
  <c r="F127" i="8"/>
  <c r="I127" i="8" s="1"/>
  <c r="J127" i="8" s="1"/>
  <c r="E82" i="7"/>
  <c r="D82" i="7"/>
  <c r="K241" i="4"/>
  <c r="C281" i="1" s="1"/>
  <c r="G123" i="1" l="1"/>
  <c r="O123" i="1" s="1"/>
  <c r="B128" i="8"/>
  <c r="G128" i="8" s="1"/>
  <c r="D132" i="10"/>
  <c r="E132" i="10" s="1"/>
  <c r="K242" i="4"/>
  <c r="C282" i="1" s="1"/>
  <c r="P123" i="1" l="1"/>
  <c r="F124" i="1" s="1"/>
  <c r="L124" i="1" s="1"/>
  <c r="C133" i="10"/>
  <c r="F128" i="8"/>
  <c r="I128" i="8" s="1"/>
  <c r="J128" i="8" s="1"/>
  <c r="D128" i="8"/>
  <c r="C128" i="8" s="1"/>
  <c r="K243" i="4"/>
  <c r="C283" i="1" s="1"/>
  <c r="H124" i="1" l="1"/>
  <c r="I124" i="1" s="1"/>
  <c r="Q124" i="1"/>
  <c r="J124" i="1"/>
  <c r="B83" i="7"/>
  <c r="D83" i="7" s="1"/>
  <c r="D133" i="10"/>
  <c r="E133" i="10" s="1"/>
  <c r="B129" i="8"/>
  <c r="G129" i="8" s="1"/>
  <c r="E83" i="7" l="1"/>
  <c r="G124" i="1" s="1"/>
  <c r="O124" i="1" s="1"/>
  <c r="D129" i="8"/>
  <c r="C129" i="8" s="1"/>
  <c r="C134" i="10"/>
  <c r="F129" i="8"/>
  <c r="I129" i="8" s="1"/>
  <c r="J129" i="8" s="1"/>
  <c r="P124" i="1" l="1"/>
  <c r="F125" i="1" s="1"/>
  <c r="L125" i="1" s="1"/>
  <c r="B130" i="8"/>
  <c r="G130" i="8" s="1"/>
  <c r="D134" i="10"/>
  <c r="E134" i="10" s="1"/>
  <c r="H125" i="1" l="1"/>
  <c r="I125" i="1" s="1"/>
  <c r="J125" i="1"/>
  <c r="Q125" i="1"/>
  <c r="B84" i="7"/>
  <c r="E84" i="7" s="1"/>
  <c r="G125" i="1" s="1"/>
  <c r="P125" i="1" s="1"/>
  <c r="F126" i="1" s="1"/>
  <c r="L126" i="1" s="1"/>
  <c r="C135" i="10"/>
  <c r="F130" i="8"/>
  <c r="I130" i="8" s="1"/>
  <c r="J130" i="8" s="1"/>
  <c r="D130" i="8"/>
  <c r="C130" i="8" s="1"/>
  <c r="D84" i="7" l="1"/>
  <c r="O125" i="1"/>
  <c r="B131" i="8"/>
  <c r="G131" i="8" s="1"/>
  <c r="D135" i="10"/>
  <c r="E135" i="10" s="1"/>
  <c r="J126" i="1"/>
  <c r="B85" i="7"/>
  <c r="H126" i="1"/>
  <c r="I126" i="1" s="1"/>
  <c r="Q126" i="1"/>
  <c r="C136" i="10" l="1"/>
  <c r="F131" i="8"/>
  <c r="I131" i="8" s="1"/>
  <c r="J131" i="8" s="1"/>
  <c r="D131" i="8"/>
  <c r="C131" i="8" s="1"/>
  <c r="D85" i="7"/>
  <c r="E85" i="7"/>
  <c r="G126" i="1" s="1"/>
  <c r="O126" i="1" s="1"/>
  <c r="B132" i="8" l="1"/>
  <c r="G132" i="8" s="1"/>
  <c r="D136" i="10"/>
  <c r="E136" i="10" s="1"/>
  <c r="P126" i="1"/>
  <c r="F127" i="1" s="1"/>
  <c r="L127" i="1" s="1"/>
  <c r="C137" i="10" l="1"/>
  <c r="D132" i="8"/>
  <c r="C132" i="8" s="1"/>
  <c r="F132" i="8"/>
  <c r="I132" i="8" s="1"/>
  <c r="J132" i="8" s="1"/>
  <c r="H127" i="1"/>
  <c r="I127" i="1" s="1"/>
  <c r="Q127" i="1"/>
  <c r="J127" i="1"/>
  <c r="B86" i="7"/>
  <c r="D137" i="10" l="1"/>
  <c r="E137" i="10" s="1"/>
  <c r="B133" i="8"/>
  <c r="G133" i="8" s="1"/>
  <c r="E86" i="7"/>
  <c r="D86" i="7"/>
  <c r="G127" i="1" l="1"/>
  <c r="O127" i="1" s="1"/>
  <c r="C138" i="10"/>
  <c r="F133" i="8"/>
  <c r="I133" i="8" s="1"/>
  <c r="J133" i="8" s="1"/>
  <c r="D133" i="8"/>
  <c r="C133" i="8" s="1"/>
  <c r="P127" i="1" l="1"/>
  <c r="F128" i="1" s="1"/>
  <c r="L128" i="1" s="1"/>
  <c r="B134" i="8"/>
  <c r="G134" i="8" s="1"/>
  <c r="D138" i="10"/>
  <c r="E138" i="10" s="1"/>
  <c r="H128" i="1" l="1"/>
  <c r="I128" i="1" s="1"/>
  <c r="J128" i="1"/>
  <c r="B87" i="7"/>
  <c r="D87" i="7" s="1"/>
  <c r="Q128" i="1"/>
  <c r="C139" i="10"/>
  <c r="D134" i="8"/>
  <c r="C134" i="8" s="1"/>
  <c r="F134" i="8"/>
  <c r="I134" i="8" s="1"/>
  <c r="J134" i="8" s="1"/>
  <c r="E87" i="7" l="1"/>
  <c r="G128" i="1"/>
  <c r="O128" i="1" s="1"/>
  <c r="B135" i="8"/>
  <c r="G135" i="8" s="1"/>
  <c r="D139" i="10"/>
  <c r="E139" i="10" s="1"/>
  <c r="P128" i="1" l="1"/>
  <c r="F129" i="1" s="1"/>
  <c r="L129" i="1" s="1"/>
  <c r="C140" i="10"/>
  <c r="D135" i="8"/>
  <c r="C135" i="8" s="1"/>
  <c r="F135" i="8"/>
  <c r="I135" i="8" s="1"/>
  <c r="J135" i="8" s="1"/>
  <c r="H129" i="1" l="1"/>
  <c r="I129" i="1" s="1"/>
  <c r="J129" i="1"/>
  <c r="Q129" i="1"/>
  <c r="B88" i="7"/>
  <c r="E88" i="7" s="1"/>
  <c r="D140" i="10"/>
  <c r="E140" i="10" s="1"/>
  <c r="B136" i="8"/>
  <c r="G136" i="8" s="1"/>
  <c r="D88" i="7" l="1"/>
  <c r="G129" i="1" s="1"/>
  <c r="O129" i="1" s="1"/>
  <c r="C141" i="10"/>
  <c r="F136" i="8"/>
  <c r="I136" i="8" s="1"/>
  <c r="J136" i="8" s="1"/>
  <c r="D136" i="8"/>
  <c r="C136" i="8" s="1"/>
  <c r="D141" i="10" l="1"/>
  <c r="E141" i="10" s="1"/>
  <c r="B137" i="8"/>
  <c r="G137" i="8" s="1"/>
  <c r="P129" i="1"/>
  <c r="F130" i="1" s="1"/>
  <c r="Q130" i="1" l="1"/>
  <c r="L130" i="1"/>
  <c r="C142" i="10"/>
  <c r="F137" i="8"/>
  <c r="I137" i="8" s="1"/>
  <c r="J137" i="8" s="1"/>
  <c r="D137" i="8"/>
  <c r="C137" i="8" s="1"/>
  <c r="B89" i="7"/>
  <c r="H130" i="1"/>
  <c r="I130" i="1" s="1"/>
  <c r="J130" i="1"/>
  <c r="D142" i="10" l="1"/>
  <c r="E142" i="10" s="1"/>
  <c r="B138" i="8"/>
  <c r="G138" i="8" s="1"/>
  <c r="E89" i="7"/>
  <c r="D89" i="7"/>
  <c r="G130" i="1" l="1"/>
  <c r="P130" i="1" s="1"/>
  <c r="F131" i="1" s="1"/>
  <c r="D138" i="8"/>
  <c r="C138" i="8" s="1"/>
  <c r="F138" i="8"/>
  <c r="I138" i="8" s="1"/>
  <c r="J138" i="8" s="1"/>
  <c r="C143" i="10"/>
  <c r="L131" i="1" l="1"/>
  <c r="Q131" i="1"/>
  <c r="H131" i="1"/>
  <c r="I131" i="1" s="1"/>
  <c r="J131" i="1"/>
  <c r="O130" i="1"/>
  <c r="B90" i="7"/>
  <c r="E90" i="7" s="1"/>
  <c r="B139" i="8"/>
  <c r="G139" i="8" s="1"/>
  <c r="D143" i="10"/>
  <c r="E143" i="10" s="1"/>
  <c r="D90" i="7" l="1"/>
  <c r="G131" i="1" s="1"/>
  <c r="C144" i="10"/>
  <c r="F139" i="8"/>
  <c r="I139" i="8" s="1"/>
  <c r="J139" i="8" s="1"/>
  <c r="D139" i="8"/>
  <c r="C139" i="8" s="1"/>
  <c r="O131" i="1" l="1"/>
  <c r="P131" i="1"/>
  <c r="F132" i="1" s="1"/>
  <c r="L132" i="1" s="1"/>
  <c r="D144" i="10"/>
  <c r="E144" i="10" s="1"/>
  <c r="B140" i="8"/>
  <c r="G140" i="8" s="1"/>
  <c r="J132" i="1" l="1"/>
  <c r="Q132" i="1"/>
  <c r="B91" i="7"/>
  <c r="E91" i="7" s="1"/>
  <c r="H132" i="1"/>
  <c r="I132" i="1" s="1"/>
  <c r="C145" i="10"/>
  <c r="D140" i="8"/>
  <c r="C140" i="8" s="1"/>
  <c r="F140" i="8"/>
  <c r="I140" i="8" s="1"/>
  <c r="J140" i="8" s="1"/>
  <c r="D91" i="7" l="1"/>
  <c r="G132" i="1"/>
  <c r="O132" i="1" s="1"/>
  <c r="D145" i="10"/>
  <c r="E145" i="10" s="1"/>
  <c r="B141" i="8"/>
  <c r="G141" i="8" s="1"/>
  <c r="P132" i="1" l="1"/>
  <c r="F133" i="1" s="1"/>
  <c r="L133" i="1" s="1"/>
  <c r="F141" i="8"/>
  <c r="I141" i="8" s="1"/>
  <c r="J141" i="8" s="1"/>
  <c r="C146" i="10"/>
  <c r="D141" i="8"/>
  <c r="C141" i="8" s="1"/>
  <c r="Q133" i="1" l="1"/>
  <c r="B92" i="7"/>
  <c r="E92" i="7" s="1"/>
  <c r="J133" i="1"/>
  <c r="H133" i="1"/>
  <c r="I133" i="1" s="1"/>
  <c r="D146" i="10"/>
  <c r="E146" i="10" s="1"/>
  <c r="B142" i="8"/>
  <c r="G142" i="8" s="1"/>
  <c r="D92" i="7" l="1"/>
  <c r="G133" i="1"/>
  <c r="O133" i="1" s="1"/>
  <c r="C147" i="10"/>
  <c r="F142" i="8"/>
  <c r="I142" i="8" s="1"/>
  <c r="J142" i="8" s="1"/>
  <c r="D142" i="8"/>
  <c r="C142" i="8" s="1"/>
  <c r="P133" i="1" l="1"/>
  <c r="F134" i="1" s="1"/>
  <c r="L134" i="1" s="1"/>
  <c r="D147" i="10"/>
  <c r="E147" i="10" s="1"/>
  <c r="B143" i="8"/>
  <c r="G143" i="8" s="1"/>
  <c r="B93" i="7" l="1"/>
  <c r="D93" i="7" s="1"/>
  <c r="H134" i="1"/>
  <c r="I134" i="1" s="1"/>
  <c r="Q134" i="1"/>
  <c r="J134" i="1"/>
  <c r="C148" i="10"/>
  <c r="D143" i="8"/>
  <c r="C143" i="8" s="1"/>
  <c r="F143" i="8"/>
  <c r="I143" i="8" s="1"/>
  <c r="J143" i="8" s="1"/>
  <c r="E93" i="7" l="1"/>
  <c r="G134" i="1" s="1"/>
  <c r="O134" i="1" s="1"/>
  <c r="B144" i="8"/>
  <c r="G144" i="8" s="1"/>
  <c r="D148" i="10"/>
  <c r="E148" i="10" s="1"/>
  <c r="P134" i="1" l="1"/>
  <c r="F135" i="1" s="1"/>
  <c r="L135" i="1" s="1"/>
  <c r="F144" i="8"/>
  <c r="I144" i="8" s="1"/>
  <c r="J144" i="8" s="1"/>
  <c r="C149" i="10"/>
  <c r="D144" i="8"/>
  <c r="C144" i="8" s="1"/>
  <c r="Q135" i="1" l="1"/>
  <c r="H135" i="1"/>
  <c r="I135" i="1" s="1"/>
  <c r="J135" i="1"/>
  <c r="B94" i="7"/>
  <c r="E94" i="7" s="1"/>
  <c r="D149" i="10"/>
  <c r="E149" i="10" s="1"/>
  <c r="B145" i="8"/>
  <c r="G145" i="8" s="1"/>
  <c r="D94" i="7" l="1"/>
  <c r="F145" i="8"/>
  <c r="I145" i="8" s="1"/>
  <c r="J145" i="8" s="1"/>
  <c r="C150" i="10"/>
  <c r="D145" i="8"/>
  <c r="C145" i="8" s="1"/>
  <c r="G135" i="1"/>
  <c r="O135" i="1" s="1"/>
  <c r="B146" i="8" l="1"/>
  <c r="G146" i="8" s="1"/>
  <c r="D150" i="10"/>
  <c r="E150" i="10" s="1"/>
  <c r="P135" i="1"/>
  <c r="F136" i="1" s="1"/>
  <c r="J136" i="1" l="1"/>
  <c r="L136" i="1"/>
  <c r="D146" i="8"/>
  <c r="C146" i="8" s="1"/>
  <c r="F146" i="8"/>
  <c r="I146" i="8" s="1"/>
  <c r="J146" i="8" s="1"/>
  <c r="C151" i="10"/>
  <c r="B95" i="7"/>
  <c r="E95" i="7" s="1"/>
  <c r="H136" i="1"/>
  <c r="I136" i="1" s="1"/>
  <c r="Q136" i="1"/>
  <c r="D95" i="7" l="1"/>
  <c r="G136" i="1" s="1"/>
  <c r="D151" i="10"/>
  <c r="E151" i="10" s="1"/>
  <c r="B147" i="8"/>
  <c r="G147" i="8" s="1"/>
  <c r="P136" i="1" l="1"/>
  <c r="F137" i="1" s="1"/>
  <c r="L137" i="1" s="1"/>
  <c r="O136" i="1"/>
  <c r="C152" i="10"/>
  <c r="F147" i="8"/>
  <c r="I147" i="8" s="1"/>
  <c r="J147" i="8" s="1"/>
  <c r="D147" i="8"/>
  <c r="C147" i="8" s="1"/>
  <c r="B96" i="7" l="1"/>
  <c r="E96" i="7" s="1"/>
  <c r="H137" i="1"/>
  <c r="I137" i="1" s="1"/>
  <c r="J137" i="1"/>
  <c r="Q137" i="1"/>
  <c r="D152" i="10"/>
  <c r="E152" i="10" s="1"/>
  <c r="B148" i="8"/>
  <c r="G148" i="8" s="1"/>
  <c r="D96" i="7" l="1"/>
  <c r="G137" i="1"/>
  <c r="O137" i="1" s="1"/>
  <c r="C153" i="10"/>
  <c r="F148" i="8"/>
  <c r="I148" i="8" s="1"/>
  <c r="J148" i="8" s="1"/>
  <c r="D148" i="8"/>
  <c r="C148" i="8" s="1"/>
  <c r="P137" i="1" l="1"/>
  <c r="F138" i="1" s="1"/>
  <c r="L138" i="1" s="1"/>
  <c r="D153" i="10"/>
  <c r="E153" i="10" s="1"/>
  <c r="B149" i="8"/>
  <c r="G149" i="8" s="1"/>
  <c r="B97" i="7" l="1"/>
  <c r="D97" i="7" s="1"/>
  <c r="Q138" i="1"/>
  <c r="H138" i="1"/>
  <c r="I138" i="1" s="1"/>
  <c r="J138" i="1"/>
  <c r="C154" i="10"/>
  <c r="F149" i="8"/>
  <c r="I149" i="8" s="1"/>
  <c r="J149" i="8" s="1"/>
  <c r="D149" i="8"/>
  <c r="C149" i="8" s="1"/>
  <c r="E97" i="7" l="1"/>
  <c r="G138" i="1"/>
  <c r="O138" i="1" s="1"/>
  <c r="D154" i="10"/>
  <c r="E154" i="10" s="1"/>
  <c r="B150" i="8"/>
  <c r="G150" i="8" s="1"/>
  <c r="P138" i="1" l="1"/>
  <c r="F139" i="1" s="1"/>
  <c r="L139" i="1" s="1"/>
  <c r="C155" i="10"/>
  <c r="D150" i="8"/>
  <c r="C150" i="8" s="1"/>
  <c r="F150" i="8"/>
  <c r="I150" i="8" s="1"/>
  <c r="J150" i="8" s="1"/>
  <c r="Q139" i="1" l="1"/>
  <c r="B98" i="7"/>
  <c r="E98" i="7" s="1"/>
  <c r="J139" i="1"/>
  <c r="H139" i="1"/>
  <c r="I139" i="1" s="1"/>
  <c r="D155" i="10"/>
  <c r="E155" i="10" s="1"/>
  <c r="B151" i="8"/>
  <c r="G151" i="8" s="1"/>
  <c r="D98" i="7" l="1"/>
  <c r="G139" i="1"/>
  <c r="O139" i="1" s="1"/>
  <c r="C156" i="10"/>
  <c r="F151" i="8"/>
  <c r="I151" i="8" s="1"/>
  <c r="J151" i="8" s="1"/>
  <c r="D151" i="8"/>
  <c r="C151" i="8" s="1"/>
  <c r="P139" i="1" l="1"/>
  <c r="F140" i="1" s="1"/>
  <c r="L140" i="1" s="1"/>
  <c r="D156" i="10"/>
  <c r="E156" i="10" s="1"/>
  <c r="B152" i="8"/>
  <c r="G152" i="8" s="1"/>
  <c r="J140" i="1" l="1"/>
  <c r="B99" i="7"/>
  <c r="D99" i="7" s="1"/>
  <c r="Q140" i="1"/>
  <c r="H140" i="1"/>
  <c r="I140" i="1" s="1"/>
  <c r="C157" i="10"/>
  <c r="D152" i="8"/>
  <c r="C152" i="8" s="1"/>
  <c r="D157" i="10" s="1"/>
  <c r="F152" i="8"/>
  <c r="I152" i="8" s="1"/>
  <c r="J152" i="8" s="1"/>
  <c r="E99" i="7" l="1"/>
  <c r="G140" i="1" s="1"/>
  <c r="O140" i="1" s="1"/>
  <c r="E157" i="10"/>
  <c r="B153" i="8"/>
  <c r="G153" i="8" s="1"/>
  <c r="P140" i="1" l="1"/>
  <c r="F141" i="1" s="1"/>
  <c r="L141" i="1" s="1"/>
  <c r="D153" i="8"/>
  <c r="C153" i="8" s="1"/>
  <c r="F153" i="8"/>
  <c r="I153" i="8" s="1"/>
  <c r="J153" i="8" s="1"/>
  <c r="C158" i="10"/>
  <c r="Q141" i="1" l="1"/>
  <c r="J141" i="1"/>
  <c r="H141" i="1"/>
  <c r="I141" i="1" s="1"/>
  <c r="B100" i="7"/>
  <c r="E100" i="7" s="1"/>
  <c r="B154" i="8"/>
  <c r="G154" i="8" s="1"/>
  <c r="D158" i="10"/>
  <c r="E158" i="10" s="1"/>
  <c r="D100" i="7" l="1"/>
  <c r="C159" i="10"/>
  <c r="D154" i="8"/>
  <c r="C154" i="8" s="1"/>
  <c r="F154" i="8"/>
  <c r="I154" i="8" s="1"/>
  <c r="J154" i="8" s="1"/>
  <c r="G141" i="1"/>
  <c r="O141" i="1" s="1"/>
  <c r="B155" i="8" l="1"/>
  <c r="G155" i="8" s="1"/>
  <c r="D159" i="10"/>
  <c r="E159" i="10" s="1"/>
  <c r="P141" i="1"/>
  <c r="F142" i="1" s="1"/>
  <c r="B101" i="7" l="1"/>
  <c r="E101" i="7" s="1"/>
  <c r="L142" i="1"/>
  <c r="F155" i="8"/>
  <c r="I155" i="8" s="1"/>
  <c r="J155" i="8" s="1"/>
  <c r="C160" i="10"/>
  <c r="D155" i="8"/>
  <c r="C155" i="8" s="1"/>
  <c r="J142" i="1"/>
  <c r="H142" i="1"/>
  <c r="I142" i="1" s="1"/>
  <c r="Q142" i="1"/>
  <c r="D101" i="7" l="1"/>
  <c r="G142" i="1" s="1"/>
  <c r="B156" i="8"/>
  <c r="G156" i="8" s="1"/>
  <c r="D160" i="10"/>
  <c r="E160" i="10" s="1"/>
  <c r="P142" i="1" l="1"/>
  <c r="F143" i="1" s="1"/>
  <c r="L143" i="1" s="1"/>
  <c r="O142" i="1"/>
  <c r="C161" i="10"/>
  <c r="F156" i="8"/>
  <c r="I156" i="8" s="1"/>
  <c r="J156" i="8" s="1"/>
  <c r="D156" i="8"/>
  <c r="C156" i="8" s="1"/>
  <c r="D161" i="10" s="1"/>
  <c r="E161" i="10" l="1"/>
  <c r="H143" i="1"/>
  <c r="I143" i="1" s="1"/>
  <c r="B102" i="7"/>
  <c r="E102" i="7" s="1"/>
  <c r="Q143" i="1"/>
  <c r="J143" i="1"/>
  <c r="B157" i="8"/>
  <c r="G157" i="8" s="1"/>
  <c r="D102" i="7" l="1"/>
  <c r="C162" i="10"/>
  <c r="F157" i="8"/>
  <c r="I157" i="8" s="1"/>
  <c r="J157" i="8" s="1"/>
  <c r="D157" i="8"/>
  <c r="C157" i="8" s="1"/>
  <c r="G143" i="1"/>
  <c r="P143" i="1" l="1"/>
  <c r="F144" i="1" s="1"/>
  <c r="L144" i="1" s="1"/>
  <c r="O143" i="1"/>
  <c r="B158" i="8"/>
  <c r="G158" i="8" s="1"/>
  <c r="D162" i="10"/>
  <c r="E162" i="10" s="1"/>
  <c r="J144" i="1" l="1"/>
  <c r="B103" i="7"/>
  <c r="D103" i="7" s="1"/>
  <c r="H144" i="1"/>
  <c r="I144" i="1" s="1"/>
  <c r="Q144" i="1"/>
  <c r="D158" i="8"/>
  <c r="C158" i="8" s="1"/>
  <c r="C163" i="10"/>
  <c r="F158" i="8"/>
  <c r="I158" i="8" s="1"/>
  <c r="J158" i="8" s="1"/>
  <c r="E103" i="7" l="1"/>
  <c r="G144" i="1"/>
  <c r="O144" i="1" s="1"/>
  <c r="B159" i="8"/>
  <c r="G159" i="8" s="1"/>
  <c r="D163" i="10"/>
  <c r="E163" i="10" s="1"/>
  <c r="P144" i="1" l="1"/>
  <c r="F145" i="1" s="1"/>
  <c r="L145" i="1" s="1"/>
  <c r="C164" i="10"/>
  <c r="F159" i="8"/>
  <c r="I159" i="8" s="1"/>
  <c r="J159" i="8" s="1"/>
  <c r="D159" i="8"/>
  <c r="C159" i="8" s="1"/>
  <c r="D164" i="10" s="1"/>
  <c r="E164" i="10" l="1"/>
  <c r="Q145" i="1"/>
  <c r="B104" i="7"/>
  <c r="E104" i="7" s="1"/>
  <c r="J145" i="1"/>
  <c r="H145" i="1"/>
  <c r="I145" i="1" s="1"/>
  <c r="B160" i="8"/>
  <c r="G160" i="8" s="1"/>
  <c r="D104" i="7" l="1"/>
  <c r="G145" i="1"/>
  <c r="O145" i="1" s="1"/>
  <c r="C165" i="10"/>
  <c r="F160" i="8"/>
  <c r="I160" i="8" s="1"/>
  <c r="J160" i="8" s="1"/>
  <c r="D160" i="8"/>
  <c r="C160" i="8" s="1"/>
  <c r="P145" i="1" l="1"/>
  <c r="F146" i="1" s="1"/>
  <c r="L146" i="1" s="1"/>
  <c r="B161" i="8"/>
  <c r="G161" i="8" s="1"/>
  <c r="D165" i="10"/>
  <c r="E165" i="10" s="1"/>
  <c r="H146" i="1" l="1"/>
  <c r="I146" i="1" s="1"/>
  <c r="B105" i="7"/>
  <c r="E105" i="7" s="1"/>
  <c r="Q146" i="1"/>
  <c r="J146" i="1"/>
  <c r="C166" i="10"/>
  <c r="D161" i="8"/>
  <c r="C161" i="8" s="1"/>
  <c r="F161" i="8"/>
  <c r="I161" i="8" s="1"/>
  <c r="J161" i="8" s="1"/>
  <c r="D105" i="7" l="1"/>
  <c r="B162" i="8"/>
  <c r="G162" i="8" s="1"/>
  <c r="D166" i="10"/>
  <c r="E166" i="10" s="1"/>
  <c r="G146" i="1"/>
  <c r="O146" i="1" s="1"/>
  <c r="C167" i="10" l="1"/>
  <c r="D162" i="8"/>
  <c r="C162" i="8" s="1"/>
  <c r="D167" i="10" s="1"/>
  <c r="F162" i="8"/>
  <c r="I162" i="8" s="1"/>
  <c r="J162" i="8" s="1"/>
  <c r="P146" i="1"/>
  <c r="F147" i="1" s="1"/>
  <c r="E167" i="10" l="1"/>
  <c r="B106" i="7"/>
  <c r="E106" i="7" s="1"/>
  <c r="G147" i="1" s="1"/>
  <c r="L147" i="1"/>
  <c r="J147" i="1"/>
  <c r="B163" i="8"/>
  <c r="G163" i="8" s="1"/>
  <c r="H147" i="1"/>
  <c r="I147" i="1" s="1"/>
  <c r="Q147" i="1"/>
  <c r="D106" i="7" l="1"/>
  <c r="O147" i="1"/>
  <c r="F163" i="8"/>
  <c r="I163" i="8" s="1"/>
  <c r="J163" i="8" s="1"/>
  <c r="C168" i="10"/>
  <c r="D163" i="8"/>
  <c r="C163" i="8" s="1"/>
  <c r="P147" i="1"/>
  <c r="F148" i="1" s="1"/>
  <c r="L148" i="1" s="1"/>
  <c r="D168" i="10" l="1"/>
  <c r="E168" i="10" s="1"/>
  <c r="B164" i="8"/>
  <c r="G164" i="8" s="1"/>
  <c r="Q148" i="1"/>
  <c r="H148" i="1"/>
  <c r="I148" i="1" s="1"/>
  <c r="J148" i="1"/>
  <c r="B107" i="7"/>
  <c r="F164" i="8" l="1"/>
  <c r="I164" i="8" s="1"/>
  <c r="J164" i="8" s="1"/>
  <c r="D164" i="8"/>
  <c r="C164" i="8" s="1"/>
  <c r="C169" i="10"/>
  <c r="D107" i="7"/>
  <c r="E107" i="7"/>
  <c r="G148" i="1" s="1"/>
  <c r="O148" i="1" s="1"/>
  <c r="D169" i="10" l="1"/>
  <c r="E169" i="10" s="1"/>
  <c r="B165" i="8"/>
  <c r="G165" i="8" s="1"/>
  <c r="P148" i="1"/>
  <c r="F149" i="1" s="1"/>
  <c r="L149" i="1" s="1"/>
  <c r="C170" i="10" l="1"/>
  <c r="F165" i="8"/>
  <c r="I165" i="8" s="1"/>
  <c r="J165" i="8" s="1"/>
  <c r="D165" i="8"/>
  <c r="C165" i="8" s="1"/>
  <c r="D170" i="10" s="1"/>
  <c r="J149" i="1"/>
  <c r="B108" i="7"/>
  <c r="Q149" i="1"/>
  <c r="H149" i="1"/>
  <c r="I149" i="1" s="1"/>
  <c r="E170" i="10" l="1"/>
  <c r="B166" i="8"/>
  <c r="G166" i="8" s="1"/>
  <c r="E108" i="7"/>
  <c r="D108" i="7"/>
  <c r="G149" i="1" l="1"/>
  <c r="O149" i="1" s="1"/>
  <c r="C171" i="10"/>
  <c r="F166" i="8"/>
  <c r="I166" i="8" s="1"/>
  <c r="J166" i="8" s="1"/>
  <c r="D166" i="8"/>
  <c r="C166" i="8" s="1"/>
  <c r="P149" i="1" l="1"/>
  <c r="F150" i="1" s="1"/>
  <c r="L150" i="1" s="1"/>
  <c r="B167" i="8"/>
  <c r="G167" i="8" s="1"/>
  <c r="D171" i="10"/>
  <c r="E171" i="10" s="1"/>
  <c r="H150" i="1" l="1"/>
  <c r="I150" i="1" s="1"/>
  <c r="J150" i="1"/>
  <c r="Q150" i="1"/>
  <c r="B109" i="7"/>
  <c r="E109" i="7" s="1"/>
  <c r="G150" i="1" s="1"/>
  <c r="C172" i="10"/>
  <c r="D167" i="8"/>
  <c r="C167" i="8" s="1"/>
  <c r="F167" i="8"/>
  <c r="I167" i="8" s="1"/>
  <c r="J167" i="8" s="1"/>
  <c r="D109" i="7" l="1"/>
  <c r="O150" i="1"/>
  <c r="B168" i="8"/>
  <c r="G168" i="8" s="1"/>
  <c r="D172" i="10"/>
  <c r="E172" i="10" s="1"/>
  <c r="P150" i="1"/>
  <c r="F151" i="1" s="1"/>
  <c r="L151" i="1" s="1"/>
  <c r="C173" i="10" l="1"/>
  <c r="D168" i="8"/>
  <c r="C168" i="8" s="1"/>
  <c r="F168" i="8"/>
  <c r="I168" i="8" s="1"/>
  <c r="J168" i="8" s="1"/>
  <c r="H151" i="1"/>
  <c r="I151" i="1" s="1"/>
  <c r="B110" i="7"/>
  <c r="Q151" i="1"/>
  <c r="J151" i="1"/>
  <c r="D173" i="10" l="1"/>
  <c r="E173" i="10" s="1"/>
  <c r="B169" i="8"/>
  <c r="G169" i="8" s="1"/>
  <c r="E110" i="7"/>
  <c r="D110" i="7"/>
  <c r="C174" i="10" l="1"/>
  <c r="D169" i="8"/>
  <c r="C169" i="8" s="1"/>
  <c r="F169" i="8"/>
  <c r="I169" i="8" s="1"/>
  <c r="J169" i="8" s="1"/>
  <c r="G151" i="1"/>
  <c r="O151" i="1" s="1"/>
  <c r="B170" i="8" l="1"/>
  <c r="G170" i="8" s="1"/>
  <c r="D174" i="10"/>
  <c r="E174" i="10" s="1"/>
  <c r="P151" i="1"/>
  <c r="F152" i="1" s="1"/>
  <c r="L152" i="1" s="1"/>
  <c r="C175" i="10" l="1"/>
  <c r="D170" i="8"/>
  <c r="C170" i="8" s="1"/>
  <c r="F170" i="8"/>
  <c r="I170" i="8" s="1"/>
  <c r="J170" i="8" s="1"/>
  <c r="J152" i="1"/>
  <c r="H152" i="1"/>
  <c r="I152" i="1" s="1"/>
  <c r="Q152" i="1"/>
  <c r="B111" i="7"/>
  <c r="D175" i="10" l="1"/>
  <c r="E175" i="10" s="1"/>
  <c r="B171" i="8"/>
  <c r="G171" i="8" s="1"/>
  <c r="E111" i="7"/>
  <c r="D111" i="7"/>
  <c r="G152" i="1" l="1"/>
  <c r="O152" i="1" s="1"/>
  <c r="D171" i="8"/>
  <c r="C171" i="8" s="1"/>
  <c r="F171" i="8"/>
  <c r="I171" i="8" s="1"/>
  <c r="J171" i="8" s="1"/>
  <c r="C176" i="10"/>
  <c r="P152" i="1" l="1"/>
  <c r="F153" i="1" s="1"/>
  <c r="Q153" i="1" s="1"/>
  <c r="D176" i="10"/>
  <c r="E176" i="10" s="1"/>
  <c r="B172" i="8"/>
  <c r="G172" i="8" s="1"/>
  <c r="H153" i="1" l="1"/>
  <c r="I153" i="1" s="1"/>
  <c r="J153" i="1"/>
  <c r="B112" i="7"/>
  <c r="E112" i="7" s="1"/>
  <c r="L153" i="1"/>
  <c r="F172" i="8"/>
  <c r="I172" i="8" s="1"/>
  <c r="J172" i="8" s="1"/>
  <c r="C177" i="10"/>
  <c r="D172" i="8"/>
  <c r="C172" i="8" s="1"/>
  <c r="D177" i="10" s="1"/>
  <c r="D112" i="7" l="1"/>
  <c r="G153" i="1" s="1"/>
  <c r="P153" i="1" s="1"/>
  <c r="F154" i="1" s="1"/>
  <c r="L154" i="1" s="1"/>
  <c r="E177" i="10"/>
  <c r="B173" i="8"/>
  <c r="G173" i="8" s="1"/>
  <c r="O153" i="1" l="1"/>
  <c r="H154" i="1"/>
  <c r="I154" i="1" s="1"/>
  <c r="B113" i="7"/>
  <c r="D113" i="7" s="1"/>
  <c r="Q154" i="1"/>
  <c r="J154" i="1"/>
  <c r="C178" i="10"/>
  <c r="D173" i="8"/>
  <c r="C173" i="8" s="1"/>
  <c r="F173" i="8"/>
  <c r="I173" i="8" s="1"/>
  <c r="J173" i="8" s="1"/>
  <c r="E113" i="7" l="1"/>
  <c r="G154" i="1" s="1"/>
  <c r="O154" i="1" s="1"/>
  <c r="B174" i="8"/>
  <c r="G174" i="8" s="1"/>
  <c r="D178" i="10"/>
  <c r="E178" i="10" s="1"/>
  <c r="P154" i="1" l="1"/>
  <c r="F155" i="1" s="1"/>
  <c r="L155" i="1" s="1"/>
  <c r="F174" i="8"/>
  <c r="I174" i="8" s="1"/>
  <c r="J174" i="8" s="1"/>
  <c r="C179" i="10"/>
  <c r="D174" i="8"/>
  <c r="C174" i="8" s="1"/>
  <c r="Q155" i="1" l="1"/>
  <c r="J155" i="1"/>
  <c r="B114" i="7"/>
  <c r="E114" i="7" s="1"/>
  <c r="H155" i="1"/>
  <c r="I155" i="1" s="1"/>
  <c r="D179" i="10"/>
  <c r="E179" i="10" s="1"/>
  <c r="B175" i="8"/>
  <c r="G175" i="8" s="1"/>
  <c r="D114" i="7" l="1"/>
  <c r="C180" i="10"/>
  <c r="D175" i="8"/>
  <c r="C175" i="8" s="1"/>
  <c r="F175" i="8"/>
  <c r="I175" i="8" s="1"/>
  <c r="J175" i="8" s="1"/>
  <c r="G155" i="1"/>
  <c r="P155" i="1" l="1"/>
  <c r="F156" i="1" s="1"/>
  <c r="L156" i="1" s="1"/>
  <c r="O155" i="1"/>
  <c r="B176" i="8"/>
  <c r="G176" i="8" s="1"/>
  <c r="D180" i="10"/>
  <c r="E180" i="10" s="1"/>
  <c r="B115" i="7" l="1"/>
  <c r="D115" i="7" s="1"/>
  <c r="Q156" i="1"/>
  <c r="H156" i="1"/>
  <c r="I156" i="1" s="1"/>
  <c r="J156" i="1"/>
  <c r="C181" i="10"/>
  <c r="F176" i="8"/>
  <c r="I176" i="8" s="1"/>
  <c r="J176" i="8" s="1"/>
  <c r="D176" i="8"/>
  <c r="C176" i="8" s="1"/>
  <c r="E115" i="7" l="1"/>
  <c r="G156" i="1"/>
  <c r="O156" i="1" s="1"/>
  <c r="B177" i="8"/>
  <c r="G177" i="8" s="1"/>
  <c r="D181" i="10"/>
  <c r="E181" i="10" s="1"/>
  <c r="P156" i="1" l="1"/>
  <c r="F157" i="1" s="1"/>
  <c r="L157" i="1" s="1"/>
  <c r="F177" i="8"/>
  <c r="I177" i="8" s="1"/>
  <c r="J177" i="8" s="1"/>
  <c r="C182" i="10"/>
  <c r="D177" i="8"/>
  <c r="C177" i="8" s="1"/>
  <c r="B116" i="7" l="1"/>
  <c r="E116" i="7" s="1"/>
  <c r="Q157" i="1"/>
  <c r="J157" i="1"/>
  <c r="H157" i="1"/>
  <c r="I157" i="1" s="1"/>
  <c r="D182" i="10"/>
  <c r="E182" i="10" s="1"/>
  <c r="B178" i="8"/>
  <c r="G178" i="8" s="1"/>
  <c r="D116" i="7" l="1"/>
  <c r="G157" i="1"/>
  <c r="O157" i="1" s="1"/>
  <c r="C183" i="10"/>
  <c r="F178" i="8"/>
  <c r="I178" i="8" s="1"/>
  <c r="J178" i="8" s="1"/>
  <c r="D178" i="8"/>
  <c r="C178" i="8" s="1"/>
  <c r="P157" i="1" l="1"/>
  <c r="F158" i="1" s="1"/>
  <c r="L158" i="1" s="1"/>
  <c r="B179" i="8"/>
  <c r="G179" i="8" s="1"/>
  <c r="D183" i="10"/>
  <c r="E183" i="10" s="1"/>
  <c r="H158" i="1" l="1"/>
  <c r="I158" i="1" s="1"/>
  <c r="Q158" i="1"/>
  <c r="J158" i="1"/>
  <c r="B117" i="7"/>
  <c r="D117" i="7" s="1"/>
  <c r="C184" i="10"/>
  <c r="F179" i="8"/>
  <c r="I179" i="8" s="1"/>
  <c r="J179" i="8" s="1"/>
  <c r="D179" i="8"/>
  <c r="C179" i="8" s="1"/>
  <c r="E117" i="7" l="1"/>
  <c r="G158" i="1" s="1"/>
  <c r="O158" i="1" s="1"/>
  <c r="B180" i="8"/>
  <c r="G180" i="8" s="1"/>
  <c r="D184" i="10"/>
  <c r="E184" i="10" s="1"/>
  <c r="P158" i="1" l="1"/>
  <c r="F159" i="1" s="1"/>
  <c r="L159" i="1" s="1"/>
  <c r="C185" i="10"/>
  <c r="D180" i="8"/>
  <c r="C180" i="8" s="1"/>
  <c r="F180" i="8"/>
  <c r="I180" i="8" s="1"/>
  <c r="J180" i="8" s="1"/>
  <c r="J159" i="1" l="1"/>
  <c r="Q159" i="1"/>
  <c r="H159" i="1"/>
  <c r="I159" i="1" s="1"/>
  <c r="B118" i="7"/>
  <c r="E118" i="7" s="1"/>
  <c r="D185" i="10"/>
  <c r="E185" i="10" s="1"/>
  <c r="B181" i="8"/>
  <c r="G181" i="8" s="1"/>
  <c r="D118" i="7" l="1"/>
  <c r="G159" i="1"/>
  <c r="O159" i="1" s="1"/>
  <c r="C186" i="10"/>
  <c r="F181" i="8"/>
  <c r="I181" i="8" s="1"/>
  <c r="J181" i="8" s="1"/>
  <c r="D181" i="8"/>
  <c r="C181" i="8" s="1"/>
  <c r="P159" i="1" l="1"/>
  <c r="F160" i="1" s="1"/>
  <c r="L160" i="1" s="1"/>
  <c r="B182" i="8"/>
  <c r="G182" i="8" s="1"/>
  <c r="D186" i="10"/>
  <c r="E186" i="10" s="1"/>
  <c r="J160" i="1" l="1"/>
  <c r="Q160" i="1"/>
  <c r="H160" i="1"/>
  <c r="I160" i="1" s="1"/>
  <c r="B119" i="7"/>
  <c r="E119" i="7" s="1"/>
  <c r="C187" i="10"/>
  <c r="F182" i="8"/>
  <c r="I182" i="8" s="1"/>
  <c r="J182" i="8" s="1"/>
  <c r="D182" i="8"/>
  <c r="C182" i="8" s="1"/>
  <c r="D119" i="7" l="1"/>
  <c r="G160" i="1"/>
  <c r="O160" i="1" s="1"/>
  <c r="B183" i="8"/>
  <c r="G183" i="8" s="1"/>
  <c r="D187" i="10"/>
  <c r="E187" i="10" s="1"/>
  <c r="P160" i="1" l="1"/>
  <c r="F161" i="1" s="1"/>
  <c r="L161" i="1" s="1"/>
  <c r="D183" i="8"/>
  <c r="C183" i="8" s="1"/>
  <c r="C188" i="10"/>
  <c r="F183" i="8"/>
  <c r="I183" i="8" s="1"/>
  <c r="J183" i="8" s="1"/>
  <c r="J161" i="1" l="1"/>
  <c r="B120" i="7"/>
  <c r="E120" i="7" s="1"/>
  <c r="Q161" i="1"/>
  <c r="H161" i="1"/>
  <c r="I161" i="1" s="1"/>
  <c r="D188" i="10"/>
  <c r="E188" i="10" s="1"/>
  <c r="B184" i="8"/>
  <c r="G184" i="8" s="1"/>
  <c r="D120" i="7" l="1"/>
  <c r="G161" i="1"/>
  <c r="O161" i="1" s="1"/>
  <c r="F184" i="8"/>
  <c r="I184" i="8" s="1"/>
  <c r="J184" i="8" s="1"/>
  <c r="C189" i="10"/>
  <c r="D184" i="8"/>
  <c r="C184" i="8" s="1"/>
  <c r="P161" i="1" l="1"/>
  <c r="F162" i="1" s="1"/>
  <c r="L162" i="1" s="1"/>
  <c r="D189" i="10"/>
  <c r="E189" i="10" s="1"/>
  <c r="B185" i="8"/>
  <c r="G185" i="8" s="1"/>
  <c r="H162" i="1" l="1"/>
  <c r="I162" i="1" s="1"/>
  <c r="J162" i="1"/>
  <c r="Q162" i="1"/>
  <c r="B121" i="7"/>
  <c r="D121" i="7" s="1"/>
  <c r="C190" i="10"/>
  <c r="F185" i="8"/>
  <c r="I185" i="8" s="1"/>
  <c r="J185" i="8" s="1"/>
  <c r="D185" i="8"/>
  <c r="C185" i="8" s="1"/>
  <c r="E121" i="7" l="1"/>
  <c r="D190" i="10"/>
  <c r="E190" i="10" s="1"/>
  <c r="B186" i="8"/>
  <c r="G186" i="8" s="1"/>
  <c r="G162" i="1"/>
  <c r="O162" i="1" s="1"/>
  <c r="F186" i="8" l="1"/>
  <c r="I186" i="8" s="1"/>
  <c r="J186" i="8" s="1"/>
  <c r="C191" i="10"/>
  <c r="D186" i="8"/>
  <c r="C186" i="8" s="1"/>
  <c r="P162" i="1"/>
  <c r="F163" i="1" s="1"/>
  <c r="L163" i="1" s="1"/>
  <c r="B187" i="8" l="1"/>
  <c r="G187" i="8" s="1"/>
  <c r="D191" i="10"/>
  <c r="E191" i="10" s="1"/>
  <c r="B122" i="7"/>
  <c r="J163" i="1"/>
  <c r="H163" i="1"/>
  <c r="I163" i="1" s="1"/>
  <c r="Q163" i="1"/>
  <c r="F187" i="8" l="1"/>
  <c r="I187" i="8" s="1"/>
  <c r="J187" i="8" s="1"/>
  <c r="C192" i="10"/>
  <c r="D187" i="8"/>
  <c r="C187" i="8" s="1"/>
  <c r="E122" i="7"/>
  <c r="D122" i="7"/>
  <c r="G163" i="1" l="1"/>
  <c r="O163" i="1" s="1"/>
  <c r="D192" i="10"/>
  <c r="E192" i="10" s="1"/>
  <c r="B188" i="8"/>
  <c r="G188" i="8" s="1"/>
  <c r="P163" i="1" l="1"/>
  <c r="F164" i="1" s="1"/>
  <c r="L164" i="1" s="1"/>
  <c r="C193" i="10"/>
  <c r="D188" i="8"/>
  <c r="C188" i="8" s="1"/>
  <c r="F188" i="8"/>
  <c r="I188" i="8" s="1"/>
  <c r="J188" i="8" s="1"/>
  <c r="J164" i="1" l="1"/>
  <c r="H164" i="1"/>
  <c r="I164" i="1" s="1"/>
  <c r="Q164" i="1"/>
  <c r="B123" i="7"/>
  <c r="E123" i="7" s="1"/>
  <c r="D193" i="10"/>
  <c r="E193" i="10" s="1"/>
  <c r="B189" i="8"/>
  <c r="G189" i="8" s="1"/>
  <c r="D123" i="7" l="1"/>
  <c r="C194" i="10"/>
  <c r="F189" i="8"/>
  <c r="I189" i="8" s="1"/>
  <c r="J189" i="8" s="1"/>
  <c r="D189" i="8"/>
  <c r="C189" i="8" s="1"/>
  <c r="D194" i="10" s="1"/>
  <c r="G164" i="1"/>
  <c r="O164" i="1" s="1"/>
  <c r="E194" i="10" l="1"/>
  <c r="B190" i="8"/>
  <c r="F190" i="8" s="1"/>
  <c r="P164" i="1"/>
  <c r="F165" i="1" s="1"/>
  <c r="B124" i="7" l="1"/>
  <c r="E124" i="7" s="1"/>
  <c r="L165" i="1"/>
  <c r="D190" i="8"/>
  <c r="C190" i="8" s="1"/>
  <c r="D195" i="10" s="1"/>
  <c r="C195" i="10"/>
  <c r="G190" i="8"/>
  <c r="I190" i="8" s="1"/>
  <c r="J190" i="8" s="1"/>
  <c r="Q165" i="1"/>
  <c r="H165" i="1"/>
  <c r="I165" i="1" s="1"/>
  <c r="J165" i="1"/>
  <c r="D124" i="7" l="1"/>
  <c r="G165" i="1"/>
  <c r="O165" i="1" s="1"/>
  <c r="E195" i="10"/>
  <c r="B191" i="8"/>
  <c r="G191" i="8" s="1"/>
  <c r="P165" i="1" l="1"/>
  <c r="F166" i="1" s="1"/>
  <c r="L166" i="1" s="1"/>
  <c r="F191" i="8"/>
  <c r="I191" i="8" s="1"/>
  <c r="J191" i="8" s="1"/>
  <c r="D191" i="8"/>
  <c r="C191" i="8" s="1"/>
  <c r="D196" i="10" s="1"/>
  <c r="C196" i="10"/>
  <c r="H166" i="1" l="1"/>
  <c r="I166" i="1" s="1"/>
  <c r="J166" i="1"/>
  <c r="B125" i="7"/>
  <c r="D125" i="7" s="1"/>
  <c r="Q166" i="1"/>
  <c r="E196" i="10"/>
  <c r="B192" i="8"/>
  <c r="F192" i="8" s="1"/>
  <c r="E125" i="7" l="1"/>
  <c r="G166" i="1" s="1"/>
  <c r="P166" i="1" s="1"/>
  <c r="F167" i="1" s="1"/>
  <c r="L167" i="1" s="1"/>
  <c r="D192" i="8"/>
  <c r="C192" i="8" s="1"/>
  <c r="D197" i="10" s="1"/>
  <c r="G192" i="8"/>
  <c r="I192" i="8" s="1"/>
  <c r="J192" i="8" s="1"/>
  <c r="C197" i="10"/>
  <c r="O166" i="1" l="1"/>
  <c r="B193" i="8"/>
  <c r="G193" i="8" s="1"/>
  <c r="E197" i="10"/>
  <c r="Q167" i="1"/>
  <c r="B126" i="7"/>
  <c r="J167" i="1"/>
  <c r="H167" i="1"/>
  <c r="I167" i="1" s="1"/>
  <c r="C198" i="10" l="1"/>
  <c r="F193" i="8"/>
  <c r="I193" i="8" s="1"/>
  <c r="J193" i="8" s="1"/>
  <c r="D193" i="8"/>
  <c r="C193" i="8" s="1"/>
  <c r="D198" i="10" s="1"/>
  <c r="E126" i="7"/>
  <c r="D126" i="7"/>
  <c r="E198" i="10" l="1"/>
  <c r="B194" i="8"/>
  <c r="G194" i="8" s="1"/>
  <c r="G167" i="1"/>
  <c r="O167" i="1" s="1"/>
  <c r="C199" i="10" l="1"/>
  <c r="D194" i="8"/>
  <c r="C194" i="8" s="1"/>
  <c r="D199" i="10" s="1"/>
  <c r="F194" i="8"/>
  <c r="I194" i="8" s="1"/>
  <c r="J194" i="8" s="1"/>
  <c r="P167" i="1"/>
  <c r="F168" i="1" s="1"/>
  <c r="L168" i="1" s="1"/>
  <c r="E199" i="10" l="1"/>
  <c r="B195" i="8"/>
  <c r="G195" i="8" s="1"/>
  <c r="J168" i="1"/>
  <c r="B127" i="7"/>
  <c r="Q168" i="1"/>
  <c r="H168" i="1"/>
  <c r="I168" i="1" s="1"/>
  <c r="F195" i="8" l="1"/>
  <c r="I195" i="8" s="1"/>
  <c r="J195" i="8" s="1"/>
  <c r="C200" i="10"/>
  <c r="D195" i="8"/>
  <c r="C195" i="8" s="1"/>
  <c r="D200" i="10" s="1"/>
  <c r="E127" i="7"/>
  <c r="D127" i="7"/>
  <c r="E200" i="10" l="1"/>
  <c r="B196" i="8"/>
  <c r="C201" i="10" s="1"/>
  <c r="G168" i="1"/>
  <c r="O168" i="1" s="1"/>
  <c r="D196" i="8" l="1"/>
  <c r="C196" i="8" s="1"/>
  <c r="D201" i="10" s="1"/>
  <c r="E201" i="10" s="1"/>
  <c r="G196" i="8"/>
  <c r="F196" i="8"/>
  <c r="P168" i="1"/>
  <c r="F169" i="1" s="1"/>
  <c r="B128" i="7" s="1"/>
  <c r="E128" i="7" s="1"/>
  <c r="B197" i="8" l="1"/>
  <c r="D197" i="8" s="1"/>
  <c r="C197" i="8" s="1"/>
  <c r="D202" i="10" s="1"/>
  <c r="I196" i="8"/>
  <c r="J196" i="8" s="1"/>
  <c r="J169" i="1"/>
  <c r="L169" i="1"/>
  <c r="H169" i="1"/>
  <c r="I169" i="1" s="1"/>
  <c r="Q169" i="1"/>
  <c r="D128" i="7"/>
  <c r="G169" i="1" s="1"/>
  <c r="F197" i="8" l="1"/>
  <c r="I197" i="8" s="1"/>
  <c r="J197" i="8" s="1"/>
  <c r="G197" i="8"/>
  <c r="B198" i="8"/>
  <c r="G198" i="8" s="1"/>
  <c r="C202" i="10"/>
  <c r="E202" i="10" s="1"/>
  <c r="O169" i="1"/>
  <c r="P169" i="1"/>
  <c r="F170" i="1" s="1"/>
  <c r="D198" i="8" l="1"/>
  <c r="C198" i="8" s="1"/>
  <c r="D203" i="10" s="1"/>
  <c r="C203" i="10"/>
  <c r="F198" i="8"/>
  <c r="I198" i="8" s="1"/>
  <c r="J198" i="8" s="1"/>
  <c r="B199" i="8"/>
  <c r="G199" i="8" s="1"/>
  <c r="E203" i="10"/>
  <c r="D199" i="8"/>
  <c r="C199" i="8" s="1"/>
  <c r="D204" i="10" s="1"/>
  <c r="Q170" i="1"/>
  <c r="L170" i="1"/>
  <c r="J170" i="1"/>
  <c r="H170" i="1"/>
  <c r="I170" i="1" s="1"/>
  <c r="B129" i="7"/>
  <c r="C204" i="10" l="1"/>
  <c r="E204" i="10" s="1"/>
  <c r="F199" i="8"/>
  <c r="I199" i="8" s="1"/>
  <c r="J199" i="8" s="1"/>
  <c r="B200" i="8"/>
  <c r="G200" i="8" s="1"/>
  <c r="C205" i="10"/>
  <c r="F200" i="8"/>
  <c r="D129" i="7"/>
  <c r="E129" i="7"/>
  <c r="G170" i="1" s="1"/>
  <c r="O170" i="1" s="1"/>
  <c r="D200" i="8" l="1"/>
  <c r="C200" i="8" s="1"/>
  <c r="D205" i="10" s="1"/>
  <c r="E205" i="10" s="1"/>
  <c r="I200" i="8"/>
  <c r="J200" i="8" s="1"/>
  <c r="P170" i="1"/>
  <c r="F171" i="1" s="1"/>
  <c r="L171" i="1" s="1"/>
  <c r="B201" i="8" l="1"/>
  <c r="G201" i="8" s="1"/>
  <c r="F201" i="8"/>
  <c r="I201" i="8" s="1"/>
  <c r="J201" i="8" s="1"/>
  <c r="C206" i="10"/>
  <c r="D201" i="8"/>
  <c r="C201" i="8" s="1"/>
  <c r="D206" i="10" s="1"/>
  <c r="B130" i="7"/>
  <c r="D130" i="7" s="1"/>
  <c r="J171" i="1"/>
  <c r="Q171" i="1"/>
  <c r="H171" i="1"/>
  <c r="I171" i="1" s="1"/>
  <c r="E206" i="10" l="1"/>
  <c r="B202" i="8"/>
  <c r="D202" i="8" s="1"/>
  <c r="C202" i="8" s="1"/>
  <c r="D207" i="10" s="1"/>
  <c r="E130" i="7"/>
  <c r="G171" i="1" s="1"/>
  <c r="P171" i="1" l="1"/>
  <c r="F172" i="1" s="1"/>
  <c r="L172" i="1" s="1"/>
  <c r="O171" i="1"/>
  <c r="B203" i="8"/>
  <c r="G203" i="8" s="1"/>
  <c r="G202" i="8"/>
  <c r="C207" i="10"/>
  <c r="E207" i="10" s="1"/>
  <c r="F202" i="8"/>
  <c r="B131" i="7" l="1"/>
  <c r="D131" i="7" s="1"/>
  <c r="H172" i="1"/>
  <c r="I172" i="1" s="1"/>
  <c r="J172" i="1"/>
  <c r="Q172" i="1"/>
  <c r="C208" i="10"/>
  <c r="D203" i="8"/>
  <c r="C203" i="8" s="1"/>
  <c r="D208" i="10" s="1"/>
  <c r="E208" i="10" s="1"/>
  <c r="F203" i="8"/>
  <c r="I203" i="8" s="1"/>
  <c r="J203" i="8" s="1"/>
  <c r="I202" i="8"/>
  <c r="J202" i="8" s="1"/>
  <c r="E131" i="7" l="1"/>
  <c r="B204" i="8"/>
  <c r="F204" i="8" s="1"/>
  <c r="G172" i="1"/>
  <c r="O172" i="1" s="1"/>
  <c r="G204" i="8" l="1"/>
  <c r="I204" i="8" s="1"/>
  <c r="J204" i="8" s="1"/>
  <c r="C209" i="10"/>
  <c r="D204" i="8"/>
  <c r="C204" i="8" s="1"/>
  <c r="D209" i="10" s="1"/>
  <c r="P172" i="1"/>
  <c r="F173" i="1" s="1"/>
  <c r="H173" i="1" l="1"/>
  <c r="I173" i="1" s="1"/>
  <c r="L173" i="1"/>
  <c r="E209" i="10"/>
  <c r="B205" i="8"/>
  <c r="G205" i="8" s="1"/>
  <c r="Q173" i="1"/>
  <c r="B132" i="7"/>
  <c r="J173" i="1"/>
  <c r="C210" i="10" l="1"/>
  <c r="F205" i="8"/>
  <c r="I205" i="8" s="1"/>
  <c r="J205" i="8" s="1"/>
  <c r="D205" i="8"/>
  <c r="C205" i="8" s="1"/>
  <c r="D210" i="10" s="1"/>
  <c r="E132" i="7"/>
  <c r="G173" i="1" s="1"/>
  <c r="O173" i="1" s="1"/>
  <c r="D132" i="7"/>
  <c r="E210" i="10" l="1"/>
  <c r="B206" i="8"/>
  <c r="F206" i="8" s="1"/>
  <c r="P173" i="1"/>
  <c r="F174" i="1" s="1"/>
  <c r="J174" i="1" l="1"/>
  <c r="L174" i="1"/>
  <c r="C211" i="10"/>
  <c r="G206" i="8"/>
  <c r="I206" i="8" s="1"/>
  <c r="J206" i="8" s="1"/>
  <c r="D206" i="8"/>
  <c r="C206" i="8" s="1"/>
  <c r="D211" i="10" s="1"/>
  <c r="B133" i="7"/>
  <c r="E133" i="7" s="1"/>
  <c r="Q174" i="1"/>
  <c r="H174" i="1"/>
  <c r="I174" i="1" s="1"/>
  <c r="E211" i="10" l="1"/>
  <c r="D133" i="7"/>
  <c r="G174" i="1" s="1"/>
  <c r="B207" i="8"/>
  <c r="C212" i="10" s="1"/>
  <c r="O174" i="1" l="1"/>
  <c r="P174" i="1"/>
  <c r="F175" i="1" s="1"/>
  <c r="L175" i="1" s="1"/>
  <c r="F207" i="8"/>
  <c r="D207" i="8"/>
  <c r="C207" i="8" s="1"/>
  <c r="D212" i="10" s="1"/>
  <c r="E212" i="10" s="1"/>
  <c r="G207" i="8"/>
  <c r="B134" i="7" l="1"/>
  <c r="E134" i="7" s="1"/>
  <c r="H175" i="1"/>
  <c r="I175" i="1" s="1"/>
  <c r="Q175" i="1"/>
  <c r="J175" i="1"/>
  <c r="B208" i="8"/>
  <c r="G208" i="8" s="1"/>
  <c r="I207" i="8"/>
  <c r="J207" i="8" s="1"/>
  <c r="D134" i="7" l="1"/>
  <c r="C213" i="10"/>
  <c r="D208" i="8"/>
  <c r="C208" i="8" s="1"/>
  <c r="D213" i="10" s="1"/>
  <c r="F208" i="8"/>
  <c r="I208" i="8" s="1"/>
  <c r="J208" i="8" s="1"/>
  <c r="G175" i="1"/>
  <c r="O175" i="1" s="1"/>
  <c r="E213" i="10" l="1"/>
  <c r="B209" i="8"/>
  <c r="C214" i="10" s="1"/>
  <c r="P175" i="1"/>
  <c r="F176" i="1" s="1"/>
  <c r="F209" i="8" l="1"/>
  <c r="G209" i="8"/>
  <c r="D209" i="8"/>
  <c r="C209" i="8" s="1"/>
  <c r="D214" i="10" s="1"/>
  <c r="E214" i="10" s="1"/>
  <c r="B135" i="7"/>
  <c r="E135" i="7" s="1"/>
  <c r="L176" i="1"/>
  <c r="H176" i="1"/>
  <c r="I176" i="1" s="1"/>
  <c r="J176" i="1"/>
  <c r="Q176" i="1"/>
  <c r="I209" i="8" l="1"/>
  <c r="J209" i="8" s="1"/>
  <c r="B210" i="8"/>
  <c r="G210" i="8" s="1"/>
  <c r="D135" i="7"/>
  <c r="G176" i="1"/>
  <c r="O176" i="1" s="1"/>
  <c r="C215" i="10" l="1"/>
  <c r="F210" i="8"/>
  <c r="I210" i="8" s="1"/>
  <c r="J210" i="8" s="1"/>
  <c r="D210" i="8"/>
  <c r="C210" i="8" s="1"/>
  <c r="D215" i="10" s="1"/>
  <c r="P176" i="1"/>
  <c r="F177" i="1" s="1"/>
  <c r="L177" i="1" s="1"/>
  <c r="E215" i="10" l="1"/>
  <c r="B211" i="8"/>
  <c r="C216" i="10" s="1"/>
  <c r="B136" i="7"/>
  <c r="E136" i="7" s="1"/>
  <c r="J177" i="1"/>
  <c r="Q177" i="1"/>
  <c r="H177" i="1"/>
  <c r="I177" i="1" s="1"/>
  <c r="F211" i="8" l="1"/>
  <c r="G211" i="8"/>
  <c r="I211" i="8" s="1"/>
  <c r="J211" i="8" s="1"/>
  <c r="D211" i="8"/>
  <c r="C211" i="8" s="1"/>
  <c r="D136" i="7"/>
  <c r="G177" i="1"/>
  <c r="O177" i="1" s="1"/>
  <c r="D216" i="10" l="1"/>
  <c r="E216" i="10" s="1"/>
  <c r="B212" i="8"/>
  <c r="P177" i="1"/>
  <c r="F178" i="1" s="1"/>
  <c r="G212" i="8" l="1"/>
  <c r="D212" i="8"/>
  <c r="C212" i="8" s="1"/>
  <c r="F212" i="8"/>
  <c r="C217" i="10"/>
  <c r="B137" i="7"/>
  <c r="E137" i="7" s="1"/>
  <c r="L178" i="1"/>
  <c r="J178" i="1"/>
  <c r="Q178" i="1"/>
  <c r="H178" i="1"/>
  <c r="I178" i="1" s="1"/>
  <c r="I212" i="8" l="1"/>
  <c r="J212" i="8" s="1"/>
  <c r="D217" i="10"/>
  <c r="E217" i="10" s="1"/>
  <c r="B213" i="8"/>
  <c r="D137" i="7"/>
  <c r="G178" i="1"/>
  <c r="O178" i="1" s="1"/>
  <c r="C218" i="10" l="1"/>
  <c r="F213" i="8"/>
  <c r="D213" i="8"/>
  <c r="C213" i="8" s="1"/>
  <c r="D218" i="10" s="1"/>
  <c r="G213" i="8"/>
  <c r="P178" i="1"/>
  <c r="F179" i="1" s="1"/>
  <c r="L179" i="1" s="1"/>
  <c r="E218" i="10" l="1"/>
  <c r="I213" i="8"/>
  <c r="J213" i="8" s="1"/>
  <c r="B214" i="8"/>
  <c r="Q179" i="1"/>
  <c r="J179" i="1"/>
  <c r="B138" i="7"/>
  <c r="E138" i="7" s="1"/>
  <c r="G179" i="1" s="1"/>
  <c r="H179" i="1"/>
  <c r="I179" i="1" s="1"/>
  <c r="G214" i="8" l="1"/>
  <c r="C219" i="10"/>
  <c r="F214" i="8"/>
  <c r="D214" i="8"/>
  <c r="C214" i="8" s="1"/>
  <c r="D219" i="10" s="1"/>
  <c r="O179" i="1"/>
  <c r="D138" i="7"/>
  <c r="P179" i="1"/>
  <c r="F180" i="1" s="1"/>
  <c r="L180" i="1" s="1"/>
  <c r="I214" i="8" l="1"/>
  <c r="J214" i="8" s="1"/>
  <c r="B215" i="8"/>
  <c r="F215" i="8" s="1"/>
  <c r="E219" i="10"/>
  <c r="H180" i="1"/>
  <c r="I180" i="1" s="1"/>
  <c r="J180" i="1"/>
  <c r="Q180" i="1"/>
  <c r="B139" i="7"/>
  <c r="G215" i="8" l="1"/>
  <c r="I215" i="8" s="1"/>
  <c r="J215" i="8" s="1"/>
  <c r="D215" i="8"/>
  <c r="C215" i="8" s="1"/>
  <c r="B216" i="8" s="1"/>
  <c r="C220" i="10"/>
  <c r="D139" i="7"/>
  <c r="E139" i="7"/>
  <c r="G180" i="1" s="1"/>
  <c r="O180" i="1" s="1"/>
  <c r="D220" i="10" l="1"/>
  <c r="E220" i="10" s="1"/>
  <c r="F216" i="8"/>
  <c r="C221" i="10"/>
  <c r="G216" i="8"/>
  <c r="D216" i="8"/>
  <c r="C216" i="8" s="1"/>
  <c r="D221" i="10" s="1"/>
  <c r="P180" i="1"/>
  <c r="F181" i="1" s="1"/>
  <c r="L181" i="1" s="1"/>
  <c r="E221" i="10" l="1"/>
  <c r="B217" i="8"/>
  <c r="I216" i="8"/>
  <c r="J216" i="8" s="1"/>
  <c r="Q181" i="1"/>
  <c r="H181" i="1"/>
  <c r="I181" i="1" s="1"/>
  <c r="B140" i="7"/>
  <c r="J181" i="1"/>
  <c r="G217" i="8" l="1"/>
  <c r="F217" i="8"/>
  <c r="D217" i="8"/>
  <c r="C217" i="8" s="1"/>
  <c r="D222" i="10" s="1"/>
  <c r="C222" i="10"/>
  <c r="E222" i="10" s="1"/>
  <c r="B218" i="8"/>
  <c r="D218" i="8"/>
  <c r="C218" i="8" s="1"/>
  <c r="D223" i="10" s="1"/>
  <c r="C223" i="10"/>
  <c r="E140" i="7"/>
  <c r="D140" i="7"/>
  <c r="I217" i="8" l="1"/>
  <c r="J217" i="8" s="1"/>
  <c r="G218" i="8"/>
  <c r="F218" i="8"/>
  <c r="E223" i="10"/>
  <c r="B219" i="8"/>
  <c r="C224" i="10" s="1"/>
  <c r="G181" i="1"/>
  <c r="O181" i="1" s="1"/>
  <c r="F219" i="8"/>
  <c r="G219" i="8"/>
  <c r="D219" i="8"/>
  <c r="C219" i="8" s="1"/>
  <c r="I218" i="8" l="1"/>
  <c r="J218" i="8" s="1"/>
  <c r="P181" i="1"/>
  <c r="F182" i="1" s="1"/>
  <c r="L182" i="1" s="1"/>
  <c r="I219" i="8"/>
  <c r="J219" i="8" s="1"/>
  <c r="D224" i="10"/>
  <c r="E224" i="10" s="1"/>
  <c r="B220" i="8"/>
  <c r="Q182" i="1" l="1"/>
  <c r="H182" i="1"/>
  <c r="I182" i="1" s="1"/>
  <c r="J182" i="1"/>
  <c r="B141" i="7"/>
  <c r="D141" i="7" s="1"/>
  <c r="G220" i="8"/>
  <c r="D220" i="8"/>
  <c r="C220" i="8" s="1"/>
  <c r="F220" i="8"/>
  <c r="C225" i="10"/>
  <c r="E141" i="7" l="1"/>
  <c r="G182" i="1" s="1"/>
  <c r="O182" i="1" s="1"/>
  <c r="I220" i="8"/>
  <c r="J220" i="8" s="1"/>
  <c r="D225" i="10"/>
  <c r="E225" i="10" s="1"/>
  <c r="B221" i="8"/>
  <c r="P182" i="1" l="1"/>
  <c r="F183" i="1" s="1"/>
  <c r="L183" i="1" s="1"/>
  <c r="D221" i="8"/>
  <c r="C221" i="8" s="1"/>
  <c r="D226" i="10" s="1"/>
  <c r="G221" i="8"/>
  <c r="F221" i="8"/>
  <c r="C226" i="10"/>
  <c r="H183" i="1" l="1"/>
  <c r="I183" i="1" s="1"/>
  <c r="J183" i="1"/>
  <c r="Q183" i="1"/>
  <c r="B142" i="7"/>
  <c r="I221" i="8"/>
  <c r="J221" i="8" s="1"/>
  <c r="B222" i="8"/>
  <c r="E226" i="10"/>
  <c r="E142" i="7"/>
  <c r="D142" i="7"/>
  <c r="G183" i="1" l="1"/>
  <c r="O183" i="1" s="1"/>
  <c r="G222" i="8"/>
  <c r="D222" i="8"/>
  <c r="C222" i="8" s="1"/>
  <c r="D227" i="10" s="1"/>
  <c r="F222" i="8"/>
  <c r="C227" i="10"/>
  <c r="P183" i="1" l="1"/>
  <c r="F184" i="1" s="1"/>
  <c r="L184" i="1" s="1"/>
  <c r="I222" i="8"/>
  <c r="J222" i="8" s="1"/>
  <c r="B223" i="8"/>
  <c r="E227" i="10"/>
  <c r="J184" i="1" l="1"/>
  <c r="B143" i="7"/>
  <c r="E143" i="7" s="1"/>
  <c r="Q184" i="1"/>
  <c r="H184" i="1"/>
  <c r="I184" i="1" s="1"/>
  <c r="G223" i="8"/>
  <c r="D223" i="8"/>
  <c r="C223" i="8" s="1"/>
  <c r="D228" i="10" s="1"/>
  <c r="F223" i="8"/>
  <c r="C228" i="10"/>
  <c r="D143" i="7" l="1"/>
  <c r="I223" i="8"/>
  <c r="J223" i="8" s="1"/>
  <c r="E228" i="10"/>
  <c r="B224" i="8"/>
  <c r="C229" i="10" s="1"/>
  <c r="G184" i="1"/>
  <c r="O184" i="1" s="1"/>
  <c r="D224" i="8" l="1"/>
  <c r="C224" i="8" s="1"/>
  <c r="D229" i="10" s="1"/>
  <c r="E229" i="10" s="1"/>
  <c r="F224" i="8"/>
  <c r="G224" i="8"/>
  <c r="P184" i="1"/>
  <c r="F185" i="1" s="1"/>
  <c r="B225" i="8" l="1"/>
  <c r="G225" i="8" s="1"/>
  <c r="Q185" i="1"/>
  <c r="L185" i="1"/>
  <c r="I224" i="8"/>
  <c r="J224" i="8" s="1"/>
  <c r="B144" i="7"/>
  <c r="E144" i="7" s="1"/>
  <c r="J185" i="1"/>
  <c r="H185" i="1"/>
  <c r="I185" i="1" s="1"/>
  <c r="F225" i="8" l="1"/>
  <c r="I225" i="8" s="1"/>
  <c r="J225" i="8" s="1"/>
  <c r="D225" i="8"/>
  <c r="C225" i="8" s="1"/>
  <c r="B226" i="8" s="1"/>
  <c r="C230" i="10"/>
  <c r="D144" i="7"/>
  <c r="G185" i="1" s="1"/>
  <c r="O185" i="1" s="1"/>
  <c r="D230" i="10" l="1"/>
  <c r="E230" i="10" s="1"/>
  <c r="D226" i="8"/>
  <c r="C226" i="8" s="1"/>
  <c r="D231" i="10" s="1"/>
  <c r="F226" i="8"/>
  <c r="G226" i="8"/>
  <c r="C231" i="10"/>
  <c r="P185" i="1"/>
  <c r="F186" i="1" s="1"/>
  <c r="B145" i="7" l="1"/>
  <c r="E145" i="7" s="1"/>
  <c r="G186" i="1" s="1"/>
  <c r="L186" i="1"/>
  <c r="E231" i="10"/>
  <c r="I226" i="8"/>
  <c r="J226" i="8" s="1"/>
  <c r="B227" i="8"/>
  <c r="Q186" i="1"/>
  <c r="H186" i="1"/>
  <c r="I186" i="1" s="1"/>
  <c r="J186" i="1"/>
  <c r="D145" i="7" l="1"/>
  <c r="O186" i="1"/>
  <c r="D227" i="8"/>
  <c r="C227" i="8" s="1"/>
  <c r="G227" i="8"/>
  <c r="C232" i="10"/>
  <c r="F227" i="8"/>
  <c r="P186" i="1"/>
  <c r="F187" i="1" s="1"/>
  <c r="L187" i="1" s="1"/>
  <c r="I227" i="8" l="1"/>
  <c r="J227" i="8" s="1"/>
  <c r="B228" i="8"/>
  <c r="D232" i="10"/>
  <c r="E232" i="10" s="1"/>
  <c r="H187" i="1"/>
  <c r="I187" i="1" s="1"/>
  <c r="B146" i="7"/>
  <c r="J187" i="1"/>
  <c r="Q187" i="1"/>
  <c r="C233" i="10" l="1"/>
  <c r="G228" i="8"/>
  <c r="D228" i="8"/>
  <c r="C228" i="8" s="1"/>
  <c r="D233" i="10" s="1"/>
  <c r="F228" i="8"/>
  <c r="E146" i="7"/>
  <c r="D146" i="7"/>
  <c r="E233" i="10" l="1"/>
  <c r="G187" i="1"/>
  <c r="O187" i="1" s="1"/>
  <c r="I228" i="8"/>
  <c r="J228" i="8" s="1"/>
  <c r="B229" i="8"/>
  <c r="P187" i="1" l="1"/>
  <c r="F188" i="1" s="1"/>
  <c r="L188" i="1" s="1"/>
  <c r="F229" i="8"/>
  <c r="C234" i="10"/>
  <c r="G229" i="8"/>
  <c r="D229" i="8"/>
  <c r="C229" i="8" s="1"/>
  <c r="Q188" i="1" l="1"/>
  <c r="J188" i="1"/>
  <c r="H188" i="1"/>
  <c r="I188" i="1" s="1"/>
  <c r="B147" i="7"/>
  <c r="E147" i="7" s="1"/>
  <c r="G188" i="1" s="1"/>
  <c r="D234" i="10"/>
  <c r="E234" i="10" s="1"/>
  <c r="B230" i="8"/>
  <c r="I229" i="8"/>
  <c r="J229" i="8" s="1"/>
  <c r="O188" i="1" l="1"/>
  <c r="D147" i="7"/>
  <c r="F230" i="8"/>
  <c r="C235" i="10"/>
  <c r="D230" i="8"/>
  <c r="C230" i="8" s="1"/>
  <c r="G230" i="8"/>
  <c r="P188" i="1"/>
  <c r="F189" i="1" s="1"/>
  <c r="L189" i="1" s="1"/>
  <c r="I230" i="8" l="1"/>
  <c r="J230" i="8" s="1"/>
  <c r="D235" i="10"/>
  <c r="E235" i="10" s="1"/>
  <c r="B231" i="8"/>
  <c r="H189" i="1"/>
  <c r="I189" i="1" s="1"/>
  <c r="B148" i="7"/>
  <c r="Q189" i="1"/>
  <c r="J189" i="1"/>
  <c r="D231" i="8" l="1"/>
  <c r="C231" i="8" s="1"/>
  <c r="D236" i="10" s="1"/>
  <c r="C236" i="10"/>
  <c r="F231" i="8"/>
  <c r="G231" i="8"/>
  <c r="E148" i="7"/>
  <c r="D148" i="7"/>
  <c r="G189" i="1" l="1"/>
  <c r="O189" i="1" s="1"/>
  <c r="E236" i="10"/>
  <c r="B232" i="8"/>
  <c r="F232" i="8" s="1"/>
  <c r="I231" i="8"/>
  <c r="J231" i="8" s="1"/>
  <c r="P189" i="1" l="1"/>
  <c r="F190" i="1" s="1"/>
  <c r="L190" i="1" s="1"/>
  <c r="C237" i="10"/>
  <c r="D232" i="8"/>
  <c r="C232" i="8" s="1"/>
  <c r="D237" i="10" s="1"/>
  <c r="G232" i="8"/>
  <c r="I232" i="8" s="1"/>
  <c r="J232" i="8" s="1"/>
  <c r="H190" i="1" l="1"/>
  <c r="I190" i="1" s="1"/>
  <c r="Q190" i="1"/>
  <c r="J190" i="1"/>
  <c r="E237" i="10"/>
  <c r="B149" i="7"/>
  <c r="E149" i="7" s="1"/>
  <c r="G190" i="1" s="1"/>
  <c r="B233" i="8"/>
  <c r="O190" i="1" l="1"/>
  <c r="D149" i="7"/>
  <c r="C238" i="10"/>
  <c r="F233" i="8"/>
  <c r="G233" i="8"/>
  <c r="D233" i="8"/>
  <c r="C233" i="8" s="1"/>
  <c r="P190" i="1"/>
  <c r="F191" i="1" s="1"/>
  <c r="L191" i="1" s="1"/>
  <c r="D238" i="10" l="1"/>
  <c r="E238" i="10" s="1"/>
  <c r="B234" i="8"/>
  <c r="I233" i="8"/>
  <c r="J233" i="8" s="1"/>
  <c r="H191" i="1"/>
  <c r="I191" i="1" s="1"/>
  <c r="B150" i="7"/>
  <c r="Q191" i="1"/>
  <c r="J191" i="1"/>
  <c r="C239" i="10" l="1"/>
  <c r="G234" i="8"/>
  <c r="D234" i="8"/>
  <c r="C234" i="8" s="1"/>
  <c r="F234" i="8"/>
  <c r="E150" i="7"/>
  <c r="D150" i="7"/>
  <c r="G191" i="1" l="1"/>
  <c r="O191" i="1" s="1"/>
  <c r="I234" i="8"/>
  <c r="J234" i="8" s="1"/>
  <c r="D239" i="10"/>
  <c r="E239" i="10" s="1"/>
  <c r="B235" i="8"/>
  <c r="P191" i="1" l="1"/>
  <c r="F192" i="1" s="1"/>
  <c r="L192" i="1" s="1"/>
  <c r="C240" i="10"/>
  <c r="F235" i="8"/>
  <c r="D235" i="8"/>
  <c r="C235" i="8" s="1"/>
  <c r="G235" i="8"/>
  <c r="Q192" i="1" l="1"/>
  <c r="H192" i="1"/>
  <c r="I192" i="1" s="1"/>
  <c r="J192" i="1"/>
  <c r="B151" i="7"/>
  <c r="E151" i="7" s="1"/>
  <c r="G192" i="1" s="1"/>
  <c r="B236" i="8"/>
  <c r="D240" i="10"/>
  <c r="E240" i="10" s="1"/>
  <c r="I235" i="8"/>
  <c r="J235" i="8" s="1"/>
  <c r="O192" i="1" l="1"/>
  <c r="D151" i="7"/>
  <c r="F236" i="8"/>
  <c r="C241" i="10"/>
  <c r="D236" i="8"/>
  <c r="C236" i="8" s="1"/>
  <c r="D241" i="10" s="1"/>
  <c r="G236" i="8"/>
  <c r="P192" i="1"/>
  <c r="F193" i="1" s="1"/>
  <c r="L193" i="1" s="1"/>
  <c r="E241" i="10" l="1"/>
  <c r="B237" i="8"/>
  <c r="D237" i="8" s="1"/>
  <c r="C237" i="8" s="1"/>
  <c r="D242" i="10" s="1"/>
  <c r="I236" i="8"/>
  <c r="J236" i="8" s="1"/>
  <c r="J193" i="1"/>
  <c r="H193" i="1"/>
  <c r="I193" i="1" s="1"/>
  <c r="B152" i="7"/>
  <c r="Q193" i="1"/>
  <c r="F237" i="8" l="1"/>
  <c r="G237" i="8"/>
  <c r="C242" i="10"/>
  <c r="E242" i="10" s="1"/>
  <c r="B238" i="8"/>
  <c r="E152" i="7"/>
  <c r="D152" i="7"/>
  <c r="I237" i="8" l="1"/>
  <c r="J237" i="8" s="1"/>
  <c r="C243" i="10"/>
  <c r="D238" i="8"/>
  <c r="C238" i="8" s="1"/>
  <c r="F238" i="8"/>
  <c r="G238" i="8"/>
  <c r="G193" i="1"/>
  <c r="O193" i="1" s="1"/>
  <c r="I238" i="8" l="1"/>
  <c r="J238" i="8" s="1"/>
  <c r="D243" i="10"/>
  <c r="E243" i="10" s="1"/>
  <c r="B239" i="8"/>
  <c r="P193" i="1"/>
  <c r="F194" i="1" s="1"/>
  <c r="J194" i="1" l="1"/>
  <c r="L194" i="1"/>
  <c r="F239" i="8"/>
  <c r="D239" i="8"/>
  <c r="C239" i="8" s="1"/>
  <c r="G239" i="8"/>
  <c r="C244" i="10"/>
  <c r="H194" i="1"/>
  <c r="I194" i="1" s="1"/>
  <c r="Q194" i="1"/>
  <c r="B153" i="7"/>
  <c r="D153" i="7" s="1"/>
  <c r="B240" i="8" l="1"/>
  <c r="D244" i="10"/>
  <c r="E244" i="10" s="1"/>
  <c r="I239" i="8"/>
  <c r="J239" i="8" s="1"/>
  <c r="E153" i="7"/>
  <c r="G194" i="1" s="1"/>
  <c r="P194" i="1" l="1"/>
  <c r="F195" i="1" s="1"/>
  <c r="L195" i="1" s="1"/>
  <c r="O194" i="1"/>
  <c r="F240" i="8"/>
  <c r="G240" i="8"/>
  <c r="C245" i="10"/>
  <c r="D240" i="8"/>
  <c r="C240" i="8" s="1"/>
  <c r="B154" i="7" l="1"/>
  <c r="E154" i="7" s="1"/>
  <c r="J195" i="1"/>
  <c r="Q195" i="1"/>
  <c r="H195" i="1"/>
  <c r="I195" i="1" s="1"/>
  <c r="B241" i="8"/>
  <c r="D245" i="10"/>
  <c r="E245" i="10" s="1"/>
  <c r="I240" i="8"/>
  <c r="J240" i="8" s="1"/>
  <c r="D154" i="7" l="1"/>
  <c r="G195" i="1"/>
  <c r="O195" i="1" s="1"/>
  <c r="D241" i="8"/>
  <c r="C241" i="8" s="1"/>
  <c r="G241" i="8"/>
  <c r="C246" i="10"/>
  <c r="F241" i="8"/>
  <c r="P195" i="1" l="1"/>
  <c r="F196" i="1" s="1"/>
  <c r="L196" i="1" s="1"/>
  <c r="I241" i="8"/>
  <c r="J241" i="8" s="1"/>
  <c r="D246" i="10"/>
  <c r="E246" i="10" s="1"/>
  <c r="B242" i="8"/>
  <c r="J196" i="1" l="1"/>
  <c r="Q196" i="1"/>
  <c r="H196" i="1"/>
  <c r="I196" i="1" s="1"/>
  <c r="B155" i="7"/>
  <c r="D155" i="7" s="1"/>
  <c r="G242" i="8"/>
  <c r="D242" i="8"/>
  <c r="C242" i="8" s="1"/>
  <c r="F242" i="8"/>
  <c r="C247" i="10"/>
  <c r="E155" i="7" l="1"/>
  <c r="G196" i="1"/>
  <c r="O196" i="1" s="1"/>
  <c r="I242" i="8"/>
  <c r="J242" i="8" s="1"/>
  <c r="D247" i="10"/>
  <c r="E247" i="10" s="1"/>
  <c r="B243" i="8"/>
  <c r="P196" i="1" l="1"/>
  <c r="F197" i="1" s="1"/>
  <c r="L197" i="1" s="1"/>
  <c r="F243" i="8"/>
  <c r="D243" i="8"/>
  <c r="C243" i="8" s="1"/>
  <c r="G243" i="8"/>
  <c r="C248" i="10"/>
  <c r="H197" i="1" l="1"/>
  <c r="I197" i="1" s="1"/>
  <c r="Q197" i="1"/>
  <c r="J197" i="1"/>
  <c r="B156" i="7"/>
  <c r="D156" i="7" s="1"/>
  <c r="B244" i="8"/>
  <c r="D248" i="10"/>
  <c r="E248" i="10" s="1"/>
  <c r="I243" i="8"/>
  <c r="J243" i="8" s="1"/>
  <c r="E156" i="7" l="1"/>
  <c r="G197" i="1"/>
  <c r="O197" i="1" s="1"/>
  <c r="D244" i="8"/>
  <c r="C244" i="8" s="1"/>
  <c r="F244" i="8"/>
  <c r="G244" i="8"/>
  <c r="C249" i="10"/>
  <c r="P197" i="1" l="1"/>
  <c r="F198" i="1" s="1"/>
  <c r="L198" i="1" s="1"/>
  <c r="I244" i="8"/>
  <c r="J244" i="8" s="1"/>
  <c r="D249" i="10"/>
  <c r="E249" i="10" s="1"/>
  <c r="B245" i="8"/>
  <c r="J198" i="1" l="1"/>
  <c r="H198" i="1"/>
  <c r="I198" i="1" s="1"/>
  <c r="B157" i="7"/>
  <c r="E157" i="7" s="1"/>
  <c r="G198" i="1" s="1"/>
  <c r="Q198" i="1"/>
  <c r="G245" i="8"/>
  <c r="C250" i="10"/>
  <c r="F245" i="8"/>
  <c r="D245" i="8"/>
  <c r="C245" i="8" s="1"/>
  <c r="D157" i="7" l="1"/>
  <c r="O198" i="1"/>
  <c r="I245" i="8"/>
  <c r="J245" i="8" s="1"/>
  <c r="B246" i="8"/>
  <c r="D250" i="10"/>
  <c r="E250" i="10" s="1"/>
  <c r="P198" i="1"/>
  <c r="F199" i="1" s="1"/>
  <c r="Q199" i="1" l="1"/>
  <c r="L199" i="1"/>
  <c r="G246" i="8"/>
  <c r="D246" i="8"/>
  <c r="C246" i="8" s="1"/>
  <c r="D251" i="10" s="1"/>
  <c r="F246" i="8"/>
  <c r="C251" i="10"/>
  <c r="B158" i="7"/>
  <c r="D158" i="7" s="1"/>
  <c r="H199" i="1"/>
  <c r="I199" i="1" s="1"/>
  <c r="J199" i="1"/>
  <c r="I246" i="8" l="1"/>
  <c r="J246" i="8" s="1"/>
  <c r="K6" i="8" s="1"/>
  <c r="K7" i="8" s="1"/>
  <c r="K8" i="8" s="1"/>
  <c r="D41" i="1" s="1"/>
  <c r="D16" i="11" s="1"/>
  <c r="E251" i="10"/>
  <c r="E158" i="7"/>
  <c r="G199" i="1" s="1"/>
  <c r="O199" i="1" s="1"/>
  <c r="P199" i="1" l="1"/>
  <c r="F200" i="1" s="1"/>
  <c r="B159" i="7" l="1"/>
  <c r="E159" i="7" s="1"/>
  <c r="L200" i="1"/>
  <c r="J200" i="1"/>
  <c r="Q200" i="1"/>
  <c r="H200" i="1"/>
  <c r="I200" i="1" s="1"/>
  <c r="D159" i="7" l="1"/>
  <c r="G200" i="1" s="1"/>
  <c r="P200" i="1" s="1"/>
  <c r="F201" i="1" s="1"/>
  <c r="L201" i="1" s="1"/>
  <c r="O200" i="1" l="1"/>
  <c r="B160" i="7"/>
  <c r="E160" i="7" s="1"/>
  <c r="H201" i="1"/>
  <c r="I201" i="1" s="1"/>
  <c r="Q201" i="1"/>
  <c r="J201" i="1"/>
  <c r="D160" i="7" l="1"/>
  <c r="G201" i="1" s="1"/>
  <c r="O201" i="1" s="1"/>
  <c r="P201" i="1" l="1"/>
  <c r="F202" i="1" s="1"/>
  <c r="Q202" i="1" s="1"/>
  <c r="J202" i="1" l="1"/>
  <c r="H202" i="1"/>
  <c r="I202" i="1" s="1"/>
  <c r="B161" i="7"/>
  <c r="L202" i="1"/>
  <c r="E161" i="7" l="1"/>
  <c r="D161" i="7"/>
  <c r="G202" i="1" s="1"/>
  <c r="O202" i="1" s="1"/>
  <c r="P202" i="1" l="1"/>
  <c r="F203" i="1" s="1"/>
  <c r="L203" i="1" l="1"/>
  <c r="J203" i="1"/>
  <c r="B162" i="7"/>
  <c r="H203" i="1"/>
  <c r="I203" i="1" s="1"/>
  <c r="Q203" i="1"/>
  <c r="E162" i="7" l="1"/>
  <c r="D162" i="7"/>
  <c r="G203" i="1" s="1"/>
  <c r="P203" i="1" s="1"/>
  <c r="F204" i="1" s="1"/>
  <c r="L204" i="1" l="1"/>
  <c r="J204" i="1"/>
  <c r="H204" i="1"/>
  <c r="I204" i="1" s="1"/>
  <c r="B163" i="7"/>
  <c r="E163" i="7" s="1"/>
  <c r="Q204" i="1"/>
  <c r="O203" i="1"/>
  <c r="D163" i="7" l="1"/>
  <c r="G204" i="1"/>
  <c r="O204" i="1" s="1"/>
  <c r="P204" i="1" l="1"/>
  <c r="F205" i="1" s="1"/>
  <c r="J205" i="1" s="1"/>
  <c r="B164" i="7" l="1"/>
  <c r="E164" i="7" s="1"/>
  <c r="Q205" i="1"/>
  <c r="H205" i="1"/>
  <c r="I205" i="1" s="1"/>
  <c r="L205" i="1"/>
  <c r="D164" i="7" l="1"/>
  <c r="G205" i="1"/>
  <c r="O205" i="1" s="1"/>
  <c r="P205" i="1" l="1"/>
  <c r="F206" i="1" s="1"/>
  <c r="Q206" i="1" l="1"/>
  <c r="L206" i="1"/>
  <c r="J206" i="1"/>
  <c r="H206" i="1"/>
  <c r="I206" i="1" s="1"/>
  <c r="B165" i="7"/>
  <c r="E165" i="7" l="1"/>
  <c r="D165" i="7"/>
  <c r="G206" i="1" l="1"/>
  <c r="O206" i="1" s="1"/>
  <c r="P206" i="1" l="1"/>
  <c r="F207" i="1" s="1"/>
  <c r="L207" i="1" s="1"/>
  <c r="B166" i="7" l="1"/>
  <c r="D166" i="7" s="1"/>
  <c r="J207" i="1"/>
  <c r="H207" i="1"/>
  <c r="I207" i="1" s="1"/>
  <c r="Q207" i="1"/>
  <c r="E166" i="7" l="1"/>
  <c r="G207" i="1"/>
  <c r="O207" i="1" s="1"/>
  <c r="P207" i="1" l="1"/>
  <c r="F208" i="1" s="1"/>
  <c r="L208" i="1" s="1"/>
  <c r="H208" i="1" l="1"/>
  <c r="I208" i="1" s="1"/>
  <c r="J208" i="1"/>
  <c r="B167" i="7"/>
  <c r="E167" i="7" s="1"/>
  <c r="Q208" i="1"/>
  <c r="D167" i="7" l="1"/>
  <c r="G208" i="1"/>
  <c r="O208" i="1" s="1"/>
  <c r="P208" i="1" l="1"/>
  <c r="F209" i="1" s="1"/>
  <c r="L209" i="1" s="1"/>
  <c r="Q209" i="1" l="1"/>
  <c r="H209" i="1"/>
  <c r="I209" i="1" s="1"/>
  <c r="J209" i="1"/>
  <c r="B168" i="7"/>
  <c r="E168" i="7" s="1"/>
  <c r="D168" i="7" l="1"/>
  <c r="G209" i="1"/>
  <c r="O209" i="1" s="1"/>
  <c r="P209" i="1" l="1"/>
  <c r="F210" i="1" s="1"/>
  <c r="L210" i="1" s="1"/>
  <c r="B169" i="7" l="1"/>
  <c r="E169" i="7" s="1"/>
  <c r="J210" i="1"/>
  <c r="H210" i="1"/>
  <c r="I210" i="1" s="1"/>
  <c r="Q210" i="1"/>
  <c r="D169" i="7" l="1"/>
  <c r="G210" i="1"/>
  <c r="O210" i="1" s="1"/>
  <c r="P210" i="1" l="1"/>
  <c r="F211" i="1" s="1"/>
  <c r="L211" i="1" s="1"/>
  <c r="H211" i="1" l="1"/>
  <c r="I211" i="1" s="1"/>
  <c r="J211" i="1"/>
  <c r="B170" i="7"/>
  <c r="E170" i="7" s="1"/>
  <c r="G211" i="1" s="1"/>
  <c r="Q211" i="1"/>
  <c r="D170" i="7" l="1"/>
  <c r="O211" i="1"/>
  <c r="P211" i="1"/>
  <c r="F212" i="1" s="1"/>
  <c r="L212" i="1" s="1"/>
  <c r="B171" i="7" l="1"/>
  <c r="H212" i="1"/>
  <c r="I212" i="1" s="1"/>
  <c r="J212" i="1"/>
  <c r="Q212" i="1"/>
  <c r="D171" i="7" l="1"/>
  <c r="E171" i="7"/>
  <c r="G212" i="1" s="1"/>
  <c r="O212" i="1" s="1"/>
  <c r="P212" i="1" l="1"/>
  <c r="F213" i="1" s="1"/>
  <c r="L213" i="1" s="1"/>
  <c r="Q213" i="1" l="1"/>
  <c r="H213" i="1"/>
  <c r="I213" i="1" s="1"/>
  <c r="J213" i="1"/>
  <c r="B172" i="7"/>
  <c r="D172" i="7" l="1"/>
  <c r="E172" i="7"/>
  <c r="G213" i="1" s="1"/>
  <c r="O213" i="1" s="1"/>
  <c r="P213" i="1" l="1"/>
  <c r="F214" i="1" s="1"/>
  <c r="L214" i="1" s="1"/>
  <c r="B173" i="7" l="1"/>
  <c r="Q214" i="1"/>
  <c r="H214" i="1"/>
  <c r="I214" i="1" s="1"/>
  <c r="J214" i="1"/>
  <c r="D173" i="7" l="1"/>
  <c r="E173" i="7"/>
  <c r="G214" i="1" l="1"/>
  <c r="O214" i="1" s="1"/>
  <c r="P214" i="1" l="1"/>
  <c r="F215" i="1" s="1"/>
  <c r="L215" i="1" s="1"/>
  <c r="Q215" i="1" l="1"/>
  <c r="J215" i="1"/>
  <c r="B174" i="7"/>
  <c r="E174" i="7" s="1"/>
  <c r="H215" i="1"/>
  <c r="I215" i="1" s="1"/>
  <c r="D174" i="7" l="1"/>
  <c r="G215" i="1"/>
  <c r="O215" i="1" s="1"/>
  <c r="P215" i="1" l="1"/>
  <c r="F216" i="1" s="1"/>
  <c r="L216" i="1" s="1"/>
  <c r="J216" i="1" l="1"/>
  <c r="Q216" i="1"/>
  <c r="B175" i="7"/>
  <c r="E175" i="7" s="1"/>
  <c r="H216" i="1"/>
  <c r="I216" i="1" s="1"/>
  <c r="D175" i="7" l="1"/>
  <c r="G216" i="1"/>
  <c r="O216" i="1" s="1"/>
  <c r="P216" i="1" l="1"/>
  <c r="F217" i="1" s="1"/>
  <c r="L217" i="1" s="1"/>
  <c r="J217" i="1" l="1"/>
  <c r="Q217" i="1"/>
  <c r="B176" i="7"/>
  <c r="E176" i="7" s="1"/>
  <c r="G217" i="1" s="1"/>
  <c r="H217" i="1"/>
  <c r="I217" i="1" s="1"/>
  <c r="D176" i="7" l="1"/>
  <c r="O217" i="1"/>
  <c r="P217" i="1"/>
  <c r="F218" i="1" s="1"/>
  <c r="L218" i="1" s="1"/>
  <c r="J218" i="1" l="1"/>
  <c r="Q218" i="1"/>
  <c r="H218" i="1"/>
  <c r="I218" i="1" s="1"/>
  <c r="B177" i="7"/>
  <c r="D177" i="7" l="1"/>
  <c r="E177" i="7"/>
  <c r="G218" i="1" l="1"/>
  <c r="O218" i="1" s="1"/>
  <c r="P218" i="1" l="1"/>
  <c r="F219" i="1" s="1"/>
  <c r="L219" i="1" s="1"/>
  <c r="J219" i="1" l="1"/>
  <c r="Q219" i="1"/>
  <c r="H219" i="1"/>
  <c r="I219" i="1" s="1"/>
  <c r="B178" i="7"/>
  <c r="E178" i="7" s="1"/>
  <c r="D178" i="7" l="1"/>
  <c r="G219" i="1" s="1"/>
  <c r="O219" i="1" l="1"/>
  <c r="P219" i="1"/>
  <c r="F220" i="1" s="1"/>
  <c r="L220" i="1" s="1"/>
  <c r="B179" i="7" l="1"/>
  <c r="D179" i="7" s="1"/>
  <c r="H220" i="1"/>
  <c r="I220" i="1" s="1"/>
  <c r="Q220" i="1"/>
  <c r="J220" i="1"/>
  <c r="E179" i="7" l="1"/>
  <c r="G220" i="1" s="1"/>
  <c r="O220" i="1" s="1"/>
  <c r="P220" i="1" l="1"/>
  <c r="F221" i="1" s="1"/>
  <c r="L221" i="1" s="1"/>
  <c r="B180" i="7" l="1"/>
  <c r="E180" i="7" s="1"/>
  <c r="J221" i="1"/>
  <c r="H221" i="1"/>
  <c r="I221" i="1" s="1"/>
  <c r="Q221" i="1"/>
  <c r="D180" i="7" l="1"/>
  <c r="G221" i="1"/>
  <c r="O221" i="1" s="1"/>
  <c r="P221" i="1" l="1"/>
  <c r="F222" i="1" s="1"/>
  <c r="L222" i="1" s="1"/>
  <c r="J222" i="1" l="1"/>
  <c r="B181" i="7"/>
  <c r="D181" i="7" s="1"/>
  <c r="Q222" i="1"/>
  <c r="H222" i="1"/>
  <c r="I222" i="1" s="1"/>
  <c r="E181" i="7" l="1"/>
  <c r="G222" i="1"/>
  <c r="O222" i="1" s="1"/>
  <c r="P222" i="1" l="1"/>
  <c r="F223" i="1" s="1"/>
  <c r="L223" i="1" s="1"/>
  <c r="J223" i="1" l="1"/>
  <c r="Q223" i="1"/>
  <c r="H223" i="1"/>
  <c r="I223" i="1" s="1"/>
  <c r="B182" i="7"/>
  <c r="E182" i="7" s="1"/>
  <c r="D182" i="7" l="1"/>
  <c r="G223" i="1"/>
  <c r="O223" i="1" s="1"/>
  <c r="P223" i="1" l="1"/>
  <c r="F224" i="1" s="1"/>
  <c r="L224" i="1" s="1"/>
  <c r="J224" i="1" l="1"/>
  <c r="Q224" i="1"/>
  <c r="B183" i="7"/>
  <c r="D183" i="7" s="1"/>
  <c r="H224" i="1"/>
  <c r="I224" i="1" s="1"/>
  <c r="E183" i="7" l="1"/>
  <c r="G224" i="1" s="1"/>
  <c r="P224" i="1" s="1"/>
  <c r="F225" i="1" s="1"/>
  <c r="L225" i="1" s="1"/>
  <c r="O224" i="1" l="1"/>
  <c r="Q225" i="1"/>
  <c r="H225" i="1"/>
  <c r="I225" i="1" s="1"/>
  <c r="J225" i="1"/>
  <c r="B184" i="7"/>
  <c r="D184" i="7" l="1"/>
  <c r="E184" i="7"/>
  <c r="G225" i="1" l="1"/>
  <c r="O225" i="1" s="1"/>
  <c r="P225" i="1" l="1"/>
  <c r="F226" i="1" s="1"/>
  <c r="L226" i="1" s="1"/>
  <c r="H226" i="1" l="1"/>
  <c r="I226" i="1" s="1"/>
  <c r="B185" i="7"/>
  <c r="E185" i="7" s="1"/>
  <c r="J226" i="1"/>
  <c r="Q226" i="1"/>
  <c r="D185" i="7" l="1"/>
  <c r="G226" i="1"/>
  <c r="O226" i="1" s="1"/>
  <c r="P226" i="1" l="1"/>
  <c r="F227" i="1" s="1"/>
  <c r="L227" i="1" s="1"/>
  <c r="B186" i="7" l="1"/>
  <c r="E186" i="7" s="1"/>
  <c r="J227" i="1"/>
  <c r="Q227" i="1"/>
  <c r="H227" i="1"/>
  <c r="I227" i="1" s="1"/>
  <c r="D186" i="7" l="1"/>
  <c r="G227" i="1"/>
  <c r="O227" i="1" s="1"/>
  <c r="P227" i="1" l="1"/>
  <c r="F228" i="1" s="1"/>
  <c r="L228" i="1" s="1"/>
  <c r="J228" i="1" l="1"/>
  <c r="H228" i="1"/>
  <c r="I228" i="1" s="1"/>
  <c r="Q228" i="1"/>
  <c r="B187" i="7"/>
  <c r="E187" i="7" s="1"/>
  <c r="G228" i="1" s="1"/>
  <c r="D187" i="7" l="1"/>
  <c r="O228" i="1"/>
  <c r="P228" i="1"/>
  <c r="F229" i="1" s="1"/>
  <c r="L229" i="1" s="1"/>
  <c r="B188" i="7" l="1"/>
  <c r="H229" i="1"/>
  <c r="I229" i="1" s="1"/>
  <c r="Q229" i="1"/>
  <c r="J229" i="1"/>
  <c r="D188" i="7" l="1"/>
  <c r="E188" i="7"/>
  <c r="G229" i="1" s="1"/>
  <c r="O229" i="1" s="1"/>
  <c r="P229" i="1" l="1"/>
  <c r="F230" i="1" s="1"/>
  <c r="L230" i="1" s="1"/>
  <c r="Q230" i="1" l="1"/>
  <c r="J230" i="1"/>
  <c r="B189" i="7"/>
  <c r="H230" i="1"/>
  <c r="I230" i="1" s="1"/>
  <c r="D189" i="7" l="1"/>
  <c r="E189" i="7"/>
  <c r="G230" i="1" s="1"/>
  <c r="O230" i="1" s="1"/>
  <c r="P230" i="1" l="1"/>
  <c r="F231" i="1" s="1"/>
  <c r="L231" i="1" s="1"/>
  <c r="Q231" i="1" l="1"/>
  <c r="B190" i="7"/>
  <c r="H231" i="1"/>
  <c r="I231" i="1" s="1"/>
  <c r="J231" i="1"/>
  <c r="D190" i="7" l="1"/>
  <c r="E190" i="7"/>
  <c r="G231" i="1" s="1"/>
  <c r="O231" i="1" s="1"/>
  <c r="P231" i="1" l="1"/>
  <c r="F232" i="1" s="1"/>
  <c r="L232" i="1" s="1"/>
  <c r="Q232" i="1" l="1"/>
  <c r="J232" i="1"/>
  <c r="H232" i="1"/>
  <c r="I232" i="1" s="1"/>
  <c r="B191" i="7"/>
  <c r="E191" i="7" l="1"/>
  <c r="G232" i="1" s="1"/>
  <c r="O232" i="1" s="1"/>
  <c r="D191" i="7"/>
  <c r="P232" i="1" l="1"/>
  <c r="F233" i="1" s="1"/>
  <c r="L233" i="1" s="1"/>
  <c r="J233" i="1" l="1"/>
  <c r="B192" i="7"/>
  <c r="Q233" i="1"/>
  <c r="H233" i="1"/>
  <c r="I233" i="1" s="1"/>
  <c r="E192" i="7" l="1"/>
  <c r="D192" i="7"/>
  <c r="G233" i="1" l="1"/>
  <c r="O233" i="1" s="1"/>
  <c r="P233" i="1" l="1"/>
  <c r="F234" i="1" s="1"/>
  <c r="L234" i="1" s="1"/>
  <c r="H234" i="1" l="1"/>
  <c r="I234" i="1" s="1"/>
  <c r="B193" i="7"/>
  <c r="D193" i="7" s="1"/>
  <c r="J234" i="1"/>
  <c r="Q234" i="1"/>
  <c r="E193" i="7" l="1"/>
  <c r="G234" i="1"/>
  <c r="O234" i="1" s="1"/>
  <c r="P234" i="1" l="1"/>
  <c r="F235" i="1" s="1"/>
  <c r="L235" i="1" s="1"/>
  <c r="B194" i="7" l="1"/>
  <c r="E194" i="7" s="1"/>
  <c r="J235" i="1"/>
  <c r="H235" i="1"/>
  <c r="I235" i="1" s="1"/>
  <c r="Q235" i="1"/>
  <c r="D194" i="7" l="1"/>
  <c r="G235" i="1"/>
  <c r="O235" i="1" s="1"/>
  <c r="P235" i="1" l="1"/>
  <c r="F236" i="1" s="1"/>
  <c r="L236" i="1" s="1"/>
  <c r="H236" i="1" l="1"/>
  <c r="I236" i="1" s="1"/>
  <c r="Q236" i="1"/>
  <c r="B195" i="7"/>
  <c r="D195" i="7" s="1"/>
  <c r="J236" i="1"/>
  <c r="E195" i="7" l="1"/>
  <c r="G236" i="1" s="1"/>
  <c r="O236" i="1" s="1"/>
  <c r="P236" i="1" l="1"/>
  <c r="F237" i="1" s="1"/>
  <c r="L237" i="1" s="1"/>
  <c r="H237" i="1" l="1"/>
  <c r="I237" i="1" s="1"/>
  <c r="Q237" i="1"/>
  <c r="J237" i="1"/>
  <c r="B196" i="7"/>
  <c r="D196" i="7" s="1"/>
  <c r="E196" i="7" l="1"/>
  <c r="G237" i="1" s="1"/>
  <c r="O237" i="1" s="1"/>
  <c r="P237" i="1" l="1"/>
  <c r="F238" i="1" s="1"/>
  <c r="L238" i="1" s="1"/>
  <c r="H238" i="1" l="1"/>
  <c r="I238" i="1" s="1"/>
  <c r="J238" i="1"/>
  <c r="B197" i="7"/>
  <c r="Q238" i="1"/>
  <c r="E197" i="7"/>
  <c r="D197" i="7"/>
  <c r="G238" i="1" l="1"/>
  <c r="O238" i="1" s="1"/>
  <c r="P238" i="1" l="1"/>
  <c r="F239" i="1" s="1"/>
  <c r="L239" i="1" s="1"/>
  <c r="J239" i="1" l="1"/>
  <c r="H239" i="1"/>
  <c r="I239" i="1" s="1"/>
  <c r="Q239" i="1"/>
  <c r="B198" i="7"/>
  <c r="D198" i="7" s="1"/>
  <c r="E198" i="7" l="1"/>
  <c r="G239" i="1" s="1"/>
  <c r="O239" i="1" s="1"/>
  <c r="P239" i="1" l="1"/>
  <c r="F240" i="1" s="1"/>
  <c r="L240" i="1" s="1"/>
  <c r="B199" i="7"/>
  <c r="Q240" i="1"/>
  <c r="H240" i="1"/>
  <c r="I240" i="1" s="1"/>
  <c r="J240" i="1"/>
  <c r="E199" i="7" l="1"/>
  <c r="D199" i="7"/>
  <c r="G240" i="1" l="1"/>
  <c r="O240" i="1" s="1"/>
  <c r="P240" i="1" l="1"/>
  <c r="F241" i="1" s="1"/>
  <c r="L241" i="1" s="1"/>
  <c r="J241" i="1" l="1"/>
  <c r="H241" i="1"/>
  <c r="I241" i="1" s="1"/>
  <c r="Q241" i="1"/>
  <c r="B200" i="7"/>
  <c r="E200" i="7" s="1"/>
  <c r="D200" i="7" l="1"/>
  <c r="G241" i="1"/>
  <c r="O241" i="1" s="1"/>
  <c r="P241" i="1" l="1"/>
  <c r="F242" i="1" s="1"/>
  <c r="L242" i="1" s="1"/>
  <c r="H242" i="1" l="1"/>
  <c r="I242" i="1" s="1"/>
  <c r="J242" i="1"/>
  <c r="Q242" i="1"/>
  <c r="B201" i="7"/>
  <c r="E201" i="7" s="1"/>
  <c r="D201" i="7" l="1"/>
  <c r="G242" i="1"/>
  <c r="O242" i="1" s="1"/>
  <c r="P242" i="1" l="1"/>
  <c r="F243" i="1" s="1"/>
  <c r="L243" i="1" s="1"/>
  <c r="B202" i="7" l="1"/>
  <c r="D202" i="7" s="1"/>
  <c r="Q243" i="1"/>
  <c r="J243" i="1"/>
  <c r="H243" i="1"/>
  <c r="I243" i="1" s="1"/>
  <c r="E202" i="7" l="1"/>
  <c r="G243" i="1"/>
  <c r="O243" i="1" s="1"/>
  <c r="P243" i="1" l="1"/>
  <c r="F244" i="1" s="1"/>
  <c r="L244" i="1" s="1"/>
  <c r="J244" i="1" l="1"/>
  <c r="B203" i="7"/>
  <c r="D203" i="7" s="1"/>
  <c r="Q244" i="1"/>
  <c r="H244" i="1"/>
  <c r="I244" i="1" s="1"/>
  <c r="E203" i="7" l="1"/>
  <c r="G244" i="1"/>
  <c r="O244" i="1" s="1"/>
  <c r="P244" i="1" l="1"/>
  <c r="F245" i="1" s="1"/>
  <c r="L245" i="1" s="1"/>
  <c r="Q245" i="1" l="1"/>
  <c r="J245" i="1"/>
  <c r="H245" i="1"/>
  <c r="I245" i="1" s="1"/>
  <c r="B204" i="7"/>
  <c r="E204" i="7" s="1"/>
  <c r="D204" i="7" l="1"/>
  <c r="G245" i="1"/>
  <c r="O245" i="1" s="1"/>
  <c r="P245" i="1" l="1"/>
  <c r="F246" i="1" s="1"/>
  <c r="L246" i="1" s="1"/>
  <c r="Q246" i="1" l="1"/>
  <c r="B205" i="7"/>
  <c r="E205" i="7" s="1"/>
  <c r="G246" i="1" s="1"/>
  <c r="J246" i="1"/>
  <c r="H246" i="1"/>
  <c r="I246" i="1" s="1"/>
  <c r="D205" i="7" l="1"/>
  <c r="O246" i="1"/>
  <c r="P246" i="1"/>
  <c r="F247" i="1" s="1"/>
  <c r="L247" i="1" s="1"/>
  <c r="H247" i="1" l="1"/>
  <c r="I247" i="1" s="1"/>
  <c r="Q247" i="1"/>
  <c r="J247" i="1"/>
  <c r="B206" i="7"/>
  <c r="D206" i="7" l="1"/>
  <c r="E206" i="7"/>
  <c r="G247" i="1" s="1"/>
  <c r="O247" i="1" s="1"/>
  <c r="P247" i="1" l="1"/>
  <c r="F248" i="1" s="1"/>
  <c r="L248" i="1" s="1"/>
  <c r="J248" i="1" l="1"/>
  <c r="Q248" i="1"/>
  <c r="H248" i="1"/>
  <c r="I248" i="1" s="1"/>
  <c r="B207" i="7"/>
  <c r="D207" i="7" l="1"/>
  <c r="E207" i="7"/>
  <c r="G248" i="1" s="1"/>
  <c r="O248" i="1" s="1"/>
  <c r="P248" i="1" l="1"/>
  <c r="F249" i="1" s="1"/>
  <c r="L249" i="1" s="1"/>
  <c r="J249" i="1" l="1"/>
  <c r="Q249" i="1"/>
  <c r="H249" i="1"/>
  <c r="I249" i="1" s="1"/>
  <c r="B208" i="7"/>
  <c r="D208" i="7" l="1"/>
  <c r="E208" i="7"/>
  <c r="G249" i="1" s="1"/>
  <c r="O249" i="1" s="1"/>
  <c r="P249" i="1" l="1"/>
  <c r="F250" i="1" s="1"/>
  <c r="L250" i="1" s="1"/>
  <c r="J250" i="1" l="1"/>
  <c r="B209" i="7"/>
  <c r="H250" i="1"/>
  <c r="I250" i="1" s="1"/>
  <c r="Q250" i="1"/>
  <c r="E209" i="7" l="1"/>
  <c r="D209" i="7"/>
  <c r="G250" i="1" l="1"/>
  <c r="O250" i="1" s="1"/>
  <c r="P250" i="1" l="1"/>
  <c r="F251" i="1" s="1"/>
  <c r="L251" i="1" s="1"/>
  <c r="J251" i="1" l="1"/>
  <c r="H251" i="1"/>
  <c r="I251" i="1" s="1"/>
  <c r="Q251" i="1"/>
  <c r="B210" i="7"/>
  <c r="E210" i="7" s="1"/>
  <c r="D210" i="7" l="1"/>
  <c r="G251" i="1"/>
  <c r="O251" i="1" s="1"/>
  <c r="P251" i="1" l="1"/>
  <c r="F252" i="1" s="1"/>
  <c r="L252" i="1" s="1"/>
  <c r="H252" i="1" l="1"/>
  <c r="I252" i="1" s="1"/>
  <c r="J252" i="1"/>
  <c r="B211" i="7"/>
  <c r="E211" i="7" s="1"/>
  <c r="G252" i="1" s="1"/>
  <c r="Q252" i="1"/>
  <c r="O252" i="1" l="1"/>
  <c r="D211" i="7"/>
  <c r="P252" i="1"/>
  <c r="F253" i="1" s="1"/>
  <c r="L253" i="1" s="1"/>
  <c r="Q253" i="1" l="1"/>
  <c r="B212" i="7"/>
  <c r="J253" i="1"/>
  <c r="H253" i="1"/>
  <c r="I253" i="1" s="1"/>
  <c r="D212" i="7" l="1"/>
  <c r="E212" i="7"/>
  <c r="G253" i="1" s="1"/>
  <c r="O253" i="1" s="1"/>
  <c r="P253" i="1" l="1"/>
  <c r="F254" i="1" s="1"/>
  <c r="L254" i="1" s="1"/>
  <c r="J254" i="1" l="1"/>
  <c r="B213" i="7"/>
  <c r="H254" i="1"/>
  <c r="I254" i="1" s="1"/>
  <c r="Q254" i="1"/>
  <c r="E213" i="7" l="1"/>
  <c r="G254" i="1" s="1"/>
  <c r="O254" i="1" s="1"/>
  <c r="D213" i="7"/>
  <c r="P254" i="1" l="1"/>
  <c r="F255" i="1" s="1"/>
  <c r="L255" i="1" s="1"/>
  <c r="H255" i="1" l="1"/>
  <c r="I255" i="1" s="1"/>
  <c r="Q255" i="1"/>
  <c r="J255" i="1"/>
  <c r="B214" i="7"/>
  <c r="D214" i="7" l="1"/>
  <c r="E214" i="7"/>
  <c r="G255" i="1" s="1"/>
  <c r="O255" i="1" s="1"/>
  <c r="P255" i="1" l="1"/>
  <c r="F256" i="1" s="1"/>
  <c r="L256" i="1" s="1"/>
  <c r="Q256" i="1" l="1"/>
  <c r="H256" i="1"/>
  <c r="I256" i="1" s="1"/>
  <c r="B215" i="7"/>
  <c r="J256" i="1"/>
  <c r="D215" i="7" l="1"/>
  <c r="E215" i="7"/>
  <c r="G256" i="1" s="1"/>
  <c r="O256" i="1" s="1"/>
  <c r="P256" i="1" l="1"/>
  <c r="F257" i="1" s="1"/>
  <c r="L257" i="1" s="1"/>
  <c r="Q257" i="1" l="1"/>
  <c r="H257" i="1"/>
  <c r="I257" i="1" s="1"/>
  <c r="J257" i="1"/>
  <c r="B216" i="7"/>
  <c r="D216" i="7" l="1"/>
  <c r="E216" i="7"/>
  <c r="G257" i="1" s="1"/>
  <c r="O257" i="1" s="1"/>
  <c r="P257" i="1" l="1"/>
  <c r="F258" i="1" s="1"/>
  <c r="L258" i="1" s="1"/>
  <c r="B217" i="7" l="1"/>
  <c r="Q258" i="1"/>
  <c r="H258" i="1"/>
  <c r="I258" i="1" s="1"/>
  <c r="J258" i="1"/>
  <c r="E217" i="7" l="1"/>
  <c r="D217" i="7"/>
  <c r="G258" i="1" l="1"/>
  <c r="O258" i="1" s="1"/>
  <c r="P258" i="1" l="1"/>
  <c r="F259" i="1" s="1"/>
  <c r="L259" i="1" s="1"/>
  <c r="H259" i="1" l="1"/>
  <c r="I259" i="1" s="1"/>
  <c r="Q259" i="1"/>
  <c r="B218" i="7"/>
  <c r="E218" i="7" s="1"/>
  <c r="J259" i="1"/>
  <c r="D218" i="7" l="1"/>
  <c r="G259" i="1"/>
  <c r="O259" i="1" s="1"/>
  <c r="P259" i="1" l="1"/>
  <c r="F260" i="1" s="1"/>
  <c r="L260" i="1" s="1"/>
  <c r="H260" i="1" l="1"/>
  <c r="I260" i="1" s="1"/>
  <c r="Q260" i="1"/>
  <c r="B219" i="7"/>
  <c r="E219" i="7" s="1"/>
  <c r="G260" i="1" s="1"/>
  <c r="J260" i="1"/>
  <c r="D219" i="7" l="1"/>
  <c r="O260" i="1"/>
  <c r="P260" i="1"/>
  <c r="F261" i="1" s="1"/>
  <c r="L261" i="1" s="1"/>
  <c r="B220" i="7" l="1"/>
  <c r="H261" i="1"/>
  <c r="I261" i="1" s="1"/>
  <c r="J261" i="1"/>
  <c r="Q261" i="1"/>
  <c r="D220" i="7" l="1"/>
  <c r="E220" i="7"/>
  <c r="G261" i="1" s="1"/>
  <c r="O261" i="1" s="1"/>
  <c r="P261" i="1" l="1"/>
  <c r="F262" i="1" s="1"/>
  <c r="L262" i="1" s="1"/>
  <c r="B221" i="7" l="1"/>
  <c r="H262" i="1"/>
  <c r="I262" i="1" s="1"/>
  <c r="Q262" i="1"/>
  <c r="J262" i="1"/>
  <c r="E221" i="7" l="1"/>
  <c r="D221" i="7"/>
  <c r="G262" i="1" l="1"/>
  <c r="O262" i="1" s="1"/>
  <c r="P262" i="1" l="1"/>
  <c r="F263" i="1" s="1"/>
  <c r="L263" i="1" s="1"/>
  <c r="B222" i="7" l="1"/>
  <c r="D222" i="7" s="1"/>
  <c r="Q263" i="1"/>
  <c r="H263" i="1"/>
  <c r="I263" i="1" s="1"/>
  <c r="J263" i="1"/>
  <c r="E222" i="7" l="1"/>
  <c r="G263" i="1" s="1"/>
  <c r="O263" i="1" s="1"/>
  <c r="P263" i="1" l="1"/>
  <c r="F264" i="1" s="1"/>
  <c r="L264" i="1" s="1"/>
  <c r="Q264" i="1" l="1"/>
  <c r="B223" i="7"/>
  <c r="E223" i="7" s="1"/>
  <c r="H264" i="1"/>
  <c r="I264" i="1" s="1"/>
  <c r="J264" i="1"/>
  <c r="D223" i="7" l="1"/>
  <c r="G264" i="1"/>
  <c r="O264" i="1" s="1"/>
  <c r="P264" i="1" l="1"/>
  <c r="F265" i="1" s="1"/>
  <c r="L265" i="1" s="1"/>
  <c r="J265" i="1" l="1"/>
  <c r="B224" i="7"/>
  <c r="E224" i="7" s="1"/>
  <c r="G265" i="1" s="1"/>
  <c r="Q265" i="1"/>
  <c r="H265" i="1"/>
  <c r="I265" i="1" s="1"/>
  <c r="D224" i="7" l="1"/>
  <c r="O265" i="1"/>
  <c r="P265" i="1"/>
  <c r="F266" i="1" s="1"/>
  <c r="L266" i="1" s="1"/>
  <c r="Q266" i="1" l="1"/>
  <c r="H266" i="1"/>
  <c r="I266" i="1" s="1"/>
  <c r="B225" i="7"/>
  <c r="J266" i="1"/>
  <c r="D225" i="7" l="1"/>
  <c r="E225" i="7"/>
  <c r="G266" i="1" s="1"/>
  <c r="O266" i="1" s="1"/>
  <c r="P266" i="1" l="1"/>
  <c r="F267" i="1" s="1"/>
  <c r="L267" i="1" s="1"/>
  <c r="B226" i="7" l="1"/>
  <c r="H267" i="1"/>
  <c r="I267" i="1" s="1"/>
  <c r="Q267" i="1"/>
  <c r="J267" i="1"/>
  <c r="E226" i="7" l="1"/>
  <c r="D226" i="7"/>
  <c r="G267" i="1" l="1"/>
  <c r="O267" i="1" s="1"/>
  <c r="P267" i="1" l="1"/>
  <c r="F268" i="1" s="1"/>
  <c r="L268" i="1" s="1"/>
  <c r="J268" i="1" l="1"/>
  <c r="B227" i="7"/>
  <c r="E227" i="7" s="1"/>
  <c r="H268" i="1"/>
  <c r="I268" i="1" s="1"/>
  <c r="Q268" i="1"/>
  <c r="D227" i="7" l="1"/>
  <c r="G268" i="1"/>
  <c r="O268" i="1" s="1"/>
  <c r="P268" i="1" l="1"/>
  <c r="F269" i="1" s="1"/>
  <c r="L269" i="1" s="1"/>
  <c r="Q269" i="1" l="1"/>
  <c r="J269" i="1"/>
  <c r="B228" i="7"/>
  <c r="E228" i="7" s="1"/>
  <c r="H269" i="1"/>
  <c r="I269" i="1" s="1"/>
  <c r="D228" i="7" l="1"/>
  <c r="G269" i="1" s="1"/>
  <c r="O269" i="1" l="1"/>
  <c r="P269" i="1"/>
  <c r="F270" i="1" s="1"/>
  <c r="L270" i="1" s="1"/>
  <c r="J270" i="1" l="1"/>
  <c r="H270" i="1"/>
  <c r="I270" i="1" s="1"/>
  <c r="B229" i="7"/>
  <c r="E229" i="7" s="1"/>
  <c r="G270" i="1" s="1"/>
  <c r="Q270" i="1"/>
  <c r="D229" i="7" l="1"/>
  <c r="O270" i="1"/>
  <c r="P270" i="1"/>
  <c r="F271" i="1" s="1"/>
  <c r="L271" i="1" s="1"/>
  <c r="B230" i="7" l="1"/>
  <c r="J271" i="1"/>
  <c r="H271" i="1"/>
  <c r="I271" i="1" s="1"/>
  <c r="Q271" i="1"/>
  <c r="E230" i="7" l="1"/>
  <c r="G271" i="1" s="1"/>
  <c r="O271" i="1" s="1"/>
  <c r="D230" i="7"/>
  <c r="P271" i="1" l="1"/>
  <c r="F272" i="1" s="1"/>
  <c r="L272" i="1" s="1"/>
  <c r="Q272" i="1" l="1"/>
  <c r="H272" i="1"/>
  <c r="I272" i="1" s="1"/>
  <c r="B231" i="7"/>
  <c r="J272" i="1"/>
  <c r="E231" i="7" l="1"/>
  <c r="D231" i="7"/>
  <c r="G272" i="1" l="1"/>
  <c r="O272" i="1" s="1"/>
  <c r="P272" i="1" l="1"/>
  <c r="F273" i="1" s="1"/>
  <c r="L273" i="1" s="1"/>
  <c r="J273" i="1" l="1"/>
  <c r="Q273" i="1"/>
  <c r="B232" i="7"/>
  <c r="E232" i="7" s="1"/>
  <c r="G273" i="1" s="1"/>
  <c r="H273" i="1"/>
  <c r="I273" i="1" s="1"/>
  <c r="D232" i="7" l="1"/>
  <c r="O273" i="1"/>
  <c r="P273" i="1"/>
  <c r="F274" i="1" s="1"/>
  <c r="L274" i="1" s="1"/>
  <c r="J274" i="1" l="1"/>
  <c r="H274" i="1"/>
  <c r="I274" i="1" s="1"/>
  <c r="Q274" i="1"/>
  <c r="B233" i="7"/>
  <c r="E233" i="7" l="1"/>
  <c r="D233" i="7"/>
  <c r="G274" i="1" l="1"/>
  <c r="O274" i="1" s="1"/>
  <c r="P274" i="1" l="1"/>
  <c r="F275" i="1" s="1"/>
  <c r="L275" i="1" s="1"/>
  <c r="J275" i="1" l="1"/>
  <c r="H275" i="1"/>
  <c r="I275" i="1" s="1"/>
  <c r="Q275" i="1"/>
  <c r="B234" i="7"/>
  <c r="E234" i="7" s="1"/>
  <c r="G275" i="1" s="1"/>
  <c r="D234" i="7" l="1"/>
  <c r="O275" i="1"/>
  <c r="P275" i="1"/>
  <c r="F276" i="1" s="1"/>
  <c r="L276" i="1" s="1"/>
  <c r="Q276" i="1" l="1"/>
  <c r="H276" i="1"/>
  <c r="I276" i="1" s="1"/>
  <c r="J276" i="1"/>
  <c r="B235" i="7"/>
  <c r="E235" i="7" l="1"/>
  <c r="D235" i="7"/>
  <c r="G276" i="1" l="1"/>
  <c r="O276" i="1" s="1"/>
  <c r="P276" i="1" l="1"/>
  <c r="F277" i="1" s="1"/>
  <c r="L277" i="1" s="1"/>
  <c r="B236" i="7" l="1"/>
  <c r="E236" i="7" s="1"/>
  <c r="H277" i="1"/>
  <c r="I277" i="1" s="1"/>
  <c r="J277" i="1"/>
  <c r="Q277" i="1"/>
  <c r="D236" i="7" l="1"/>
  <c r="G277" i="1" s="1"/>
  <c r="O277" i="1" s="1"/>
  <c r="P277" i="1" l="1"/>
  <c r="F278" i="1" s="1"/>
  <c r="L278" i="1" s="1"/>
  <c r="Q278" i="1" l="1"/>
  <c r="J278" i="1"/>
  <c r="B237" i="7"/>
  <c r="E237" i="7" s="1"/>
  <c r="H278" i="1"/>
  <c r="I278" i="1" s="1"/>
  <c r="D237" i="7" l="1"/>
  <c r="G278" i="1"/>
  <c r="O278" i="1" s="1"/>
  <c r="P278" i="1" l="1"/>
  <c r="F279" i="1" s="1"/>
  <c r="L279" i="1" s="1"/>
  <c r="J279" i="1" l="1"/>
  <c r="Q279" i="1"/>
  <c r="B238" i="7"/>
  <c r="E238" i="7" s="1"/>
  <c r="H279" i="1"/>
  <c r="I279" i="1" s="1"/>
  <c r="D238" i="7" l="1"/>
  <c r="G279" i="1"/>
  <c r="O279" i="1" s="1"/>
  <c r="P279" i="1" l="1"/>
  <c r="F280" i="1" s="1"/>
  <c r="L280" i="1" s="1"/>
  <c r="H280" i="1" l="1"/>
  <c r="I280" i="1" s="1"/>
  <c r="Q280" i="1"/>
  <c r="B239" i="7"/>
  <c r="D239" i="7" s="1"/>
  <c r="J280" i="1"/>
  <c r="E239" i="7" l="1"/>
  <c r="G280" i="1"/>
  <c r="O280" i="1" s="1"/>
  <c r="P280" i="1" l="1"/>
  <c r="F281" i="1" s="1"/>
  <c r="L281" i="1" s="1"/>
  <c r="J281" i="1" l="1"/>
  <c r="H281" i="1"/>
  <c r="I281" i="1" s="1"/>
  <c r="B240" i="7"/>
  <c r="E240" i="7" s="1"/>
  <c r="Q281" i="1"/>
  <c r="D240" i="7" l="1"/>
  <c r="G281" i="1"/>
  <c r="O281" i="1" s="1"/>
  <c r="P281" i="1" l="1"/>
  <c r="F282" i="1" s="1"/>
  <c r="L282" i="1" s="1"/>
  <c r="B241" i="7" l="1"/>
  <c r="D241" i="7" s="1"/>
  <c r="H282" i="1"/>
  <c r="I282" i="1" s="1"/>
  <c r="Q282" i="1"/>
  <c r="J282" i="1"/>
  <c r="E241" i="7" l="1"/>
  <c r="G282" i="1" s="1"/>
  <c r="O282" i="1" s="1"/>
  <c r="P282" i="1" l="1"/>
  <c r="F283" i="1" s="1"/>
  <c r="L283" i="1" s="1"/>
  <c r="L285" i="1" s="1"/>
  <c r="Q283" i="1" l="1"/>
  <c r="M41" i="1" s="1"/>
  <c r="J283" i="1"/>
  <c r="J285" i="1" s="1"/>
  <c r="B242" i="7"/>
  <c r="D242" i="7" s="1"/>
  <c r="H283" i="1"/>
  <c r="I283" i="1" s="1"/>
  <c r="I285" i="1" s="1"/>
  <c r="E242" i="7" l="1"/>
  <c r="G283" i="1" s="1"/>
  <c r="P283" i="1" s="1"/>
  <c r="H285" i="1"/>
  <c r="G285" i="1" l="1"/>
  <c r="O283" i="1"/>
  <c r="O285" i="1" s="1"/>
</calcChain>
</file>

<file path=xl/sharedStrings.xml><?xml version="1.0" encoding="utf-8"?>
<sst xmlns="http://schemas.openxmlformats.org/spreadsheetml/2006/main" count="414" uniqueCount="303">
  <si>
    <t>Fecha de cotización</t>
  </si>
  <si>
    <t>Destino</t>
  </si>
  <si>
    <t>Producto</t>
  </si>
  <si>
    <t>Hipoteca Fuerte</t>
  </si>
  <si>
    <t>Programa</t>
  </si>
  <si>
    <t>Tradicional</t>
  </si>
  <si>
    <t>Ingresa valor de vivienda</t>
  </si>
  <si>
    <t>Plazo en meses</t>
  </si>
  <si>
    <t>Tipo de seguro</t>
  </si>
  <si>
    <t>Contratación crédito financiada</t>
  </si>
  <si>
    <t>Estado</t>
  </si>
  <si>
    <t>Aforo Total</t>
  </si>
  <si>
    <t>Condiciones Financieras</t>
  </si>
  <si>
    <t>Datos del Crédito</t>
  </si>
  <si>
    <t>Plazo</t>
  </si>
  <si>
    <t>Seguro</t>
  </si>
  <si>
    <t>Básico</t>
  </si>
  <si>
    <t>Amplio</t>
  </si>
  <si>
    <t>CXA</t>
  </si>
  <si>
    <t>SI</t>
  </si>
  <si>
    <t>NO</t>
  </si>
  <si>
    <t>Aguascalientes</t>
  </si>
  <si>
    <t>Baja California Norte</t>
  </si>
  <si>
    <t>Baja California Sur</t>
  </si>
  <si>
    <t>Campeche</t>
  </si>
  <si>
    <t>Chiapas</t>
  </si>
  <si>
    <t>Chihuahua</t>
  </si>
  <si>
    <t>Ciudad de México</t>
  </si>
  <si>
    <t>Coahuila</t>
  </si>
  <si>
    <t>Colima</t>
  </si>
  <si>
    <t>Durango</t>
  </si>
  <si>
    <t>Estado de México</t>
  </si>
  <si>
    <t>Guanajuato</t>
  </si>
  <si>
    <t>Guerrero</t>
  </si>
  <si>
    <t>Hidalgo</t>
  </si>
  <si>
    <t>Jalisco</t>
  </si>
  <si>
    <t>Michoacán</t>
  </si>
  <si>
    <t>Morelos</t>
  </si>
  <si>
    <t>Nayarit</t>
  </si>
  <si>
    <t xml:space="preserve">Nuevo León </t>
  </si>
  <si>
    <t>Oaxaca</t>
  </si>
  <si>
    <t>Puebla</t>
  </si>
  <si>
    <t>Querétaro</t>
  </si>
  <si>
    <t>Quintana Roo</t>
  </si>
  <si>
    <t>San Luis Potosí</t>
  </si>
  <si>
    <t>Sinaloa</t>
  </si>
  <si>
    <t>Sonora</t>
  </si>
  <si>
    <t>Tabasco</t>
  </si>
  <si>
    <t>Tamaulipas</t>
  </si>
  <si>
    <t>Tlaxcala</t>
  </si>
  <si>
    <t>Veracruz</t>
  </si>
  <si>
    <t>Yucatán</t>
  </si>
  <si>
    <t>Zacatecas</t>
  </si>
  <si>
    <t>Tasa</t>
  </si>
  <si>
    <t/>
  </si>
  <si>
    <t>Producto:</t>
  </si>
  <si>
    <t>Contratación crédito:</t>
  </si>
  <si>
    <t>Valor Vivienda:</t>
  </si>
  <si>
    <t>Avalúo hipotecario:</t>
  </si>
  <si>
    <t>Plazo en meses:</t>
  </si>
  <si>
    <t>Gastos de aprobación:</t>
  </si>
  <si>
    <t>Enganche:</t>
  </si>
  <si>
    <t>Desembolso Inicial Estimado:</t>
  </si>
  <si>
    <t>Seguro Cobertura:</t>
  </si>
  <si>
    <t>*Se sugiere seleccionar este porcentaje y/o monto, el monto definitivo lo informa el notario previo a la firma del contrato de crédito.</t>
  </si>
  <si>
    <t>Selecciona la Tasa de interés</t>
  </si>
  <si>
    <t>Prepago</t>
  </si>
  <si>
    <t>Tipo de prepago</t>
  </si>
  <si>
    <t xml:space="preserve">CAT  Promedio </t>
  </si>
  <si>
    <t>Sin IVA Informativo</t>
  </si>
  <si>
    <t xml:space="preserve">Su crédito se amortizará en </t>
  </si>
  <si>
    <t>meses</t>
  </si>
  <si>
    <t>No.</t>
  </si>
  <si>
    <t>Fecha</t>
  </si>
  <si>
    <t>Días</t>
  </si>
  <si>
    <t>Saldo Inicial</t>
  </si>
  <si>
    <t>Capital</t>
  </si>
  <si>
    <t>Interés</t>
  </si>
  <si>
    <t>Seguro de Vida</t>
  </si>
  <si>
    <t>Seguro de Daños y Contenidos</t>
  </si>
  <si>
    <t>Administración - autorización de crédito diferido</t>
  </si>
  <si>
    <t>Aportación a Capital</t>
  </si>
  <si>
    <t>Pago Mensual</t>
  </si>
  <si>
    <t>Saldo Final</t>
  </si>
  <si>
    <t>Fecha Corte</t>
  </si>
  <si>
    <t>Salida Combo</t>
  </si>
  <si>
    <t>Fecha Cotización</t>
  </si>
  <si>
    <t>Fórmula</t>
  </si>
  <si>
    <t>Días PMT</t>
  </si>
  <si>
    <t>Día Fecha Cotización</t>
  </si>
  <si>
    <t>Duración Intereses</t>
  </si>
  <si>
    <t>Mes Fecha Cotización</t>
  </si>
  <si>
    <t>Año Fecha Cotización</t>
  </si>
  <si>
    <t>Día Primer Pago</t>
  </si>
  <si>
    <t>Fecha Diferente / Se utiliza para validar fecha de captura</t>
  </si>
  <si>
    <t>Mes Primer Pago</t>
  </si>
  <si>
    <t>Fecha Primer Pago</t>
  </si>
  <si>
    <t>Día</t>
  </si>
  <si>
    <t>Mes</t>
  </si>
  <si>
    <t>Año</t>
  </si>
  <si>
    <t>Día máximo</t>
  </si>
  <si>
    <t>Enero</t>
  </si>
  <si>
    <t>Febrero</t>
  </si>
  <si>
    <t>Marzo</t>
  </si>
  <si>
    <t>Abril</t>
  </si>
  <si>
    <t>Mayo</t>
  </si>
  <si>
    <t>Junio</t>
  </si>
  <si>
    <t>Julio</t>
  </si>
  <si>
    <t>Agosto</t>
  </si>
  <si>
    <t>Septiembre</t>
  </si>
  <si>
    <t>Octubre</t>
  </si>
  <si>
    <t>Noviembre</t>
  </si>
  <si>
    <t>Diciembre</t>
  </si>
  <si>
    <t>Factores Seguro Vida</t>
  </si>
  <si>
    <t>Reduce Plazo y Pago</t>
  </si>
  <si>
    <t>Reduce Plazo</t>
  </si>
  <si>
    <t>Reduce Pago</t>
  </si>
  <si>
    <t>Nombre del cliente</t>
  </si>
  <si>
    <t>Simulador Crédito Hipotecario</t>
  </si>
  <si>
    <t>ESTADO</t>
  </si>
  <si>
    <t>SOLO COMPRA VENTA</t>
  </si>
  <si>
    <t>SOLO CREDITO</t>
  </si>
  <si>
    <t>SUMA (Compraventa con crédito)</t>
  </si>
  <si>
    <t>Parametros avalúo</t>
  </si>
  <si>
    <t>Comisión Avalúo Escalonada</t>
  </si>
  <si>
    <t>Resultados</t>
  </si>
  <si>
    <t>Parámetros</t>
  </si>
  <si>
    <t>Valor Avalúo</t>
  </si>
  <si>
    <t>Mínimo</t>
  </si>
  <si>
    <t>IVA Incluido</t>
  </si>
  <si>
    <t>Sin IVA Incluido</t>
  </si>
  <si>
    <t>Crédito</t>
  </si>
  <si>
    <t>Totales</t>
  </si>
  <si>
    <t>Intereses</t>
  </si>
  <si>
    <t>Pago</t>
  </si>
  <si>
    <t>Seguro Vida</t>
  </si>
  <si>
    <t>Seguro Daños</t>
  </si>
  <si>
    <t>Comisión</t>
  </si>
  <si>
    <t>Mensualidad</t>
  </si>
  <si>
    <t>Saldo</t>
  </si>
  <si>
    <t>Flujo Cero</t>
  </si>
  <si>
    <t>Avalúo</t>
  </si>
  <si>
    <t>Investigación</t>
  </si>
  <si>
    <t>TIR</t>
  </si>
  <si>
    <t>TIR ANUAL</t>
  </si>
  <si>
    <t>INTERES EFECTIVO (CAT)</t>
  </si>
  <si>
    <t>Cliente:</t>
  </si>
  <si>
    <t>Esquema:</t>
  </si>
  <si>
    <t>Crédito Hipotecario</t>
  </si>
  <si>
    <t>Tasa de Interés Anual (Fija):</t>
  </si>
  <si>
    <t>Tasa fija con amortización creciente</t>
  </si>
  <si>
    <t>Monto Total de Crédito:</t>
  </si>
  <si>
    <t>Destino del Crédito:</t>
  </si>
  <si>
    <t>Tabla de amortización en pesos</t>
  </si>
  <si>
    <t>Amortización a Capital</t>
  </si>
  <si>
    <t>Saldo Nuevo</t>
  </si>
  <si>
    <t>Comisión Prepago</t>
  </si>
  <si>
    <t>La presente información es únicamente para efectos ilustrativos, no representa ningún ofrecimiento formal por parte de Grupo Financiero Banorte. El CAT es para fines informativos y de comparación exclusivamente.</t>
  </si>
  <si>
    <t>Destinos</t>
  </si>
  <si>
    <t>Factores Seguro Daños</t>
  </si>
  <si>
    <t>Sin IVA</t>
  </si>
  <si>
    <t>Destructible</t>
  </si>
  <si>
    <t>Mejora + Remodelación</t>
  </si>
  <si>
    <t>Recuerda que el Aforo Máximo es 85%</t>
  </si>
  <si>
    <t>*Gastos Notariales Liquidez:</t>
  </si>
  <si>
    <t>*Gastos  Notariales:</t>
  </si>
  <si>
    <t>Mejora Más Liquidez</t>
  </si>
  <si>
    <t>Monto Mejora de Hipoteca</t>
  </si>
  <si>
    <t>Monto para Liquidez</t>
  </si>
  <si>
    <t>Calculo de Liquidez</t>
  </si>
  <si>
    <t>LTV Máx</t>
  </si>
  <si>
    <t>Valor vivienda</t>
  </si>
  <si>
    <t>Monto Mejora</t>
  </si>
  <si>
    <t>Monto Líquidez</t>
  </si>
  <si>
    <t>LTV Máx L</t>
  </si>
  <si>
    <t>Valor LTV Máx Liquidez</t>
  </si>
  <si>
    <t>Valor LTV Máx M + L</t>
  </si>
  <si>
    <t>Monto máximo para Liquidez</t>
  </si>
  <si>
    <t>Aforo Mejora</t>
  </si>
  <si>
    <t>¿El destino anterior causa IVA?</t>
  </si>
  <si>
    <t>*Honorarios Notariales Mejora:</t>
  </si>
  <si>
    <t>Liquidez</t>
  </si>
  <si>
    <t>Tabla de Pagos a Visualizar</t>
  </si>
  <si>
    <t>Mejora de Hipoteca</t>
  </si>
  <si>
    <t>Crédito Mejora:</t>
  </si>
  <si>
    <t>Crédito Liquidez:</t>
  </si>
  <si>
    <t>*Suma asegurable</t>
  </si>
  <si>
    <t>*Es el valor comercial menos el valor terreno</t>
  </si>
  <si>
    <t>Banco Mercantil del Norte, S.A. Institución de Banca Múltiple, Grupo Financiero Banorte</t>
  </si>
  <si>
    <t>Lugar y fecha de recepción de la Oferta Vinculante:</t>
  </si>
  <si>
    <t>monterrey</t>
  </si>
  <si>
    <t>La presente Oferta Vinculante establece los términos y condiciones específicos mediante los cuales El Banco se obliga a otorgar el Crédito a:</t>
  </si>
  <si>
    <t>Capturar nombre del cliente</t>
  </si>
  <si>
    <t>con R.F.C.</t>
  </si>
  <si>
    <t>Captura R.F.C. del Solicitante</t>
  </si>
  <si>
    <t>y domicilio en:</t>
  </si>
  <si>
    <t>Captura domicilio del Solicitante</t>
  </si>
  <si>
    <t>La vigencia de esta Oferta Vinculante es de 20 (veinte) días naturales contados a partir de su fecha de recepción, El Banco se obliga a otorgar el Crédito Garantizado a la Vivienda en los términos y condiciones que se indican, siempre y cuando dentro del plazo señalado el Solicitante dé aviso por escrito de la aceptación de la Oferta Vinculante y requisite toda la documentación soporte de la información que se haya declarado en la solicitud y El Banco compruebe: a) la identidad del Solicitante; b) la veracidad y autenticidad de los datos proporcionados en la Solicitud de Crédito; c) la capacidad crediticia conforme a las sanas prácticas bancarias y condiciones de mercado; d) la realización de un avalúo practicado por un valuador autorizado; y e) el cumplimiento de las demás formalidades que requiera la Ley.</t>
  </si>
  <si>
    <t>En caso de que el Solicitante incumpla con alguno de los requisitos supuestos o documentos señalados, la Oferta Vinculante queda sin efecto y El Banco no estará obligado en forma alguna a otorgar el crédito al Solicitante.</t>
  </si>
  <si>
    <t>Identificación del crédito</t>
  </si>
  <si>
    <t>Costo Anual Total (CAT)</t>
  </si>
  <si>
    <t>Esquema</t>
  </si>
  <si>
    <t>Sin I.V.A.</t>
  </si>
  <si>
    <t xml:space="preserve">Hipoteca </t>
  </si>
  <si>
    <t>Importe Solicitado</t>
  </si>
  <si>
    <t>Forma de entrega</t>
  </si>
  <si>
    <t>Depósito en cuenta.</t>
  </si>
  <si>
    <t>Descuentos o premios</t>
  </si>
  <si>
    <t>No Aplica</t>
  </si>
  <si>
    <t>El valor de la garantía</t>
  </si>
  <si>
    <t>Aforo o % a financiar</t>
  </si>
  <si>
    <t>Tasa de Interés Anual Fija</t>
  </si>
  <si>
    <t>Supuestos asumidos en el cálculo del CAT</t>
  </si>
  <si>
    <t>Tipo</t>
  </si>
  <si>
    <t>Fija</t>
  </si>
  <si>
    <t xml:space="preserve">Cálculo de interés </t>
  </si>
  <si>
    <t>Sobre mes de 30.4 días</t>
  </si>
  <si>
    <t>1.00%, no genera I.V.A.</t>
  </si>
  <si>
    <t>Ordinaria</t>
  </si>
  <si>
    <t>Moratoria</t>
  </si>
  <si>
    <t>Plazo / años</t>
  </si>
  <si>
    <t>Formas de amortización y revisión de tasas</t>
  </si>
  <si>
    <t xml:space="preserve">Contratación - crédito </t>
  </si>
  <si>
    <t>Amortización</t>
  </si>
  <si>
    <t>Mensual</t>
  </si>
  <si>
    <t xml:space="preserve">Gastos de Preoriginación - avalúo hipotecario </t>
  </si>
  <si>
    <t>Revisión de tasa variable</t>
  </si>
  <si>
    <t>Gastos de Preoriginación - gastos de aprobación</t>
  </si>
  <si>
    <t>Amortización a capital e Interés</t>
  </si>
  <si>
    <t>Comisiones aplicables</t>
  </si>
  <si>
    <t>Seguro de Vida.</t>
  </si>
  <si>
    <t>Seguro de Daños y Contenidos.</t>
  </si>
  <si>
    <t>Penalización por pago anticipado de crédito</t>
  </si>
  <si>
    <t>Contratación - supervisión de uso de recursos</t>
  </si>
  <si>
    <t>Por autorización de crédito diferida</t>
  </si>
  <si>
    <t>No genera I.V.A.</t>
  </si>
  <si>
    <t>Penalización por pago tardío</t>
  </si>
  <si>
    <t>5.00% más I.V.A.</t>
  </si>
  <si>
    <t>Contratación - crédito; sustitución del deudor</t>
  </si>
  <si>
    <t>1.50% del saldo insoluto. Para saldos insolutos menores a $100,00.00 el importe es de $1,500.00</t>
  </si>
  <si>
    <t>Costos de servicios prestados</t>
  </si>
  <si>
    <t>Al millar más I.V.A.</t>
  </si>
  <si>
    <t>Avalúo hipotecario</t>
  </si>
  <si>
    <t xml:space="preserve"> (monto estimado en virtud de tratarse de cantidades determinadas por el Notario Público, Registro Público de la Propiedad respectivo, de acuerdo al monto de la operación).</t>
  </si>
  <si>
    <t>Gastos, derechos y honorarios notariales</t>
  </si>
  <si>
    <t xml:space="preserve"> No genera I.V.A.</t>
  </si>
  <si>
    <t xml:space="preserve"> I.V.A. incluido</t>
  </si>
  <si>
    <t>Desempleo</t>
  </si>
  <si>
    <t>Gratis durante toda la vida del crédito.(1)</t>
  </si>
  <si>
    <t>(1) Aplica si el Solicitante cubre los requisitos de elegibilidad vigentes en la póliza de vida colectiva.</t>
  </si>
  <si>
    <t>(2) Los valores son los referidos a cada concepto indicado en el cuerpo de la presente oferta, sin considerar I.V.A.</t>
  </si>
  <si>
    <t>(3) Enfermedades Graves y Momentos de Vida solo aplica cuando participa una mujer como acreditada o coacreditada al contratarse un crédito nuevo.</t>
  </si>
  <si>
    <t xml:space="preserve"> * Sólo para Hipoteca Más por Menos: La tasa de interés es de 11.30% del mes 1 al 37, de 11.55% del mes 38 al 73, de 11.80% del mes 74 en adelante.</t>
  </si>
  <si>
    <t xml:space="preserve">Causas y penas por terminación anticipada: </t>
  </si>
  <si>
    <r>
      <rPr>
        <b/>
        <sz val="8"/>
        <rFont val="Arial"/>
        <family val="2"/>
      </rPr>
      <t>DÉCIMA SÉPTIMA:- VENCIMIENTO ANTICIPADO.-</t>
    </r>
    <r>
      <rPr>
        <sz val="8"/>
        <rFont val="Arial"/>
        <family val="2"/>
      </rPr>
      <t xml:space="preserve">  EL BANCO se reserva la facultad de dar por vencido anticipadamente el plazo fijado en la cláusula de PLAZO DEL CONTRATO, y en consecuencia, el ACREDITADO deberá hacer el pago inmediato del importe del saldo del crédito, intereses ordinarios, moratorios, gastos y demás accesorios legales, si el ACREDITADO faltare al cumplimiento de cualesquiera de las obligaciones contraídas en este contrato, o en los casos en que la Ley así lo previene, o  en los siguientes supuestos:- </t>
    </r>
  </si>
  <si>
    <t>a).- Si el ACREDITADO dejare de efectuar, en forma total, uno o más de los pagos que se obliga a realizar conforme al presente contrato, sean éstos de capital, intereses, comisiones, gastos u otros accesorios.</t>
  </si>
  <si>
    <t>b).- Si el ACREDITADO, vende, grava, afecta o transmite por cualquier figura jurídica los derechos de propiedad que tiene respecto del (de los) inmueble(s) dado(s) en garantía hipotecaria, excepto en caso de herencia.</t>
  </si>
  <si>
    <t>c).- Si el valor del (de los) bien(es) dado(s) en garantía hipotecaria se reduce un 20%-veinte por ciento o más de su valor, tomando como base el (los) avalúo(s) que para el otorgamiento del crédito hubiere mandado practicar EL BANCO de manera que no bastare(n) a cubrir el pago de capital, intereses, comisiones, gastos u otros accesorios pactados en esta escritura.</t>
  </si>
  <si>
    <t>d).- Si el ACREDITADO  destinare el crédito a un fin distinto del expresamente señalado en la cláusula de DESTINO DEL CRÉDITO</t>
  </si>
  <si>
    <t>e).- Si el(los) inmueble(s) no se inscribe(n) en el Registro Público de la Propiedad y del Comercio de conformidad con lo señalado en la cláusula de GARANTÍA(S), fuere(n) embargado(s) por terceros, o si fuere(n) gravado(s) en ulterior grado, sin autorización expresa y por escrito de EL BANCO.</t>
  </si>
  <si>
    <t>f).- Si el ACREDITADO introdujere modificaciones al(a los) inmueble(s) que cause(n) una disminución en el valor comercial del (de los) inmueble(s) o si por cualquier causa resultare(n) total o parcialmente destruido(s) el(los) inmueble(s).</t>
  </si>
  <si>
    <t>g).- Si el ACREDITADO dejare de pagar dos bimestres consecutivos del impuesto predial, o cuotas por servicios de agua o cualquier responsabilidad civil dentro de los diez días siguientes a la notificación que les fuere hecha por las autoridades respectivas.</t>
  </si>
  <si>
    <t>h).- Si el ACREDITADO no mantuviere vigente el(los) contrato(s) de (de los) seguro(s) en caso de que lo(s) haya contratado con una Aseguradora Externa. Así como también si el ACREDITADO no entrega la(s) póliza(s) y comprobantes de pago de las primas en los términos estipulados en la cláusula de SEGUROS.</t>
  </si>
  <si>
    <t>i).- Si el ACREDITADO faltare al exacto cumplimiento de las obligaciones que en general ha contraído en este instrumento.</t>
  </si>
  <si>
    <t>j).- En los demás casos  en que conforme a la Ley se hace exigible anticipadamente el cumplimiento de las obligaciones a plazo.</t>
  </si>
  <si>
    <t>k).- Si el ACREDITADO deja de cumplir con cualquier otro crédito o préstamo que le hubiere otorgado EL BANCO que se dé por vencido anticipadamente o cualquier obligación crediticia a plazo que tenga el ACREDITADO con EL BANCO.</t>
  </si>
  <si>
    <t>l).- Si el ACREDITADO incumple con uno o más de los pagos que se encuentra obligado a cubrir de conformidad con lo establecido en el presente instrumento derivado de una reclamación presentada por el ACREDITADO con relación a cargos mal aplicados.</t>
  </si>
  <si>
    <t>Penas:</t>
  </si>
  <si>
    <r>
      <rPr>
        <b/>
        <sz val="8"/>
        <rFont val="Arial"/>
        <family val="2"/>
      </rPr>
      <t>Intereses moratorios</t>
    </r>
    <r>
      <rPr>
        <sz val="8"/>
        <rFont val="Arial"/>
        <family val="2"/>
      </rPr>
      <t>.- Se generarán a partir del día siguiente de la fecha de vencimiento del tercer pago mensual incumplido, hasta la fecha en que se realice el pago, a la tasa de interés anual que resulte de multiplicar por 2-dos, la tasa de interés ordinaria. Si durante la vigencia del contrato vuelve a incumplir después de que se haya puesto al corriente en los pagos, se le volverá a generar el interés moratorio en los términos señalados.</t>
    </r>
  </si>
  <si>
    <r>
      <rPr>
        <b/>
        <sz val="8"/>
        <rFont val="Arial"/>
        <family val="2"/>
      </rPr>
      <t>Comisión por cobranza</t>
    </r>
    <r>
      <rPr>
        <sz val="8"/>
        <rFont val="Arial"/>
        <family val="2"/>
      </rPr>
      <t xml:space="preserve">.- Se generará a partir del 6-sexto día natural siguiente a la fecha de vencimiento del pago respectivo, se podrá generar hasta por tres pagos mensuales consecutivos incumplidos y se deberá cubrir al momento de su generación, y será la cantidad que resulte de aplicar el 5%-cinco por ciento sobre el saldo vencido. Si durante la vigencia del contrato vuelve a incumplir después de que se haya puesto al corriente en los pagos, se le volverá a generar la comisión por cobranza en los términos señalados. </t>
    </r>
    <r>
      <rPr>
        <b/>
        <sz val="8"/>
        <rFont val="Arial"/>
        <family val="2"/>
      </rPr>
      <t>No se cobrará durante el mismo período, la comisión por cobranza conjunta con los intereses moratorios.</t>
    </r>
  </si>
  <si>
    <t>Información relativa a riesgos inherentes al crédito garantizado a la vivienda de que se trate en relación a las posibles variaciones en tasas de interés, inflación y tipo de UDIs.</t>
  </si>
  <si>
    <t>Para el caso de los créditos con tasa fija no existe riesgo por inflación o tipo de cambio. Para el caso de los créditos con  tasa variable el riesgo consiste en la variación de la tasa derivada del incremento en la inflación o tipo de cambio.</t>
  </si>
  <si>
    <t>Avisos, Leyenda y Notas Aclaratorias:</t>
  </si>
  <si>
    <t>En caso de que el Solicitante acepte la presente Oferta Vinculante y se formalice el contrato de crédito correspondiente, El Banco acepta expresamente que recibirá el pago adelantado del mismo por parte de cualquiera otra Entidad y le cederá todos sus derechos derivados del contrato correspondiente. Asimismo, El Banco acepta expresamente que admitirá la sustitución de deudor en términos de los artículos 13 y 14 de la Ley de Transparencia y de Fomento a la Competencia en el Crédito Garantizado siempre y cuando el comprador presente al banco, una Solicitud de Crédito y cumpla con los demás requisitos y obligaciones que establecen, el artículo 6 de la Ley de Transparencia y de Fomento a la Competencia en el Crédito Garantizado y la Ley de Instituciones de Crédito.</t>
  </si>
  <si>
    <t>El Banco puede recibir  pagos anticipados parciales o totales del importe del crédito.</t>
  </si>
  <si>
    <t>El importe del Crédito señalado en la presente Oferta Vinculante podrá ser modificado en caso de que la capacidad crediticia o el valor de la garantía, al momento de la aceptación de la presente oferta por parte del Solicitante o al momento de la formalización del crédito, fuere distinto al declarado en la Solicitud de Crédito, sin embargo, en tales supuestos El Banco procurará mantener la tasa de interés ofrecida en la Oferta Vinculante.</t>
  </si>
  <si>
    <t>Queda entendido por el Solicitante que una vez transcurridos 30 treinta días naturales siguientes a la fecha de aceptación de la presente oferta, sin haber recibido notificación por escrito por parte de El Banco comunicándole que ha comprobado todas y cada uno de las condiciones señaladas en el penúltimo párrafo del artículo 6 de la Ley de Transparencia y de Fomento a la Competencia en el Crédito Garantizado se entenderá por negado el otorgamiento del crédito contenido en esta oferta.</t>
  </si>
  <si>
    <t>Una vez que El Banco ha concluido con la revisión de la información y transcurridos 30 treinta días naturales, señalados para ese fin, las partes contarán con 45 cuarenta y cinco días naturales para celebrar y formalizar el Crédito Hipotecario.</t>
  </si>
  <si>
    <t>Obligaciones y Restricciones</t>
  </si>
  <si>
    <t>En el caso de que El Banco haya decidido modificar los términos de la Oferta Vinculante, el Solicitante contará con un plazo de 5 días, contados a partir de que reciba el aviso por parte de El Banco para manifestar su conformidad con dichas modificaciones, de lo contrario se tendrán por no aceptadas.</t>
  </si>
  <si>
    <t>El Solicitante cuenta con el derecho de obtener una copia del clausulado que contenga los derechos y obligaciones de las partes con anterioridad a su firma, una vez que se haya autorizado la celebración del Otorgamiento de Crédito Garantizado a la Vivienda.</t>
  </si>
  <si>
    <t>Le recordamos mantenerse al corriente en sus pagos mensuales para disfrutar de los beneficios que le ofrece su Crédito Hipotecario El Banco.</t>
  </si>
  <si>
    <t>Tasa de Interés Anual Inicial del 11.3%, pago al millar inicial de $10.62 con ajuste anual del 2.12%, este incremento anual del pago al millar se aplica directamente al capital del crédito.</t>
  </si>
  <si>
    <t>Tasa de Interés Anual Inicial del 11.3%, pago al millar inicial de $9.57 con ajuste anual del 2.12%, este incremento anual del pago al millar se aplica directamente al capital del crédito.</t>
  </si>
  <si>
    <t>Costo Anual Total de créditos denominados en Moneda Nacional a tasa fija para fines informativos y de comparación exclusivamente. El CAT solo es comparable con el CAT de otros créditos denominados en Moneda Nacional a tasa fija. El CAT no forma parte de los términos y condiciones del crédito, por lo que no es vinculante para la formalización del mismo.</t>
  </si>
  <si>
    <t>El Banco</t>
  </si>
  <si>
    <t>Captura  nombre del funcionario facultado</t>
  </si>
  <si>
    <t>Nombre y firma de funcionario facultado</t>
  </si>
  <si>
    <t>Recibí de conformidad</t>
  </si>
  <si>
    <t>Capturar nombre del Solicitante</t>
  </si>
  <si>
    <t>Nombre y firma del Solicitante</t>
  </si>
  <si>
    <t>Declaro que conozco las obligaciones y restricciones que establece la Ley de Transparencia y Fomento a la Competencia en el Crédito Garantizado, para las Entidades y para los Solicitantes de crédito cuando soliciten una Oferta Vinculante, por lo cual manifiesto mi aceptación a lo siguiente:</t>
  </si>
  <si>
    <t xml:space="preserve">1.       Que El Banco puede analizar y tramitar mi crédito de forma normal  sin necesidad de que me extienda una Oferta Vinculante. </t>
  </si>
  <si>
    <t>2.       Que la Oferta Vinculante tendrá una vigencia de solo 20 (veinte) días naturales a partir de que la reciba y que dentro de dicho plazo debo dar aviso por escrito de mi aceptación a la misma.</t>
  </si>
  <si>
    <t>3.        Que al momento de aceptar la Oferta debo presentar todos los documentos y requisitos necesarios para la contratación del crédito y presentar debidamente requisitada toda la documentación soporte de la información declarada en la solicitud.</t>
  </si>
  <si>
    <t>4.       Que los términos y condiciones de la Oferta,  podrán modificarse si El Banco me da aviso por escrito y una vez recibido manifiesto mi aceptación con dichas modificaciones.</t>
  </si>
  <si>
    <t xml:space="preserve">5.       Que aún cuando fuere necesario para la aprobación del crédito El Banco no podrá solicitarme ningún documento adicional a los señalados en la solicitud de crédito, con lo cual mi crédito puede ser negado. </t>
  </si>
  <si>
    <t>6.       Que El Banco podrá decidir no otorgarme el crédito si no comprueba la veracidad y autenticidad de los datos proporcionados o si la información y documentación no cumple con lo establecido en la Ley.</t>
  </si>
  <si>
    <t>Firma de conformidad</t>
  </si>
  <si>
    <t>Aforo Liquidez</t>
  </si>
  <si>
    <t>Máximo</t>
  </si>
  <si>
    <t>Costo sin IVA</t>
  </si>
  <si>
    <t>Tarifa por Valor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</si>
</sst>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quot;$&quot;* #,##0.00_-;_-&quot;$&quot;* &quot;-&quot;??_-;_-@_-"/>
    <numFmt numFmtId="43" formatCode="_-* #,##0.00_-;\-* #,##0.00_-;_-* &quot;-&quot;??_-;_-@_-"/>
    <numFmt numFmtId="164" formatCode="[$-80A]d&quot; de &quot;mmmm&quot; de &quot;yyyy;@"/>
    <numFmt numFmtId="165" formatCode="&quot;$&quot;#,##0.00"/>
    <numFmt numFmtId="166" formatCode="&quot;$&quot;#,##0.00;&quot;$&quot;\(#,##0.00\)"/>
    <numFmt numFmtId="167" formatCode="0.0%"/>
    <numFmt numFmtId="168" formatCode="#,##0_ ;\-#,##0\ "/>
    <numFmt numFmtId="169" formatCode="dd/mmm/yyyy"/>
    <numFmt numFmtId="170" formatCode="&quot;Fechas de Pago&quot;"/>
    <numFmt numFmtId="171" formatCode="0.0"/>
    <numFmt numFmtId="172" formatCode="#,##0.00_ ;\-#,##0.00\ "/>
    <numFmt numFmtId="173" formatCode="0.0000"/>
    <numFmt numFmtId="174" formatCode="dd\ &quot;de&quot;\ mmmm\ &quot;de&quot;\ yyyy"/>
    <numFmt numFmtId="175" formatCode="&quot;$&quot;\ #,##0.00;[Red]&quot;$&quot;\ \-#,##0.00"/>
    <numFmt numFmtId="176" formatCode="&quot;$&quot;\ #,##0.00;[Red]\-&quot;$&quot;#,##0.00"/>
    <numFmt numFmtId="177" formatCode="[$-F800]dddd\,\ mmmm\ dd\,\ yyyy"/>
    <numFmt numFmtId="178" formatCode="d\ &quot;de&quot;\ mmmm\ &quot;de&quot;\ yyyy"/>
  </numFmts>
  <fonts count="47" x14ac:knownFonts="1">
    <font>
      <sz val="11"/>
      <color theme="1"/>
      <name val="Aptos Narrow"/>
      <family val="2"/>
      <scheme val="minor"/>
    </font>
    <font>
      <sz val="11"/>
      <color theme="1"/>
      <name val="Aptos Narrow"/>
      <family val="2"/>
      <scheme val="minor"/>
    </font>
    <font>
      <b/>
      <sz val="10"/>
      <color theme="1"/>
      <name val="Arial"/>
      <family val="2"/>
    </font>
    <font>
      <sz val="10"/>
      <color theme="1"/>
      <name val="Aptos Narrow"/>
      <family val="2"/>
      <scheme val="minor"/>
    </font>
    <font>
      <sz val="10"/>
      <color theme="1"/>
      <name val="Arial"/>
      <family val="2"/>
    </font>
    <font>
      <sz val="10"/>
      <name val="Arial"/>
      <family val="2"/>
    </font>
    <font>
      <sz val="10"/>
      <name val="Aptos Narrow"/>
      <family val="2"/>
      <scheme val="minor"/>
    </font>
    <font>
      <b/>
      <sz val="10"/>
      <color rgb="FFFF0000"/>
      <name val="Aptos Narrow"/>
      <family val="2"/>
      <scheme val="minor"/>
    </font>
    <font>
      <b/>
      <sz val="10"/>
      <color theme="0"/>
      <name val="Aptos Narrow"/>
      <family val="2"/>
      <scheme val="minor"/>
    </font>
    <font>
      <sz val="10"/>
      <color theme="0"/>
      <name val="Aptos Narrow"/>
      <family val="2"/>
      <scheme val="minor"/>
    </font>
    <font>
      <b/>
      <sz val="10"/>
      <name val="Arial"/>
      <family val="2"/>
    </font>
    <font>
      <b/>
      <sz val="10"/>
      <color rgb="FFC00000"/>
      <name val="Arial"/>
      <family val="2"/>
    </font>
    <font>
      <b/>
      <sz val="10"/>
      <color indexed="9"/>
      <name val="Arial"/>
      <family val="2"/>
    </font>
    <font>
      <sz val="8"/>
      <color theme="1"/>
      <name val="Arial"/>
      <family val="2"/>
    </font>
    <font>
      <b/>
      <sz val="8"/>
      <color theme="1"/>
      <name val="Arial"/>
      <family val="2"/>
    </font>
    <font>
      <sz val="8"/>
      <name val="Arial"/>
      <family val="2"/>
    </font>
    <font>
      <b/>
      <sz val="15"/>
      <color theme="3"/>
      <name val="Aptos Narrow"/>
      <family val="2"/>
      <scheme val="minor"/>
    </font>
    <font>
      <b/>
      <sz val="11"/>
      <color theme="1"/>
      <name val="Aptos Narrow"/>
      <family val="2"/>
      <scheme val="minor"/>
    </font>
    <font>
      <sz val="11"/>
      <color theme="0"/>
      <name val="Aptos Narrow"/>
      <family val="2"/>
      <scheme val="minor"/>
    </font>
    <font>
      <b/>
      <sz val="10"/>
      <color theme="1"/>
      <name val="Aptos Narrow"/>
      <family val="2"/>
      <scheme val="minor"/>
    </font>
    <font>
      <sz val="11"/>
      <color rgb="FFFFFFFF"/>
      <name val="Calibri"/>
      <family val="2"/>
    </font>
    <font>
      <sz val="11"/>
      <color rgb="FF000000"/>
      <name val="Calibri"/>
      <family val="2"/>
    </font>
    <font>
      <b/>
      <sz val="11"/>
      <color rgb="FF000000"/>
      <name val="Calibri"/>
      <family val="2"/>
    </font>
    <font>
      <b/>
      <sz val="8"/>
      <color theme="1"/>
      <name val="Aptos Narrow"/>
      <family val="2"/>
      <scheme val="minor"/>
    </font>
    <font>
      <sz val="8"/>
      <color theme="1"/>
      <name val="Aptos Narrow"/>
      <family val="2"/>
      <scheme val="minor"/>
    </font>
    <font>
      <b/>
      <sz val="8"/>
      <color theme="3"/>
      <name val="Aptos Narrow"/>
      <family val="2"/>
      <scheme val="minor"/>
    </font>
    <font>
      <b/>
      <sz val="9"/>
      <color theme="1"/>
      <name val="Arial"/>
      <family val="2"/>
    </font>
    <font>
      <sz val="9"/>
      <color theme="1"/>
      <name val="Arial"/>
      <family val="2"/>
    </font>
    <font>
      <sz val="11"/>
      <color rgb="FF000000"/>
      <name val="Aptos Narrow"/>
      <family val="2"/>
      <scheme val="minor"/>
    </font>
    <font>
      <sz val="11"/>
      <color rgb="FFFF0000"/>
      <name val="Aptos Narrow"/>
      <family val="2"/>
      <scheme val="minor"/>
    </font>
    <font>
      <sz val="10"/>
      <color rgb="FF002060"/>
      <name val="Aptos Narrow"/>
      <family val="2"/>
      <scheme val="minor"/>
    </font>
    <font>
      <sz val="10"/>
      <name val="Book Antiqua"/>
      <family val="1"/>
    </font>
    <font>
      <b/>
      <sz val="8"/>
      <name val="Arial"/>
      <family val="2"/>
    </font>
    <font>
      <sz val="8"/>
      <color rgb="FF0000FF"/>
      <name val="Arial"/>
      <family val="2"/>
    </font>
    <font>
      <sz val="8"/>
      <color indexed="10"/>
      <name val="Arial"/>
      <family val="2"/>
    </font>
    <font>
      <b/>
      <sz val="8"/>
      <color rgb="FF008000"/>
      <name val="Arial"/>
      <family val="2"/>
    </font>
    <font>
      <b/>
      <sz val="8"/>
      <color indexed="12"/>
      <name val="Arial"/>
      <family val="2"/>
    </font>
    <font>
      <b/>
      <sz val="12"/>
      <color rgb="FF0000FF"/>
      <name val="Arial"/>
      <family val="2"/>
    </font>
    <font>
      <b/>
      <sz val="12"/>
      <color indexed="12"/>
      <name val="Arial"/>
      <family val="2"/>
    </font>
    <font>
      <sz val="11"/>
      <color theme="3"/>
      <name val="Aptos Narrow"/>
      <family val="2"/>
      <scheme val="minor"/>
    </font>
    <font>
      <sz val="11"/>
      <name val="Aptos Narrow"/>
      <family val="2"/>
      <scheme val="minor"/>
    </font>
    <font>
      <sz val="8"/>
      <color indexed="12"/>
      <name val="Arial"/>
      <family val="2"/>
    </font>
    <font>
      <b/>
      <sz val="8"/>
      <color indexed="17"/>
      <name val="Arial"/>
      <family val="2"/>
    </font>
    <font>
      <b/>
      <u/>
      <sz val="8"/>
      <color indexed="12"/>
      <name val="Arial"/>
      <family val="2"/>
    </font>
    <font>
      <u/>
      <sz val="10"/>
      <color indexed="12"/>
      <name val="Arial"/>
      <family val="2"/>
    </font>
    <font>
      <b/>
      <u/>
      <sz val="8"/>
      <color indexed="17"/>
      <name val="Arial"/>
      <family val="2"/>
    </font>
    <font>
      <b/>
      <u/>
      <sz val="8"/>
      <color rgb="FF0000FF"/>
      <name val="Arial"/>
      <family val="2"/>
    </font>
  </fonts>
  <fills count="19">
    <fill>
      <patternFill patternType="none"/>
    </fill>
    <fill>
      <patternFill patternType="gray125"/>
    </fill>
    <fill>
      <patternFill patternType="solid">
        <fgColor theme="0" tint="-4.9989318521683403E-2"/>
        <bgColor indexed="64"/>
      </patternFill>
    </fill>
    <fill>
      <patternFill patternType="solid">
        <fgColor rgb="FFFF0000"/>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
      <patternFill patternType="solid">
        <fgColor rgb="FFC00000"/>
        <bgColor indexed="64"/>
      </patternFill>
    </fill>
    <fill>
      <patternFill patternType="solid">
        <fgColor rgb="FFDEEAF6"/>
        <bgColor indexed="64"/>
      </patternFill>
    </fill>
    <fill>
      <patternFill patternType="solid">
        <fgColor theme="9" tint="0.39997558519241921"/>
        <bgColor indexed="64"/>
      </patternFill>
    </fill>
    <fill>
      <patternFill patternType="solid">
        <fgColor theme="6" tint="0.7999816888943144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3" tint="0.89999084444715716"/>
        <bgColor indexed="64"/>
      </patternFill>
    </fill>
    <fill>
      <patternFill patternType="solid">
        <fgColor rgb="FFFFFF99"/>
        <bgColor indexed="64"/>
      </patternFill>
    </fill>
    <fill>
      <patternFill patternType="solid">
        <fgColor indexed="43"/>
        <bgColor indexed="64"/>
      </patternFill>
    </fill>
    <fill>
      <patternFill patternType="solid">
        <fgColor theme="0"/>
        <bgColor indexed="64"/>
      </patternFill>
    </fill>
  </fills>
  <borders count="45">
    <border>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top style="thin">
        <color indexed="64"/>
      </top>
      <bottom/>
      <diagonal/>
    </border>
    <border>
      <left style="medium">
        <color indexed="64"/>
      </left>
      <right/>
      <top/>
      <bottom style="thin">
        <color indexed="64"/>
      </bottom>
      <diagonal/>
    </border>
  </borders>
  <cellStyleXfs count="12">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5" fillId="0" borderId="0"/>
    <xf numFmtId="0" fontId="16" fillId="0" borderId="5" applyNumberFormat="0" applyFill="0" applyAlignment="0" applyProtection="0"/>
    <xf numFmtId="0" fontId="31" fillId="0" borderId="0"/>
    <xf numFmtId="0" fontId="31" fillId="0" borderId="0"/>
    <xf numFmtId="9" fontId="5" fillId="0" borderId="0" applyFont="0" applyFill="0" applyBorder="0" applyAlignment="0" applyProtection="0"/>
    <xf numFmtId="44" fontId="5" fillId="0" borderId="0" applyFont="0" applyFill="0" applyBorder="0" applyAlignment="0" applyProtection="0"/>
    <xf numFmtId="0" fontId="31" fillId="0" borderId="0"/>
    <xf numFmtId="0" fontId="44" fillId="0" borderId="0" applyNumberFormat="0" applyFill="0" applyBorder="0" applyAlignment="0" applyProtection="0">
      <alignment vertical="top"/>
      <protection locked="0"/>
    </xf>
  </cellStyleXfs>
  <cellXfs count="395">
    <xf numFmtId="0" fontId="0" fillId="0" borderId="0" xfId="0"/>
    <xf numFmtId="0" fontId="2" fillId="0" borderId="0" xfId="0" applyFont="1" applyAlignment="1" applyProtection="1">
      <alignment horizontal="right"/>
      <protection hidden="1"/>
    </xf>
    <xf numFmtId="0" fontId="0" fillId="0" borderId="0" xfId="0" applyAlignment="1">
      <alignment horizontal="center"/>
    </xf>
    <xf numFmtId="10" fontId="0" fillId="0" borderId="0" xfId="0" applyNumberFormat="1" applyAlignment="1">
      <alignment horizontal="center"/>
    </xf>
    <xf numFmtId="10" fontId="10" fillId="2" borderId="0" xfId="3" applyNumberFormat="1" applyFont="1" applyFill="1" applyAlignment="1" applyProtection="1">
      <alignment horizontal="center"/>
      <protection hidden="1"/>
    </xf>
    <xf numFmtId="0" fontId="5" fillId="2" borderId="0" xfId="0" applyFont="1" applyFill="1" applyProtection="1">
      <protection hidden="1"/>
    </xf>
    <xf numFmtId="0" fontId="10" fillId="2" borderId="0" xfId="0" applyFont="1" applyFill="1" applyAlignment="1" applyProtection="1">
      <alignment horizontal="center"/>
      <protection hidden="1"/>
    </xf>
    <xf numFmtId="0" fontId="10" fillId="2" borderId="0" xfId="0" applyFont="1" applyFill="1" applyAlignment="1" applyProtection="1">
      <alignment horizontal="right"/>
      <protection hidden="1"/>
    </xf>
    <xf numFmtId="165" fontId="5" fillId="2" borderId="0" xfId="2" applyNumberFormat="1" applyFont="1" applyFill="1" applyBorder="1" applyAlignment="1" applyProtection="1">
      <alignment horizontal="right"/>
      <protection hidden="1"/>
    </xf>
    <xf numFmtId="0" fontId="5" fillId="2" borderId="0" xfId="0" applyFont="1" applyFill="1" applyAlignment="1" applyProtection="1">
      <alignment horizontal="center"/>
      <protection hidden="1"/>
    </xf>
    <xf numFmtId="165" fontId="5" fillId="2" borderId="0" xfId="2" applyNumberFormat="1" applyFont="1" applyFill="1" applyBorder="1" applyAlignment="1" applyProtection="1">
      <alignment horizontal="center"/>
      <protection hidden="1"/>
    </xf>
    <xf numFmtId="0" fontId="5" fillId="2" borderId="0" xfId="0" applyFont="1" applyFill="1" applyAlignment="1" applyProtection="1">
      <alignment horizontal="right"/>
      <protection hidden="1"/>
    </xf>
    <xf numFmtId="1" fontId="5" fillId="2" borderId="0" xfId="0" applyNumberFormat="1" applyFont="1" applyFill="1" applyAlignment="1" applyProtection="1">
      <alignment horizontal="center"/>
      <protection hidden="1"/>
    </xf>
    <xf numFmtId="0" fontId="10" fillId="2" borderId="1" xfId="0" applyFont="1" applyFill="1" applyBorder="1" applyAlignment="1" applyProtection="1">
      <alignment horizontal="right"/>
      <protection hidden="1"/>
    </xf>
    <xf numFmtId="165" fontId="10" fillId="2" borderId="1" xfId="2" applyNumberFormat="1" applyFont="1" applyFill="1" applyBorder="1" applyAlignment="1" applyProtection="1">
      <protection hidden="1"/>
    </xf>
    <xf numFmtId="44" fontId="10" fillId="2" borderId="1" xfId="2" applyFont="1" applyFill="1" applyBorder="1" applyAlignment="1" applyProtection="1">
      <protection hidden="1"/>
    </xf>
    <xf numFmtId="166" fontId="10" fillId="2" borderId="1" xfId="2" applyNumberFormat="1" applyFont="1" applyFill="1" applyBorder="1" applyAlignment="1" applyProtection="1">
      <protection hidden="1"/>
    </xf>
    <xf numFmtId="0" fontId="10" fillId="0" borderId="0" xfId="0" applyFont="1" applyAlignment="1" applyProtection="1">
      <alignment horizontal="right" vertical="center"/>
      <protection hidden="1"/>
    </xf>
    <xf numFmtId="0" fontId="10" fillId="0" borderId="0" xfId="0" applyFont="1" applyAlignment="1" applyProtection="1">
      <alignment vertical="center"/>
      <protection hidden="1"/>
    </xf>
    <xf numFmtId="0" fontId="10" fillId="0" borderId="0" xfId="0" applyFont="1" applyAlignment="1" applyProtection="1">
      <alignment horizontal="center"/>
      <protection hidden="1"/>
    </xf>
    <xf numFmtId="167" fontId="11" fillId="0" borderId="0" xfId="3" applyNumberFormat="1" applyFont="1" applyFill="1" applyAlignment="1" applyProtection="1">
      <alignment horizontal="center"/>
      <protection hidden="1"/>
    </xf>
    <xf numFmtId="0" fontId="10" fillId="0" borderId="0" xfId="0" applyFont="1" applyAlignment="1" applyProtection="1">
      <alignment horizontal="right"/>
      <protection hidden="1"/>
    </xf>
    <xf numFmtId="1" fontId="11" fillId="0" borderId="0" xfId="0" applyNumberFormat="1" applyFont="1" applyAlignment="1" applyProtection="1">
      <alignment horizontal="center"/>
      <protection hidden="1"/>
    </xf>
    <xf numFmtId="0" fontId="12" fillId="3" borderId="4" xfId="4" applyFont="1" applyFill="1" applyBorder="1" applyAlignment="1" applyProtection="1">
      <alignment horizontal="center" vertical="center" wrapText="1"/>
      <protection hidden="1"/>
    </xf>
    <xf numFmtId="0" fontId="13" fillId="0" borderId="0" xfId="0" applyFont="1"/>
    <xf numFmtId="168" fontId="13" fillId="0" borderId="4" xfId="1" applyNumberFormat="1" applyFont="1" applyFill="1" applyBorder="1" applyAlignment="1">
      <alignment horizontal="center"/>
    </xf>
    <xf numFmtId="16" fontId="13" fillId="0" borderId="0" xfId="0" applyNumberFormat="1" applyFont="1"/>
    <xf numFmtId="0" fontId="13" fillId="7" borderId="0" xfId="0" applyFont="1" applyFill="1"/>
    <xf numFmtId="1" fontId="13" fillId="0" borderId="0" xfId="0" applyNumberFormat="1" applyFont="1"/>
    <xf numFmtId="0" fontId="14" fillId="0" borderId="0" xfId="0" applyFont="1" applyAlignment="1">
      <alignment horizontal="center"/>
    </xf>
    <xf numFmtId="0" fontId="14" fillId="0" borderId="0" xfId="0" applyFont="1"/>
    <xf numFmtId="169" fontId="13" fillId="8" borderId="4" xfId="0" applyNumberFormat="1" applyFont="1" applyFill="1" applyBorder="1" applyAlignment="1">
      <alignment horizontal="center"/>
    </xf>
    <xf numFmtId="0" fontId="13" fillId="8" borderId="0" xfId="0" applyFont="1" applyFill="1"/>
    <xf numFmtId="0" fontId="13" fillId="8" borderId="4" xfId="0" applyFont="1" applyFill="1" applyBorder="1" applyAlignment="1">
      <alignment horizontal="center"/>
    </xf>
    <xf numFmtId="0" fontId="14" fillId="4" borderId="0" xfId="0" applyFont="1" applyFill="1" applyAlignment="1">
      <alignment horizontal="center"/>
    </xf>
    <xf numFmtId="170" fontId="14" fillId="4" borderId="0" xfId="0" applyNumberFormat="1" applyFont="1" applyFill="1" applyAlignment="1">
      <alignment horizontal="center"/>
    </xf>
    <xf numFmtId="169" fontId="14" fillId="4" borderId="0" xfId="0" applyNumberFormat="1" applyFont="1" applyFill="1" applyAlignment="1">
      <alignment horizontal="center"/>
    </xf>
    <xf numFmtId="0" fontId="13" fillId="0" borderId="0" xfId="0" applyFont="1" applyAlignment="1">
      <alignment horizontal="center"/>
    </xf>
    <xf numFmtId="169" fontId="13" fillId="0" borderId="0" xfId="0" applyNumberFormat="1" applyFont="1" applyAlignment="1">
      <alignment horizontal="center"/>
    </xf>
    <xf numFmtId="171" fontId="13" fillId="0" borderId="0" xfId="0" applyNumberFormat="1" applyFont="1" applyAlignment="1">
      <alignment horizontal="center"/>
    </xf>
    <xf numFmtId="0" fontId="15" fillId="0" borderId="0" xfId="0" applyFont="1" applyAlignment="1">
      <alignment horizontal="center"/>
    </xf>
    <xf numFmtId="0" fontId="13" fillId="8" borderId="0" xfId="0" applyFont="1" applyFill="1" applyAlignment="1">
      <alignment horizontal="center"/>
    </xf>
    <xf numFmtId="1" fontId="13" fillId="8" borderId="4" xfId="0" applyNumberFormat="1" applyFont="1" applyFill="1" applyBorder="1" applyAlignment="1">
      <alignment horizontal="center"/>
    </xf>
    <xf numFmtId="0" fontId="13" fillId="7" borderId="0" xfId="0" applyFont="1" applyFill="1" applyAlignment="1">
      <alignment horizontal="center"/>
    </xf>
    <xf numFmtId="0" fontId="13" fillId="0" borderId="0" xfId="0" applyFont="1" applyAlignment="1">
      <alignment horizontal="right"/>
    </xf>
    <xf numFmtId="1" fontId="13" fillId="0" borderId="0" xfId="0" applyNumberFormat="1" applyFont="1" applyAlignment="1">
      <alignment horizontal="center"/>
    </xf>
    <xf numFmtId="0" fontId="0" fillId="8" borderId="0" xfId="0" applyFill="1" applyAlignment="1">
      <alignment horizontal="center"/>
    </xf>
    <xf numFmtId="0" fontId="20" fillId="9" borderId="7" xfId="0" applyFont="1" applyFill="1" applyBorder="1" applyAlignment="1">
      <alignment horizontal="center" vertical="center" wrapText="1"/>
    </xf>
    <xf numFmtId="0" fontId="20" fillId="9" borderId="8" xfId="0" applyFont="1" applyFill="1" applyBorder="1" applyAlignment="1">
      <alignment horizontal="center" vertical="center" wrapText="1"/>
    </xf>
    <xf numFmtId="0" fontId="21" fillId="0" borderId="9" xfId="0" applyFont="1" applyBorder="1" applyAlignment="1">
      <alignment vertical="center"/>
    </xf>
    <xf numFmtId="10" fontId="21" fillId="0" borderId="10" xfId="0" applyNumberFormat="1" applyFont="1" applyBorder="1" applyAlignment="1">
      <alignment horizontal="right" vertical="center"/>
    </xf>
    <xf numFmtId="10" fontId="22" fillId="0" borderId="10" xfId="0" applyNumberFormat="1" applyFont="1" applyBorder="1" applyAlignment="1">
      <alignment horizontal="right" vertical="center"/>
    </xf>
    <xf numFmtId="0" fontId="21" fillId="10" borderId="9" xfId="0" applyFont="1" applyFill="1" applyBorder="1" applyAlignment="1">
      <alignment vertical="center"/>
    </xf>
    <xf numFmtId="10" fontId="21" fillId="10" borderId="10" xfId="0" applyNumberFormat="1" applyFont="1" applyFill="1" applyBorder="1" applyAlignment="1">
      <alignment horizontal="right" vertical="center"/>
    </xf>
    <xf numFmtId="10" fontId="22" fillId="10" borderId="10" xfId="0" applyNumberFormat="1" applyFont="1" applyFill="1" applyBorder="1" applyAlignment="1">
      <alignment horizontal="right" vertical="center"/>
    </xf>
    <xf numFmtId="167" fontId="0" fillId="0" borderId="0" xfId="3" applyNumberFormat="1" applyFont="1" applyAlignment="1">
      <alignment horizontal="center"/>
    </xf>
    <xf numFmtId="0" fontId="23" fillId="11" borderId="11" xfId="0" applyFont="1" applyFill="1" applyBorder="1" applyAlignment="1">
      <alignment horizontal="center"/>
    </xf>
    <xf numFmtId="0" fontId="23" fillId="11" borderId="12" xfId="0" applyFont="1" applyFill="1" applyBorder="1" applyAlignment="1">
      <alignment horizontal="center"/>
    </xf>
    <xf numFmtId="0" fontId="24" fillId="0" borderId="12" xfId="0" applyFont="1" applyBorder="1"/>
    <xf numFmtId="0" fontId="24" fillId="0" borderId="13" xfId="0" applyFont="1" applyBorder="1"/>
    <xf numFmtId="0" fontId="24" fillId="0" borderId="14" xfId="0" applyFont="1" applyBorder="1"/>
    <xf numFmtId="0" fontId="24" fillId="0" borderId="0" xfId="0" applyFont="1"/>
    <xf numFmtId="0" fontId="24" fillId="0" borderId="0" xfId="0" applyFont="1" applyProtection="1">
      <protection hidden="1"/>
    </xf>
    <xf numFmtId="0" fontId="24" fillId="0" borderId="15" xfId="0" applyFont="1" applyBorder="1" applyProtection="1">
      <protection hidden="1"/>
    </xf>
    <xf numFmtId="0" fontId="25" fillId="0" borderId="14" xfId="5" applyFont="1" applyBorder="1" applyProtection="1">
      <protection hidden="1"/>
    </xf>
    <xf numFmtId="0" fontId="24" fillId="0" borderId="14" xfId="0" applyFont="1" applyBorder="1" applyProtection="1">
      <protection hidden="1"/>
    </xf>
    <xf numFmtId="0" fontId="23" fillId="6" borderId="0" xfId="0" applyFont="1" applyFill="1" applyProtection="1">
      <protection hidden="1"/>
    </xf>
    <xf numFmtId="0" fontId="24" fillId="6" borderId="15" xfId="0" applyFont="1" applyFill="1" applyBorder="1" applyProtection="1">
      <protection hidden="1"/>
    </xf>
    <xf numFmtId="0" fontId="23" fillId="12" borderId="14" xfId="0" applyFont="1" applyFill="1" applyBorder="1" applyProtection="1">
      <protection hidden="1"/>
    </xf>
    <xf numFmtId="0" fontId="24" fillId="12" borderId="0" xfId="0" applyFont="1" applyFill="1" applyProtection="1">
      <protection hidden="1"/>
    </xf>
    <xf numFmtId="0" fontId="23" fillId="2" borderId="0" xfId="0" applyFont="1" applyFill="1" applyProtection="1">
      <protection hidden="1"/>
    </xf>
    <xf numFmtId="0" fontId="24" fillId="2" borderId="0" xfId="0" applyFont="1" applyFill="1" applyProtection="1">
      <protection hidden="1"/>
    </xf>
    <xf numFmtId="4" fontId="24" fillId="0" borderId="0" xfId="0" applyNumberFormat="1" applyFont="1" applyAlignment="1" applyProtection="1">
      <alignment horizontal="center"/>
      <protection locked="0" hidden="1"/>
    </xf>
    <xf numFmtId="0" fontId="24" fillId="0" borderId="0" xfId="0" applyFont="1" applyAlignment="1" applyProtection="1">
      <alignment horizontal="center"/>
      <protection hidden="1"/>
    </xf>
    <xf numFmtId="4" fontId="24" fillId="0" borderId="0" xfId="0" applyNumberFormat="1" applyFont="1" applyAlignment="1" applyProtection="1">
      <alignment horizontal="center"/>
      <protection hidden="1"/>
    </xf>
    <xf numFmtId="0" fontId="23" fillId="4" borderId="14" xfId="0" applyFont="1" applyFill="1" applyBorder="1" applyProtection="1">
      <protection hidden="1"/>
    </xf>
    <xf numFmtId="0" fontId="24" fillId="4" borderId="0" xfId="0" applyFont="1" applyFill="1" applyProtection="1">
      <protection hidden="1"/>
    </xf>
    <xf numFmtId="0" fontId="23" fillId="13" borderId="14" xfId="0" applyFont="1" applyFill="1" applyBorder="1" applyAlignment="1" applyProtection="1">
      <alignment horizontal="center"/>
      <protection hidden="1"/>
    </xf>
    <xf numFmtId="0" fontId="23" fillId="13" borderId="0" xfId="0" applyFont="1" applyFill="1" applyAlignment="1" applyProtection="1">
      <alignment horizontal="center"/>
      <protection hidden="1"/>
    </xf>
    <xf numFmtId="44" fontId="24" fillId="0" borderId="0" xfId="2" applyFont="1" applyBorder="1" applyAlignment="1" applyProtection="1">
      <alignment horizontal="right" indent="1"/>
      <protection hidden="1"/>
    </xf>
    <xf numFmtId="44" fontId="24" fillId="0" borderId="17" xfId="2" applyFont="1" applyBorder="1" applyAlignment="1" applyProtection="1">
      <alignment horizontal="right" indent="1"/>
      <protection hidden="1"/>
    </xf>
    <xf numFmtId="0" fontId="18" fillId="9" borderId="0" xfId="0" applyFont="1" applyFill="1" applyAlignment="1">
      <alignment horizontal="center"/>
    </xf>
    <xf numFmtId="0" fontId="0" fillId="0" borderId="0" xfId="0" applyAlignment="1">
      <alignment horizontal="right"/>
    </xf>
    <xf numFmtId="1" fontId="0" fillId="0" borderId="0" xfId="0" applyNumberFormat="1" applyAlignment="1">
      <alignment horizontal="center"/>
    </xf>
    <xf numFmtId="43" fontId="0" fillId="0" borderId="0" xfId="1" applyFont="1"/>
    <xf numFmtId="172" fontId="0" fillId="0" borderId="0" xfId="1" applyNumberFormat="1" applyFont="1" applyAlignment="1">
      <alignment horizontal="center"/>
    </xf>
    <xf numFmtId="43" fontId="0" fillId="0" borderId="0" xfId="0" applyNumberFormat="1" applyAlignment="1">
      <alignment horizontal="center"/>
    </xf>
    <xf numFmtId="43" fontId="0" fillId="0" borderId="0" xfId="0" applyNumberFormat="1"/>
    <xf numFmtId="4" fontId="0" fillId="0" borderId="0" xfId="0" applyNumberFormat="1"/>
    <xf numFmtId="10" fontId="0" fillId="0" borderId="0" xfId="3" applyNumberFormat="1" applyFont="1" applyAlignment="1">
      <alignment horizontal="center"/>
    </xf>
    <xf numFmtId="167" fontId="17" fillId="0" borderId="0" xfId="3" applyNumberFormat="1" applyFont="1" applyAlignment="1">
      <alignment horizontal="center"/>
    </xf>
    <xf numFmtId="0" fontId="4" fillId="0" borderId="0" xfId="0" applyFont="1" applyAlignment="1" applyProtection="1">
      <alignment horizontal="center"/>
      <protection hidden="1"/>
    </xf>
    <xf numFmtId="0" fontId="26" fillId="0" borderId="0" xfId="0" applyFont="1" applyAlignment="1" applyProtection="1">
      <alignment horizontal="right"/>
      <protection hidden="1"/>
    </xf>
    <xf numFmtId="0" fontId="27" fillId="0" borderId="0" xfId="0" applyFont="1" applyAlignment="1" applyProtection="1">
      <alignment horizontal="left"/>
      <protection hidden="1"/>
    </xf>
    <xf numFmtId="49" fontId="27" fillId="0" borderId="0" xfId="0" applyNumberFormat="1" applyFont="1" applyAlignment="1" applyProtection="1">
      <alignment vertical="center" wrapText="1"/>
      <protection hidden="1"/>
    </xf>
    <xf numFmtId="10" fontId="27" fillId="0" borderId="0" xfId="3" applyNumberFormat="1" applyFont="1" applyAlignment="1" applyProtection="1">
      <alignment horizontal="center"/>
      <protection hidden="1"/>
    </xf>
    <xf numFmtId="165" fontId="27" fillId="0" borderId="0" xfId="2" applyNumberFormat="1" applyFont="1" applyAlignment="1" applyProtection="1">
      <alignment horizontal="center"/>
      <protection hidden="1"/>
    </xf>
    <xf numFmtId="0" fontId="27" fillId="0" borderId="0" xfId="0" applyFont="1" applyProtection="1">
      <protection hidden="1"/>
    </xf>
    <xf numFmtId="0" fontId="27" fillId="0" borderId="0" xfId="0" applyFont="1" applyAlignment="1" applyProtection="1">
      <alignment horizontal="right"/>
      <protection hidden="1"/>
    </xf>
    <xf numFmtId="0" fontId="27" fillId="0" borderId="0" xfId="0" applyFont="1" applyAlignment="1" applyProtection="1">
      <alignment horizontal="center"/>
      <protection hidden="1"/>
    </xf>
    <xf numFmtId="0" fontId="4" fillId="14" borderId="19" xfId="0" applyFont="1" applyFill="1" applyBorder="1" applyAlignment="1" applyProtection="1">
      <alignment horizontal="center" vertical="center" wrapText="1"/>
      <protection hidden="1"/>
    </xf>
    <xf numFmtId="0" fontId="4" fillId="14" borderId="20" xfId="0" applyFont="1" applyFill="1" applyBorder="1" applyAlignment="1" applyProtection="1">
      <alignment horizontal="center" vertical="center" wrapText="1"/>
      <protection hidden="1"/>
    </xf>
    <xf numFmtId="0" fontId="4" fillId="14" borderId="21" xfId="0" applyFont="1" applyFill="1" applyBorder="1" applyAlignment="1" applyProtection="1">
      <alignment horizontal="center" vertical="center" wrapText="1"/>
      <protection hidden="1"/>
    </xf>
    <xf numFmtId="1" fontId="4" fillId="0" borderId="22" xfId="0" applyNumberFormat="1" applyFont="1" applyBorder="1" applyAlignment="1" applyProtection="1">
      <alignment horizontal="center" vertical="center"/>
      <protection hidden="1"/>
    </xf>
    <xf numFmtId="165" fontId="4" fillId="0" borderId="23" xfId="3" applyNumberFormat="1" applyFont="1" applyBorder="1" applyAlignment="1" applyProtection="1">
      <alignment horizontal="center" vertical="center"/>
      <protection hidden="1"/>
    </xf>
    <xf numFmtId="165" fontId="4" fillId="0" borderId="23" xfId="0" applyNumberFormat="1" applyFont="1" applyBorder="1" applyAlignment="1" applyProtection="1">
      <alignment horizontal="center" vertical="center"/>
      <protection hidden="1"/>
    </xf>
    <xf numFmtId="165" fontId="4" fillId="0" borderId="24" xfId="0" applyNumberFormat="1" applyFont="1" applyBorder="1" applyAlignment="1" applyProtection="1">
      <alignment horizontal="center" vertical="center"/>
      <protection hidden="1"/>
    </xf>
    <xf numFmtId="1" fontId="4" fillId="0" borderId="25" xfId="0" applyNumberFormat="1" applyFont="1" applyBorder="1" applyAlignment="1" applyProtection="1">
      <alignment horizontal="center" vertical="center"/>
      <protection hidden="1"/>
    </xf>
    <xf numFmtId="165" fontId="4" fillId="0" borderId="26" xfId="0" applyNumberFormat="1" applyFont="1" applyBorder="1" applyAlignment="1" applyProtection="1">
      <alignment horizontal="center" vertical="center"/>
      <protection hidden="1"/>
    </xf>
    <xf numFmtId="165" fontId="4" fillId="0" borderId="27" xfId="0" applyNumberFormat="1" applyFont="1" applyBorder="1" applyAlignment="1" applyProtection="1">
      <alignment horizontal="center" vertical="center"/>
      <protection hidden="1"/>
    </xf>
    <xf numFmtId="1" fontId="4" fillId="0" borderId="28" xfId="0" applyNumberFormat="1" applyFont="1" applyBorder="1" applyAlignment="1" applyProtection="1">
      <alignment horizontal="center" vertical="center"/>
      <protection hidden="1"/>
    </xf>
    <xf numFmtId="165" fontId="4" fillId="0" borderId="29" xfId="0" applyNumberFormat="1" applyFont="1" applyBorder="1" applyAlignment="1" applyProtection="1">
      <alignment horizontal="center" vertical="center"/>
      <protection hidden="1"/>
    </xf>
    <xf numFmtId="165" fontId="4" fillId="0" borderId="30" xfId="0" applyNumberFormat="1" applyFont="1" applyBorder="1" applyAlignment="1" applyProtection="1">
      <alignment horizontal="center" vertical="center"/>
      <protection hidden="1"/>
    </xf>
    <xf numFmtId="10" fontId="17" fillId="8" borderId="0" xfId="3" applyNumberFormat="1" applyFont="1" applyFill="1" applyAlignment="1">
      <alignment horizontal="center"/>
    </xf>
    <xf numFmtId="0" fontId="4" fillId="0" borderId="0" xfId="0" applyFont="1" applyProtection="1">
      <protection hidden="1"/>
    </xf>
    <xf numFmtId="4" fontId="4" fillId="6" borderId="4" xfId="0" applyNumberFormat="1" applyFont="1" applyFill="1" applyBorder="1" applyAlignment="1" applyProtection="1">
      <alignment horizontal="center"/>
      <protection locked="0" hidden="1"/>
    </xf>
    <xf numFmtId="0" fontId="3" fillId="0" borderId="0" xfId="0" applyFont="1" applyProtection="1">
      <protection hidden="1"/>
    </xf>
    <xf numFmtId="0" fontId="0" fillId="0" borderId="0" xfId="0" applyProtection="1">
      <protection hidden="1"/>
    </xf>
    <xf numFmtId="0" fontId="19" fillId="0" borderId="0" xfId="0" applyFont="1" applyAlignment="1" applyProtection="1">
      <alignment horizontal="right"/>
      <protection hidden="1"/>
    </xf>
    <xf numFmtId="0" fontId="8" fillId="0" borderId="0" xfId="0" applyFont="1" applyAlignment="1" applyProtection="1">
      <alignment horizontal="center"/>
      <protection hidden="1"/>
    </xf>
    <xf numFmtId="0" fontId="7" fillId="0" borderId="0" xfId="0" applyFont="1" applyProtection="1">
      <protection hidden="1"/>
    </xf>
    <xf numFmtId="10" fontId="5" fillId="4" borderId="0" xfId="3" applyNumberFormat="1" applyFont="1" applyFill="1" applyBorder="1" applyAlignment="1" applyProtection="1">
      <alignment horizontal="center"/>
      <protection hidden="1"/>
    </xf>
    <xf numFmtId="0" fontId="4" fillId="0" borderId="4" xfId="0" applyFont="1" applyBorder="1" applyAlignment="1" applyProtection="1">
      <alignment horizontal="center"/>
      <protection hidden="1"/>
    </xf>
    <xf numFmtId="15" fontId="4" fillId="0" borderId="4" xfId="0" applyNumberFormat="1" applyFont="1" applyBorder="1" applyAlignment="1" applyProtection="1">
      <alignment horizontal="center"/>
      <protection hidden="1"/>
    </xf>
    <xf numFmtId="171" fontId="4" fillId="0" borderId="4" xfId="0" applyNumberFormat="1" applyFont="1" applyBorder="1" applyAlignment="1" applyProtection="1">
      <alignment horizontal="center"/>
      <protection hidden="1"/>
    </xf>
    <xf numFmtId="10" fontId="4" fillId="0" borderId="4" xfId="3" applyNumberFormat="1" applyFont="1" applyBorder="1" applyAlignment="1" applyProtection="1">
      <alignment horizontal="center"/>
      <protection hidden="1"/>
    </xf>
    <xf numFmtId="4" fontId="4" fillId="0" borderId="4" xfId="0" applyNumberFormat="1" applyFont="1" applyBorder="1" applyAlignment="1" applyProtection="1">
      <alignment horizontal="center"/>
      <protection hidden="1"/>
    </xf>
    <xf numFmtId="0" fontId="9" fillId="0" borderId="0" xfId="0" applyFont="1" applyAlignment="1" applyProtection="1">
      <alignment horizontal="center"/>
      <protection hidden="1"/>
    </xf>
    <xf numFmtId="0" fontId="3" fillId="0" borderId="18" xfId="0" applyFont="1" applyBorder="1" applyProtection="1">
      <protection hidden="1"/>
    </xf>
    <xf numFmtId="4" fontId="2" fillId="0" borderId="18" xfId="0" applyNumberFormat="1" applyFont="1" applyBorder="1" applyAlignment="1" applyProtection="1">
      <alignment horizontal="center"/>
      <protection hidden="1"/>
    </xf>
    <xf numFmtId="173" fontId="0" fillId="0" borderId="0" xfId="0" applyNumberFormat="1"/>
    <xf numFmtId="44" fontId="0" fillId="0" borderId="0" xfId="0" applyNumberFormat="1"/>
    <xf numFmtId="0" fontId="28" fillId="0" borderId="4" xfId="0" applyFont="1" applyBorder="1" applyAlignment="1">
      <alignment horizontal="justify" vertical="center" wrapText="1"/>
    </xf>
    <xf numFmtId="0" fontId="28" fillId="8" borderId="4" xfId="0" applyFont="1" applyFill="1" applyBorder="1" applyAlignment="1">
      <alignment horizontal="justify" vertical="center" wrapText="1"/>
    </xf>
    <xf numFmtId="0" fontId="20" fillId="9" borderId="0" xfId="0" applyFont="1" applyFill="1" applyAlignment="1">
      <alignment horizontal="center" vertical="center" wrapText="1"/>
    </xf>
    <xf numFmtId="165" fontId="0" fillId="0" borderId="0" xfId="0" applyNumberFormat="1"/>
    <xf numFmtId="165" fontId="17" fillId="0" borderId="0" xfId="0" applyNumberFormat="1" applyFont="1"/>
    <xf numFmtId="9" fontId="0" fillId="0" borderId="0" xfId="0" applyNumberFormat="1" applyAlignment="1">
      <alignment horizontal="center"/>
    </xf>
    <xf numFmtId="9" fontId="0" fillId="0" borderId="0" xfId="3" applyFont="1" applyAlignment="1">
      <alignment horizontal="center"/>
    </xf>
    <xf numFmtId="9" fontId="17" fillId="8" borderId="0" xfId="3" applyFont="1" applyFill="1" applyAlignment="1">
      <alignment horizontal="center"/>
    </xf>
    <xf numFmtId="44" fontId="29" fillId="0" borderId="0" xfId="0" applyNumberFormat="1" applyFont="1"/>
    <xf numFmtId="0" fontId="3" fillId="0" borderId="0" xfId="0" applyFont="1" applyAlignment="1" applyProtection="1">
      <alignment horizontal="center"/>
      <protection hidden="1"/>
    </xf>
    <xf numFmtId="0" fontId="30" fillId="0" borderId="0" xfId="0" applyFont="1" applyProtection="1">
      <protection hidden="1"/>
    </xf>
    <xf numFmtId="44" fontId="19" fillId="0" borderId="0" xfId="2" applyFont="1" applyAlignment="1" applyProtection="1">
      <alignment horizontal="center"/>
      <protection hidden="1"/>
    </xf>
    <xf numFmtId="44" fontId="19" fillId="0" borderId="0" xfId="0" applyNumberFormat="1" applyFont="1" applyProtection="1">
      <protection hidden="1"/>
    </xf>
    <xf numFmtId="10" fontId="0" fillId="0" borderId="0" xfId="0" applyNumberFormat="1"/>
    <xf numFmtId="0" fontId="34" fillId="17" borderId="1" xfId="7" applyFont="1" applyFill="1" applyBorder="1" applyAlignment="1" applyProtection="1">
      <alignment horizontal="justify" vertical="center" wrapText="1"/>
      <protection hidden="1"/>
    </xf>
    <xf numFmtId="174" fontId="35" fillId="16" borderId="32" xfId="7" applyNumberFormat="1" applyFont="1" applyFill="1" applyBorder="1" applyAlignment="1" applyProtection="1">
      <alignment horizontal="center" vertical="center" wrapText="1"/>
      <protection hidden="1"/>
    </xf>
    <xf numFmtId="0" fontId="32" fillId="18" borderId="14" xfId="6" applyFont="1" applyFill="1" applyBorder="1" applyAlignment="1" applyProtection="1">
      <alignment horizontal="center" vertical="center" wrapText="1"/>
      <protection hidden="1"/>
    </xf>
    <xf numFmtId="0" fontId="32" fillId="18" borderId="0" xfId="6" applyFont="1" applyFill="1" applyAlignment="1" applyProtection="1">
      <alignment horizontal="center" vertical="center" wrapText="1"/>
      <protection hidden="1"/>
    </xf>
    <xf numFmtId="0" fontId="15" fillId="18" borderId="15" xfId="6" applyFont="1" applyFill="1" applyBorder="1" applyAlignment="1" applyProtection="1">
      <alignment horizontal="justify" vertical="center" wrapText="1"/>
      <protection hidden="1"/>
    </xf>
    <xf numFmtId="0" fontId="15" fillId="18" borderId="14" xfId="6" applyFont="1" applyFill="1" applyBorder="1" applyAlignment="1" applyProtection="1">
      <alignment horizontal="justify" vertical="center" wrapText="1"/>
      <protection hidden="1"/>
    </xf>
    <xf numFmtId="0" fontId="15" fillId="18" borderId="0" xfId="6" applyFont="1" applyFill="1" applyAlignment="1" applyProtection="1">
      <alignment horizontal="justify" vertical="center" wrapText="1"/>
      <protection hidden="1"/>
    </xf>
    <xf numFmtId="0" fontId="15" fillId="18" borderId="0" xfId="6" applyFont="1" applyFill="1" applyAlignment="1" applyProtection="1">
      <alignment horizontal="center" vertical="center" wrapText="1"/>
      <protection hidden="1"/>
    </xf>
    <xf numFmtId="0" fontId="15" fillId="18" borderId="14" xfId="6" applyFont="1" applyFill="1" applyBorder="1" applyAlignment="1" applyProtection="1">
      <alignment vertical="center" wrapText="1"/>
      <protection hidden="1"/>
    </xf>
    <xf numFmtId="0" fontId="32" fillId="17" borderId="31" xfId="6" applyFont="1" applyFill="1" applyBorder="1" applyAlignment="1" applyProtection="1">
      <alignment horizontal="left" vertical="center" wrapText="1"/>
      <protection hidden="1"/>
    </xf>
    <xf numFmtId="0" fontId="32" fillId="17" borderId="3" xfId="6" applyFont="1" applyFill="1" applyBorder="1" applyAlignment="1" applyProtection="1">
      <alignment horizontal="left" vertical="center" wrapText="1"/>
      <protection hidden="1"/>
    </xf>
    <xf numFmtId="0" fontId="15" fillId="0" borderId="33" xfId="6" applyFont="1" applyBorder="1" applyAlignment="1" applyProtection="1">
      <alignment horizontal="justify" vertical="center" wrapText="1"/>
      <protection hidden="1"/>
    </xf>
    <xf numFmtId="0" fontId="33" fillId="0" borderId="4" xfId="6" applyFont="1" applyBorder="1" applyAlignment="1" applyProtection="1">
      <alignment horizontal="justify" vertical="center" wrapText="1"/>
      <protection hidden="1"/>
    </xf>
    <xf numFmtId="0" fontId="15" fillId="0" borderId="35" xfId="6" applyFont="1" applyBorder="1" applyAlignment="1" applyProtection="1">
      <alignment vertical="center" wrapText="1"/>
      <protection hidden="1"/>
    </xf>
    <xf numFmtId="0" fontId="33" fillId="18" borderId="36" xfId="6" quotePrefix="1" applyFont="1" applyFill="1" applyBorder="1" applyAlignment="1" applyProtection="1">
      <alignment vertical="center" wrapText="1"/>
      <protection hidden="1"/>
    </xf>
    <xf numFmtId="0" fontId="15" fillId="0" borderId="33" xfId="6" applyFont="1" applyBorder="1" applyAlignment="1" applyProtection="1">
      <alignment horizontal="left" vertical="center" wrapText="1"/>
      <protection hidden="1"/>
    </xf>
    <xf numFmtId="175" fontId="33" fillId="18" borderId="4" xfId="9" quotePrefix="1" applyNumberFormat="1" applyFont="1" applyFill="1" applyBorder="1" applyAlignment="1" applyProtection="1">
      <alignment horizontal="left" vertical="center" wrapText="1"/>
      <protection hidden="1"/>
    </xf>
    <xf numFmtId="0" fontId="15" fillId="0" borderId="4" xfId="6" applyFont="1" applyBorder="1" applyAlignment="1" applyProtection="1">
      <alignment horizontal="justify" vertical="center" wrapText="1"/>
      <protection hidden="1"/>
    </xf>
    <xf numFmtId="175" fontId="33" fillId="18" borderId="4" xfId="9" quotePrefix="1" applyNumberFormat="1" applyFont="1" applyFill="1" applyBorder="1" applyAlignment="1" applyProtection="1">
      <alignment horizontal="justify" vertical="center" wrapText="1"/>
      <protection hidden="1"/>
    </xf>
    <xf numFmtId="10" fontId="33" fillId="18" borderId="4" xfId="8" quotePrefix="1" applyNumberFormat="1" applyFont="1" applyFill="1" applyBorder="1" applyAlignment="1" applyProtection="1">
      <alignment horizontal="justify" vertical="center" wrapText="1"/>
      <protection hidden="1"/>
    </xf>
    <xf numFmtId="10" fontId="15" fillId="18" borderId="14" xfId="8" applyNumberFormat="1" applyFont="1" applyFill="1" applyBorder="1" applyAlignment="1" applyProtection="1">
      <alignment horizontal="justify" vertical="center" wrapText="1"/>
      <protection hidden="1"/>
    </xf>
    <xf numFmtId="0" fontId="15" fillId="0" borderId="0" xfId="6" applyFont="1" applyAlignment="1" applyProtection="1">
      <alignment horizontal="justify" vertical="center" wrapText="1"/>
      <protection hidden="1"/>
    </xf>
    <xf numFmtId="0" fontId="15" fillId="0" borderId="15" xfId="6" applyFont="1" applyBorder="1" applyAlignment="1" applyProtection="1">
      <alignment horizontal="justify" vertical="center" wrapText="1"/>
      <protection hidden="1"/>
    </xf>
    <xf numFmtId="0" fontId="32" fillId="17" borderId="33" xfId="6" applyFont="1" applyFill="1" applyBorder="1" applyAlignment="1" applyProtection="1">
      <alignment horizontal="left" vertical="center" wrapText="1"/>
      <protection hidden="1"/>
    </xf>
    <xf numFmtId="0" fontId="15" fillId="0" borderId="38" xfId="6" applyFont="1" applyBorder="1" applyAlignment="1" applyProtection="1">
      <alignment horizontal="justify" vertical="center" wrapText="1"/>
      <protection hidden="1"/>
    </xf>
    <xf numFmtId="0" fontId="33" fillId="18" borderId="4" xfId="9" quotePrefix="1" applyNumberFormat="1" applyFont="1" applyFill="1" applyBorder="1" applyAlignment="1" applyProtection="1">
      <alignment horizontal="justify" vertical="center" wrapText="1"/>
      <protection hidden="1"/>
    </xf>
    <xf numFmtId="44" fontId="15" fillId="0" borderId="4" xfId="9" applyFont="1" applyFill="1" applyBorder="1" applyAlignment="1" applyProtection="1">
      <alignment horizontal="justify" vertical="center" wrapText="1"/>
      <protection hidden="1"/>
    </xf>
    <xf numFmtId="44" fontId="15" fillId="18" borderId="4" xfId="9" applyFont="1" applyFill="1" applyBorder="1" applyAlignment="1" applyProtection="1">
      <alignment horizontal="justify" vertical="center" wrapText="1"/>
      <protection hidden="1"/>
    </xf>
    <xf numFmtId="10" fontId="15" fillId="18" borderId="4" xfId="8" applyNumberFormat="1" applyFont="1" applyFill="1" applyBorder="1" applyAlignment="1" applyProtection="1">
      <alignment horizontal="justify" vertical="center" wrapText="1"/>
      <protection hidden="1"/>
    </xf>
    <xf numFmtId="0" fontId="15" fillId="0" borderId="33" xfId="6" applyFont="1" applyBorder="1" applyAlignment="1" applyProtection="1">
      <alignment vertical="center" wrapText="1"/>
      <protection hidden="1"/>
    </xf>
    <xf numFmtId="176" fontId="33" fillId="18" borderId="4" xfId="9" quotePrefix="1" applyNumberFormat="1" applyFont="1" applyFill="1" applyBorder="1" applyAlignment="1" applyProtection="1">
      <alignment horizontal="justify" vertical="center" wrapText="1"/>
      <protection hidden="1"/>
    </xf>
    <xf numFmtId="10" fontId="33" fillId="0" borderId="4" xfId="8" applyNumberFormat="1" applyFont="1" applyFill="1" applyBorder="1" applyAlignment="1" applyProtection="1">
      <alignment horizontal="left" vertical="center" wrapText="1"/>
      <protection hidden="1"/>
    </xf>
    <xf numFmtId="0" fontId="15" fillId="0" borderId="4" xfId="6" applyFont="1" applyBorder="1" applyAlignment="1" applyProtection="1">
      <alignment horizontal="center" vertical="center" wrapText="1"/>
      <protection hidden="1"/>
    </xf>
    <xf numFmtId="10" fontId="33" fillId="18" borderId="38" xfId="8" applyNumberFormat="1" applyFont="1" applyFill="1" applyBorder="1" applyAlignment="1" applyProtection="1">
      <alignment horizontal="center" vertical="center" wrapText="1"/>
      <protection hidden="1"/>
    </xf>
    <xf numFmtId="44" fontId="40" fillId="2" borderId="0" xfId="2" applyFont="1" applyFill="1" applyBorder="1" applyAlignment="1" applyProtection="1">
      <alignment horizontal="right"/>
      <protection hidden="1"/>
    </xf>
    <xf numFmtId="165" fontId="15" fillId="18" borderId="38" xfId="2" quotePrefix="1" applyNumberFormat="1" applyFont="1" applyFill="1" applyBorder="1" applyAlignment="1" applyProtection="1">
      <alignment horizontal="center" vertical="center" wrapText="1"/>
      <protection hidden="1"/>
    </xf>
    <xf numFmtId="0" fontId="15" fillId="0" borderId="43" xfId="6" applyFont="1" applyBorder="1" applyAlignment="1" applyProtection="1">
      <alignment horizontal="left" vertical="center" wrapText="1"/>
      <protection hidden="1"/>
    </xf>
    <xf numFmtId="0" fontId="33" fillId="0" borderId="20" xfId="9" applyNumberFormat="1" applyFont="1" applyFill="1" applyBorder="1" applyAlignment="1" applyProtection="1">
      <alignment horizontal="left" vertical="center" wrapText="1"/>
      <protection hidden="1"/>
    </xf>
    <xf numFmtId="0" fontId="32" fillId="18" borderId="43" xfId="6" applyFont="1" applyFill="1" applyBorder="1" applyAlignment="1" applyProtection="1">
      <alignment horizontal="justify" vertical="center" wrapText="1"/>
      <protection hidden="1"/>
    </xf>
    <xf numFmtId="0" fontId="32" fillId="18" borderId="20" xfId="6" applyFont="1" applyFill="1" applyBorder="1" applyAlignment="1" applyProtection="1">
      <alignment horizontal="justify" vertical="center" wrapText="1"/>
      <protection hidden="1"/>
    </xf>
    <xf numFmtId="0" fontId="32" fillId="18" borderId="34" xfId="6" applyFont="1" applyFill="1" applyBorder="1" applyAlignment="1" applyProtection="1">
      <alignment horizontal="justify" vertical="center" wrapText="1"/>
      <protection hidden="1"/>
    </xf>
    <xf numFmtId="0" fontId="32" fillId="0" borderId="43" xfId="7" applyFont="1" applyBorder="1" applyAlignment="1" applyProtection="1">
      <alignment horizontal="justify" vertical="top" wrapText="1"/>
      <protection hidden="1"/>
    </xf>
    <xf numFmtId="0" fontId="15" fillId="0" borderId="20" xfId="7" applyFont="1" applyBorder="1" applyAlignment="1" applyProtection="1">
      <alignment horizontal="justify" vertical="top" wrapText="1"/>
      <protection hidden="1"/>
    </xf>
    <xf numFmtId="0" fontId="15" fillId="0" borderId="34" xfId="7" applyFont="1" applyBorder="1" applyAlignment="1" applyProtection="1">
      <alignment horizontal="justify" vertical="top" wrapText="1"/>
      <protection hidden="1"/>
    </xf>
    <xf numFmtId="0" fontId="15" fillId="18" borderId="43" xfId="4" applyFont="1" applyFill="1" applyBorder="1" applyAlignment="1" applyProtection="1">
      <alignment vertical="center" wrapText="1"/>
      <protection hidden="1"/>
    </xf>
    <xf numFmtId="0" fontId="15" fillId="18" borderId="20" xfId="4" applyFont="1" applyFill="1" applyBorder="1" applyAlignment="1" applyProtection="1">
      <alignment vertical="center" wrapText="1"/>
      <protection hidden="1"/>
    </xf>
    <xf numFmtId="0" fontId="15" fillId="18" borderId="34" xfId="4" applyFont="1" applyFill="1" applyBorder="1" applyAlignment="1" applyProtection="1">
      <alignment vertical="center" wrapText="1"/>
      <protection hidden="1"/>
    </xf>
    <xf numFmtId="0" fontId="15" fillId="0" borderId="14" xfId="6" applyFont="1" applyBorder="1" applyAlignment="1" applyProtection="1">
      <alignment horizontal="justify" vertical="center" wrapText="1"/>
      <protection hidden="1"/>
    </xf>
    <xf numFmtId="177" fontId="41" fillId="18" borderId="0" xfId="6" quotePrefix="1" applyNumberFormat="1" applyFont="1" applyFill="1" applyAlignment="1" applyProtection="1">
      <alignment horizontal="right" vertical="center"/>
      <protection hidden="1"/>
    </xf>
    <xf numFmtId="164" fontId="41" fillId="18" borderId="15" xfId="6" applyNumberFormat="1" applyFont="1" applyFill="1" applyBorder="1" applyAlignment="1" applyProtection="1">
      <alignment horizontal="left" vertical="center"/>
      <protection hidden="1"/>
    </xf>
    <xf numFmtId="0" fontId="41" fillId="18" borderId="0" xfId="6" applyFont="1" applyFill="1" applyAlignment="1" applyProtection="1">
      <alignment horizontal="right" vertical="center"/>
      <protection hidden="1"/>
    </xf>
    <xf numFmtId="178" fontId="41" fillId="18" borderId="15" xfId="6" applyNumberFormat="1" applyFont="1" applyFill="1" applyBorder="1" applyAlignment="1" applyProtection="1">
      <alignment horizontal="left" vertical="center" wrapText="1"/>
      <protection hidden="1"/>
    </xf>
    <xf numFmtId="0" fontId="15" fillId="18" borderId="14" xfId="6" applyFont="1" applyFill="1" applyBorder="1" applyAlignment="1" applyProtection="1">
      <alignment horizontal="center" vertical="center" wrapText="1"/>
      <protection hidden="1"/>
    </xf>
    <xf numFmtId="0" fontId="15" fillId="18" borderId="15" xfId="6" applyFont="1" applyFill="1" applyBorder="1" applyAlignment="1" applyProtection="1">
      <alignment horizontal="center" vertical="center" wrapText="1"/>
      <protection hidden="1"/>
    </xf>
    <xf numFmtId="0" fontId="15" fillId="18" borderId="0" xfId="6" applyFont="1" applyFill="1" applyAlignment="1" applyProtection="1">
      <alignment horizontal="right" vertical="center"/>
      <protection hidden="1"/>
    </xf>
    <xf numFmtId="178" fontId="15" fillId="18" borderId="15" xfId="6" applyNumberFormat="1" applyFont="1" applyFill="1" applyBorder="1" applyAlignment="1" applyProtection="1">
      <alignment horizontal="left" vertical="center" wrapText="1"/>
      <protection hidden="1"/>
    </xf>
    <xf numFmtId="0" fontId="45" fillId="18" borderId="15" xfId="11" applyFont="1" applyFill="1" applyBorder="1" applyAlignment="1" applyProtection="1">
      <alignment horizontal="right" vertical="center" wrapText="1"/>
      <protection hidden="1"/>
    </xf>
    <xf numFmtId="0" fontId="32" fillId="0" borderId="14" xfId="7" applyFont="1" applyBorder="1" applyAlignment="1" applyProtection="1">
      <alignment horizontal="center" vertical="center" wrapText="1"/>
      <protection hidden="1"/>
    </xf>
    <xf numFmtId="0" fontId="32" fillId="0" borderId="0" xfId="7" applyFont="1" applyAlignment="1" applyProtection="1">
      <alignment horizontal="center" vertical="center" wrapText="1"/>
      <protection hidden="1"/>
    </xf>
    <xf numFmtId="0" fontId="15" fillId="0" borderId="15" xfId="7" applyFont="1" applyBorder="1" applyAlignment="1" applyProtection="1">
      <alignment horizontal="justify" vertical="center" wrapText="1"/>
      <protection hidden="1"/>
    </xf>
    <xf numFmtId="177" fontId="33" fillId="0" borderId="0" xfId="6" applyNumberFormat="1" applyFont="1" applyAlignment="1" applyProtection="1">
      <alignment horizontal="right" vertical="center" wrapText="1"/>
      <protection hidden="1"/>
    </xf>
    <xf numFmtId="164" fontId="33" fillId="0" borderId="15" xfId="6" applyNumberFormat="1" applyFont="1" applyBorder="1" applyAlignment="1" applyProtection="1">
      <alignment horizontal="left" vertical="center" wrapText="1"/>
      <protection hidden="1"/>
    </xf>
    <xf numFmtId="0" fontId="2" fillId="0" borderId="0" xfId="0" applyFont="1" applyProtection="1">
      <protection hidden="1"/>
    </xf>
    <xf numFmtId="0" fontId="2" fillId="4" borderId="0" xfId="0" applyFont="1" applyFill="1" applyAlignment="1" applyProtection="1">
      <alignment horizontal="center"/>
      <protection hidden="1"/>
    </xf>
    <xf numFmtId="0" fontId="4" fillId="0" borderId="0" xfId="0" applyFont="1" applyAlignment="1" applyProtection="1">
      <alignment horizontal="left"/>
      <protection hidden="1"/>
    </xf>
    <xf numFmtId="0" fontId="35" fillId="16" borderId="1" xfId="7" applyFont="1" applyFill="1" applyBorder="1" applyAlignment="1" applyProtection="1">
      <alignment vertical="center" wrapText="1"/>
      <protection hidden="1"/>
    </xf>
    <xf numFmtId="0" fontId="35" fillId="18" borderId="15" xfId="7" applyFont="1" applyFill="1" applyBorder="1" applyAlignment="1" applyProtection="1">
      <alignment vertical="center" wrapText="1"/>
      <protection hidden="1"/>
    </xf>
    <xf numFmtId="0" fontId="39" fillId="0" borderId="0" xfId="0" applyFont="1" applyProtection="1">
      <protection hidden="1"/>
    </xf>
    <xf numFmtId="0" fontId="0" fillId="0" borderId="15" xfId="0" applyBorder="1" applyProtection="1">
      <protection hidden="1"/>
    </xf>
    <xf numFmtId="10" fontId="0" fillId="0" borderId="0" xfId="3" applyNumberFormat="1" applyFont="1" applyProtection="1">
      <protection hidden="1"/>
    </xf>
    <xf numFmtId="9" fontId="0" fillId="0" borderId="0" xfId="0" applyNumberFormat="1" applyProtection="1">
      <protection hidden="1"/>
    </xf>
    <xf numFmtId="165" fontId="0" fillId="0" borderId="0" xfId="0" applyNumberFormat="1" applyProtection="1">
      <protection hidden="1"/>
    </xf>
    <xf numFmtId="44" fontId="5" fillId="0" borderId="0" xfId="2" applyFont="1" applyFill="1" applyAlignment="1" applyProtection="1">
      <alignment horizontal="center"/>
      <protection hidden="1"/>
    </xf>
    <xf numFmtId="0" fontId="3" fillId="15" borderId="0" xfId="0" applyFont="1" applyFill="1" applyAlignment="1" applyProtection="1">
      <alignment horizontal="center"/>
      <protection locked="0" hidden="1"/>
    </xf>
    <xf numFmtId="10" fontId="10" fillId="5" borderId="0" xfId="3" applyNumberFormat="1" applyFont="1" applyFill="1" applyAlignment="1" applyProtection="1">
      <alignment horizontal="center" vertical="center"/>
      <protection locked="0" hidden="1"/>
    </xf>
    <xf numFmtId="0" fontId="3" fillId="0" borderId="0" xfId="0" applyFont="1" applyAlignment="1" applyProtection="1">
      <alignment horizontal="center"/>
      <protection locked="0" hidden="1"/>
    </xf>
    <xf numFmtId="3" fontId="24" fillId="0" borderId="14" xfId="0" applyNumberFormat="1" applyFont="1" applyBorder="1" applyAlignment="1" applyProtection="1">
      <alignment horizontal="center"/>
      <protection hidden="1"/>
    </xf>
    <xf numFmtId="3" fontId="24" fillId="0" borderId="0" xfId="0" applyNumberFormat="1" applyFont="1" applyAlignment="1" applyProtection="1">
      <alignment horizontal="center"/>
      <protection hidden="1"/>
    </xf>
    <xf numFmtId="3" fontId="24" fillId="0" borderId="16" xfId="0" applyNumberFormat="1" applyFont="1" applyBorder="1" applyAlignment="1" applyProtection="1">
      <alignment horizontal="center"/>
      <protection hidden="1"/>
    </xf>
    <xf numFmtId="165" fontId="24" fillId="0" borderId="15" xfId="3" applyNumberFormat="1" applyFont="1" applyBorder="1" applyAlignment="1" applyProtection="1">
      <alignment horizontal="center"/>
      <protection hidden="1"/>
    </xf>
    <xf numFmtId="165" fontId="24" fillId="0" borderId="15" xfId="2" applyNumberFormat="1" applyFont="1" applyBorder="1" applyAlignment="1" applyProtection="1">
      <alignment horizontal="center"/>
      <protection hidden="1"/>
    </xf>
    <xf numFmtId="0" fontId="5" fillId="2" borderId="0" xfId="0" applyFont="1" applyFill="1" applyAlignment="1" applyProtection="1">
      <alignment horizontal="center"/>
      <protection locked="0" hidden="1"/>
    </xf>
    <xf numFmtId="0" fontId="5" fillId="2" borderId="0" xfId="0" applyFont="1" applyFill="1" applyAlignment="1" applyProtection="1">
      <alignment horizontal="center"/>
      <protection hidden="1"/>
    </xf>
    <xf numFmtId="44" fontId="5" fillId="2" borderId="0" xfId="2" applyFont="1" applyFill="1" applyAlignment="1" applyProtection="1">
      <alignment horizontal="center"/>
      <protection locked="0" hidden="1"/>
    </xf>
    <xf numFmtId="0" fontId="3" fillId="0" borderId="0" xfId="0" applyFont="1" applyAlignment="1" applyProtection="1">
      <alignment horizontal="center" vertical="center" wrapText="1"/>
      <protection hidden="1"/>
    </xf>
    <xf numFmtId="0" fontId="19" fillId="0" borderId="0" xfId="0" applyFont="1" applyAlignment="1" applyProtection="1">
      <alignment horizontal="center"/>
      <protection hidden="1"/>
    </xf>
    <xf numFmtId="0" fontId="2" fillId="0" borderId="18" xfId="0" applyFont="1" applyBorder="1" applyAlignment="1" applyProtection="1">
      <alignment horizontal="center"/>
      <protection hidden="1"/>
    </xf>
    <xf numFmtId="0" fontId="3" fillId="15" borderId="0" xfId="0" applyFont="1" applyFill="1" applyAlignment="1" applyProtection="1">
      <alignment horizontal="center"/>
      <protection locked="0" hidden="1"/>
    </xf>
    <xf numFmtId="0" fontId="3" fillId="0" borderId="6" xfId="0" applyFont="1" applyBorder="1" applyAlignment="1" applyProtection="1">
      <alignment horizontal="center"/>
      <protection locked="0" hidden="1"/>
    </xf>
    <xf numFmtId="0" fontId="10" fillId="0" borderId="0" xfId="0" applyFont="1" applyAlignment="1" applyProtection="1">
      <alignment horizontal="right"/>
      <protection hidden="1"/>
    </xf>
    <xf numFmtId="4" fontId="10" fillId="0" borderId="0" xfId="0" applyNumberFormat="1" applyFont="1" applyAlignment="1" applyProtection="1">
      <alignment horizontal="left"/>
      <protection hidden="1"/>
    </xf>
    <xf numFmtId="0" fontId="8" fillId="3" borderId="0" xfId="0" applyFont="1" applyFill="1" applyAlignment="1" applyProtection="1">
      <alignment horizontal="center"/>
      <protection hidden="1"/>
    </xf>
    <xf numFmtId="0" fontId="10" fillId="2" borderId="1" xfId="0" applyFont="1" applyFill="1" applyBorder="1" applyAlignment="1" applyProtection="1">
      <alignment horizontal="right"/>
      <protection hidden="1"/>
    </xf>
    <xf numFmtId="0" fontId="10" fillId="5" borderId="2" xfId="0" applyFont="1" applyFill="1" applyBorder="1" applyAlignment="1" applyProtection="1">
      <alignment horizontal="center" vertical="center"/>
      <protection locked="0" hidden="1"/>
    </xf>
    <xf numFmtId="0" fontId="10" fillId="5" borderId="3" xfId="0" applyFont="1" applyFill="1" applyBorder="1" applyAlignment="1" applyProtection="1">
      <alignment horizontal="center" vertical="center"/>
      <protection locked="0" hidden="1"/>
    </xf>
    <xf numFmtId="9" fontId="5" fillId="2" borderId="0" xfId="3" applyFont="1" applyFill="1" applyAlignment="1" applyProtection="1">
      <alignment horizontal="center"/>
      <protection locked="0" hidden="1"/>
    </xf>
    <xf numFmtId="10" fontId="6" fillId="2" borderId="0" xfId="3" applyNumberFormat="1" applyFont="1" applyFill="1" applyAlignment="1" applyProtection="1">
      <alignment horizontal="center"/>
      <protection locked="0" hidden="1"/>
    </xf>
    <xf numFmtId="164" fontId="4" fillId="0" borderId="0" xfId="0" applyNumberFormat="1" applyFont="1" applyAlignment="1" applyProtection="1">
      <alignment horizontal="center"/>
      <protection locked="0" hidden="1"/>
    </xf>
    <xf numFmtId="0" fontId="2" fillId="0" borderId="0" xfId="0" applyFont="1" applyAlignment="1" applyProtection="1">
      <alignment horizontal="center"/>
      <protection hidden="1"/>
    </xf>
    <xf numFmtId="0" fontId="4" fillId="0" borderId="0" xfId="0" applyFont="1" applyAlignment="1" applyProtection="1">
      <alignment horizontal="center"/>
      <protection hidden="1"/>
    </xf>
    <xf numFmtId="0" fontId="2" fillId="14" borderId="2" xfId="0" applyFont="1" applyFill="1" applyBorder="1" applyAlignment="1" applyProtection="1">
      <alignment horizontal="center" vertical="center"/>
      <protection hidden="1"/>
    </xf>
    <xf numFmtId="0" fontId="2" fillId="14" borderId="1" xfId="0" applyFont="1" applyFill="1" applyBorder="1" applyAlignment="1" applyProtection="1">
      <alignment horizontal="center" vertical="center"/>
      <protection hidden="1"/>
    </xf>
    <xf numFmtId="0" fontId="2" fillId="14" borderId="3" xfId="0" applyFont="1" applyFill="1" applyBorder="1" applyAlignment="1" applyProtection="1">
      <alignment horizontal="center" vertical="center"/>
      <protection hidden="1"/>
    </xf>
    <xf numFmtId="0" fontId="5" fillId="0" borderId="0" xfId="0" applyFont="1" applyAlignment="1" applyProtection="1">
      <alignment horizontal="left" vertical="center" wrapText="1"/>
      <protection hidden="1"/>
    </xf>
    <xf numFmtId="0" fontId="32" fillId="0" borderId="11" xfId="6" applyFont="1" applyBorder="1" applyAlignment="1" applyProtection="1">
      <alignment horizontal="center" vertical="center" wrapText="1"/>
      <protection hidden="1"/>
    </xf>
    <xf numFmtId="0" fontId="32" fillId="0" borderId="12" xfId="6" applyFont="1" applyBorder="1" applyAlignment="1" applyProtection="1">
      <alignment horizontal="center" vertical="center" wrapText="1"/>
      <protection hidden="1"/>
    </xf>
    <xf numFmtId="0" fontId="32" fillId="0" borderId="13" xfId="6" applyFont="1" applyBorder="1" applyAlignment="1" applyProtection="1">
      <alignment horizontal="center" vertical="center" wrapText="1"/>
      <protection hidden="1"/>
    </xf>
    <xf numFmtId="0" fontId="33" fillId="16" borderId="31" xfId="7" applyFont="1" applyFill="1" applyBorder="1" applyAlignment="1" applyProtection="1">
      <alignment horizontal="right" vertical="center"/>
      <protection hidden="1"/>
    </xf>
    <xf numFmtId="0" fontId="33" fillId="16" borderId="1" xfId="7" applyFont="1" applyFill="1" applyBorder="1" applyAlignment="1" applyProtection="1">
      <alignment horizontal="right" vertical="center"/>
      <protection hidden="1"/>
    </xf>
    <xf numFmtId="0" fontId="15" fillId="18" borderId="14" xfId="6" applyFont="1" applyFill="1" applyBorder="1" applyAlignment="1" applyProtection="1">
      <alignment horizontal="justify" vertical="center" wrapText="1"/>
      <protection hidden="1"/>
    </xf>
    <xf numFmtId="0" fontId="15" fillId="18" borderId="0" xfId="6" applyFont="1" applyFill="1" applyAlignment="1" applyProtection="1">
      <alignment horizontal="justify" vertical="center" wrapText="1"/>
      <protection hidden="1"/>
    </xf>
    <xf numFmtId="0" fontId="15" fillId="18" borderId="15" xfId="6" applyFont="1" applyFill="1" applyBorder="1" applyAlignment="1" applyProtection="1">
      <alignment horizontal="justify" vertical="center" wrapText="1"/>
      <protection hidden="1"/>
    </xf>
    <xf numFmtId="0" fontId="35" fillId="18" borderId="14" xfId="7" applyFont="1" applyFill="1" applyBorder="1" applyAlignment="1" applyProtection="1">
      <alignment horizontal="center" vertical="center"/>
      <protection hidden="1"/>
    </xf>
    <xf numFmtId="0" fontId="35" fillId="18" borderId="0" xfId="7" applyFont="1" applyFill="1" applyAlignment="1" applyProtection="1">
      <alignment horizontal="center" vertical="center"/>
      <protection hidden="1"/>
    </xf>
    <xf numFmtId="0" fontId="35" fillId="18" borderId="0" xfId="7" applyFont="1" applyFill="1" applyAlignment="1" applyProtection="1">
      <alignment horizontal="justify" vertical="center"/>
      <protection hidden="1"/>
    </xf>
    <xf numFmtId="0" fontId="35" fillId="18" borderId="15" xfId="7" applyFont="1" applyFill="1" applyBorder="1" applyAlignment="1" applyProtection="1">
      <alignment horizontal="justify" vertical="center"/>
      <protection hidden="1"/>
    </xf>
    <xf numFmtId="0" fontId="15" fillId="18" borderId="14" xfId="4" applyFont="1" applyFill="1" applyBorder="1" applyAlignment="1" applyProtection="1">
      <alignment horizontal="justify" vertical="center" wrapText="1"/>
      <protection hidden="1"/>
    </xf>
    <xf numFmtId="0" fontId="15" fillId="18" borderId="0" xfId="4" applyFont="1" applyFill="1" applyAlignment="1" applyProtection="1">
      <alignment horizontal="justify" vertical="center" wrapText="1"/>
      <protection hidden="1"/>
    </xf>
    <xf numFmtId="0" fontId="15" fillId="18" borderId="15" xfId="4" applyFont="1" applyFill="1" applyBorder="1" applyAlignment="1" applyProtection="1">
      <alignment horizontal="justify" vertical="center" wrapText="1"/>
      <protection hidden="1"/>
    </xf>
    <xf numFmtId="0" fontId="32" fillId="17" borderId="33" xfId="6" applyFont="1" applyFill="1" applyBorder="1" applyAlignment="1" applyProtection="1">
      <alignment horizontal="left" vertical="center" wrapText="1"/>
      <protection hidden="1"/>
    </xf>
    <xf numFmtId="0" fontId="32" fillId="17" borderId="4" xfId="6" applyFont="1" applyFill="1" applyBorder="1" applyAlignment="1" applyProtection="1">
      <alignment horizontal="left" vertical="center" wrapText="1"/>
      <protection hidden="1"/>
    </xf>
    <xf numFmtId="0" fontId="32" fillId="17" borderId="19" xfId="6" applyFont="1" applyFill="1" applyBorder="1" applyAlignment="1" applyProtection="1">
      <alignment horizontal="left" vertical="center" wrapText="1"/>
      <protection hidden="1"/>
    </xf>
    <xf numFmtId="0" fontId="32" fillId="17" borderId="34" xfId="6" applyFont="1" applyFill="1" applyBorder="1" applyAlignment="1" applyProtection="1">
      <alignment horizontal="left" vertical="center" wrapText="1"/>
      <protection hidden="1"/>
    </xf>
    <xf numFmtId="0" fontId="15" fillId="18" borderId="4" xfId="6" applyFont="1" applyFill="1" applyBorder="1" applyAlignment="1" applyProtection="1">
      <alignment horizontal="left" vertical="center" wrapText="1"/>
      <protection hidden="1"/>
    </xf>
    <xf numFmtId="0" fontId="15" fillId="18" borderId="38" xfId="6" applyFont="1" applyFill="1" applyBorder="1" applyAlignment="1" applyProtection="1">
      <alignment horizontal="left" vertical="center" wrapText="1"/>
      <protection hidden="1"/>
    </xf>
    <xf numFmtId="0" fontId="32" fillId="17" borderId="31" xfId="6" applyFont="1" applyFill="1" applyBorder="1" applyAlignment="1" applyProtection="1">
      <alignment horizontal="left" vertical="center" wrapText="1"/>
      <protection hidden="1"/>
    </xf>
    <xf numFmtId="0" fontId="32" fillId="17" borderId="3" xfId="6" applyFont="1" applyFill="1" applyBorder="1" applyAlignment="1" applyProtection="1">
      <alignment horizontal="left" vertical="center" wrapText="1"/>
      <protection hidden="1"/>
    </xf>
    <xf numFmtId="0" fontId="36" fillId="16" borderId="2" xfId="6" applyFont="1" applyFill="1" applyBorder="1" applyAlignment="1" applyProtection="1">
      <alignment horizontal="center" vertical="center" wrapText="1"/>
      <protection hidden="1"/>
    </xf>
    <xf numFmtId="0" fontId="36" fillId="16" borderId="32" xfId="6" applyFont="1" applyFill="1" applyBorder="1" applyAlignment="1" applyProtection="1">
      <alignment horizontal="center" vertical="center" wrapText="1"/>
      <protection hidden="1"/>
    </xf>
    <xf numFmtId="167" fontId="37" fillId="18" borderId="19" xfId="8" applyNumberFormat="1" applyFont="1" applyFill="1" applyBorder="1" applyAlignment="1" applyProtection="1">
      <alignment horizontal="center" vertical="center" wrapText="1"/>
      <protection hidden="1"/>
    </xf>
    <xf numFmtId="167" fontId="37" fillId="18" borderId="25" xfId="8" applyNumberFormat="1" applyFont="1" applyFill="1" applyBorder="1" applyAlignment="1" applyProtection="1">
      <alignment horizontal="center" vertical="center" wrapText="1"/>
      <protection hidden="1"/>
    </xf>
    <xf numFmtId="167" fontId="37" fillId="18" borderId="28" xfId="8" applyNumberFormat="1" applyFont="1" applyFill="1" applyBorder="1" applyAlignment="1" applyProtection="1">
      <alignment horizontal="center" vertical="center" wrapText="1"/>
      <protection hidden="1"/>
    </xf>
    <xf numFmtId="0" fontId="38" fillId="0" borderId="34" xfId="6" applyFont="1" applyBorder="1" applyAlignment="1" applyProtection="1">
      <alignment horizontal="center" vertical="center" wrapText="1"/>
      <protection hidden="1"/>
    </xf>
    <xf numFmtId="0" fontId="38" fillId="0" borderId="15" xfId="6" applyFont="1" applyBorder="1" applyAlignment="1" applyProtection="1">
      <alignment horizontal="center" vertical="center" wrapText="1"/>
      <protection hidden="1"/>
    </xf>
    <xf numFmtId="0" fontId="38" fillId="0" borderId="37" xfId="6" applyFont="1" applyBorder="1" applyAlignment="1" applyProtection="1">
      <alignment horizontal="center" vertical="center" wrapText="1"/>
      <protection hidden="1"/>
    </xf>
    <xf numFmtId="0" fontId="32" fillId="17" borderId="2" xfId="6" applyFont="1" applyFill="1" applyBorder="1" applyAlignment="1" applyProtection="1">
      <alignment horizontal="center" vertical="center" wrapText="1"/>
      <protection hidden="1"/>
    </xf>
    <xf numFmtId="0" fontId="32" fillId="17" borderId="32" xfId="6" applyFont="1" applyFill="1" applyBorder="1" applyAlignment="1" applyProtection="1">
      <alignment horizontal="center" vertical="center" wrapText="1"/>
      <protection hidden="1"/>
    </xf>
    <xf numFmtId="40" fontId="15" fillId="18" borderId="25" xfId="6" quotePrefix="1" applyNumberFormat="1" applyFont="1" applyFill="1" applyBorder="1" applyAlignment="1" applyProtection="1">
      <alignment horizontal="left" vertical="center" wrapText="1"/>
      <protection hidden="1"/>
    </xf>
    <xf numFmtId="165" fontId="33" fillId="18" borderId="34" xfId="9" quotePrefix="1" applyNumberFormat="1" applyFont="1" applyFill="1" applyBorder="1" applyAlignment="1" applyProtection="1">
      <alignment horizontal="left" vertical="center" wrapText="1" indent="2"/>
      <protection hidden="1"/>
    </xf>
    <xf numFmtId="165" fontId="0" fillId="0" borderId="37" xfId="0" applyNumberFormat="1" applyBorder="1" applyAlignment="1" applyProtection="1">
      <alignment horizontal="left" vertical="center" wrapText="1" indent="2"/>
      <protection hidden="1"/>
    </xf>
    <xf numFmtId="0" fontId="15" fillId="0" borderId="35" xfId="6" applyFont="1" applyBorder="1" applyAlignment="1" applyProtection="1">
      <alignment horizontal="left" vertical="center" wrapText="1"/>
      <protection hidden="1"/>
    </xf>
    <xf numFmtId="0" fontId="15" fillId="0" borderId="39" xfId="6" applyFont="1" applyBorder="1" applyAlignment="1" applyProtection="1">
      <alignment horizontal="left" vertical="center" wrapText="1"/>
      <protection hidden="1"/>
    </xf>
    <xf numFmtId="165" fontId="33" fillId="18" borderId="36" xfId="9" quotePrefix="1" applyNumberFormat="1" applyFont="1" applyFill="1" applyBorder="1" applyAlignment="1" applyProtection="1">
      <alignment horizontal="left" vertical="center" wrapText="1"/>
      <protection hidden="1"/>
    </xf>
    <xf numFmtId="0" fontId="0" fillId="0" borderId="40" xfId="0" applyBorder="1" applyAlignment="1" applyProtection="1">
      <alignment horizontal="left" vertical="center" wrapText="1"/>
      <protection hidden="1"/>
    </xf>
    <xf numFmtId="0" fontId="15" fillId="0" borderId="2" xfId="6" applyFont="1" applyBorder="1" applyAlignment="1" applyProtection="1">
      <alignment horizontal="left" vertical="center" wrapText="1"/>
      <protection hidden="1"/>
    </xf>
    <xf numFmtId="0" fontId="15" fillId="0" borderId="32" xfId="6" applyFont="1" applyBorder="1" applyAlignment="1" applyProtection="1">
      <alignment horizontal="left" vertical="center" wrapText="1"/>
      <protection hidden="1"/>
    </xf>
    <xf numFmtId="0" fontId="15" fillId="0" borderId="4" xfId="6" applyFont="1" applyBorder="1" applyAlignment="1" applyProtection="1">
      <alignment horizontal="left" vertical="center" wrapText="1"/>
      <protection hidden="1"/>
    </xf>
    <xf numFmtId="0" fontId="15" fillId="0" borderId="38" xfId="6" applyFont="1" applyBorder="1" applyAlignment="1" applyProtection="1">
      <alignment horizontal="left" vertical="center" wrapText="1"/>
      <protection hidden="1"/>
    </xf>
    <xf numFmtId="0" fontId="15" fillId="0" borderId="33" xfId="6" applyFont="1" applyBorder="1" applyAlignment="1" applyProtection="1">
      <alignment horizontal="left" vertical="center" wrapText="1"/>
      <protection hidden="1"/>
    </xf>
    <xf numFmtId="0" fontId="33" fillId="0" borderId="4" xfId="6" applyFont="1" applyBorder="1" applyAlignment="1" applyProtection="1">
      <alignment horizontal="left" vertical="center" wrapText="1"/>
      <protection hidden="1"/>
    </xf>
    <xf numFmtId="165" fontId="15" fillId="18" borderId="38" xfId="8" quotePrefix="1" applyNumberFormat="1" applyFont="1" applyFill="1" applyBorder="1" applyAlignment="1" applyProtection="1">
      <alignment horizontal="left" vertical="center" wrapText="1"/>
      <protection hidden="1"/>
    </xf>
    <xf numFmtId="165" fontId="0" fillId="0" borderId="38" xfId="0" applyNumberFormat="1" applyBorder="1" applyAlignment="1" applyProtection="1">
      <alignment horizontal="left" vertical="center" wrapText="1"/>
      <protection hidden="1"/>
    </xf>
    <xf numFmtId="0" fontId="15" fillId="0" borderId="4" xfId="6" applyFont="1" applyBorder="1" applyAlignment="1" applyProtection="1">
      <alignment horizontal="center" vertical="center" wrapText="1"/>
      <protection hidden="1"/>
    </xf>
    <xf numFmtId="0" fontId="15" fillId="0" borderId="38" xfId="6" applyFont="1" applyBorder="1" applyAlignment="1" applyProtection="1">
      <alignment horizontal="center" vertical="center" wrapText="1"/>
      <protection hidden="1"/>
    </xf>
    <xf numFmtId="0" fontId="15" fillId="18" borderId="14" xfId="6" applyFont="1" applyFill="1" applyBorder="1" applyAlignment="1" applyProtection="1">
      <alignment horizontal="left" vertical="center" wrapText="1"/>
      <protection hidden="1"/>
    </xf>
    <xf numFmtId="0" fontId="15" fillId="18" borderId="0" xfId="6" applyFont="1" applyFill="1" applyAlignment="1" applyProtection="1">
      <alignment horizontal="left" vertical="center" wrapText="1"/>
      <protection hidden="1"/>
    </xf>
    <xf numFmtId="0" fontId="15" fillId="18" borderId="15" xfId="6" applyFont="1" applyFill="1" applyBorder="1" applyAlignment="1" applyProtection="1">
      <alignment horizontal="left" vertical="center" wrapText="1"/>
      <protection hidden="1"/>
    </xf>
    <xf numFmtId="0" fontId="32" fillId="18" borderId="31" xfId="6" applyFont="1" applyFill="1" applyBorder="1" applyAlignment="1" applyProtection="1">
      <alignment horizontal="justify" vertical="center" wrapText="1"/>
      <protection hidden="1"/>
    </xf>
    <xf numFmtId="0" fontId="32" fillId="18" borderId="1" xfId="6" applyFont="1" applyFill="1" applyBorder="1" applyAlignment="1" applyProtection="1">
      <alignment horizontal="justify" vertical="center" wrapText="1"/>
      <protection hidden="1"/>
    </xf>
    <xf numFmtId="0" fontId="32" fillId="18" borderId="32" xfId="6" applyFont="1" applyFill="1" applyBorder="1" applyAlignment="1" applyProtection="1">
      <alignment horizontal="justify" vertical="center" wrapText="1"/>
      <protection hidden="1"/>
    </xf>
    <xf numFmtId="0" fontId="15" fillId="18" borderId="14" xfId="7" applyFont="1" applyFill="1" applyBorder="1" applyAlignment="1" applyProtection="1">
      <alignment horizontal="justify" vertical="top" wrapText="1"/>
      <protection hidden="1"/>
    </xf>
    <xf numFmtId="0" fontId="15" fillId="18" borderId="0" xfId="7" applyFont="1" applyFill="1" applyAlignment="1" applyProtection="1">
      <alignment horizontal="justify" vertical="top" wrapText="1"/>
      <protection hidden="1"/>
    </xf>
    <xf numFmtId="0" fontId="15" fillId="18" borderId="15" xfId="7" applyFont="1" applyFill="1" applyBorder="1" applyAlignment="1" applyProtection="1">
      <alignment horizontal="justify" vertical="top" wrapText="1"/>
      <protection hidden="1"/>
    </xf>
    <xf numFmtId="0" fontId="5" fillId="18" borderId="0" xfId="4" applyFill="1" applyAlignment="1" applyProtection="1">
      <alignment horizontal="justify" vertical="top"/>
      <protection hidden="1"/>
    </xf>
    <xf numFmtId="0" fontId="5" fillId="18" borderId="15" xfId="4" applyFill="1" applyBorder="1" applyAlignment="1" applyProtection="1">
      <alignment horizontal="justify" vertical="top"/>
      <protection hidden="1"/>
    </xf>
    <xf numFmtId="0" fontId="5" fillId="18" borderId="14" xfId="4" applyFill="1" applyBorder="1" applyAlignment="1" applyProtection="1">
      <alignment horizontal="justify" vertical="top"/>
      <protection hidden="1"/>
    </xf>
    <xf numFmtId="0" fontId="15" fillId="0" borderId="41" xfId="6" applyFont="1" applyBorder="1" applyAlignment="1" applyProtection="1">
      <alignment horizontal="left" vertical="center" wrapText="1"/>
      <protection hidden="1"/>
    </xf>
    <xf numFmtId="0" fontId="15" fillId="0" borderId="36" xfId="9" applyNumberFormat="1" applyFont="1" applyFill="1" applyBorder="1" applyAlignment="1" applyProtection="1">
      <alignment horizontal="left" vertical="center" wrapText="1"/>
      <protection hidden="1"/>
    </xf>
    <xf numFmtId="0" fontId="15" fillId="0" borderId="42" xfId="9" applyNumberFormat="1" applyFont="1" applyFill="1" applyBorder="1" applyAlignment="1" applyProtection="1">
      <alignment horizontal="left" vertical="center" wrapText="1"/>
      <protection hidden="1"/>
    </xf>
    <xf numFmtId="0" fontId="15" fillId="18" borderId="14" xfId="6" applyFont="1" applyFill="1" applyBorder="1" applyAlignment="1" applyProtection="1">
      <alignment vertical="top" wrapText="1"/>
      <protection hidden="1"/>
    </xf>
    <xf numFmtId="0" fontId="15" fillId="18" borderId="0" xfId="6" applyFont="1" applyFill="1" applyAlignment="1" applyProtection="1">
      <alignment vertical="top" wrapText="1"/>
      <protection hidden="1"/>
    </xf>
    <xf numFmtId="0" fontId="15" fillId="18" borderId="15" xfId="6" applyFont="1" applyFill="1" applyBorder="1" applyAlignment="1" applyProtection="1">
      <alignment vertical="top" wrapText="1"/>
      <protection hidden="1"/>
    </xf>
    <xf numFmtId="0" fontId="15" fillId="0" borderId="14" xfId="7" applyFont="1" applyBorder="1" applyAlignment="1" applyProtection="1">
      <alignment horizontal="justify" vertical="top" wrapText="1"/>
      <protection hidden="1"/>
    </xf>
    <xf numFmtId="0" fontId="15" fillId="0" borderId="0" xfId="7" applyFont="1" applyAlignment="1" applyProtection="1">
      <alignment horizontal="justify" vertical="top" wrapText="1"/>
      <protection hidden="1"/>
    </xf>
    <xf numFmtId="0" fontId="15" fillId="0" borderId="15" xfId="7" applyFont="1" applyBorder="1" applyAlignment="1" applyProtection="1">
      <alignment horizontal="justify" vertical="top" wrapText="1"/>
      <protection hidden="1"/>
    </xf>
    <xf numFmtId="0" fontId="15" fillId="0" borderId="14" xfId="7" applyFont="1" applyBorder="1" applyAlignment="1" applyProtection="1">
      <alignment vertical="top" wrapText="1"/>
      <protection hidden="1"/>
    </xf>
    <xf numFmtId="0" fontId="0" fillId="0" borderId="0" xfId="0" applyAlignment="1" applyProtection="1">
      <alignment vertical="top" wrapText="1"/>
      <protection hidden="1"/>
    </xf>
    <xf numFmtId="0" fontId="0" fillId="0" borderId="15" xfId="0" applyBorder="1" applyAlignment="1" applyProtection="1">
      <alignment vertical="top" wrapText="1"/>
      <protection hidden="1"/>
    </xf>
    <xf numFmtId="0" fontId="0" fillId="0" borderId="14" xfId="0" applyBorder="1" applyAlignment="1" applyProtection="1">
      <alignment vertical="top" wrapText="1"/>
      <protection hidden="1"/>
    </xf>
    <xf numFmtId="0" fontId="0" fillId="0" borderId="44" xfId="0" applyBorder="1" applyAlignment="1" applyProtection="1">
      <alignment vertical="top" wrapText="1"/>
      <protection hidden="1"/>
    </xf>
    <xf numFmtId="0" fontId="0" fillId="0" borderId="6" xfId="0" applyBorder="1" applyAlignment="1" applyProtection="1">
      <alignment vertical="top" wrapText="1"/>
      <protection hidden="1"/>
    </xf>
    <xf numFmtId="0" fontId="0" fillId="0" borderId="37" xfId="0" applyBorder="1" applyAlignment="1" applyProtection="1">
      <alignment vertical="top" wrapText="1"/>
      <protection hidden="1"/>
    </xf>
    <xf numFmtId="0" fontId="32" fillId="18" borderId="14" xfId="4" applyFont="1" applyFill="1" applyBorder="1" applyAlignment="1" applyProtection="1">
      <alignment horizontal="justify" vertical="center" wrapText="1"/>
      <protection hidden="1"/>
    </xf>
    <xf numFmtId="0" fontId="32" fillId="18" borderId="0" xfId="4" applyFont="1" applyFill="1" applyAlignment="1" applyProtection="1">
      <alignment horizontal="justify" vertical="center" wrapText="1"/>
      <protection hidden="1"/>
    </xf>
    <xf numFmtId="0" fontId="32" fillId="18" borderId="15" xfId="4" applyFont="1" applyFill="1" applyBorder="1" applyAlignment="1" applyProtection="1">
      <alignment horizontal="justify" vertical="center" wrapText="1"/>
      <protection hidden="1"/>
    </xf>
    <xf numFmtId="0" fontId="32" fillId="18" borderId="44" xfId="4" applyFont="1" applyFill="1" applyBorder="1" applyAlignment="1" applyProtection="1">
      <alignment horizontal="justify" vertical="center" wrapText="1"/>
      <protection hidden="1"/>
    </xf>
    <xf numFmtId="0" fontId="32" fillId="18" borderId="6" xfId="4" applyFont="1" applyFill="1" applyBorder="1" applyAlignment="1" applyProtection="1">
      <alignment horizontal="justify" vertical="center" wrapText="1"/>
      <protection hidden="1"/>
    </xf>
    <xf numFmtId="0" fontId="32" fillId="18" borderId="37" xfId="4" applyFont="1" applyFill="1" applyBorder="1" applyAlignment="1" applyProtection="1">
      <alignment horizontal="justify" vertical="center" wrapText="1"/>
      <protection hidden="1"/>
    </xf>
    <xf numFmtId="0" fontId="15" fillId="18" borderId="43" xfId="4" applyFont="1" applyFill="1" applyBorder="1" applyAlignment="1" applyProtection="1">
      <alignment horizontal="left" vertical="center" wrapText="1"/>
      <protection hidden="1"/>
    </xf>
    <xf numFmtId="0" fontId="15" fillId="18" borderId="20" xfId="4" applyFont="1" applyFill="1" applyBorder="1" applyAlignment="1" applyProtection="1">
      <alignment horizontal="left" vertical="center" wrapText="1"/>
      <protection hidden="1"/>
    </xf>
    <xf numFmtId="0" fontId="15" fillId="18" borderId="34" xfId="4" applyFont="1" applyFill="1" applyBorder="1" applyAlignment="1" applyProtection="1">
      <alignment horizontal="left" vertical="center" wrapText="1"/>
      <protection hidden="1"/>
    </xf>
    <xf numFmtId="0" fontId="15" fillId="18" borderId="44" xfId="4" applyFont="1" applyFill="1" applyBorder="1" applyAlignment="1" applyProtection="1">
      <alignment horizontal="left" vertical="center" wrapText="1"/>
      <protection hidden="1"/>
    </xf>
    <xf numFmtId="0" fontId="15" fillId="18" borderId="6" xfId="4" applyFont="1" applyFill="1" applyBorder="1" applyAlignment="1" applyProtection="1">
      <alignment horizontal="left" vertical="center" wrapText="1"/>
      <protection hidden="1"/>
    </xf>
    <xf numFmtId="0" fontId="15" fillId="18" borderId="37" xfId="4" applyFont="1" applyFill="1" applyBorder="1" applyAlignment="1" applyProtection="1">
      <alignment horizontal="left" vertical="center" wrapText="1"/>
      <protection hidden="1"/>
    </xf>
    <xf numFmtId="0" fontId="32" fillId="18" borderId="14" xfId="6" applyFont="1" applyFill="1" applyBorder="1" applyAlignment="1" applyProtection="1">
      <alignment horizontal="justify" vertical="center" wrapText="1"/>
      <protection hidden="1"/>
    </xf>
    <xf numFmtId="0" fontId="32" fillId="18" borderId="0" xfId="6" applyFont="1" applyFill="1" applyAlignment="1" applyProtection="1">
      <alignment horizontal="justify" vertical="center" wrapText="1"/>
      <protection hidden="1"/>
    </xf>
    <xf numFmtId="0" fontId="32" fillId="18" borderId="15" xfId="6" applyFont="1" applyFill="1" applyBorder="1" applyAlignment="1" applyProtection="1">
      <alignment horizontal="justify" vertical="center" wrapText="1"/>
      <protection hidden="1"/>
    </xf>
    <xf numFmtId="0" fontId="32" fillId="18" borderId="44" xfId="6" applyFont="1" applyFill="1" applyBorder="1" applyAlignment="1" applyProtection="1">
      <alignment horizontal="justify" vertical="center" wrapText="1"/>
      <protection hidden="1"/>
    </xf>
    <xf numFmtId="0" fontId="32" fillId="18" borderId="6" xfId="6" applyFont="1" applyFill="1" applyBorder="1" applyAlignment="1" applyProtection="1">
      <alignment horizontal="justify" vertical="center" wrapText="1"/>
      <protection hidden="1"/>
    </xf>
    <xf numFmtId="0" fontId="32" fillId="18" borderId="37" xfId="6" applyFont="1" applyFill="1" applyBorder="1" applyAlignment="1" applyProtection="1">
      <alignment horizontal="justify" vertical="center" wrapText="1"/>
      <protection hidden="1"/>
    </xf>
    <xf numFmtId="0" fontId="15" fillId="18" borderId="43" xfId="6" applyFont="1" applyFill="1" applyBorder="1" applyAlignment="1" applyProtection="1">
      <alignment horizontal="justify" vertical="center" wrapText="1"/>
      <protection hidden="1"/>
    </xf>
    <xf numFmtId="0" fontId="15" fillId="18" borderId="20" xfId="6" applyFont="1" applyFill="1" applyBorder="1" applyAlignment="1" applyProtection="1">
      <alignment horizontal="justify" vertical="center" wrapText="1"/>
      <protection hidden="1"/>
    </xf>
    <xf numFmtId="0" fontId="15" fillId="18" borderId="34" xfId="6" applyFont="1" applyFill="1" applyBorder="1" applyAlignment="1" applyProtection="1">
      <alignment horizontal="justify" vertical="center" wrapText="1"/>
      <protection hidden="1"/>
    </xf>
    <xf numFmtId="0" fontId="15" fillId="18" borderId="44" xfId="6" applyFont="1" applyFill="1" applyBorder="1" applyAlignment="1" applyProtection="1">
      <alignment horizontal="justify" vertical="center" wrapText="1"/>
      <protection hidden="1"/>
    </xf>
    <xf numFmtId="0" fontId="15" fillId="18" borderId="6" xfId="6" applyFont="1" applyFill="1" applyBorder="1" applyAlignment="1" applyProtection="1">
      <alignment horizontal="justify" vertical="center" wrapText="1"/>
      <protection hidden="1"/>
    </xf>
    <xf numFmtId="0" fontId="15" fillId="18" borderId="37" xfId="6" applyFont="1" applyFill="1" applyBorder="1" applyAlignment="1" applyProtection="1">
      <alignment horizontal="justify" vertical="center" wrapText="1"/>
      <protection hidden="1"/>
    </xf>
    <xf numFmtId="0" fontId="15" fillId="18" borderId="43" xfId="4" applyFont="1" applyFill="1" applyBorder="1" applyAlignment="1" applyProtection="1">
      <alignment horizontal="justify" vertical="center" wrapText="1"/>
      <protection hidden="1"/>
    </xf>
    <xf numFmtId="0" fontId="15" fillId="18" borderId="20" xfId="4" applyFont="1" applyFill="1" applyBorder="1" applyAlignment="1" applyProtection="1">
      <alignment horizontal="justify" vertical="center" wrapText="1"/>
      <protection hidden="1"/>
    </xf>
    <xf numFmtId="0" fontId="15" fillId="18" borderId="34" xfId="4" applyFont="1" applyFill="1" applyBorder="1" applyAlignment="1" applyProtection="1">
      <alignment horizontal="justify" vertical="center" wrapText="1"/>
      <protection hidden="1"/>
    </xf>
    <xf numFmtId="0" fontId="15" fillId="18" borderId="44" xfId="4" applyFont="1" applyFill="1" applyBorder="1" applyAlignment="1" applyProtection="1">
      <alignment horizontal="justify" vertical="center" wrapText="1"/>
      <protection hidden="1"/>
    </xf>
    <xf numFmtId="0" fontId="15" fillId="18" borderId="6" xfId="4" applyFont="1" applyFill="1" applyBorder="1" applyAlignment="1" applyProtection="1">
      <alignment horizontal="justify" vertical="center" wrapText="1"/>
      <protection hidden="1"/>
    </xf>
    <xf numFmtId="0" fontId="15" fillId="18" borderId="37" xfId="4" applyFont="1" applyFill="1" applyBorder="1" applyAlignment="1" applyProtection="1">
      <alignment horizontal="justify" vertical="center" wrapText="1"/>
      <protection hidden="1"/>
    </xf>
    <xf numFmtId="0" fontId="15" fillId="18" borderId="14" xfId="7" applyFont="1" applyFill="1" applyBorder="1" applyAlignment="1" applyProtection="1">
      <alignment horizontal="justify" vertical="center" wrapText="1"/>
      <protection hidden="1"/>
    </xf>
    <xf numFmtId="0" fontId="15" fillId="18" borderId="0" xfId="7" applyFont="1" applyFill="1" applyAlignment="1" applyProtection="1">
      <alignment horizontal="justify" vertical="center" wrapText="1"/>
      <protection hidden="1"/>
    </xf>
    <xf numFmtId="0" fontId="15" fillId="18" borderId="15" xfId="7" applyFont="1" applyFill="1" applyBorder="1" applyAlignment="1" applyProtection="1">
      <alignment horizontal="justify" vertical="center" wrapText="1"/>
      <protection hidden="1"/>
    </xf>
    <xf numFmtId="0" fontId="15" fillId="18" borderId="14" xfId="6" applyFont="1" applyFill="1" applyBorder="1" applyAlignment="1" applyProtection="1">
      <alignment horizontal="center" vertical="center" wrapText="1"/>
      <protection hidden="1"/>
    </xf>
    <xf numFmtId="0" fontId="15" fillId="18" borderId="0" xfId="6" applyFont="1" applyFill="1" applyAlignment="1" applyProtection="1">
      <alignment horizontal="center" vertical="center" wrapText="1"/>
      <protection hidden="1"/>
    </xf>
    <xf numFmtId="0" fontId="15" fillId="18" borderId="15" xfId="6" applyFont="1" applyFill="1" applyBorder="1" applyAlignment="1" applyProtection="1">
      <alignment horizontal="center" vertical="center" wrapText="1"/>
      <protection hidden="1"/>
    </xf>
    <xf numFmtId="0" fontId="34" fillId="18" borderId="14" xfId="6" applyFont="1" applyFill="1" applyBorder="1" applyAlignment="1" applyProtection="1">
      <alignment horizontal="center" vertical="center" wrapText="1"/>
      <protection hidden="1"/>
    </xf>
    <xf numFmtId="0" fontId="34" fillId="18" borderId="0" xfId="6" applyFont="1" applyFill="1" applyAlignment="1" applyProtection="1">
      <alignment horizontal="center" vertical="center" wrapText="1"/>
      <protection hidden="1"/>
    </xf>
    <xf numFmtId="0" fontId="34" fillId="18" borderId="15" xfId="6" applyFont="1" applyFill="1" applyBorder="1" applyAlignment="1" applyProtection="1">
      <alignment horizontal="center" vertical="center" wrapText="1"/>
      <protection hidden="1"/>
    </xf>
    <xf numFmtId="22" fontId="43" fillId="18" borderId="14" xfId="6" quotePrefix="1" applyNumberFormat="1" applyFont="1" applyFill="1" applyBorder="1" applyAlignment="1" applyProtection="1">
      <alignment horizontal="center" vertical="center" wrapText="1"/>
      <protection hidden="1"/>
    </xf>
    <xf numFmtId="0" fontId="43" fillId="18" borderId="0" xfId="6" applyFont="1" applyFill="1" applyAlignment="1" applyProtection="1">
      <alignment horizontal="center" vertical="center" wrapText="1"/>
      <protection hidden="1"/>
    </xf>
    <xf numFmtId="0" fontId="43" fillId="18" borderId="15" xfId="6" applyFont="1" applyFill="1" applyBorder="1" applyAlignment="1" applyProtection="1">
      <alignment horizontal="center" vertical="center" wrapText="1"/>
      <protection hidden="1"/>
    </xf>
    <xf numFmtId="0" fontId="32" fillId="0" borderId="14" xfId="7" applyFont="1" applyBorder="1" applyAlignment="1" applyProtection="1">
      <alignment horizontal="center" vertical="center" wrapText="1"/>
      <protection hidden="1"/>
    </xf>
    <xf numFmtId="0" fontId="32" fillId="0" borderId="0" xfId="7" applyFont="1" applyAlignment="1" applyProtection="1">
      <alignment horizontal="center" vertical="center" wrapText="1"/>
      <protection hidden="1"/>
    </xf>
    <xf numFmtId="0" fontId="32" fillId="0" borderId="15" xfId="7" applyFont="1" applyBorder="1" applyAlignment="1" applyProtection="1">
      <alignment horizontal="center" vertical="center" wrapText="1"/>
      <protection hidden="1"/>
    </xf>
    <xf numFmtId="0" fontId="15" fillId="0" borderId="14" xfId="7" applyFont="1" applyBorder="1" applyAlignment="1" applyProtection="1">
      <alignment horizontal="justify" vertical="center" wrapText="1"/>
      <protection hidden="1"/>
    </xf>
    <xf numFmtId="0" fontId="15" fillId="0" borderId="0" xfId="7" applyFont="1" applyAlignment="1" applyProtection="1">
      <alignment horizontal="justify" vertical="center" wrapText="1"/>
      <protection hidden="1"/>
    </xf>
    <xf numFmtId="0" fontId="15" fillId="0" borderId="15" xfId="7" applyFont="1" applyBorder="1" applyAlignment="1" applyProtection="1">
      <alignment horizontal="justify" vertical="center" wrapText="1"/>
      <protection hidden="1"/>
    </xf>
    <xf numFmtId="0" fontId="13" fillId="0" borderId="33" xfId="10" applyFont="1" applyBorder="1" applyAlignment="1" applyProtection="1">
      <alignment horizontal="justify" vertical="center" wrapText="1"/>
      <protection hidden="1"/>
    </xf>
    <xf numFmtId="0" fontId="13" fillId="0" borderId="4" xfId="10" applyFont="1" applyBorder="1" applyAlignment="1" applyProtection="1">
      <alignment horizontal="justify" vertical="center" wrapText="1"/>
      <protection hidden="1"/>
    </xf>
    <xf numFmtId="0" fontId="13" fillId="0" borderId="38" xfId="10" applyFont="1" applyBorder="1" applyAlignment="1" applyProtection="1">
      <alignment horizontal="justify" vertical="center" wrapText="1"/>
      <protection hidden="1"/>
    </xf>
    <xf numFmtId="0" fontId="42" fillId="18" borderId="44" xfId="6" applyFont="1" applyFill="1" applyBorder="1" applyAlignment="1" applyProtection="1">
      <alignment horizontal="center" vertical="center" wrapText="1"/>
      <protection hidden="1"/>
    </xf>
    <xf numFmtId="0" fontId="42" fillId="18" borderId="6" xfId="6" applyFont="1" applyFill="1" applyBorder="1" applyAlignment="1" applyProtection="1">
      <alignment horizontal="center" vertical="center" wrapText="1"/>
      <protection hidden="1"/>
    </xf>
    <xf numFmtId="0" fontId="42" fillId="18" borderId="37" xfId="6" applyFont="1" applyFill="1" applyBorder="1" applyAlignment="1" applyProtection="1">
      <alignment horizontal="center" vertical="center" wrapText="1"/>
      <protection hidden="1"/>
    </xf>
    <xf numFmtId="0" fontId="15" fillId="18" borderId="43" xfId="6" applyFont="1" applyFill="1" applyBorder="1" applyAlignment="1" applyProtection="1">
      <alignment horizontal="center" vertical="center" wrapText="1"/>
      <protection hidden="1"/>
    </xf>
    <xf numFmtId="0" fontId="15" fillId="18" borderId="20" xfId="6" applyFont="1" applyFill="1" applyBorder="1" applyAlignment="1" applyProtection="1">
      <alignment horizontal="center" vertical="center" wrapText="1"/>
      <protection hidden="1"/>
    </xf>
    <xf numFmtId="0" fontId="15" fillId="18" borderId="34" xfId="6" applyFont="1" applyFill="1" applyBorder="1" applyAlignment="1" applyProtection="1">
      <alignment horizontal="center" vertical="center" wrapText="1"/>
      <protection hidden="1"/>
    </xf>
    <xf numFmtId="0" fontId="15" fillId="0" borderId="14" xfId="0" applyFont="1" applyBorder="1" applyAlignment="1" applyProtection="1">
      <alignment horizontal="center"/>
      <protection hidden="1"/>
    </xf>
    <xf numFmtId="0" fontId="15" fillId="0" borderId="0" xfId="0" applyFont="1" applyAlignment="1" applyProtection="1">
      <alignment horizontal="center"/>
      <protection hidden="1"/>
    </xf>
    <xf numFmtId="0" fontId="15" fillId="0" borderId="15" xfId="0" applyFont="1" applyBorder="1" applyAlignment="1" applyProtection="1">
      <alignment horizontal="center"/>
      <protection hidden="1"/>
    </xf>
    <xf numFmtId="22" fontId="46" fillId="0" borderId="14" xfId="6" applyNumberFormat="1" applyFont="1" applyBorder="1" applyAlignment="1" applyProtection="1">
      <alignment horizontal="center" vertical="center" wrapText="1"/>
      <protection hidden="1"/>
    </xf>
    <xf numFmtId="22" fontId="46" fillId="0" borderId="0" xfId="6" applyNumberFormat="1" applyFont="1" applyAlignment="1" applyProtection="1">
      <alignment horizontal="center" vertical="center" wrapText="1"/>
      <protection hidden="1"/>
    </xf>
    <xf numFmtId="22" fontId="46" fillId="0" borderId="15" xfId="6" applyNumberFormat="1" applyFont="1" applyBorder="1" applyAlignment="1" applyProtection="1">
      <alignment horizontal="center" vertical="center" wrapText="1"/>
      <protection hidden="1"/>
    </xf>
    <xf numFmtId="0" fontId="15" fillId="0" borderId="16" xfId="0" applyFont="1" applyBorder="1" applyAlignment="1" applyProtection="1">
      <alignment horizontal="center"/>
      <protection hidden="1"/>
    </xf>
    <xf numFmtId="0" fontId="15" fillId="0" borderId="17" xfId="0" applyFont="1" applyBorder="1" applyAlignment="1" applyProtection="1">
      <alignment horizontal="center"/>
      <protection hidden="1"/>
    </xf>
    <xf numFmtId="0" fontId="15" fillId="0" borderId="10" xfId="0" applyFont="1" applyBorder="1" applyAlignment="1" applyProtection="1">
      <alignment horizontal="center"/>
      <protection hidden="1"/>
    </xf>
    <xf numFmtId="0" fontId="0" fillId="0" borderId="0" xfId="0" applyAlignment="1">
      <alignment horizontal="center"/>
    </xf>
  </cellXfs>
  <cellStyles count="12">
    <cellStyle name="Heading 1 2" xfId="5" xr:uid="{C3B8F2A4-4F19-456F-8D0F-0897D03BE2AF}"/>
    <cellStyle name="Hipervínculo_Oferta Vinculante Apoyo Infonavit 030610" xfId="11" xr:uid="{32E380F4-2D4F-4046-BCC7-8E6F5E33DA38}"/>
    <cellStyle name="Millares" xfId="1" builtinId="3"/>
    <cellStyle name="Moneda" xfId="2" builtinId="4"/>
    <cellStyle name="Moneda 2 2" xfId="9" xr:uid="{6ED2ADB7-EBCB-4CA6-BE0E-466C353DD629}"/>
    <cellStyle name="Normal" xfId="0" builtinId="0"/>
    <cellStyle name="Normal 2" xfId="10" xr:uid="{FE8ED069-80A3-4FD9-9364-C0FF26A237AC}"/>
    <cellStyle name="Normal 2 2" xfId="4" xr:uid="{87E1983B-5CE0-4333-AC14-710C133388DF}"/>
    <cellStyle name="Normal_COTIZADOR HIPOTECARIO 270503" xfId="7" xr:uid="{5D26E1A2-B3BF-47CD-A89B-7D6649EDCD72}"/>
    <cellStyle name="Normal_COTIZADOR HIPOTECARIO 270503_Oferta Vinculante Apoyo Infonavit 030610" xfId="6" xr:uid="{37CDAB59-5D66-47D0-9F5A-4563421CB77B}"/>
    <cellStyle name="Porcentaje" xfId="3" builtinId="5"/>
    <cellStyle name="Porcentual 2 2" xfId="8" xr:uid="{F01FE62E-7134-4189-B260-A75739F61185}"/>
  </cellStyles>
  <dxfs count="19">
    <dxf>
      <font>
        <color theme="0" tint="-0.499984740745262"/>
      </font>
    </dxf>
    <dxf>
      <border>
        <left style="thin">
          <color indexed="64"/>
        </left>
        <right style="thin">
          <color indexed="64"/>
        </right>
        <top style="thin">
          <color indexed="64"/>
        </top>
        <bottom style="thin">
          <color indexed="64"/>
        </bottom>
      </border>
    </dxf>
    <dxf>
      <font>
        <color auto="1"/>
      </font>
    </dxf>
    <dxf>
      <fill>
        <patternFill patternType="none">
          <bgColor auto="1"/>
        </patternFill>
      </fill>
      <border>
        <left style="hair">
          <color auto="1"/>
        </left>
        <right style="hair">
          <color auto="1"/>
        </right>
        <top style="hair">
          <color auto="1"/>
        </top>
        <bottom style="hair">
          <color auto="1"/>
        </bottom>
        <vertical/>
        <horizontal/>
      </border>
    </dxf>
    <dxf>
      <fill>
        <patternFill patternType="none">
          <bgColor auto="1"/>
        </patternFill>
      </fill>
      <border>
        <left style="hair">
          <color auto="1"/>
        </left>
        <right style="hair">
          <color auto="1"/>
        </right>
        <top style="hair">
          <color auto="1"/>
        </top>
        <bottom style="hair">
          <color auto="1"/>
        </bottom>
        <vertical/>
        <horizontal/>
      </border>
    </dxf>
    <dxf>
      <fill>
        <patternFill patternType="none">
          <bgColor auto="1"/>
        </patternFill>
      </fill>
      <border>
        <left style="hair">
          <color auto="1"/>
        </left>
        <right style="hair">
          <color auto="1"/>
        </right>
        <top style="hair">
          <color auto="1"/>
        </top>
        <bottom style="hair">
          <color auto="1"/>
        </bottom>
        <vertical/>
        <horizontal/>
      </border>
    </dxf>
    <dxf>
      <fill>
        <patternFill patternType="none">
          <bgColor auto="1"/>
        </patternFill>
      </fill>
      <border>
        <left style="hair">
          <color auto="1"/>
        </left>
        <right style="hair">
          <color auto="1"/>
        </right>
        <top style="hair">
          <color auto="1"/>
        </top>
        <bottom style="hair">
          <color auto="1"/>
        </bottom>
        <vertical/>
        <horizontal/>
      </border>
    </dxf>
    <dxf>
      <fill>
        <patternFill patternType="none">
          <bgColor auto="1"/>
        </patternFill>
      </fill>
      <border>
        <left style="hair">
          <color auto="1"/>
        </left>
        <right style="hair">
          <color auto="1"/>
        </right>
        <top style="hair">
          <color auto="1"/>
        </top>
        <bottom style="hair">
          <color auto="1"/>
        </bottom>
        <vertical/>
        <horizontal/>
      </border>
    </dxf>
    <dxf>
      <fill>
        <patternFill>
          <bgColor theme="0" tint="-0.24994659260841701"/>
        </patternFill>
      </fill>
    </dxf>
    <dxf>
      <fill>
        <patternFill patternType="none">
          <bgColor auto="1"/>
        </patternFill>
      </fill>
      <border>
        <left style="hair">
          <color auto="1"/>
        </left>
        <right style="hair">
          <color auto="1"/>
        </right>
        <top style="hair">
          <color auto="1"/>
        </top>
        <bottom style="hair">
          <color auto="1"/>
        </bottom>
        <vertical/>
        <horizontal/>
      </border>
    </dxf>
    <dxf>
      <fill>
        <patternFill patternType="none">
          <bgColor auto="1"/>
        </patternFill>
      </fill>
      <border>
        <left style="hair">
          <color auto="1"/>
        </left>
        <right style="hair">
          <color auto="1"/>
        </right>
        <top style="hair">
          <color auto="1"/>
        </top>
        <bottom style="hair">
          <color auto="1"/>
        </bottom>
        <vertical/>
        <horizontal/>
      </border>
    </dxf>
    <dxf>
      <fill>
        <patternFill patternType="none">
          <bgColor auto="1"/>
        </patternFill>
      </fill>
      <border>
        <left style="hair">
          <color auto="1"/>
        </left>
        <right style="hair">
          <color auto="1"/>
        </right>
        <top style="hair">
          <color auto="1"/>
        </top>
        <bottom style="hair">
          <color auto="1"/>
        </bottom>
        <vertical/>
        <horizontal/>
      </border>
    </dxf>
    <dxf>
      <fill>
        <patternFill patternType="none">
          <bgColor auto="1"/>
        </patternFill>
      </fill>
      <border>
        <left style="hair">
          <color auto="1"/>
        </left>
        <right style="hair">
          <color auto="1"/>
        </right>
        <top style="hair">
          <color auto="1"/>
        </top>
        <bottom style="hair">
          <color auto="1"/>
        </bottom>
        <vertical/>
        <horizontal/>
      </border>
    </dxf>
    <dxf>
      <fill>
        <patternFill patternType="none">
          <bgColor auto="1"/>
        </patternFill>
      </fill>
      <border>
        <left style="hair">
          <color auto="1"/>
        </left>
        <right style="hair">
          <color auto="1"/>
        </right>
        <top style="hair">
          <color auto="1"/>
        </top>
        <bottom style="hair">
          <color auto="1"/>
        </bottom>
        <vertical/>
        <horizontal/>
      </border>
    </dxf>
    <dxf>
      <fill>
        <patternFill patternType="none">
          <bgColor auto="1"/>
        </patternFill>
      </fill>
      <border>
        <left style="hair">
          <color auto="1"/>
        </left>
        <right style="hair">
          <color auto="1"/>
        </right>
        <top style="hair">
          <color auto="1"/>
        </top>
        <bottom style="hair">
          <color auto="1"/>
        </bottom>
        <vertical/>
        <horizontal/>
      </border>
    </dxf>
    <dxf>
      <fill>
        <patternFill patternType="none">
          <bgColor auto="1"/>
        </patternFill>
      </fill>
      <border>
        <left style="hair">
          <color auto="1"/>
        </left>
        <right style="hair">
          <color auto="1"/>
        </right>
        <top style="hair">
          <color auto="1"/>
        </top>
        <bottom style="hair">
          <color auto="1"/>
        </bottom>
        <vertical/>
        <horizontal/>
      </border>
    </dxf>
    <dxf>
      <font>
        <color rgb="FFFF0000"/>
      </font>
      <fill>
        <patternFill>
          <bgColor rgb="FFFF0000"/>
        </patternFill>
      </fill>
    </dxf>
    <dxf>
      <font>
        <color theme="1"/>
      </font>
      <fill>
        <patternFill>
          <bgColor theme="0" tint="-0.24994659260841701"/>
        </patternFill>
      </fill>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xdr:col>
      <xdr:colOff>201083</xdr:colOff>
      <xdr:row>0</xdr:row>
      <xdr:rowOff>116418</xdr:rowOff>
    </xdr:from>
    <xdr:to>
      <xdr:col>4</xdr:col>
      <xdr:colOff>186267</xdr:colOff>
      <xdr:row>2</xdr:row>
      <xdr:rowOff>112185</xdr:rowOff>
    </xdr:to>
    <xdr:pic>
      <xdr:nvPicPr>
        <xdr:cNvPr id="2" name="Imagen 1">
          <a:extLst>
            <a:ext uri="{FF2B5EF4-FFF2-40B4-BE49-F238E27FC236}">
              <a16:creationId xmlns:a16="http://schemas.microsoft.com/office/drawing/2014/main" id="{D5793597-107B-B007-CB07-910F9708B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4000" y="116418"/>
          <a:ext cx="2116667" cy="349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69272</xdr:colOff>
      <xdr:row>0</xdr:row>
      <xdr:rowOff>95251</xdr:rowOff>
    </xdr:from>
    <xdr:to>
      <xdr:col>1</xdr:col>
      <xdr:colOff>1272887</xdr:colOff>
      <xdr:row>2</xdr:row>
      <xdr:rowOff>77932</xdr:rowOff>
    </xdr:to>
    <xdr:pic>
      <xdr:nvPicPr>
        <xdr:cNvPr id="2" name="3 Imagen" descr="C:\Users\a8030769\AppData\Local\Microsoft\Windows\Temporary Internet Files\Content.Outlook\VI5VLAAI\Logo Banorte (2).jpg">
          <a:extLst>
            <a:ext uri="{FF2B5EF4-FFF2-40B4-BE49-F238E27FC236}">
              <a16:creationId xmlns:a16="http://schemas.microsoft.com/office/drawing/2014/main" id="{E1C7A833-4F9F-4059-B238-D32B3E018E55}"/>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603" t="25424" r="5817" b="22881"/>
        <a:stretch/>
      </xdr:blipFill>
      <xdr:spPr bwMode="auto">
        <a:xfrm>
          <a:off x="186747" y="95251"/>
          <a:ext cx="1200440" cy="274781"/>
        </a:xfrm>
        <a:prstGeom prst="rect">
          <a:avLst/>
        </a:prstGeom>
        <a:noFill/>
        <a:ln>
          <a:noFill/>
        </a:ln>
        <a:extLst>
          <a:ext uri="{53640926-AAD7-44D8-BBD7-CCE9431645EC}">
            <a14:shadowObscured xmlns:a14="http://schemas.microsoft.com/office/drawing/2010/main"/>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Job\Simulador%20Hipotecario\22102024_Simulador_Universal_Hipotecario_Fuente.xlsm" TargetMode="External"/><Relationship Id="rId1" Type="http://schemas.openxmlformats.org/officeDocument/2006/relationships/externalLinkPath" Target="file:///D:\Job\Simulador%20Hipotecario\22102024_Simulador_Universal_Hipotecario_Fuente.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Perfil%20C%202019\Desktop\Universal%20-%20Fuente%20191119%20Nuevas%20tasas.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imulador"/>
      <sheetName val="COFINAVIT"/>
      <sheetName val="Sheet1"/>
      <sheetName val="Tabla Parámetros"/>
      <sheetName val="Estados y Datos Notariales"/>
      <sheetName val="Tabla Notaría"/>
      <sheetName val="Notariales"/>
      <sheetName val="Tabla Fijos"/>
      <sheetName val="Tabla de Pagos Crecientes"/>
      <sheetName val="Oferta Vinculante"/>
      <sheetName val="Aforos"/>
      <sheetName val="Pago x mil"/>
      <sheetName val="Fecha Pago"/>
      <sheetName val="CAT"/>
      <sheetName val="CAT Flujo Cero"/>
      <sheetName val="Tabla Fijos CAT"/>
      <sheetName val="Tabla Construcción Fijos"/>
      <sheetName val="Tabla Construcción Fijos CAT"/>
      <sheetName val="Tabla Construcción Crecientes"/>
      <sheetName val="Tabla Construcción CAT crecient"/>
      <sheetName val="CVTO Crecientes"/>
      <sheetName val="CVTO Fijos"/>
      <sheetName val="Ecotecnologias"/>
      <sheetName val="AportPat"/>
      <sheetName val="Tabla de Incrementos"/>
      <sheetName val="Fovissste"/>
      <sheetName val="AportPatFov"/>
    </sheetNames>
    <sheetDataSet>
      <sheetData sheetId="0">
        <row r="7">
          <cell r="F7">
            <v>45595</v>
          </cell>
        </row>
        <row r="9">
          <cell r="F9" t="str">
            <v>Adquisición</v>
          </cell>
        </row>
        <row r="11">
          <cell r="F11" t="str">
            <v>Hipoteca Fuerte</v>
          </cell>
        </row>
        <row r="15">
          <cell r="N15">
            <v>0.01</v>
          </cell>
        </row>
        <row r="17">
          <cell r="N17" t="str">
            <v>NO</v>
          </cell>
        </row>
        <row r="19">
          <cell r="F19">
            <v>240</v>
          </cell>
        </row>
      </sheetData>
      <sheetData sheetId="1" refreshError="1"/>
      <sheetData sheetId="2" refreshError="1"/>
      <sheetData sheetId="3">
        <row r="4">
          <cell r="O4" t="str">
            <v>Más por Menos</v>
          </cell>
        </row>
        <row r="7">
          <cell r="J7" t="str">
            <v>Construcción</v>
          </cell>
        </row>
        <row r="8">
          <cell r="J8" t="str">
            <v>Terreno_más_Construcción</v>
          </cell>
        </row>
        <row r="9">
          <cell r="J9" t="str">
            <v>Compra_Venta_Termino_Obra</v>
          </cell>
        </row>
        <row r="11">
          <cell r="J11" t="str">
            <v>Terreno_Urbanizado</v>
          </cell>
        </row>
        <row r="90">
          <cell r="Q90">
            <v>2.5</v>
          </cell>
        </row>
      </sheetData>
      <sheetData sheetId="4" refreshError="1"/>
      <sheetData sheetId="5" refreshError="1"/>
      <sheetData sheetId="6" refreshError="1"/>
      <sheetData sheetId="7">
        <row r="4">
          <cell r="J4">
            <v>299</v>
          </cell>
        </row>
      </sheetData>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_Consola"/>
      <sheetName val="CA_Servicios"/>
      <sheetName val="Variantes"/>
      <sheetName val="Datos Generales"/>
      <sheetName val="Datos Tasas"/>
      <sheetName val="Datos Notariales"/>
      <sheetName val="Datos Promociones"/>
      <sheetName val="PASO1"/>
      <sheetName val="PASO2"/>
      <sheetName val="PASO3"/>
      <sheetName val="PASO3a"/>
      <sheetName val="PASO5"/>
      <sheetName val="PASO6"/>
      <sheetName val="PasoSeguros"/>
      <sheetName val="PasoValorDestructible"/>
      <sheetName val="PASO6 APOYO"/>
      <sheetName val="PASO6 COFINAVIT"/>
      <sheetName val="PASO6 FOVISSSTE"/>
      <sheetName val="PASO7 TRAD"/>
      <sheetName val="PasoTasas"/>
      <sheetName val="PasoTasas.Helper"/>
      <sheetName val="Cotización"/>
      <sheetName val="Tabla Cliente"/>
      <sheetName val="Tabla Notaría"/>
      <sheetName val="Oferta Vinculante"/>
      <sheetName val="Promo Activa"/>
      <sheetName val="Aclaraciones"/>
      <sheetName val="Etiquetas"/>
      <sheetName val="Crédito Banorte"/>
      <sheetName val="Tipo_Seguro"/>
      <sheetName val="Pass-Throughs"/>
      <sheetName val="NotasNumeradasOV"/>
      <sheetName val="CAT Flujo Cero"/>
      <sheetName val="CAT Apoyo Infonavit"/>
      <sheetName val="CAT Construcción"/>
      <sheetName val="CAT Pagos Crecientes"/>
      <sheetName val="CAT Tabla Tradicional"/>
      <sheetName val="Comisiones"/>
      <sheetName val="Cofinavit Ingresos Adicionales"/>
      <sheetName val="Destinos"/>
      <sheetName val="DondeCotiza"/>
      <sheetName val="Esquema Especial"/>
      <sheetName val="Fecha Pago"/>
      <sheetName val="COMISIÓN_AVALÚO"/>
      <sheetName val="Gastos Iniciales"/>
      <sheetName val="GASNOT GLUE"/>
      <sheetName val="GASNOT"/>
      <sheetName val="GASNOT.Tarifa"/>
      <sheetName val="IVA"/>
      <sheetName val="Layout"/>
      <sheetName val="Pago Creciente"/>
      <sheetName val="Pagos Anticipados"/>
      <sheetName val="Productos"/>
      <sheetName val="PROPS_MXM"/>
      <sheetName val="TASAS_FUERTE"/>
      <sheetName val="Plazos"/>
      <sheetName val="Rango de Vivienda"/>
      <sheetName val="Salida Cotización"/>
      <sheetName val="Combo_CAT_Remanente"/>
      <sheetName val="Tabla Not Apoyo Infonavit"/>
      <sheetName val="Tabla Not Pagos Crecientes"/>
      <sheetName val="Tabla Not Tradicional"/>
      <sheetName val="Tabla Apoyo Infonavit"/>
      <sheetName val="Tabla Pagos Crecientes"/>
      <sheetName val="Tabla Tradicional"/>
      <sheetName val="Tasa Inicial"/>
      <sheetName val="Tasas"/>
      <sheetName val="Tipo de Crédito"/>
      <sheetName val="Tipo de Simulación"/>
      <sheetName val="UDIS y SM"/>
      <sheetName val="Validaciones"/>
      <sheetName val="Ajustes Subrogación"/>
      <sheetName val="Promos"/>
      <sheetName val="CMS STATE"/>
    </sheetNames>
    <definedNames>
      <definedName name="o.Leyenda_OV_Seguros_Daños" refersTo="='Tipo_Seguro'!$N$18" sheetId="29"/>
      <definedName name="o.Leyenda_Vida" refersTo="='Tipo_Seguro'!$N$16" sheetId="29"/>
    </definedNames>
    <sheetDataSet>
      <sheetData sheetId="0"/>
      <sheetData sheetId="1"/>
      <sheetData sheetId="2">
        <row r="2">
          <cell r="A2" t="str">
            <v>Promoción General</v>
          </cell>
        </row>
      </sheetData>
      <sheetData sheetId="3">
        <row r="2">
          <cell r="B2" t="str">
            <v>Aguascalientes</v>
          </cell>
        </row>
      </sheetData>
      <sheetData sheetId="4"/>
      <sheetData sheetId="5"/>
      <sheetData sheetId="6"/>
      <sheetData sheetId="7"/>
      <sheetData sheetId="8"/>
      <sheetData sheetId="9"/>
      <sheetData sheetId="10"/>
      <sheetData sheetId="11"/>
      <sheetData sheetId="12"/>
      <sheetData sheetId="13">
        <row r="4">
          <cell r="N4" t="str">
            <v>Banorte</v>
          </cell>
        </row>
      </sheetData>
      <sheetData sheetId="14">
        <row r="9">
          <cell r="H9" t="e">
            <v>#VALUE!</v>
          </cell>
        </row>
      </sheetData>
      <sheetData sheetId="15">
        <row r="5">
          <cell r="M5" t="e">
            <v>#N/A</v>
          </cell>
        </row>
      </sheetData>
      <sheetData sheetId="16">
        <row r="9">
          <cell r="F9" t="e">
            <v>#N/A</v>
          </cell>
        </row>
      </sheetData>
      <sheetData sheetId="17">
        <row r="9">
          <cell r="F9" t="e">
            <v>#N/A</v>
          </cell>
        </row>
      </sheetData>
      <sheetData sheetId="18">
        <row r="6">
          <cell r="O6" t="e">
            <v>#N/A</v>
          </cell>
        </row>
      </sheetData>
      <sheetData sheetId="19"/>
      <sheetData sheetId="20">
        <row r="5">
          <cell r="K5">
            <v>1</v>
          </cell>
        </row>
      </sheetData>
      <sheetData sheetId="21">
        <row r="12">
          <cell r="D12" t="str">
            <v>Sin Selección
(Sin Selección)</v>
          </cell>
        </row>
        <row r="89">
          <cell r="B89" t="str">
            <v/>
          </cell>
        </row>
        <row r="209">
          <cell r="D209" t="e">
            <v>#VALUE!</v>
          </cell>
        </row>
      </sheetData>
      <sheetData sheetId="22">
        <row r="25">
          <cell r="Y25" t="e">
            <v>#NUM!</v>
          </cell>
        </row>
      </sheetData>
      <sheetData sheetId="23"/>
      <sheetData sheetId="24"/>
      <sheetData sheetId="25"/>
      <sheetData sheetId="26">
        <row r="6">
          <cell r="B6" t="b">
            <v>0</v>
          </cell>
        </row>
      </sheetData>
      <sheetData sheetId="27">
        <row r="4">
          <cell r="A4" t="str">
            <v>Etiqueta</v>
          </cell>
        </row>
      </sheetData>
      <sheetData sheetId="28">
        <row r="2">
          <cell r="D2">
            <v>0</v>
          </cell>
        </row>
      </sheetData>
      <sheetData sheetId="29">
        <row r="7">
          <cell r="D7">
            <v>1</v>
          </cell>
        </row>
        <row r="16">
          <cell r="N16" t="str">
            <v>Seguro de Vida, Enfermedades Graves y Momentos de Vida.</v>
          </cell>
        </row>
        <row r="18">
          <cell r="N18" t="str">
            <v>Daños y Contenidos.</v>
          </cell>
        </row>
      </sheetData>
      <sheetData sheetId="30">
        <row r="12">
          <cell r="B12" t="str">
            <v>No</v>
          </cell>
        </row>
      </sheetData>
      <sheetData sheetId="31">
        <row r="5">
          <cell r="A5">
            <v>1</v>
          </cell>
        </row>
      </sheetData>
      <sheetData sheetId="32"/>
      <sheetData sheetId="33">
        <row r="6">
          <cell r="Q6" t="e">
            <v>#VALUE!</v>
          </cell>
        </row>
      </sheetData>
      <sheetData sheetId="34">
        <row r="6">
          <cell r="Q6" t="e">
            <v>#VALUE!</v>
          </cell>
        </row>
      </sheetData>
      <sheetData sheetId="35">
        <row r="6">
          <cell r="Q6" t="e">
            <v>#VALUE!</v>
          </cell>
        </row>
      </sheetData>
      <sheetData sheetId="36">
        <row r="6">
          <cell r="Q6" t="e">
            <v>#VALUE!</v>
          </cell>
        </row>
      </sheetData>
      <sheetData sheetId="37">
        <row r="1">
          <cell r="B1">
            <v>2</v>
          </cell>
        </row>
      </sheetData>
      <sheetData sheetId="38">
        <row r="1">
          <cell r="B1" t="str">
            <v>N.A.</v>
          </cell>
        </row>
      </sheetData>
      <sheetData sheetId="39">
        <row r="4">
          <cell r="A4">
            <v>0</v>
          </cell>
        </row>
        <row r="16">
          <cell r="N16" t="b">
            <v>0</v>
          </cell>
        </row>
      </sheetData>
      <sheetData sheetId="40">
        <row r="3">
          <cell r="B3">
            <v>1</v>
          </cell>
        </row>
      </sheetData>
      <sheetData sheetId="41">
        <row r="1">
          <cell r="B1" t="str">
            <v/>
          </cell>
        </row>
      </sheetData>
      <sheetData sheetId="42">
        <row r="1">
          <cell r="J1">
            <v>0</v>
          </cell>
        </row>
      </sheetData>
      <sheetData sheetId="43">
        <row r="4">
          <cell r="I4" t="e">
            <v>#VALUE!</v>
          </cell>
        </row>
      </sheetData>
      <sheetData sheetId="44">
        <row r="8">
          <cell r="A8">
            <v>1</v>
          </cell>
        </row>
      </sheetData>
      <sheetData sheetId="45">
        <row r="6">
          <cell r="B6">
            <v>29</v>
          </cell>
        </row>
      </sheetData>
      <sheetData sheetId="46"/>
      <sheetData sheetId="47"/>
      <sheetData sheetId="48">
        <row r="4">
          <cell r="A4">
            <v>1</v>
          </cell>
        </row>
      </sheetData>
      <sheetData sheetId="49">
        <row r="3">
          <cell r="AF3">
            <v>1000000</v>
          </cell>
        </row>
        <row r="16">
          <cell r="N16">
            <v>0</v>
          </cell>
        </row>
        <row r="18">
          <cell r="N18">
            <v>0</v>
          </cell>
        </row>
      </sheetData>
      <sheetData sheetId="50">
        <row r="1">
          <cell r="A1">
            <v>10</v>
          </cell>
        </row>
      </sheetData>
      <sheetData sheetId="51">
        <row r="1">
          <cell r="A1">
            <v>1</v>
          </cell>
        </row>
      </sheetData>
      <sheetData sheetId="52">
        <row r="4">
          <cell r="A4">
            <v>0</v>
          </cell>
        </row>
      </sheetData>
      <sheetData sheetId="53"/>
      <sheetData sheetId="54"/>
      <sheetData sheetId="55">
        <row r="5">
          <cell r="L5" t="e">
            <v>#N/A</v>
          </cell>
        </row>
      </sheetData>
      <sheetData sheetId="56">
        <row r="3">
          <cell r="B3">
            <v>1000000</v>
          </cell>
        </row>
      </sheetData>
      <sheetData sheetId="57">
        <row r="3">
          <cell r="D3" t="e">
            <v>#VALUE!</v>
          </cell>
        </row>
      </sheetData>
      <sheetData sheetId="58"/>
      <sheetData sheetId="59"/>
      <sheetData sheetId="60"/>
      <sheetData sheetId="61"/>
      <sheetData sheetId="62"/>
      <sheetData sheetId="63"/>
      <sheetData sheetId="64">
        <row r="4">
          <cell r="S4" t="e">
            <v>#VALUE!</v>
          </cell>
        </row>
      </sheetData>
      <sheetData sheetId="65"/>
      <sheetData sheetId="66">
        <row r="4">
          <cell r="N4" t="e">
            <v>#N/A</v>
          </cell>
        </row>
        <row r="16">
          <cell r="N16" t="e">
            <v>#N/A</v>
          </cell>
        </row>
        <row r="18">
          <cell r="N18" t="e">
            <v>#N/A</v>
          </cell>
        </row>
      </sheetData>
      <sheetData sheetId="67">
        <row r="1">
          <cell r="A1">
            <v>2</v>
          </cell>
        </row>
      </sheetData>
      <sheetData sheetId="68">
        <row r="1">
          <cell r="A1">
            <v>0</v>
          </cell>
        </row>
      </sheetData>
      <sheetData sheetId="69">
        <row r="9">
          <cell r="B9">
            <v>0</v>
          </cell>
        </row>
      </sheetData>
      <sheetData sheetId="70">
        <row r="2">
          <cell r="A2">
            <v>0.05</v>
          </cell>
        </row>
      </sheetData>
      <sheetData sheetId="71">
        <row r="8">
          <cell r="B8" t="e">
            <v>#VALUE!</v>
          </cell>
        </row>
      </sheetData>
      <sheetData sheetId="72"/>
      <sheetData sheetId="73"/>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9477B-F30A-48C0-B311-609CEE412060}">
  <sheetPr codeName="Hoja1">
    <pageSetUpPr fitToPage="1"/>
  </sheetPr>
  <dimension ref="A1:Q311"/>
  <sheetViews>
    <sheetView showGridLines="0" tabSelected="1" topLeftCell="A11" zoomScale="90" zoomScaleNormal="90" workbookViewId="0">
      <selection activeCell="J17" sqref="J17"/>
    </sheetView>
  </sheetViews>
  <sheetFormatPr baseColWidth="10" defaultColWidth="0" defaultRowHeight="13.5" zeroHeight="1" x14ac:dyDescent="0.25"/>
  <cols>
    <col min="1" max="1" width="0.42578125" style="116" customWidth="1"/>
    <col min="2" max="2" width="8.5703125" style="116" customWidth="1"/>
    <col min="3" max="3" width="12" style="116" bestFit="1" customWidth="1"/>
    <col min="4" max="4" width="11.42578125" style="116" customWidth="1"/>
    <col min="5" max="5" width="8.5703125" style="116" customWidth="1"/>
    <col min="6" max="6" width="18.140625" style="116" customWidth="1"/>
    <col min="7" max="7" width="18.7109375" style="116" bestFit="1" customWidth="1"/>
    <col min="8" max="8" width="14.85546875" style="116" bestFit="1" customWidth="1"/>
    <col min="9" max="9" width="16.140625" style="116" customWidth="1"/>
    <col min="10" max="10" width="15.42578125" style="116" customWidth="1"/>
    <col min="11" max="11" width="16" style="116" customWidth="1"/>
    <col min="12" max="12" width="14.5703125" style="116" customWidth="1"/>
    <col min="13" max="13" width="14.7109375" style="116" customWidth="1"/>
    <col min="14" max="14" width="15.7109375" style="116" customWidth="1"/>
    <col min="15" max="15" width="14.85546875" style="116" customWidth="1"/>
    <col min="16" max="16" width="12.28515625" style="116" bestFit="1" customWidth="1"/>
    <col min="17" max="17" width="1.28515625" style="116" customWidth="1"/>
    <col min="18" max="16384" width="11.42578125" style="116" hidden="1"/>
  </cols>
  <sheetData>
    <row r="1" spans="2:16" x14ac:dyDescent="0.25"/>
    <row r="2" spans="2:16" ht="15" x14ac:dyDescent="0.25">
      <c r="H2" s="117"/>
      <c r="K2" s="118" t="s">
        <v>117</v>
      </c>
      <c r="L2" s="234"/>
      <c r="M2" s="234"/>
      <c r="N2" s="234"/>
      <c r="O2" s="234"/>
    </row>
    <row r="3" spans="2:16" x14ac:dyDescent="0.25"/>
    <row r="4" spans="2:16" ht="15" customHeight="1" x14ac:dyDescent="0.25">
      <c r="B4" s="231" t="s">
        <v>118</v>
      </c>
      <c r="C4" s="231"/>
      <c r="D4" s="231"/>
      <c r="E4" s="231"/>
      <c r="F4" s="231"/>
      <c r="G4" s="231"/>
      <c r="H4" s="231"/>
      <c r="I4" s="231"/>
      <c r="J4" s="231"/>
      <c r="K4" s="231"/>
      <c r="L4" s="231"/>
      <c r="M4" s="231"/>
      <c r="N4" s="231"/>
      <c r="O4" s="231"/>
      <c r="P4" s="231"/>
    </row>
    <row r="5" spans="2:16" x14ac:dyDescent="0.25">
      <c r="B5" s="237" t="s">
        <v>13</v>
      </c>
      <c r="C5" s="237"/>
      <c r="D5" s="237"/>
      <c r="E5" s="237"/>
      <c r="F5" s="237"/>
      <c r="G5" s="237"/>
      <c r="H5" s="237"/>
      <c r="I5" s="237"/>
      <c r="J5" s="237"/>
      <c r="K5" s="237"/>
      <c r="L5" s="237"/>
      <c r="M5" s="237"/>
      <c r="N5" s="237"/>
      <c r="O5" s="237"/>
      <c r="P5" s="237"/>
    </row>
    <row r="6" spans="2:16" ht="7.5" customHeight="1" x14ac:dyDescent="0.25">
      <c r="B6" s="119"/>
      <c r="C6" s="119"/>
      <c r="D6" s="119"/>
      <c r="E6" s="119"/>
      <c r="F6" s="119"/>
      <c r="G6" s="119"/>
      <c r="H6" s="119"/>
      <c r="I6" s="119"/>
      <c r="J6" s="119"/>
      <c r="K6" s="119"/>
      <c r="L6" s="119"/>
      <c r="M6" s="119"/>
      <c r="N6" s="119"/>
      <c r="O6" s="119"/>
      <c r="P6" s="119"/>
    </row>
    <row r="7" spans="2:16" x14ac:dyDescent="0.25">
      <c r="D7" s="1" t="s">
        <v>0</v>
      </c>
      <c r="F7" s="243">
        <v>45973</v>
      </c>
      <c r="G7" s="243"/>
      <c r="L7" s="1" t="s">
        <v>8</v>
      </c>
      <c r="N7" s="227" t="s">
        <v>16</v>
      </c>
      <c r="O7" s="227"/>
    </row>
    <row r="8" spans="2:16" ht="6.75" customHeight="1" x14ac:dyDescent="0.25"/>
    <row r="9" spans="2:16" x14ac:dyDescent="0.25">
      <c r="D9" s="1" t="s">
        <v>1</v>
      </c>
      <c r="F9" s="227" t="s">
        <v>166</v>
      </c>
      <c r="G9" s="227"/>
      <c r="I9" s="141" t="s">
        <v>179</v>
      </c>
      <c r="L9" s="1" t="s">
        <v>7</v>
      </c>
      <c r="N9" s="227">
        <v>240</v>
      </c>
      <c r="O9" s="227"/>
    </row>
    <row r="10" spans="2:16" ht="6" customHeight="1" x14ac:dyDescent="0.25"/>
    <row r="11" spans="2:16" x14ac:dyDescent="0.25">
      <c r="D11" s="1" t="s">
        <v>2</v>
      </c>
      <c r="F11" s="228" t="s">
        <v>3</v>
      </c>
      <c r="G11" s="228"/>
      <c r="I11" s="219" t="s">
        <v>20</v>
      </c>
      <c r="L11" s="1" t="s">
        <v>9</v>
      </c>
      <c r="N11" s="241" t="s">
        <v>20</v>
      </c>
      <c r="O11" s="241"/>
    </row>
    <row r="12" spans="2:16" ht="7.5" customHeight="1" x14ac:dyDescent="0.25"/>
    <row r="13" spans="2:16" x14ac:dyDescent="0.25">
      <c r="D13" s="1" t="s">
        <v>4</v>
      </c>
      <c r="F13" s="227" t="s">
        <v>5</v>
      </c>
      <c r="G13" s="227"/>
      <c r="I13" s="141"/>
      <c r="L13" s="1" t="s">
        <v>10</v>
      </c>
      <c r="N13" s="242" t="s">
        <v>27</v>
      </c>
      <c r="O13" s="242"/>
    </row>
    <row r="14" spans="2:16" ht="6" customHeight="1" x14ac:dyDescent="0.25">
      <c r="D14" s="1"/>
    </row>
    <row r="15" spans="2:16" x14ac:dyDescent="0.25">
      <c r="D15" s="1" t="s">
        <v>6</v>
      </c>
      <c r="F15" s="229">
        <v>1020000</v>
      </c>
      <c r="G15" s="229"/>
      <c r="I15" s="221"/>
      <c r="L15" s="1" t="s">
        <v>178</v>
      </c>
      <c r="N15" s="4">
        <f>F19/F15</f>
        <v>0.58823529411764708</v>
      </c>
    </row>
    <row r="16" spans="2:16" ht="6.75" customHeight="1" x14ac:dyDescent="0.25"/>
    <row r="17" spans="2:16" x14ac:dyDescent="0.25">
      <c r="D17" s="1" t="s">
        <v>186</v>
      </c>
      <c r="F17" s="229">
        <f>F15*0.7</f>
        <v>714000</v>
      </c>
      <c r="G17" s="229"/>
      <c r="L17" s="1" t="s">
        <v>299</v>
      </c>
      <c r="N17" s="4">
        <f>F21/F15</f>
        <v>0.24509803921568626</v>
      </c>
    </row>
    <row r="18" spans="2:16" ht="7.5" customHeight="1" x14ac:dyDescent="0.25"/>
    <row r="19" spans="2:16" x14ac:dyDescent="0.25">
      <c r="D19" s="1" t="s">
        <v>167</v>
      </c>
      <c r="F19" s="229">
        <v>600000</v>
      </c>
      <c r="G19" s="229"/>
      <c r="I19" s="143" t="s">
        <v>177</v>
      </c>
      <c r="L19" s="1" t="s">
        <v>11</v>
      </c>
      <c r="N19" s="4">
        <f>N15+N17</f>
        <v>0.83333333333333337</v>
      </c>
    </row>
    <row r="20" spans="2:16" ht="7.5" customHeight="1" x14ac:dyDescent="0.25"/>
    <row r="21" spans="2:16" x14ac:dyDescent="0.25">
      <c r="D21" s="1" t="s">
        <v>168</v>
      </c>
      <c r="F21" s="229">
        <v>250000</v>
      </c>
      <c r="G21" s="229"/>
      <c r="I21" s="144">
        <f>Catálogos!$N$24</f>
        <v>267000</v>
      </c>
      <c r="M21" s="120" t="str">
        <f>IF(N19&gt;Catálogos!K13,Catálogos!J13,"")</f>
        <v/>
      </c>
    </row>
    <row r="22" spans="2:16" ht="7.5" customHeight="1" x14ac:dyDescent="0.25">
      <c r="D22" s="1"/>
      <c r="F22" s="218"/>
      <c r="G22" s="218"/>
      <c r="I22" s="144"/>
      <c r="M22" s="120"/>
    </row>
    <row r="23" spans="2:16" x14ac:dyDescent="0.25">
      <c r="B23" s="116" t="s">
        <v>187</v>
      </c>
      <c r="E23" s="142"/>
    </row>
    <row r="24" spans="2:16" x14ac:dyDescent="0.25">
      <c r="B24" s="237" t="s">
        <v>12</v>
      </c>
      <c r="C24" s="237"/>
      <c r="D24" s="237"/>
      <c r="E24" s="237"/>
      <c r="F24" s="237"/>
      <c r="G24" s="237"/>
      <c r="H24" s="237"/>
      <c r="I24" s="237"/>
      <c r="J24" s="237"/>
      <c r="K24" s="237"/>
      <c r="L24" s="237"/>
      <c r="M24" s="237"/>
      <c r="N24" s="237"/>
      <c r="O24" s="237"/>
      <c r="P24" s="237"/>
    </row>
    <row r="25" spans="2:16" x14ac:dyDescent="0.25">
      <c r="G25" s="7" t="s">
        <v>55</v>
      </c>
      <c r="H25" s="5" t="str">
        <f>F11</f>
        <v>Hipoteca Fuerte</v>
      </c>
      <c r="I25" s="5"/>
      <c r="J25" s="5"/>
      <c r="K25" s="7" t="s">
        <v>54</v>
      </c>
      <c r="L25" s="8"/>
    </row>
    <row r="26" spans="2:16" x14ac:dyDescent="0.25">
      <c r="G26" s="7" t="s">
        <v>57</v>
      </c>
      <c r="H26" s="8">
        <f>F15</f>
        <v>1020000</v>
      </c>
      <c r="I26" s="5"/>
      <c r="J26" s="9"/>
      <c r="K26" s="7" t="s">
        <v>56</v>
      </c>
      <c r="L26" s="8">
        <v>0</v>
      </c>
    </row>
    <row r="27" spans="2:16" x14ac:dyDescent="0.25">
      <c r="G27" s="7" t="s">
        <v>184</v>
      </c>
      <c r="H27" s="8">
        <f>F19</f>
        <v>600000</v>
      </c>
      <c r="I27" s="5"/>
      <c r="J27" s="5"/>
      <c r="K27" s="7" t="s">
        <v>58</v>
      </c>
      <c r="L27" s="8">
        <f>Avalúos!I6*1.16</f>
        <v>0</v>
      </c>
      <c r="M27" s="116" t="s">
        <v>129</v>
      </c>
    </row>
    <row r="28" spans="2:16" x14ac:dyDescent="0.25">
      <c r="G28" s="7" t="s">
        <v>185</v>
      </c>
      <c r="H28" s="8">
        <f>F21</f>
        <v>250000</v>
      </c>
      <c r="I28" s="10"/>
      <c r="J28" s="11"/>
      <c r="K28" s="7" t="s">
        <v>180</v>
      </c>
      <c r="L28" s="8">
        <f>'Notariales Estados'!$G$1</f>
        <v>12931.034482758621</v>
      </c>
      <c r="M28" s="116" t="s">
        <v>130</v>
      </c>
    </row>
    <row r="29" spans="2:16" x14ac:dyDescent="0.25">
      <c r="G29" s="7" t="s">
        <v>59</v>
      </c>
      <c r="H29" s="12">
        <f>N9</f>
        <v>240</v>
      </c>
      <c r="I29" s="9"/>
      <c r="J29" s="11"/>
      <c r="K29" s="7" t="s">
        <v>164</v>
      </c>
      <c r="L29" s="8">
        <f>F21*H30</f>
        <v>5500</v>
      </c>
      <c r="M29" s="116" t="s">
        <v>130</v>
      </c>
    </row>
    <row r="30" spans="2:16" ht="13.5" customHeight="1" x14ac:dyDescent="0.25">
      <c r="B30" s="230" t="s">
        <v>64</v>
      </c>
      <c r="C30" s="230"/>
      <c r="D30" s="230"/>
      <c r="E30" s="230"/>
      <c r="F30" s="230"/>
      <c r="G30" s="7" t="s">
        <v>165</v>
      </c>
      <c r="H30" s="121">
        <f>'Notariales Estados'!$E$1</f>
        <v>2.1999999999999999E-2</v>
      </c>
      <c r="I30" s="9"/>
      <c r="J30" s="11"/>
      <c r="K30" s="7" t="s">
        <v>60</v>
      </c>
      <c r="L30" s="8">
        <v>750</v>
      </c>
    </row>
    <row r="31" spans="2:16" x14ac:dyDescent="0.25">
      <c r="B31" s="230"/>
      <c r="C31" s="230"/>
      <c r="D31" s="230"/>
      <c r="E31" s="230"/>
      <c r="F31" s="230"/>
      <c r="G31" s="7" t="s">
        <v>63</v>
      </c>
      <c r="H31" s="9" t="str">
        <f>N7</f>
        <v>Básico</v>
      </c>
      <c r="I31" s="6"/>
      <c r="J31" s="6"/>
      <c r="K31" s="7" t="s">
        <v>61</v>
      </c>
      <c r="L31" s="8">
        <v>0</v>
      </c>
    </row>
    <row r="32" spans="2:16" x14ac:dyDescent="0.25">
      <c r="B32" s="230"/>
      <c r="C32" s="230"/>
      <c r="D32" s="230"/>
      <c r="E32" s="230"/>
      <c r="F32" s="230"/>
      <c r="G32" s="238" t="s">
        <v>62</v>
      </c>
      <c r="H32" s="238"/>
      <c r="I32" s="13"/>
      <c r="J32" s="14"/>
      <c r="K32" s="15"/>
      <c r="L32" s="16">
        <f>SUM(L26:L31)</f>
        <v>19181.034482758623</v>
      </c>
    </row>
    <row r="33" spans="2:17" ht="7.5" customHeight="1" x14ac:dyDescent="0.25"/>
    <row r="34" spans="2:17" x14ac:dyDescent="0.25">
      <c r="I34" s="231" t="s">
        <v>182</v>
      </c>
      <c r="J34" s="231"/>
    </row>
    <row r="35" spans="2:17" x14ac:dyDescent="0.25">
      <c r="I35" s="233" t="s">
        <v>183</v>
      </c>
      <c r="J35" s="233"/>
    </row>
    <row r="36" spans="2:17" ht="7.5" customHeight="1" x14ac:dyDescent="0.25"/>
    <row r="37" spans="2:17" x14ac:dyDescent="0.25">
      <c r="B37" s="237" t="str">
        <f>"Tabla de Pagos "&amp;I35</f>
        <v>Tabla de Pagos Mejora de Hipoteca</v>
      </c>
      <c r="C37" s="237"/>
      <c r="D37" s="237"/>
      <c r="E37" s="237"/>
      <c r="F37" s="237"/>
      <c r="G37" s="237"/>
      <c r="H37" s="237"/>
      <c r="I37" s="237"/>
      <c r="J37" s="237"/>
      <c r="K37" s="237"/>
      <c r="L37" s="237"/>
      <c r="M37" s="237"/>
      <c r="N37" s="237"/>
      <c r="O37" s="237"/>
      <c r="P37" s="237"/>
    </row>
    <row r="38" spans="2:17" ht="9" customHeight="1" x14ac:dyDescent="0.25"/>
    <row r="39" spans="2:17" x14ac:dyDescent="0.25">
      <c r="B39" s="244" t="s">
        <v>65</v>
      </c>
      <c r="C39" s="244"/>
      <c r="D39" s="244"/>
      <c r="E39" s="220">
        <v>9.1499999999999998E-2</v>
      </c>
      <c r="K39" s="18"/>
      <c r="L39" s="17" t="s">
        <v>67</v>
      </c>
      <c r="N39" s="239" t="s">
        <v>114</v>
      </c>
      <c r="O39" s="240"/>
    </row>
    <row r="40" spans="2:17" ht="8.25" customHeight="1" x14ac:dyDescent="0.25"/>
    <row r="41" spans="2:17" x14ac:dyDescent="0.25">
      <c r="B41" s="235" t="s">
        <v>68</v>
      </c>
      <c r="C41" s="235"/>
      <c r="D41" s="20">
        <f>CAT!$K$8</f>
        <v>0.11779231560064995</v>
      </c>
      <c r="E41" s="236" t="s">
        <v>69</v>
      </c>
      <c r="F41" s="236"/>
      <c r="L41" s="21" t="s">
        <v>70</v>
      </c>
      <c r="M41" s="22">
        <f>COUNT(Q44:Q283)</f>
        <v>240</v>
      </c>
      <c r="N41" s="19" t="s">
        <v>71</v>
      </c>
    </row>
    <row r="42" spans="2:17" ht="7.5" customHeight="1" x14ac:dyDescent="0.25"/>
    <row r="43" spans="2:17" s="114" customFormat="1" ht="63.75" customHeight="1" x14ac:dyDescent="0.2">
      <c r="B43" s="23" t="s">
        <v>72</v>
      </c>
      <c r="C43" s="23" t="s">
        <v>73</v>
      </c>
      <c r="D43" s="23" t="s">
        <v>74</v>
      </c>
      <c r="E43" s="23" t="s">
        <v>53</v>
      </c>
      <c r="F43" s="23" t="s">
        <v>75</v>
      </c>
      <c r="G43" s="23" t="s">
        <v>76</v>
      </c>
      <c r="H43" s="23" t="s">
        <v>77</v>
      </c>
      <c r="I43" s="23" t="str">
        <f>IF(OR(I11="SI",I35="Liquidez"),"IVA de intereses","")</f>
        <v/>
      </c>
      <c r="J43" s="23" t="s">
        <v>78</v>
      </c>
      <c r="K43" s="23" t="s">
        <v>79</v>
      </c>
      <c r="L43" s="23" t="s">
        <v>80</v>
      </c>
      <c r="M43" s="23" t="s">
        <v>81</v>
      </c>
      <c r="N43" s="23"/>
      <c r="O43" s="23" t="s">
        <v>82</v>
      </c>
      <c r="P43" s="23" t="s">
        <v>83</v>
      </c>
    </row>
    <row r="44" spans="2:17" x14ac:dyDescent="0.25">
      <c r="B44" s="122">
        <v>1</v>
      </c>
      <c r="C44" s="123">
        <f>IF(B44="","",'Fecha Pago'!K4)</f>
        <v>45994</v>
      </c>
      <c r="D44" s="124">
        <f>IF(B44="","",'Fecha Pago'!L4)</f>
        <v>22</v>
      </c>
      <c r="E44" s="125">
        <f t="shared" ref="E44:E107" si="0">IF(B44="","",$E$39)</f>
        <v>9.1499999999999998E-2</v>
      </c>
      <c r="F44" s="126">
        <f>IF(Catálogos!$R$12=1,Carátula!$H$27,Carátula!$H$28)</f>
        <v>600000</v>
      </c>
      <c r="G44" s="126">
        <f>IF(B44="","",IF(F44=0,0,MIN(F44,IF(Catálogos!$N$6=1,Prepagos!C3,IF(Catálogos!$N$6=2,Prepagos!D3,IF(Catálogos!$N$6=3,Prepagos!E3,))))))</f>
        <v>867.75904166261637</v>
      </c>
      <c r="H44" s="126">
        <f>IF(B44="","",IF(F44=0,0,(E44/360*D44)*F44))</f>
        <v>3355</v>
      </c>
      <c r="I44" s="126">
        <f>IF(B44="","",IF($I$43&lt;&gt;"",H44*0.16,0))</f>
        <v>0</v>
      </c>
      <c r="J44" s="126">
        <f>IF(B44="","",IF(F44=0,0,F44*(Catálogos!$R$1)/30*D44))</f>
        <v>263.99999999999994</v>
      </c>
      <c r="K44" s="126">
        <f>IF(B44="","",IF(Catálogos!$K$10=1,Carátula!$F$17*Catálogos!$R$4/30*D44,0))</f>
        <v>146.608</v>
      </c>
      <c r="L44" s="126">
        <f>IF(B44="","",IF(F44=0,0,CAT!H7))</f>
        <v>299</v>
      </c>
      <c r="M44" s="115"/>
      <c r="N44" s="126">
        <f>IF(B44="","",IF(M44&gt;0,M44-(M44/(1+Catálogos!$N$10)),0))</f>
        <v>0</v>
      </c>
      <c r="O44" s="126">
        <f>IF(B44="","",G44+H44+I44+J44+K44+L44)</f>
        <v>4932.3670416626164</v>
      </c>
      <c r="P44" s="126">
        <f t="shared" ref="P44:P107" si="1">IF(B44="","",F44-G44)</f>
        <v>599132.24095833744</v>
      </c>
      <c r="Q44" s="127">
        <f t="shared" ref="Q44:Q107" si="2">IF(OR(B44="",F44=0),"",1)</f>
        <v>1</v>
      </c>
    </row>
    <row r="45" spans="2:17" x14ac:dyDescent="0.25">
      <c r="B45" s="122">
        <f t="shared" ref="B45:B108" si="3">IF(B44=$H$29,"",IF(B44="","",B44+1))</f>
        <v>2</v>
      </c>
      <c r="C45" s="123">
        <f>IF(B45="","",'Fecha Pago'!K5)</f>
        <v>46025</v>
      </c>
      <c r="D45" s="124">
        <f>IF(B45="","",'Fecha Pago'!L5)</f>
        <v>30.4</v>
      </c>
      <c r="E45" s="125">
        <f t="shared" si="0"/>
        <v>9.1499999999999998E-2</v>
      </c>
      <c r="F45" s="126">
        <f t="shared" ref="F45:F108" si="4">IF(B45="","",P44)</f>
        <v>599132.24095833744</v>
      </c>
      <c r="G45" s="126">
        <f>IF(B45="","",IF(F45=0,0,MIN(F45,IF(Catálogos!$N$6=1,Prepagos!C4,IF(Catálogos!$N$6=2,Prepagos!D4,IF(Catálogos!$N$6=3,Prepagos!E4,))))))</f>
        <v>874.4639265245296</v>
      </c>
      <c r="H45" s="126">
        <f t="shared" ref="H45:H108" si="5">IF(B45="","",IF(F45=0,0,(E45/360*D45)*F45))</f>
        <v>4629.2951151380867</v>
      </c>
      <c r="I45" s="126">
        <f t="shared" ref="I45:I108" si="6">IF(B45="","",IF($I$43&lt;&gt;"",H45*0.16,0))</f>
        <v>0</v>
      </c>
      <c r="J45" s="126">
        <f>IF(B45="","",IF(F45=0,0,F45*Catálogos!$R$1))</f>
        <v>359.47934457500241</v>
      </c>
      <c r="K45" s="126">
        <f>IF(B45="","",IF(Catálogos!$K$10=1,Carátula!$F$17*Catálogos!$R$4,0))</f>
        <v>199.92</v>
      </c>
      <c r="L45" s="126">
        <f>IF(B45="","",IF(F45=0,0,CAT!H8))</f>
        <v>299</v>
      </c>
      <c r="M45" s="115"/>
      <c r="N45" s="126">
        <f>IF(B45="","",IF(M45&gt;0,M45-(M45/(1+Catálogos!$N$10)),0))</f>
        <v>0</v>
      </c>
      <c r="O45" s="126">
        <f t="shared" ref="O45:O108" si="7">IF(B45="","",G45+H45+I45+J45+K45+L45)</f>
        <v>6362.1583862376192</v>
      </c>
      <c r="P45" s="126">
        <f t="shared" si="1"/>
        <v>598257.77703181293</v>
      </c>
      <c r="Q45" s="127">
        <f t="shared" si="2"/>
        <v>1</v>
      </c>
    </row>
    <row r="46" spans="2:17" x14ac:dyDescent="0.25">
      <c r="B46" s="122">
        <f t="shared" si="3"/>
        <v>3</v>
      </c>
      <c r="C46" s="123">
        <f>IF(B46="","",'Fecha Pago'!K6)</f>
        <v>46056</v>
      </c>
      <c r="D46" s="124">
        <f>IF(B46="","",'Fecha Pago'!L6)</f>
        <v>30.4</v>
      </c>
      <c r="E46" s="125">
        <f t="shared" si="0"/>
        <v>9.1499999999999998E-2</v>
      </c>
      <c r="F46" s="126">
        <f t="shared" si="4"/>
        <v>598257.77703181293</v>
      </c>
      <c r="G46" s="126">
        <f>IF(B46="","",IF(F46=0,0,MIN(F46,IF(Catálogos!$N$6=1,Prepagos!C5,IF(Catálogos!$N$6=2,Prepagos!D5,IF(Catálogos!$N$6=3,Prepagos!E5,))))))</f>
        <v>881.22061779680905</v>
      </c>
      <c r="H46" s="126">
        <f t="shared" si="5"/>
        <v>4622.5384238658071</v>
      </c>
      <c r="I46" s="126">
        <f t="shared" si="6"/>
        <v>0</v>
      </c>
      <c r="J46" s="126">
        <f>IF(B46="","",IF(F46=0,0,F46*Catálogos!$R$1))</f>
        <v>358.95466621908776</v>
      </c>
      <c r="K46" s="126">
        <f>IF(B46="","",IF(Catálogos!$K$10=1,Carátula!$F$17*Catálogos!$R$4,0))</f>
        <v>199.92</v>
      </c>
      <c r="L46" s="126">
        <f>IF(B46="","",IF(F46=0,0,CAT!H9))</f>
        <v>299</v>
      </c>
      <c r="M46" s="115"/>
      <c r="N46" s="126">
        <f>IF(B46="","",IF(M46&gt;0,M46-(M46/(1+Catálogos!$N$10)),0))</f>
        <v>0</v>
      </c>
      <c r="O46" s="126">
        <f t="shared" si="7"/>
        <v>6361.6337078817041</v>
      </c>
      <c r="P46" s="126">
        <f t="shared" si="1"/>
        <v>597376.55641401617</v>
      </c>
      <c r="Q46" s="127">
        <f t="shared" si="2"/>
        <v>1</v>
      </c>
    </row>
    <row r="47" spans="2:17" x14ac:dyDescent="0.25">
      <c r="B47" s="122">
        <f t="shared" si="3"/>
        <v>4</v>
      </c>
      <c r="C47" s="123">
        <f>IF(B47="","",'Fecha Pago'!K7)</f>
        <v>46084</v>
      </c>
      <c r="D47" s="124">
        <f>IF(B47="","",'Fecha Pago'!L7)</f>
        <v>30.4</v>
      </c>
      <c r="E47" s="125">
        <f t="shared" si="0"/>
        <v>9.1499999999999998E-2</v>
      </c>
      <c r="F47" s="126">
        <f t="shared" si="4"/>
        <v>597376.55641401617</v>
      </c>
      <c r="G47" s="126">
        <f>IF(B47="","",IF(F47=0,0,MIN(F47,IF(Catálogos!$N$6=1,Prepagos!C6,IF(Catálogos!$N$6=2,Prepagos!D6,IF(Catálogos!$N$6=3,Prepagos!E6,))))))</f>
        <v>888.02951577031899</v>
      </c>
      <c r="H47" s="126">
        <f t="shared" si="5"/>
        <v>4615.7295258922977</v>
      </c>
      <c r="I47" s="126">
        <f t="shared" si="6"/>
        <v>0</v>
      </c>
      <c r="J47" s="126">
        <f>IF(B47="","",IF(F47=0,0,F47*Catálogos!$R$1))</f>
        <v>358.42593384840967</v>
      </c>
      <c r="K47" s="126">
        <f>IF(B47="","",IF(Catálogos!$K$10=1,Carátula!$F$17*Catálogos!$R$4,0))</f>
        <v>199.92</v>
      </c>
      <c r="L47" s="126">
        <f>IF(B47="","",IF(F47=0,0,CAT!H10))</f>
        <v>299</v>
      </c>
      <c r="M47" s="115"/>
      <c r="N47" s="126">
        <f>IF(B47="","",IF(M47&gt;0,M47-(M47/(1+Catálogos!$N$10)),0))</f>
        <v>0</v>
      </c>
      <c r="O47" s="126">
        <f t="shared" si="7"/>
        <v>6361.1049755110271</v>
      </c>
      <c r="P47" s="126">
        <f t="shared" si="1"/>
        <v>596488.52689824591</v>
      </c>
      <c r="Q47" s="127">
        <f t="shared" si="2"/>
        <v>1</v>
      </c>
    </row>
    <row r="48" spans="2:17" x14ac:dyDescent="0.25">
      <c r="B48" s="122">
        <f t="shared" si="3"/>
        <v>5</v>
      </c>
      <c r="C48" s="123">
        <f>IF(B48="","",'Fecha Pago'!K8)</f>
        <v>46115</v>
      </c>
      <c r="D48" s="124">
        <f>IF(B48="","",'Fecha Pago'!L8)</f>
        <v>30.4</v>
      </c>
      <c r="E48" s="125">
        <f t="shared" si="0"/>
        <v>9.1499999999999998E-2</v>
      </c>
      <c r="F48" s="126">
        <f t="shared" si="4"/>
        <v>596488.52689824591</v>
      </c>
      <c r="G48" s="126">
        <f>IF(B48="","",IF(F48=0,0,MIN(F48,IF(Catálogos!$N$6=1,Prepagos!C7,IF(Catálogos!$N$6=2,Prepagos!D7,IF(Catálogos!$N$6=3,Prepagos!E7,))))))</f>
        <v>894.89102382883777</v>
      </c>
      <c r="H48" s="126">
        <f t="shared" si="5"/>
        <v>4608.868017833779</v>
      </c>
      <c r="I48" s="126">
        <f t="shared" si="6"/>
        <v>0</v>
      </c>
      <c r="J48" s="126">
        <f>IF(B48="","",IF(F48=0,0,F48*Catálogos!$R$1))</f>
        <v>357.89311613894751</v>
      </c>
      <c r="K48" s="126">
        <f>IF(B48="","",IF(Catálogos!$K$10=1,Carátula!$F$17*Catálogos!$R$4,0))</f>
        <v>199.92</v>
      </c>
      <c r="L48" s="126">
        <f>IF(B48="","",IF(F48=0,0,CAT!H11))</f>
        <v>299</v>
      </c>
      <c r="M48" s="115"/>
      <c r="N48" s="126">
        <f>IF(B48="","",IF(M48&gt;0,M48-(M48/(1+Catálogos!$N$10)),0))</f>
        <v>0</v>
      </c>
      <c r="O48" s="126">
        <f t="shared" si="7"/>
        <v>6360.5721578015646</v>
      </c>
      <c r="P48" s="126">
        <f t="shared" si="1"/>
        <v>595593.63587441703</v>
      </c>
      <c r="Q48" s="127">
        <f t="shared" si="2"/>
        <v>1</v>
      </c>
    </row>
    <row r="49" spans="2:17" x14ac:dyDescent="0.25">
      <c r="B49" s="122">
        <f t="shared" si="3"/>
        <v>6</v>
      </c>
      <c r="C49" s="123">
        <f>IF(B49="","",'Fecha Pago'!K9)</f>
        <v>46145</v>
      </c>
      <c r="D49" s="124">
        <f>IF(B49="","",'Fecha Pago'!L9)</f>
        <v>30.4</v>
      </c>
      <c r="E49" s="125">
        <f t="shared" si="0"/>
        <v>9.1499999999999998E-2</v>
      </c>
      <c r="F49" s="126">
        <f t="shared" si="4"/>
        <v>595593.63587441703</v>
      </c>
      <c r="G49" s="126">
        <f>IF(B49="","",IF(F49=0,0,MIN(F49,IF(Catálogos!$N$6=1,Prepagos!C8,IF(Catálogos!$N$6=2,Prepagos!D8,IF(Catálogos!$N$6=3,Prepagos!E8,))))))</f>
        <v>901.80554847295537</v>
      </c>
      <c r="H49" s="126">
        <f t="shared" si="5"/>
        <v>4601.9534931896615</v>
      </c>
      <c r="I49" s="126">
        <f t="shared" si="6"/>
        <v>0</v>
      </c>
      <c r="J49" s="126">
        <f>IF(B49="","",IF(F49=0,0,F49*Catálogos!$R$1))</f>
        <v>357.3561815246502</v>
      </c>
      <c r="K49" s="126">
        <f>IF(B49="","",IF(Catálogos!$K$10=1,Carátula!$F$17*Catálogos!$R$4,0))</f>
        <v>199.92</v>
      </c>
      <c r="L49" s="126">
        <f>IF(B49="","",IF(F49=0,0,CAT!H12))</f>
        <v>299</v>
      </c>
      <c r="M49" s="115"/>
      <c r="N49" s="126">
        <f>IF(B49="","",IF(M49&gt;0,M49-(M49/(1+Catálogos!$N$10)),0))</f>
        <v>0</v>
      </c>
      <c r="O49" s="126">
        <f t="shared" si="7"/>
        <v>6360.0352231872675</v>
      </c>
      <c r="P49" s="126">
        <f t="shared" si="1"/>
        <v>594691.83032594412</v>
      </c>
      <c r="Q49" s="127">
        <f t="shared" si="2"/>
        <v>1</v>
      </c>
    </row>
    <row r="50" spans="2:17" x14ac:dyDescent="0.25">
      <c r="B50" s="122">
        <f t="shared" si="3"/>
        <v>7</v>
      </c>
      <c r="C50" s="123">
        <f>IF(B50="","",'Fecha Pago'!K10)</f>
        <v>46176</v>
      </c>
      <c r="D50" s="124">
        <f>IF(B50="","",'Fecha Pago'!L10)</f>
        <v>30.4</v>
      </c>
      <c r="E50" s="125">
        <f t="shared" si="0"/>
        <v>9.1499999999999998E-2</v>
      </c>
      <c r="F50" s="126">
        <f t="shared" si="4"/>
        <v>594691.83032594412</v>
      </c>
      <c r="G50" s="126">
        <f>IF(B50="","",IF(F50=0,0,MIN(F50,IF(Catálogos!$N$6=1,Prepagos!C9,IF(Catálogos!$N$6=2,Prepagos!D9,IF(Catálogos!$N$6=3,Prepagos!E9,))))))</f>
        <v>908.77349934415633</v>
      </c>
      <c r="H50" s="126">
        <f t="shared" si="5"/>
        <v>4594.9855423184608</v>
      </c>
      <c r="I50" s="126">
        <f t="shared" si="6"/>
        <v>0</v>
      </c>
      <c r="J50" s="126">
        <f>IF(B50="","",IF(F50=0,0,F50*Catálogos!$R$1))</f>
        <v>356.81509819556646</v>
      </c>
      <c r="K50" s="126">
        <f>IF(B50="","",IF(Catálogos!$K$10=1,Carátula!$F$17*Catálogos!$R$4,0))</f>
        <v>199.92</v>
      </c>
      <c r="L50" s="126">
        <f>IF(B50="","",IF(F50=0,0,CAT!H13))</f>
        <v>299</v>
      </c>
      <c r="M50" s="115"/>
      <c r="N50" s="126">
        <f>IF(B50="","",IF(M50&gt;0,M50-(M50/(1+Catálogos!$N$10)),0))</f>
        <v>0</v>
      </c>
      <c r="O50" s="126">
        <f t="shared" si="7"/>
        <v>6359.4941398581841</v>
      </c>
      <c r="P50" s="126">
        <f t="shared" si="1"/>
        <v>593783.05682659999</v>
      </c>
      <c r="Q50" s="127">
        <f t="shared" si="2"/>
        <v>1</v>
      </c>
    </row>
    <row r="51" spans="2:17" x14ac:dyDescent="0.25">
      <c r="B51" s="122">
        <f t="shared" si="3"/>
        <v>8</v>
      </c>
      <c r="C51" s="123">
        <f>IF(B51="","",'Fecha Pago'!K11)</f>
        <v>46206</v>
      </c>
      <c r="D51" s="124">
        <f>IF(B51="","",'Fecha Pago'!L11)</f>
        <v>30.4</v>
      </c>
      <c r="E51" s="125">
        <f t="shared" si="0"/>
        <v>9.1499999999999998E-2</v>
      </c>
      <c r="F51" s="126">
        <f t="shared" si="4"/>
        <v>593783.05682659999</v>
      </c>
      <c r="G51" s="126">
        <f>IF(B51="","",IF(F51=0,0,MIN(F51,IF(Catálogos!$N$6=1,Prepagos!C10,IF(Catálogos!$N$6=2,Prepagos!D10,IF(Catálogos!$N$6=3,Prepagos!E10,))))))</f>
        <v>915.7952892490888</v>
      </c>
      <c r="H51" s="126">
        <f t="shared" si="5"/>
        <v>4587.9637524135287</v>
      </c>
      <c r="I51" s="126">
        <f t="shared" si="6"/>
        <v>0</v>
      </c>
      <c r="J51" s="126">
        <f>IF(B51="","",IF(F51=0,0,F51*Catálogos!$R$1))</f>
        <v>356.26983409595994</v>
      </c>
      <c r="K51" s="126">
        <f>IF(B51="","",IF(Catálogos!$K$10=1,Carátula!$F$17*Catálogos!$R$4,0))</f>
        <v>199.92</v>
      </c>
      <c r="L51" s="126">
        <f>IF(B51="","",IF(F51=0,0,CAT!H14))</f>
        <v>299</v>
      </c>
      <c r="M51" s="115"/>
      <c r="N51" s="126">
        <f>IF(B51="","",IF(M51&gt;0,M51-(M51/(1+Catálogos!$N$10)),0))</f>
        <v>0</v>
      </c>
      <c r="O51" s="126">
        <f t="shared" si="7"/>
        <v>6358.9488757585768</v>
      </c>
      <c r="P51" s="126">
        <f t="shared" si="1"/>
        <v>592867.26153735095</v>
      </c>
      <c r="Q51" s="127">
        <f t="shared" si="2"/>
        <v>1</v>
      </c>
    </row>
    <row r="52" spans="2:17" x14ac:dyDescent="0.25">
      <c r="B52" s="122">
        <f t="shared" si="3"/>
        <v>9</v>
      </c>
      <c r="C52" s="123">
        <f>IF(B52="","",'Fecha Pago'!K12)</f>
        <v>46237</v>
      </c>
      <c r="D52" s="124">
        <f>IF(B52="","",'Fecha Pago'!L12)</f>
        <v>30.4</v>
      </c>
      <c r="E52" s="125">
        <f t="shared" si="0"/>
        <v>9.1499999999999998E-2</v>
      </c>
      <c r="F52" s="126">
        <f t="shared" si="4"/>
        <v>592867.26153735095</v>
      </c>
      <c r="G52" s="126">
        <f>IF(B52="","",IF(F52=0,0,MIN(F52,IF(Catálogos!$N$6=1,Prepagos!C11,IF(Catálogos!$N$6=2,Prepagos!D11,IF(Catálogos!$N$6=3,Prepagos!E11,))))))</f>
        <v>922.87133418402016</v>
      </c>
      <c r="H52" s="126">
        <f t="shared" si="5"/>
        <v>4580.8877074785978</v>
      </c>
      <c r="I52" s="126">
        <f t="shared" si="6"/>
        <v>0</v>
      </c>
      <c r="J52" s="126">
        <f>IF(B52="","",IF(F52=0,0,F52*Catálogos!$R$1))</f>
        <v>355.72035692241053</v>
      </c>
      <c r="K52" s="126">
        <f>IF(B52="","",IF(Catálogos!$K$10=1,Carátula!$F$17*Catálogos!$R$4,0))</f>
        <v>199.92</v>
      </c>
      <c r="L52" s="126">
        <f>IF(B52="","",IF(F52=0,0,CAT!H15))</f>
        <v>299</v>
      </c>
      <c r="M52" s="115"/>
      <c r="N52" s="126">
        <f>IF(B52="","",IF(M52&gt;0,M52-(M52/(1+Catálogos!$N$10)),0))</f>
        <v>0</v>
      </c>
      <c r="O52" s="126">
        <f t="shared" si="7"/>
        <v>6358.3993985850284</v>
      </c>
      <c r="P52" s="126">
        <f t="shared" si="1"/>
        <v>591944.39020316687</v>
      </c>
      <c r="Q52" s="127">
        <f t="shared" si="2"/>
        <v>1</v>
      </c>
    </row>
    <row r="53" spans="2:17" x14ac:dyDescent="0.25">
      <c r="B53" s="122">
        <f t="shared" si="3"/>
        <v>10</v>
      </c>
      <c r="C53" s="123">
        <f>IF(B53="","",'Fecha Pago'!K13)</f>
        <v>46268</v>
      </c>
      <c r="D53" s="124">
        <f>IF(B53="","",'Fecha Pago'!L13)</f>
        <v>30.4</v>
      </c>
      <c r="E53" s="125">
        <f t="shared" si="0"/>
        <v>9.1499999999999998E-2</v>
      </c>
      <c r="F53" s="126">
        <f t="shared" si="4"/>
        <v>591944.39020316687</v>
      </c>
      <c r="G53" s="126">
        <f>IF(B53="","",IF(F53=0,0,MIN(F53,IF(Catálogos!$N$6=1,Prepagos!C12,IF(Catálogos!$N$6=2,Prepagos!D12,IF(Catálogos!$N$6=3,Prepagos!E12,))))))</f>
        <v>930.00205335948192</v>
      </c>
      <c r="H53" s="126">
        <f t="shared" si="5"/>
        <v>4573.7569883031356</v>
      </c>
      <c r="I53" s="126">
        <f t="shared" si="6"/>
        <v>0</v>
      </c>
      <c r="J53" s="126">
        <f>IF(B53="","",IF(F53=0,0,F53*Catálogos!$R$1))</f>
        <v>355.16663412190007</v>
      </c>
      <c r="K53" s="126">
        <f>IF(B53="","",IF(Catálogos!$K$10=1,Carátula!$F$17*Catálogos!$R$4,0))</f>
        <v>199.92</v>
      </c>
      <c r="L53" s="126">
        <f>IF(B53="","",IF(F53=0,0,CAT!H16))</f>
        <v>299</v>
      </c>
      <c r="M53" s="115"/>
      <c r="N53" s="126">
        <f>IF(B53="","",IF(M53&gt;0,M53-(M53/(1+Catálogos!$N$10)),0))</f>
        <v>0</v>
      </c>
      <c r="O53" s="126">
        <f t="shared" si="7"/>
        <v>6357.845675784517</v>
      </c>
      <c r="P53" s="126">
        <f t="shared" si="1"/>
        <v>591014.38814980735</v>
      </c>
      <c r="Q53" s="127">
        <f t="shared" si="2"/>
        <v>1</v>
      </c>
    </row>
    <row r="54" spans="2:17" x14ac:dyDescent="0.25">
      <c r="B54" s="122">
        <f t="shared" si="3"/>
        <v>11</v>
      </c>
      <c r="C54" s="123">
        <f>IF(B54="","",'Fecha Pago'!K14)</f>
        <v>46298</v>
      </c>
      <c r="D54" s="124">
        <f>IF(B54="","",'Fecha Pago'!L14)</f>
        <v>30.4</v>
      </c>
      <c r="E54" s="125">
        <f t="shared" si="0"/>
        <v>9.1499999999999998E-2</v>
      </c>
      <c r="F54" s="126">
        <f t="shared" si="4"/>
        <v>591014.38814980735</v>
      </c>
      <c r="G54" s="126">
        <f>IF(B54="","",IF(F54=0,0,MIN(F54,IF(Catálogos!$N$6=1,Prepagos!C13,IF(Catálogos!$N$6=2,Prepagos!D13,IF(Catálogos!$N$6=3,Prepagos!E13,))))))</f>
        <v>937.18786922510628</v>
      </c>
      <c r="H54" s="126">
        <f t="shared" si="5"/>
        <v>4566.5711724375105</v>
      </c>
      <c r="I54" s="126">
        <f t="shared" si="6"/>
        <v>0</v>
      </c>
      <c r="J54" s="126">
        <f>IF(B54="","",IF(F54=0,0,F54*Catálogos!$R$1))</f>
        <v>354.6086328898844</v>
      </c>
      <c r="K54" s="126">
        <f>IF(B54="","",IF(Catálogos!$K$10=1,Carátula!$F$17*Catálogos!$R$4,0))</f>
        <v>199.92</v>
      </c>
      <c r="L54" s="126">
        <f>IF(B54="","",IF(F54=0,0,CAT!H17))</f>
        <v>299</v>
      </c>
      <c r="M54" s="115"/>
      <c r="N54" s="126">
        <f>IF(B54="","",IF(M54&gt;0,M54-(M54/(1+Catálogos!$N$10)),0))</f>
        <v>0</v>
      </c>
      <c r="O54" s="126">
        <f t="shared" si="7"/>
        <v>6357.2876745525018</v>
      </c>
      <c r="P54" s="126">
        <f t="shared" si="1"/>
        <v>590077.20028058218</v>
      </c>
      <c r="Q54" s="127">
        <f t="shared" si="2"/>
        <v>1</v>
      </c>
    </row>
    <row r="55" spans="2:17" x14ac:dyDescent="0.25">
      <c r="B55" s="122">
        <f t="shared" si="3"/>
        <v>12</v>
      </c>
      <c r="C55" s="123">
        <f>IF(B55="","",'Fecha Pago'!K15)</f>
        <v>46329</v>
      </c>
      <c r="D55" s="124">
        <f>IF(B55="","",'Fecha Pago'!L15)</f>
        <v>30.4</v>
      </c>
      <c r="E55" s="125">
        <f t="shared" si="0"/>
        <v>9.1499999999999998E-2</v>
      </c>
      <c r="F55" s="126">
        <f t="shared" si="4"/>
        <v>590077.20028058218</v>
      </c>
      <c r="G55" s="126">
        <f>IF(B55="","",IF(F55=0,0,MIN(F55,IF(Catálogos!$N$6=1,Prepagos!C14,IF(Catálogos!$N$6=2,Prepagos!D14,IF(Catálogos!$N$6=3,Prepagos!E14,))))))</f>
        <v>944.42920749465202</v>
      </c>
      <c r="H55" s="126">
        <f t="shared" si="5"/>
        <v>4559.3298341679647</v>
      </c>
      <c r="I55" s="126">
        <f t="shared" si="6"/>
        <v>0</v>
      </c>
      <c r="J55" s="126">
        <f>IF(B55="","",IF(F55=0,0,F55*Catálogos!$R$1))</f>
        <v>354.04632016834927</v>
      </c>
      <c r="K55" s="126">
        <f>IF(B55="","",IF(Catálogos!$K$10=1,Carátula!$F$17*Catálogos!$R$4,0))</f>
        <v>199.92</v>
      </c>
      <c r="L55" s="126">
        <f>IF(B55="","",IF(F55=0,0,CAT!H18))</f>
        <v>299</v>
      </c>
      <c r="M55" s="115"/>
      <c r="N55" s="126">
        <f>IF(B55="","",IF(M55&gt;0,M55-(M55/(1+Catálogos!$N$10)),0))</f>
        <v>0</v>
      </c>
      <c r="O55" s="126">
        <f t="shared" si="7"/>
        <v>6356.7253618309669</v>
      </c>
      <c r="P55" s="126">
        <f t="shared" si="1"/>
        <v>589132.77107308758</v>
      </c>
      <c r="Q55" s="127">
        <f t="shared" si="2"/>
        <v>1</v>
      </c>
    </row>
    <row r="56" spans="2:17" x14ac:dyDescent="0.25">
      <c r="B56" s="122">
        <f t="shared" si="3"/>
        <v>13</v>
      </c>
      <c r="C56" s="123">
        <f>IF(B56="","",'Fecha Pago'!K16)</f>
        <v>46359</v>
      </c>
      <c r="D56" s="124">
        <f>IF(B56="","",'Fecha Pago'!L16)</f>
        <v>30.4</v>
      </c>
      <c r="E56" s="125">
        <f t="shared" si="0"/>
        <v>9.1499999999999998E-2</v>
      </c>
      <c r="F56" s="126">
        <f t="shared" si="4"/>
        <v>589132.77107308758</v>
      </c>
      <c r="G56" s="126">
        <f>IF(B56="","",IF(F56=0,0,MIN(F56,IF(Catálogos!$N$6=1,Prepagos!C15,IF(Catálogos!$N$6=2,Prepagos!D15,IF(Catálogos!$N$6=3,Prepagos!E15,))))))</f>
        <v>951.72649717122749</v>
      </c>
      <c r="H56" s="126">
        <f t="shared" si="5"/>
        <v>4552.0325444913897</v>
      </c>
      <c r="I56" s="126">
        <f t="shared" si="6"/>
        <v>0</v>
      </c>
      <c r="J56" s="126">
        <f>IF(B56="","",IF(F56=0,0,F56*Catálogos!$R$1))</f>
        <v>353.47966264385252</v>
      </c>
      <c r="K56" s="126">
        <f>IF(B56="","",IF(Catálogos!$K$10=1,Carátula!$F$17*Catálogos!$R$4,0))</f>
        <v>199.92</v>
      </c>
      <c r="L56" s="126">
        <f>IF(B56="","",IF(F56=0,0,CAT!H19))</f>
        <v>299</v>
      </c>
      <c r="M56" s="115"/>
      <c r="N56" s="126">
        <f>IF(B56="","",IF(M56&gt;0,M56-(M56/(1+Catálogos!$N$10)),0))</f>
        <v>0</v>
      </c>
      <c r="O56" s="126">
        <f t="shared" si="7"/>
        <v>6356.1587043064701</v>
      </c>
      <c r="P56" s="126">
        <f t="shared" si="1"/>
        <v>588181.04457591637</v>
      </c>
      <c r="Q56" s="127">
        <f t="shared" si="2"/>
        <v>1</v>
      </c>
    </row>
    <row r="57" spans="2:17" x14ac:dyDescent="0.25">
      <c r="B57" s="122">
        <f t="shared" si="3"/>
        <v>14</v>
      </c>
      <c r="C57" s="123">
        <f>IF(B57="","",'Fecha Pago'!K17)</f>
        <v>46390</v>
      </c>
      <c r="D57" s="124">
        <f>IF(B57="","",'Fecha Pago'!L17)</f>
        <v>30.4</v>
      </c>
      <c r="E57" s="125">
        <f t="shared" si="0"/>
        <v>9.1499999999999998E-2</v>
      </c>
      <c r="F57" s="126">
        <f t="shared" si="4"/>
        <v>588181.04457591637</v>
      </c>
      <c r="G57" s="126">
        <f>IF(B57="","",IF(F57=0,0,MIN(F57,IF(Catálogos!$N$6=1,Prepagos!C16,IF(Catálogos!$N$6=2,Prepagos!D16,IF(Catálogos!$N$6=3,Prepagos!E16,))))))</f>
        <v>959.08017057270399</v>
      </c>
      <c r="H57" s="126">
        <f t="shared" si="5"/>
        <v>4544.6788710899127</v>
      </c>
      <c r="I57" s="126">
        <f t="shared" si="6"/>
        <v>0</v>
      </c>
      <c r="J57" s="126">
        <f>IF(B57="","",IF(F57=0,0,F57*Catálogos!$R$1))</f>
        <v>352.90862674554978</v>
      </c>
      <c r="K57" s="126">
        <f>IF(B57="","",IF(Catálogos!$K$10=1,Carátula!$F$17*Catálogos!$R$4,0))</f>
        <v>199.92</v>
      </c>
      <c r="L57" s="126">
        <f>IF(B57="","",IF(F57=0,0,CAT!H20))</f>
        <v>299</v>
      </c>
      <c r="M57" s="115"/>
      <c r="N57" s="126">
        <f>IF(B57="","",IF(M57&gt;0,M57-(M57/(1+Catálogos!$N$10)),0))</f>
        <v>0</v>
      </c>
      <c r="O57" s="126">
        <f t="shared" si="7"/>
        <v>6355.5876684081668</v>
      </c>
      <c r="P57" s="126">
        <f t="shared" si="1"/>
        <v>587221.96440534364</v>
      </c>
      <c r="Q57" s="127">
        <f t="shared" si="2"/>
        <v>1</v>
      </c>
    </row>
    <row r="58" spans="2:17" x14ac:dyDescent="0.25">
      <c r="B58" s="122">
        <f t="shared" si="3"/>
        <v>15</v>
      </c>
      <c r="C58" s="123">
        <f>IF(B58="","",'Fecha Pago'!K18)</f>
        <v>46421</v>
      </c>
      <c r="D58" s="124">
        <f>IF(B58="","",'Fecha Pago'!L18)</f>
        <v>30.4</v>
      </c>
      <c r="E58" s="125">
        <f t="shared" si="0"/>
        <v>9.1499999999999998E-2</v>
      </c>
      <c r="F58" s="126">
        <f t="shared" si="4"/>
        <v>587221.96440534364</v>
      </c>
      <c r="G58" s="126">
        <f>IF(B58="","",IF(F58=0,0,MIN(F58,IF(Catálogos!$N$6=1,Prepagos!C17,IF(Catálogos!$N$6=2,Prepagos!D17,IF(Catálogos!$N$6=3,Prepagos!E17,))))))</f>
        <v>966.49066335732891</v>
      </c>
      <c r="H58" s="126">
        <f t="shared" si="5"/>
        <v>4537.268378305288</v>
      </c>
      <c r="I58" s="126">
        <f t="shared" si="6"/>
        <v>0</v>
      </c>
      <c r="J58" s="126">
        <f>IF(B58="","",IF(F58=0,0,F58*Catálogos!$R$1))</f>
        <v>352.33317864320617</v>
      </c>
      <c r="K58" s="126">
        <f>IF(B58="","",IF(Catálogos!$K$10=1,Carátula!$F$17*Catálogos!$R$4,0))</f>
        <v>199.92</v>
      </c>
      <c r="L58" s="126">
        <f>IF(B58="","",IF(F58=0,0,CAT!H21))</f>
        <v>299</v>
      </c>
      <c r="M58" s="115"/>
      <c r="N58" s="126">
        <f>IF(B58="","",IF(M58&gt;0,M58-(M58/(1+Catálogos!$N$10)),0))</f>
        <v>0</v>
      </c>
      <c r="O58" s="126">
        <f t="shared" si="7"/>
        <v>6355.0122203058236</v>
      </c>
      <c r="P58" s="126">
        <f t="shared" si="1"/>
        <v>586255.47374198632</v>
      </c>
      <c r="Q58" s="127">
        <f t="shared" si="2"/>
        <v>1</v>
      </c>
    </row>
    <row r="59" spans="2:17" x14ac:dyDescent="0.25">
      <c r="B59" s="122">
        <f t="shared" si="3"/>
        <v>16</v>
      </c>
      <c r="C59" s="123">
        <f>IF(B59="","",'Fecha Pago'!K19)</f>
        <v>46449</v>
      </c>
      <c r="D59" s="124">
        <f>IF(B59="","",'Fecha Pago'!L19)</f>
        <v>30.4</v>
      </c>
      <c r="E59" s="125">
        <f t="shared" si="0"/>
        <v>9.1499999999999998E-2</v>
      </c>
      <c r="F59" s="126">
        <f t="shared" si="4"/>
        <v>586255.47374198632</v>
      </c>
      <c r="G59" s="126">
        <f>IF(B59="","",IF(F59=0,0,MIN(F59,IF(Catálogos!$N$6=1,Prepagos!C18,IF(Catálogos!$N$6=2,Prepagos!D18,IF(Catálogos!$N$6=3,Prepagos!E18,))))))</f>
        <v>973.95841454953643</v>
      </c>
      <c r="H59" s="126">
        <f t="shared" si="5"/>
        <v>4529.8006271130807</v>
      </c>
      <c r="I59" s="126">
        <f t="shared" si="6"/>
        <v>0</v>
      </c>
      <c r="J59" s="126">
        <f>IF(B59="","",IF(F59=0,0,F59*Catálogos!$R$1))</f>
        <v>351.75328424519176</v>
      </c>
      <c r="K59" s="126">
        <f>IF(B59="","",IF(Catálogos!$K$10=1,Carátula!$F$17*Catálogos!$R$4,0))</f>
        <v>199.92</v>
      </c>
      <c r="L59" s="126">
        <f>IF(B59="","",IF(F59=0,0,CAT!H22))</f>
        <v>299</v>
      </c>
      <c r="M59" s="115"/>
      <c r="N59" s="126">
        <f>IF(B59="","",IF(M59&gt;0,M59-(M59/(1+Catálogos!$N$10)),0))</f>
        <v>0</v>
      </c>
      <c r="O59" s="126">
        <f t="shared" si="7"/>
        <v>6354.4323259078092</v>
      </c>
      <c r="P59" s="126">
        <f t="shared" si="1"/>
        <v>585281.51532743673</v>
      </c>
      <c r="Q59" s="127">
        <f t="shared" si="2"/>
        <v>1</v>
      </c>
    </row>
    <row r="60" spans="2:17" x14ac:dyDescent="0.25">
      <c r="B60" s="122">
        <f t="shared" si="3"/>
        <v>17</v>
      </c>
      <c r="C60" s="123">
        <f>IF(B60="","",'Fecha Pago'!K20)</f>
        <v>46480</v>
      </c>
      <c r="D60" s="124">
        <f>IF(B60="","",'Fecha Pago'!L20)</f>
        <v>30.4</v>
      </c>
      <c r="E60" s="125">
        <f t="shared" si="0"/>
        <v>9.1499999999999998E-2</v>
      </c>
      <c r="F60" s="126">
        <f t="shared" si="4"/>
        <v>585281.51532743673</v>
      </c>
      <c r="G60" s="126">
        <f>IF(B60="","",IF(F60=0,0,MIN(F60,IF(Catálogos!$N$6=1,Prepagos!C19,IF(Catálogos!$N$6=2,Prepagos!D19,IF(Catálogos!$N$6=3,Prepagos!E19,))))))</f>
        <v>981.48386656595608</v>
      </c>
      <c r="H60" s="126">
        <f t="shared" si="5"/>
        <v>4522.2751750966609</v>
      </c>
      <c r="I60" s="126">
        <f t="shared" si="6"/>
        <v>0</v>
      </c>
      <c r="J60" s="126">
        <f>IF(B60="","",IF(F60=0,0,F60*Catálogos!$R$1))</f>
        <v>351.16890919646198</v>
      </c>
      <c r="K60" s="126">
        <f>IF(B60="","",IF(Catálogos!$K$10=1,Carátula!$F$17*Catálogos!$R$4,0))</f>
        <v>199.92</v>
      </c>
      <c r="L60" s="126">
        <f>IF(B60="","",IF(F60=0,0,CAT!H23))</f>
        <v>299</v>
      </c>
      <c r="M60" s="115"/>
      <c r="N60" s="126">
        <f>IF(B60="","",IF(M60&gt;0,M60-(M60/(1+Catálogos!$N$10)),0))</f>
        <v>0</v>
      </c>
      <c r="O60" s="126">
        <f t="shared" si="7"/>
        <v>6353.847950859079</v>
      </c>
      <c r="P60" s="126">
        <f t="shared" si="1"/>
        <v>584300.03146087076</v>
      </c>
      <c r="Q60" s="127">
        <f t="shared" si="2"/>
        <v>1</v>
      </c>
    </row>
    <row r="61" spans="2:17" x14ac:dyDescent="0.25">
      <c r="B61" s="122">
        <f t="shared" si="3"/>
        <v>18</v>
      </c>
      <c r="C61" s="123">
        <f>IF(B61="","",'Fecha Pago'!K21)</f>
        <v>46510</v>
      </c>
      <c r="D61" s="124">
        <f>IF(B61="","",'Fecha Pago'!L21)</f>
        <v>30.4</v>
      </c>
      <c r="E61" s="125">
        <f t="shared" si="0"/>
        <v>9.1499999999999998E-2</v>
      </c>
      <c r="F61" s="126">
        <f t="shared" si="4"/>
        <v>584300.03146087076</v>
      </c>
      <c r="G61" s="126">
        <f>IF(B61="","",IF(F61=0,0,MIN(F61,IF(Catálogos!$N$6=1,Prepagos!C20,IF(Catálogos!$N$6=2,Prepagos!D20,IF(Catálogos!$N$6=3,Prepagos!E20,))))))</f>
        <v>989.06746524162224</v>
      </c>
      <c r="H61" s="126">
        <f t="shared" si="5"/>
        <v>4514.6915764209944</v>
      </c>
      <c r="I61" s="126">
        <f t="shared" si="6"/>
        <v>0</v>
      </c>
      <c r="J61" s="126">
        <f>IF(B61="","",IF(F61=0,0,F61*Catálogos!$R$1))</f>
        <v>350.58001887652244</v>
      </c>
      <c r="K61" s="126">
        <f>IF(B61="","",IF(Catálogos!$K$10=1,Carátula!$F$17*Catálogos!$R$4,0))</f>
        <v>199.92</v>
      </c>
      <c r="L61" s="126">
        <f>IF(B61="","",IF(F61=0,0,CAT!H24))</f>
        <v>299</v>
      </c>
      <c r="M61" s="115"/>
      <c r="N61" s="126">
        <f>IF(B61="","",IF(M61&gt;0,M61-(M61/(1+Catálogos!$N$10)),0))</f>
        <v>0</v>
      </c>
      <c r="O61" s="126">
        <f t="shared" si="7"/>
        <v>6353.2590605391388</v>
      </c>
      <c r="P61" s="126">
        <f t="shared" si="1"/>
        <v>583310.96399562911</v>
      </c>
      <c r="Q61" s="127">
        <f t="shared" si="2"/>
        <v>1</v>
      </c>
    </row>
    <row r="62" spans="2:17" x14ac:dyDescent="0.25">
      <c r="B62" s="122">
        <f t="shared" si="3"/>
        <v>19</v>
      </c>
      <c r="C62" s="123">
        <f>IF(B62="","",'Fecha Pago'!K22)</f>
        <v>46541</v>
      </c>
      <c r="D62" s="124">
        <f>IF(B62="","",'Fecha Pago'!L22)</f>
        <v>30.4</v>
      </c>
      <c r="E62" s="125">
        <f t="shared" si="0"/>
        <v>9.1499999999999998E-2</v>
      </c>
      <c r="F62" s="126">
        <f t="shared" si="4"/>
        <v>583310.96399562911</v>
      </c>
      <c r="G62" s="126">
        <f>IF(B62="","",IF(F62=0,0,MIN(F62,IF(Catálogos!$N$6=1,Prepagos!C21,IF(Catálogos!$N$6=2,Prepagos!D21,IF(Catálogos!$N$6=3,Prepagos!E21,))))))</f>
        <v>996.70965985638929</v>
      </c>
      <c r="H62" s="126">
        <f t="shared" si="5"/>
        <v>4507.0493818062268</v>
      </c>
      <c r="I62" s="126">
        <f t="shared" si="6"/>
        <v>0</v>
      </c>
      <c r="J62" s="126">
        <f>IF(B62="","",IF(F62=0,0,F62*Catálogos!$R$1))</f>
        <v>349.98657839737746</v>
      </c>
      <c r="K62" s="126">
        <f>IF(B62="","",IF(Catálogos!$K$10=1,Carátula!$F$17*Catálogos!$R$4,0))</f>
        <v>199.92</v>
      </c>
      <c r="L62" s="126">
        <f>IF(B62="","",IF(F62=0,0,CAT!H25))</f>
        <v>299</v>
      </c>
      <c r="M62" s="115"/>
      <c r="N62" s="126">
        <f>IF(B62="","",IF(M62&gt;0,M62-(M62/(1+Catálogos!$N$10)),0))</f>
        <v>0</v>
      </c>
      <c r="O62" s="126">
        <f t="shared" si="7"/>
        <v>6352.6656200599937</v>
      </c>
      <c r="P62" s="126">
        <f t="shared" si="1"/>
        <v>582314.25433577271</v>
      </c>
      <c r="Q62" s="127">
        <f t="shared" si="2"/>
        <v>1</v>
      </c>
    </row>
    <row r="63" spans="2:17" x14ac:dyDescent="0.25">
      <c r="B63" s="122">
        <f t="shared" si="3"/>
        <v>20</v>
      </c>
      <c r="C63" s="123">
        <f>IF(B63="","",'Fecha Pago'!K23)</f>
        <v>46571</v>
      </c>
      <c r="D63" s="124">
        <f>IF(B63="","",'Fecha Pago'!L23)</f>
        <v>30.4</v>
      </c>
      <c r="E63" s="125">
        <f t="shared" si="0"/>
        <v>9.1499999999999998E-2</v>
      </c>
      <c r="F63" s="126">
        <f t="shared" si="4"/>
        <v>582314.25433577271</v>
      </c>
      <c r="G63" s="126">
        <f>IF(B63="","",IF(F63=0,0,MIN(F63,IF(Catálogos!$N$6=1,Prepagos!C22,IF(Catálogos!$N$6=2,Prepagos!D22,IF(Catálogos!$N$6=3,Prepagos!E22,))))))</f>
        <v>1004.4109031615463</v>
      </c>
      <c r="H63" s="126">
        <f t="shared" si="5"/>
        <v>4499.34813850107</v>
      </c>
      <c r="I63" s="126">
        <f t="shared" si="6"/>
        <v>0</v>
      </c>
      <c r="J63" s="126">
        <f>IF(B63="","",IF(F63=0,0,F63*Catálogos!$R$1))</f>
        <v>349.38855260146357</v>
      </c>
      <c r="K63" s="126">
        <f>IF(B63="","",IF(Catálogos!$K$10=1,Carátula!$F$17*Catálogos!$R$4,0))</f>
        <v>199.92</v>
      </c>
      <c r="L63" s="126">
        <f>IF(B63="","",IF(F63=0,0,CAT!H26))</f>
        <v>299</v>
      </c>
      <c r="M63" s="115"/>
      <c r="N63" s="126">
        <f>IF(B63="","",IF(M63&gt;0,M63-(M63/(1+Catálogos!$N$10)),0))</f>
        <v>0</v>
      </c>
      <c r="O63" s="126">
        <f t="shared" si="7"/>
        <v>6352.0675942640801</v>
      </c>
      <c r="P63" s="126">
        <f t="shared" si="1"/>
        <v>581309.8434326112</v>
      </c>
      <c r="Q63" s="127">
        <f t="shared" si="2"/>
        <v>1</v>
      </c>
    </row>
    <row r="64" spans="2:17" x14ac:dyDescent="0.25">
      <c r="B64" s="122">
        <f t="shared" si="3"/>
        <v>21</v>
      </c>
      <c r="C64" s="123">
        <f>IF(B64="","",'Fecha Pago'!K24)</f>
        <v>46602</v>
      </c>
      <c r="D64" s="124">
        <f>IF(B64="","",'Fecha Pago'!L24)</f>
        <v>30.4</v>
      </c>
      <c r="E64" s="125">
        <f t="shared" si="0"/>
        <v>9.1499999999999998E-2</v>
      </c>
      <c r="F64" s="126">
        <f t="shared" si="4"/>
        <v>581309.8434326112</v>
      </c>
      <c r="G64" s="126">
        <f>IF(B64="","",IF(F64=0,0,MIN(F64,IF(Catálogos!$N$6=1,Prepagos!C23,IF(Catálogos!$N$6=2,Prepagos!D23,IF(Catálogos!$N$6=3,Prepagos!E23,))))))</f>
        <v>1012.1716514066411</v>
      </c>
      <c r="H64" s="126">
        <f t="shared" si="5"/>
        <v>4491.5873902559752</v>
      </c>
      <c r="I64" s="126">
        <f t="shared" si="6"/>
        <v>0</v>
      </c>
      <c r="J64" s="126">
        <f>IF(B64="","",IF(F64=0,0,F64*Catálogos!$R$1))</f>
        <v>348.78590605956668</v>
      </c>
      <c r="K64" s="126">
        <f>IF(B64="","",IF(Catálogos!$K$10=1,Carátula!$F$17*Catálogos!$R$4,0))</f>
        <v>199.92</v>
      </c>
      <c r="L64" s="126">
        <f>IF(B64="","",IF(F64=0,0,CAT!H27))</f>
        <v>299</v>
      </c>
      <c r="M64" s="115"/>
      <c r="N64" s="126">
        <f>IF(B64="","",IF(M64&gt;0,M64-(M64/(1+Catálogos!$N$10)),0))</f>
        <v>0</v>
      </c>
      <c r="O64" s="126">
        <f t="shared" si="7"/>
        <v>6351.4649477221828</v>
      </c>
      <c r="P64" s="126">
        <f t="shared" si="1"/>
        <v>580297.67178120452</v>
      </c>
      <c r="Q64" s="127">
        <f t="shared" si="2"/>
        <v>1</v>
      </c>
    </row>
    <row r="65" spans="2:17" x14ac:dyDescent="0.25">
      <c r="B65" s="122">
        <f t="shared" si="3"/>
        <v>22</v>
      </c>
      <c r="C65" s="123">
        <f>IF(B65="","",'Fecha Pago'!K25)</f>
        <v>46633</v>
      </c>
      <c r="D65" s="124">
        <f>IF(B65="","",'Fecha Pago'!L25)</f>
        <v>30.4</v>
      </c>
      <c r="E65" s="125">
        <f t="shared" si="0"/>
        <v>9.1499999999999998E-2</v>
      </c>
      <c r="F65" s="126">
        <f t="shared" si="4"/>
        <v>580297.67178120452</v>
      </c>
      <c r="G65" s="126">
        <f>IF(B65="","",IF(F65=0,0,MIN(F65,IF(Catálogos!$N$6=1,Prepagos!C24,IF(Catálogos!$N$6=2,Prepagos!D24,IF(Catálogos!$N$6=3,Prepagos!E24,))))))</f>
        <v>1019.9923643665097</v>
      </c>
      <c r="H65" s="126">
        <f t="shared" si="5"/>
        <v>4483.7666772961065</v>
      </c>
      <c r="I65" s="126">
        <f t="shared" si="6"/>
        <v>0</v>
      </c>
      <c r="J65" s="126">
        <f>IF(B65="","",IF(F65=0,0,F65*Catálogos!$R$1))</f>
        <v>348.17860306872268</v>
      </c>
      <c r="K65" s="126">
        <f>IF(B65="","",IF(Catálogos!$K$10=1,Carátula!$F$17*Catálogos!$R$4,0))</f>
        <v>199.92</v>
      </c>
      <c r="L65" s="126">
        <f>IF(B65="","",IF(F65=0,0,CAT!H28))</f>
        <v>299</v>
      </c>
      <c r="M65" s="115"/>
      <c r="N65" s="126">
        <f>IF(B65="","",IF(M65&gt;0,M65-(M65/(1+Catálogos!$N$10)),0))</f>
        <v>0</v>
      </c>
      <c r="O65" s="126">
        <f t="shared" si="7"/>
        <v>6350.857644731339</v>
      </c>
      <c r="P65" s="126">
        <f t="shared" si="1"/>
        <v>579277.67941683799</v>
      </c>
      <c r="Q65" s="127">
        <f t="shared" si="2"/>
        <v>1</v>
      </c>
    </row>
    <row r="66" spans="2:17" x14ac:dyDescent="0.25">
      <c r="B66" s="122">
        <f t="shared" si="3"/>
        <v>23</v>
      </c>
      <c r="C66" s="123">
        <f>IF(B66="","",'Fecha Pago'!K26)</f>
        <v>46663</v>
      </c>
      <c r="D66" s="124">
        <f>IF(B66="","",'Fecha Pago'!L26)</f>
        <v>30.4</v>
      </c>
      <c r="E66" s="125">
        <f t="shared" si="0"/>
        <v>9.1499999999999998E-2</v>
      </c>
      <c r="F66" s="126">
        <f t="shared" si="4"/>
        <v>579277.67941683799</v>
      </c>
      <c r="G66" s="126">
        <f>IF(B66="","",IF(F66=0,0,MIN(F66,IF(Catálogos!$N$6=1,Prepagos!C25,IF(Catálogos!$N$6=2,Prepagos!D25,IF(Catálogos!$N$6=3,Prepagos!E25,))))))</f>
        <v>1027.8735053685152</v>
      </c>
      <c r="H66" s="126">
        <f t="shared" si="5"/>
        <v>4475.8855362941013</v>
      </c>
      <c r="I66" s="126">
        <f t="shared" si="6"/>
        <v>0</v>
      </c>
      <c r="J66" s="126">
        <f>IF(B66="","",IF(F66=0,0,F66*Catálogos!$R$1))</f>
        <v>347.56660765010275</v>
      </c>
      <c r="K66" s="126">
        <f>IF(B66="","",IF(Catálogos!$K$10=1,Carátula!$F$17*Catálogos!$R$4,0))</f>
        <v>199.92</v>
      </c>
      <c r="L66" s="126">
        <f>IF(B66="","",IF(F66=0,0,CAT!H29))</f>
        <v>299</v>
      </c>
      <c r="M66" s="115"/>
      <c r="N66" s="126">
        <f>IF(B66="","",IF(M66&gt;0,M66-(M66/(1+Catálogos!$N$10)),0))</f>
        <v>0</v>
      </c>
      <c r="O66" s="126">
        <f t="shared" si="7"/>
        <v>6350.2456493127193</v>
      </c>
      <c r="P66" s="126">
        <f t="shared" si="1"/>
        <v>578249.80591146951</v>
      </c>
      <c r="Q66" s="127">
        <f t="shared" si="2"/>
        <v>1</v>
      </c>
    </row>
    <row r="67" spans="2:17" x14ac:dyDescent="0.25">
      <c r="B67" s="122">
        <f t="shared" si="3"/>
        <v>24</v>
      </c>
      <c r="C67" s="123">
        <f>IF(B67="","",'Fecha Pago'!K27)</f>
        <v>46694</v>
      </c>
      <c r="D67" s="124">
        <f>IF(B67="","",'Fecha Pago'!L27)</f>
        <v>30.4</v>
      </c>
      <c r="E67" s="125">
        <f t="shared" si="0"/>
        <v>9.1499999999999998E-2</v>
      </c>
      <c r="F67" s="126">
        <f t="shared" si="4"/>
        <v>578249.80591146951</v>
      </c>
      <c r="G67" s="126">
        <f>IF(B67="","",IF(F67=0,0,MIN(F67,IF(Catálogos!$N$6=1,Prepagos!C26,IF(Catálogos!$N$6=2,Prepagos!D26,IF(Catálogos!$N$6=3,Prepagos!E26,))))))</f>
        <v>1035.8155413199959</v>
      </c>
      <c r="H67" s="126">
        <f t="shared" si="5"/>
        <v>4467.9435003426206</v>
      </c>
      <c r="I67" s="126">
        <f t="shared" si="6"/>
        <v>0</v>
      </c>
      <c r="J67" s="126">
        <f>IF(B67="","",IF(F67=0,0,F67*Catálogos!$R$1))</f>
        <v>346.94988354688167</v>
      </c>
      <c r="K67" s="126">
        <f>IF(B67="","",IF(Catálogos!$K$10=1,Carátula!$F$17*Catálogos!$R$4,0))</f>
        <v>199.92</v>
      </c>
      <c r="L67" s="126">
        <f>IF(B67="","",IF(F67=0,0,CAT!H30))</f>
        <v>299</v>
      </c>
      <c r="M67" s="115"/>
      <c r="N67" s="126">
        <f>IF(B67="","",IF(M67&gt;0,M67-(M67/(1+Catálogos!$N$10)),0))</f>
        <v>0</v>
      </c>
      <c r="O67" s="126">
        <f t="shared" si="7"/>
        <v>6349.6289252094975</v>
      </c>
      <c r="P67" s="126">
        <f t="shared" si="1"/>
        <v>577213.99037014949</v>
      </c>
      <c r="Q67" s="127">
        <f t="shared" si="2"/>
        <v>1</v>
      </c>
    </row>
    <row r="68" spans="2:17" x14ac:dyDescent="0.25">
      <c r="B68" s="122">
        <f t="shared" si="3"/>
        <v>25</v>
      </c>
      <c r="C68" s="123">
        <f>IF(B68="","",'Fecha Pago'!K28)</f>
        <v>46724</v>
      </c>
      <c r="D68" s="124">
        <f>IF(B68="","",'Fecha Pago'!L28)</f>
        <v>30.4</v>
      </c>
      <c r="E68" s="125">
        <f t="shared" si="0"/>
        <v>9.1499999999999998E-2</v>
      </c>
      <c r="F68" s="126">
        <f t="shared" si="4"/>
        <v>577213.99037014949</v>
      </c>
      <c r="G68" s="126">
        <f>IF(B68="","",IF(F68=0,0,MIN(F68,IF(Catálogos!$N$6=1,Prepagos!C27,IF(Catálogos!$N$6=2,Prepagos!D27,IF(Catálogos!$N$6=3,Prepagos!E27,))))))</f>
        <v>1043.8189427359282</v>
      </c>
      <c r="H68" s="126">
        <f t="shared" si="5"/>
        <v>4459.9400989266878</v>
      </c>
      <c r="I68" s="126">
        <f t="shared" si="6"/>
        <v>0</v>
      </c>
      <c r="J68" s="126">
        <f>IF(B68="","",IF(F68=0,0,F68*Catálogos!$R$1))</f>
        <v>346.32839422208968</v>
      </c>
      <c r="K68" s="126">
        <f>IF(B68="","",IF(Catálogos!$K$10=1,Carátula!$F$17*Catálogos!$R$4,0))</f>
        <v>199.92</v>
      </c>
      <c r="L68" s="126">
        <f>IF(B68="","",IF(F68=0,0,CAT!H31))</f>
        <v>299</v>
      </c>
      <c r="M68" s="115"/>
      <c r="N68" s="126">
        <f>IF(B68="","",IF(M68&gt;0,M68-(M68/(1+Catálogos!$N$10)),0))</f>
        <v>0</v>
      </c>
      <c r="O68" s="126">
        <f t="shared" si="7"/>
        <v>6349.007435884706</v>
      </c>
      <c r="P68" s="126">
        <f t="shared" si="1"/>
        <v>576170.17142741359</v>
      </c>
      <c r="Q68" s="127">
        <f t="shared" si="2"/>
        <v>1</v>
      </c>
    </row>
    <row r="69" spans="2:17" x14ac:dyDescent="0.25">
      <c r="B69" s="122">
        <f t="shared" si="3"/>
        <v>26</v>
      </c>
      <c r="C69" s="123">
        <f>IF(B69="","",'Fecha Pago'!K29)</f>
        <v>46755</v>
      </c>
      <c r="D69" s="124">
        <f>IF(B69="","",'Fecha Pago'!L29)</f>
        <v>30.4</v>
      </c>
      <c r="E69" s="125">
        <f t="shared" si="0"/>
        <v>9.1499999999999998E-2</v>
      </c>
      <c r="F69" s="126">
        <f t="shared" si="4"/>
        <v>576170.17142741359</v>
      </c>
      <c r="G69" s="126">
        <f>IF(B69="","",IF(F69=0,0,MIN(F69,IF(Catálogos!$N$6=1,Prepagos!C28,IF(Catálogos!$N$6=2,Prepagos!D28,IF(Catálogos!$N$6=3,Prepagos!E28,))))))</f>
        <v>1051.8841837668012</v>
      </c>
      <c r="H69" s="126">
        <f t="shared" si="5"/>
        <v>4451.8748578958148</v>
      </c>
      <c r="I69" s="126">
        <f t="shared" si="6"/>
        <v>0</v>
      </c>
      <c r="J69" s="126">
        <f>IF(B69="","",IF(F69=0,0,F69*Catálogos!$R$1))</f>
        <v>345.70210285644811</v>
      </c>
      <c r="K69" s="126">
        <f>IF(B69="","",IF(Catálogos!$K$10=1,Carátula!$F$17*Catálogos!$R$4,0))</f>
        <v>199.92</v>
      </c>
      <c r="L69" s="126">
        <f>IF(B69="","",IF(F69=0,0,CAT!H32))</f>
        <v>299</v>
      </c>
      <c r="M69" s="115"/>
      <c r="N69" s="126">
        <f>IF(B69="","",IF(M69&gt;0,M69-(M69/(1+Catálogos!$N$10)),0))</f>
        <v>0</v>
      </c>
      <c r="O69" s="126">
        <f t="shared" si="7"/>
        <v>6348.381144519064</v>
      </c>
      <c r="P69" s="126">
        <f t="shared" si="1"/>
        <v>575118.2872436468</v>
      </c>
      <c r="Q69" s="127">
        <f t="shared" si="2"/>
        <v>1</v>
      </c>
    </row>
    <row r="70" spans="2:17" x14ac:dyDescent="0.25">
      <c r="B70" s="122">
        <f t="shared" si="3"/>
        <v>27</v>
      </c>
      <c r="C70" s="123">
        <f>IF(B70="","",'Fecha Pago'!K30)</f>
        <v>46786</v>
      </c>
      <c r="D70" s="124">
        <f>IF(B70="","",'Fecha Pago'!L30)</f>
        <v>30.4</v>
      </c>
      <c r="E70" s="125">
        <f t="shared" si="0"/>
        <v>9.1499999999999998E-2</v>
      </c>
      <c r="F70" s="126">
        <f t="shared" si="4"/>
        <v>575118.2872436468</v>
      </c>
      <c r="G70" s="126">
        <f>IF(B70="","",IF(F70=0,0,MIN(F70,IF(Catálogos!$N$6=1,Prepagos!C29,IF(Catálogos!$N$6=2,Prepagos!D29,IF(Catálogos!$N$6=3,Prepagos!E29,))))))</f>
        <v>1060.0117422267062</v>
      </c>
      <c r="H70" s="126">
        <f t="shared" si="5"/>
        <v>4443.7472994359105</v>
      </c>
      <c r="I70" s="126">
        <f t="shared" si="6"/>
        <v>0</v>
      </c>
      <c r="J70" s="126">
        <f>IF(B70="","",IF(F70=0,0,F70*Catálogos!$R$1))</f>
        <v>345.07097234618806</v>
      </c>
      <c r="K70" s="126">
        <f>IF(B70="","",IF(Catálogos!$K$10=1,Carátula!$F$17*Catálogos!$R$4,0))</f>
        <v>199.92</v>
      </c>
      <c r="L70" s="126">
        <f>IF(B70="","",IF(F70=0,0,CAT!H33))</f>
        <v>299</v>
      </c>
      <c r="M70" s="115"/>
      <c r="N70" s="126">
        <f>IF(B70="","",IF(M70&gt;0,M70-(M70/(1+Catálogos!$N$10)),0))</f>
        <v>0</v>
      </c>
      <c r="O70" s="126">
        <f t="shared" si="7"/>
        <v>6347.750014008805</v>
      </c>
      <c r="P70" s="126">
        <f t="shared" si="1"/>
        <v>574058.27550142014</v>
      </c>
      <c r="Q70" s="127">
        <f t="shared" si="2"/>
        <v>1</v>
      </c>
    </row>
    <row r="71" spans="2:17" x14ac:dyDescent="0.25">
      <c r="B71" s="122">
        <f t="shared" si="3"/>
        <v>28</v>
      </c>
      <c r="C71" s="123">
        <f>IF(B71="","",'Fecha Pago'!K31)</f>
        <v>46815</v>
      </c>
      <c r="D71" s="124">
        <f>IF(B71="","",'Fecha Pago'!L31)</f>
        <v>30.4</v>
      </c>
      <c r="E71" s="125">
        <f t="shared" si="0"/>
        <v>9.1499999999999998E-2</v>
      </c>
      <c r="F71" s="126">
        <f t="shared" si="4"/>
        <v>574058.27550142014</v>
      </c>
      <c r="G71" s="126">
        <f>IF(B71="","",IF(F71=0,0,MIN(F71,IF(Catálogos!$N$6=1,Prepagos!C30,IF(Catálogos!$N$6=2,Prepagos!D30,IF(Catálogos!$N$6=3,Prepagos!E30,))))))</f>
        <v>1068.2020996216447</v>
      </c>
      <c r="H71" s="126">
        <f t="shared" si="5"/>
        <v>4435.556942040972</v>
      </c>
      <c r="I71" s="126">
        <f t="shared" si="6"/>
        <v>0</v>
      </c>
      <c r="J71" s="126">
        <f>IF(B71="","",IF(F71=0,0,F71*Catálogos!$R$1))</f>
        <v>344.43496530085207</v>
      </c>
      <c r="K71" s="126">
        <f>IF(B71="","",IF(Catálogos!$K$10=1,Carátula!$F$17*Catálogos!$R$4,0))</f>
        <v>199.92</v>
      </c>
      <c r="L71" s="126">
        <f>IF(B71="","",IF(F71=0,0,CAT!H34))</f>
        <v>299</v>
      </c>
      <c r="M71" s="115"/>
      <c r="N71" s="126">
        <f>IF(B71="","",IF(M71&gt;0,M71-(M71/(1+Catálogos!$N$10)),0))</f>
        <v>0</v>
      </c>
      <c r="O71" s="126">
        <f t="shared" si="7"/>
        <v>6347.1140069634694</v>
      </c>
      <c r="P71" s="126">
        <f t="shared" si="1"/>
        <v>572990.07340179849</v>
      </c>
      <c r="Q71" s="127">
        <f t="shared" si="2"/>
        <v>1</v>
      </c>
    </row>
    <row r="72" spans="2:17" x14ac:dyDescent="0.25">
      <c r="B72" s="122">
        <f t="shared" si="3"/>
        <v>29</v>
      </c>
      <c r="C72" s="123">
        <f>IF(B72="","",'Fecha Pago'!K32)</f>
        <v>46846</v>
      </c>
      <c r="D72" s="124">
        <f>IF(B72="","",'Fecha Pago'!L32)</f>
        <v>30.4</v>
      </c>
      <c r="E72" s="125">
        <f t="shared" si="0"/>
        <v>9.1499999999999998E-2</v>
      </c>
      <c r="F72" s="126">
        <f t="shared" si="4"/>
        <v>572990.07340179849</v>
      </c>
      <c r="G72" s="126">
        <f>IF(B72="","",IF(F72=0,0,MIN(F72,IF(Catálogos!$N$6=1,Prepagos!C31,IF(Catálogos!$N$6=2,Prepagos!D31,IF(Catálogos!$N$6=3,Prepagos!E31,))))))</f>
        <v>1076.4557411780543</v>
      </c>
      <c r="H72" s="126">
        <f t="shared" si="5"/>
        <v>4427.303300484562</v>
      </c>
      <c r="I72" s="126">
        <f t="shared" si="6"/>
        <v>0</v>
      </c>
      <c r="J72" s="126">
        <f>IF(B72="","",IF(F72=0,0,F72*Catálogos!$R$1))</f>
        <v>343.79404404107908</v>
      </c>
      <c r="K72" s="126">
        <f>IF(B72="","",IF(Catálogos!$K$10=1,Carátula!$F$17*Catálogos!$R$4,0))</f>
        <v>199.92</v>
      </c>
      <c r="L72" s="126">
        <f>IF(B72="","",IF(F72=0,0,CAT!H35))</f>
        <v>299</v>
      </c>
      <c r="M72" s="115"/>
      <c r="N72" s="126">
        <f>IF(B72="","",IF(M72&gt;0,M72-(M72/(1+Catálogos!$N$10)),0))</f>
        <v>0</v>
      </c>
      <c r="O72" s="126">
        <f t="shared" si="7"/>
        <v>6346.4730857036957</v>
      </c>
      <c r="P72" s="126">
        <f t="shared" si="1"/>
        <v>571913.61766062048</v>
      </c>
      <c r="Q72" s="127">
        <f t="shared" si="2"/>
        <v>1</v>
      </c>
    </row>
    <row r="73" spans="2:17" x14ac:dyDescent="0.25">
      <c r="B73" s="122">
        <f t="shared" si="3"/>
        <v>30</v>
      </c>
      <c r="C73" s="123">
        <f>IF(B73="","",'Fecha Pago'!K33)</f>
        <v>46876</v>
      </c>
      <c r="D73" s="124">
        <f>IF(B73="","",'Fecha Pago'!L33)</f>
        <v>30.4</v>
      </c>
      <c r="E73" s="125">
        <f t="shared" si="0"/>
        <v>9.1499999999999998E-2</v>
      </c>
      <c r="F73" s="126">
        <f t="shared" si="4"/>
        <v>571913.61766062048</v>
      </c>
      <c r="G73" s="126">
        <f>IF(B73="","",IF(F73=0,0,MIN(F73,IF(Catálogos!$N$6=1,Prepagos!C32,IF(Catálogos!$N$6=2,Prepagos!D32,IF(Catálogos!$N$6=3,Prepagos!E32,))))))</f>
        <v>1084.7731558715566</v>
      </c>
      <c r="H73" s="126">
        <f t="shared" si="5"/>
        <v>4418.9858857910604</v>
      </c>
      <c r="I73" s="126">
        <f t="shared" si="6"/>
        <v>0</v>
      </c>
      <c r="J73" s="126">
        <f>IF(B73="","",IF(F73=0,0,F73*Catálogos!$R$1))</f>
        <v>343.14817059637227</v>
      </c>
      <c r="K73" s="126">
        <f>IF(B73="","",IF(Catálogos!$K$10=1,Carátula!$F$17*Catálogos!$R$4,0))</f>
        <v>199.92</v>
      </c>
      <c r="L73" s="126">
        <f>IF(B73="","",IF(F73=0,0,CAT!H36))</f>
        <v>299</v>
      </c>
      <c r="M73" s="115"/>
      <c r="N73" s="126">
        <f>IF(B73="","",IF(M73&gt;0,M73-(M73/(1+Catálogos!$N$10)),0))</f>
        <v>0</v>
      </c>
      <c r="O73" s="126">
        <f t="shared" si="7"/>
        <v>6345.8272122589897</v>
      </c>
      <c r="P73" s="126">
        <f t="shared" si="1"/>
        <v>570828.84450474894</v>
      </c>
      <c r="Q73" s="127">
        <f t="shared" si="2"/>
        <v>1</v>
      </c>
    </row>
    <row r="74" spans="2:17" x14ac:dyDescent="0.25">
      <c r="B74" s="122">
        <f t="shared" si="3"/>
        <v>31</v>
      </c>
      <c r="C74" s="123">
        <f>IF(B74="","",'Fecha Pago'!K34)</f>
        <v>46907</v>
      </c>
      <c r="D74" s="124">
        <f>IF(B74="","",'Fecha Pago'!L34)</f>
        <v>30.4</v>
      </c>
      <c r="E74" s="125">
        <f t="shared" si="0"/>
        <v>9.1499999999999998E-2</v>
      </c>
      <c r="F74" s="126">
        <f t="shared" si="4"/>
        <v>570828.84450474894</v>
      </c>
      <c r="G74" s="126">
        <f>IF(B74="","",IF(F74=0,0,MIN(F74,IF(Catálogos!$N$6=1,Prepagos!C33,IF(Catálogos!$N$6=2,Prepagos!D33,IF(Catálogos!$N$6=3,Prepagos!E33,))))))</f>
        <v>1093.1548364559244</v>
      </c>
      <c r="H74" s="126">
        <f t="shared" si="5"/>
        <v>4410.6042052066932</v>
      </c>
      <c r="I74" s="126">
        <f t="shared" si="6"/>
        <v>0</v>
      </c>
      <c r="J74" s="126">
        <f>IF(B74="","",IF(F74=0,0,F74*Catálogos!$R$1))</f>
        <v>342.49730670284936</v>
      </c>
      <c r="K74" s="126">
        <f>IF(B74="","",IF(Catálogos!$K$10=1,Carátula!$F$17*Catálogos!$R$4,0))</f>
        <v>199.92</v>
      </c>
      <c r="L74" s="126">
        <f>IF(B74="","",IF(F74=0,0,CAT!H37))</f>
        <v>299</v>
      </c>
      <c r="M74" s="115"/>
      <c r="N74" s="126">
        <f>IF(B74="","",IF(M74&gt;0,M74-(M74/(1+Catálogos!$N$10)),0))</f>
        <v>0</v>
      </c>
      <c r="O74" s="126">
        <f t="shared" si="7"/>
        <v>6345.1763483654668</v>
      </c>
      <c r="P74" s="126">
        <f t="shared" si="1"/>
        <v>569735.68966829299</v>
      </c>
      <c r="Q74" s="127">
        <f t="shared" si="2"/>
        <v>1</v>
      </c>
    </row>
    <row r="75" spans="2:17" x14ac:dyDescent="0.25">
      <c r="B75" s="122">
        <f t="shared" si="3"/>
        <v>32</v>
      </c>
      <c r="C75" s="123">
        <f>IF(B75="","",'Fecha Pago'!K35)</f>
        <v>46937</v>
      </c>
      <c r="D75" s="124">
        <f>IF(B75="","",'Fecha Pago'!L35)</f>
        <v>30.4</v>
      </c>
      <c r="E75" s="125">
        <f t="shared" si="0"/>
        <v>9.1499999999999998E-2</v>
      </c>
      <c r="F75" s="126">
        <f t="shared" si="4"/>
        <v>569735.68966829299</v>
      </c>
      <c r="G75" s="126">
        <f>IF(B75="","",IF(F75=0,0,MIN(F75,IF(Catálogos!$N$6=1,Prepagos!C34,IF(Catálogos!$N$6=2,Prepagos!D34,IF(Catálogos!$N$6=3,Prepagos!E34,))))))</f>
        <v>1101.6012794922738</v>
      </c>
      <c r="H75" s="126">
        <f t="shared" si="5"/>
        <v>4402.1577621703436</v>
      </c>
      <c r="I75" s="126">
        <f t="shared" si="6"/>
        <v>0</v>
      </c>
      <c r="J75" s="126">
        <f>IF(B75="","",IF(F75=0,0,F75*Catálogos!$R$1))</f>
        <v>341.84141380097577</v>
      </c>
      <c r="K75" s="126">
        <f>IF(B75="","",IF(Catálogos!$K$10=1,Carátula!$F$17*Catálogos!$R$4,0))</f>
        <v>199.92</v>
      </c>
      <c r="L75" s="126">
        <f>IF(B75="","",IF(F75=0,0,CAT!H38))</f>
        <v>299</v>
      </c>
      <c r="M75" s="115"/>
      <c r="N75" s="126">
        <f>IF(B75="","",IF(M75&gt;0,M75-(M75/(1+Catálogos!$N$10)),0))</f>
        <v>0</v>
      </c>
      <c r="O75" s="126">
        <f t="shared" si="7"/>
        <v>6344.520455463593</v>
      </c>
      <c r="P75" s="126">
        <f t="shared" si="1"/>
        <v>568634.08838880074</v>
      </c>
      <c r="Q75" s="127">
        <f t="shared" si="2"/>
        <v>1</v>
      </c>
    </row>
    <row r="76" spans="2:17" x14ac:dyDescent="0.25">
      <c r="B76" s="122">
        <f t="shared" si="3"/>
        <v>33</v>
      </c>
      <c r="C76" s="123">
        <f>IF(B76="","",'Fecha Pago'!K36)</f>
        <v>46968</v>
      </c>
      <c r="D76" s="124">
        <f>IF(B76="","",'Fecha Pago'!L36)</f>
        <v>30.4</v>
      </c>
      <c r="E76" s="125">
        <f t="shared" si="0"/>
        <v>9.1499999999999998E-2</v>
      </c>
      <c r="F76" s="126">
        <f t="shared" si="4"/>
        <v>568634.08838880074</v>
      </c>
      <c r="G76" s="126">
        <f>IF(B76="","",IF(F76=0,0,MIN(F76,IF(Catálogos!$N$6=1,Prepagos!C35,IF(Catálogos!$N$6=2,Prepagos!D35,IF(Catálogos!$N$6=3,Prepagos!E35,))))))</f>
        <v>1110.1129853784839</v>
      </c>
      <c r="H76" s="126">
        <f t="shared" si="5"/>
        <v>4393.646056284133</v>
      </c>
      <c r="I76" s="126">
        <f t="shared" si="6"/>
        <v>0</v>
      </c>
      <c r="J76" s="126">
        <f>IF(B76="","",IF(F76=0,0,F76*Catálogos!$R$1))</f>
        <v>341.1804530332804</v>
      </c>
      <c r="K76" s="126">
        <f>IF(B76="","",IF(Catálogos!$K$10=1,Carátula!$F$17*Catálogos!$R$4,0))</f>
        <v>199.92</v>
      </c>
      <c r="L76" s="126">
        <f>IF(B76="","",IF(F76=0,0,CAT!H39))</f>
        <v>299</v>
      </c>
      <c r="M76" s="115"/>
      <c r="N76" s="126">
        <f>IF(B76="","",IF(M76&gt;0,M76-(M76/(1+Catálogos!$N$10)),0))</f>
        <v>0</v>
      </c>
      <c r="O76" s="126">
        <f t="shared" si="7"/>
        <v>6343.8594946958974</v>
      </c>
      <c r="P76" s="126">
        <f t="shared" si="1"/>
        <v>567523.97540342226</v>
      </c>
      <c r="Q76" s="127">
        <f t="shared" si="2"/>
        <v>1</v>
      </c>
    </row>
    <row r="77" spans="2:17" x14ac:dyDescent="0.25">
      <c r="B77" s="122">
        <f t="shared" si="3"/>
        <v>34</v>
      </c>
      <c r="C77" s="123">
        <f>IF(B77="","",'Fecha Pago'!K37)</f>
        <v>46999</v>
      </c>
      <c r="D77" s="124">
        <f>IF(B77="","",'Fecha Pago'!L37)</f>
        <v>30.4</v>
      </c>
      <c r="E77" s="125">
        <f t="shared" si="0"/>
        <v>9.1499999999999998E-2</v>
      </c>
      <c r="F77" s="126">
        <f t="shared" si="4"/>
        <v>567523.97540342226</v>
      </c>
      <c r="G77" s="126">
        <f>IF(B77="","",IF(F77=0,0,MIN(F77,IF(Catálogos!$N$6=1,Prepagos!C36,IF(Catálogos!$N$6=2,Prepagos!D36,IF(Catálogos!$N$6=3,Prepagos!E36,))))))</f>
        <v>1118.6904583788419</v>
      </c>
      <c r="H77" s="126">
        <f t="shared" si="5"/>
        <v>4385.0685832837753</v>
      </c>
      <c r="I77" s="126">
        <f t="shared" si="6"/>
        <v>0</v>
      </c>
      <c r="J77" s="126">
        <f>IF(B77="","",IF(F77=0,0,F77*Catálogos!$R$1))</f>
        <v>340.51438524205332</v>
      </c>
      <c r="K77" s="126">
        <f>IF(B77="","",IF(Catálogos!$K$10=1,Carátula!$F$17*Catálogos!$R$4,0))</f>
        <v>199.92</v>
      </c>
      <c r="L77" s="126">
        <f>IF(B77="","",IF(F77=0,0,CAT!H40))</f>
        <v>299</v>
      </c>
      <c r="M77" s="115"/>
      <c r="N77" s="126">
        <f>IF(B77="","",IF(M77&gt;0,M77-(M77/(1+Catálogos!$N$10)),0))</f>
        <v>0</v>
      </c>
      <c r="O77" s="126">
        <f t="shared" si="7"/>
        <v>6343.1934269046706</v>
      </c>
      <c r="P77" s="126">
        <f t="shared" si="1"/>
        <v>566405.28494504339</v>
      </c>
      <c r="Q77" s="127">
        <f t="shared" si="2"/>
        <v>1</v>
      </c>
    </row>
    <row r="78" spans="2:17" x14ac:dyDescent="0.25">
      <c r="B78" s="122">
        <f t="shared" si="3"/>
        <v>35</v>
      </c>
      <c r="C78" s="123">
        <f>IF(B78="","",'Fecha Pago'!K38)</f>
        <v>47029</v>
      </c>
      <c r="D78" s="124">
        <f>IF(B78="","",'Fecha Pago'!L38)</f>
        <v>30.4</v>
      </c>
      <c r="E78" s="125">
        <f t="shared" si="0"/>
        <v>9.1499999999999998E-2</v>
      </c>
      <c r="F78" s="126">
        <f t="shared" si="4"/>
        <v>566405.28494504339</v>
      </c>
      <c r="G78" s="126">
        <f>IF(B78="","",IF(F78=0,0,MIN(F78,IF(Catálogos!$N$6=1,Prepagos!C37,IF(Catálogos!$N$6=2,Prepagos!D37,IF(Catálogos!$N$6=3,Prepagos!E37,))))))</f>
        <v>1127.3342066539155</v>
      </c>
      <c r="H78" s="126">
        <f t="shared" si="5"/>
        <v>4376.4248350087009</v>
      </c>
      <c r="I78" s="126">
        <f t="shared" si="6"/>
        <v>0</v>
      </c>
      <c r="J78" s="126">
        <f>IF(B78="","",IF(F78=0,0,F78*Catálogos!$R$1))</f>
        <v>339.84317096702603</v>
      </c>
      <c r="K78" s="126">
        <f>IF(B78="","",IF(Catálogos!$K$10=1,Carátula!$F$17*Catálogos!$R$4,0))</f>
        <v>199.92</v>
      </c>
      <c r="L78" s="126">
        <f>IF(B78="","",IF(F78=0,0,CAT!H41))</f>
        <v>299</v>
      </c>
      <c r="M78" s="115"/>
      <c r="N78" s="126">
        <f>IF(B78="","",IF(M78&gt;0,M78-(M78/(1+Catálogos!$N$10)),0))</f>
        <v>0</v>
      </c>
      <c r="O78" s="126">
        <f t="shared" si="7"/>
        <v>6342.5222126296421</v>
      </c>
      <c r="P78" s="126">
        <f t="shared" si="1"/>
        <v>565277.95073838951</v>
      </c>
      <c r="Q78" s="127">
        <f t="shared" si="2"/>
        <v>1</v>
      </c>
    </row>
    <row r="79" spans="2:17" x14ac:dyDescent="0.25">
      <c r="B79" s="122">
        <f t="shared" si="3"/>
        <v>36</v>
      </c>
      <c r="C79" s="123">
        <f>IF(B79="","",'Fecha Pago'!K39)</f>
        <v>47060</v>
      </c>
      <c r="D79" s="124">
        <f>IF(B79="","",'Fecha Pago'!L39)</f>
        <v>30.4</v>
      </c>
      <c r="E79" s="125">
        <f t="shared" si="0"/>
        <v>9.1499999999999998E-2</v>
      </c>
      <c r="F79" s="126">
        <f t="shared" si="4"/>
        <v>565277.95073838951</v>
      </c>
      <c r="G79" s="126">
        <f>IF(B79="","",IF(F79=0,0,MIN(F79,IF(Catálogos!$N$6=1,Prepagos!C38,IF(Catálogos!$N$6=2,Prepagos!D38,IF(Catálogos!$N$6=3,Prepagos!E38,))))))</f>
        <v>1136.0447422906618</v>
      </c>
      <c r="H79" s="126">
        <f t="shared" si="5"/>
        <v>4367.7142993719553</v>
      </c>
      <c r="I79" s="126">
        <f t="shared" si="6"/>
        <v>0</v>
      </c>
      <c r="J79" s="126">
        <f>IF(B79="","",IF(F79=0,0,F79*Catálogos!$R$1))</f>
        <v>339.16677044303367</v>
      </c>
      <c r="K79" s="126">
        <f>IF(B79="","",IF(Catálogos!$K$10=1,Carátula!$F$17*Catálogos!$R$4,0))</f>
        <v>199.92</v>
      </c>
      <c r="L79" s="126">
        <f>IF(B79="","",IF(F79=0,0,CAT!H42))</f>
        <v>299</v>
      </c>
      <c r="M79" s="115"/>
      <c r="N79" s="126">
        <f>IF(B79="","",IF(M79&gt;0,M79-(M79/(1+Catálogos!$N$10)),0))</f>
        <v>0</v>
      </c>
      <c r="O79" s="126">
        <f t="shared" si="7"/>
        <v>6341.845812105651</v>
      </c>
      <c r="P79" s="126">
        <f t="shared" si="1"/>
        <v>564141.90599609888</v>
      </c>
      <c r="Q79" s="127">
        <f t="shared" si="2"/>
        <v>1</v>
      </c>
    </row>
    <row r="80" spans="2:17" x14ac:dyDescent="0.25">
      <c r="B80" s="122">
        <f t="shared" si="3"/>
        <v>37</v>
      </c>
      <c r="C80" s="123">
        <f>IF(B80="","",'Fecha Pago'!K40)</f>
        <v>47090</v>
      </c>
      <c r="D80" s="124">
        <f>IF(B80="","",'Fecha Pago'!L40)</f>
        <v>30.4</v>
      </c>
      <c r="E80" s="125">
        <f t="shared" si="0"/>
        <v>9.1499999999999998E-2</v>
      </c>
      <c r="F80" s="126">
        <f t="shared" si="4"/>
        <v>564141.90599609888</v>
      </c>
      <c r="G80" s="126">
        <f>IF(B80="","",IF(F80=0,0,MIN(F80,IF(Catálogos!$N$6=1,Prepagos!C39,IF(Catálogos!$N$6=2,Prepagos!D39,IF(Catálogos!$N$6=3,Prepagos!E39,))))))</f>
        <v>1144.8225813327606</v>
      </c>
      <c r="H80" s="126">
        <f t="shared" si="5"/>
        <v>4358.9364603298563</v>
      </c>
      <c r="I80" s="126">
        <f t="shared" si="6"/>
        <v>0</v>
      </c>
      <c r="J80" s="126">
        <f>IF(B80="","",IF(F80=0,0,F80*Catálogos!$R$1))</f>
        <v>338.48514359765932</v>
      </c>
      <c r="K80" s="126">
        <f>IF(B80="","",IF(Catálogos!$K$10=1,Carátula!$F$17*Catálogos!$R$4,0))</f>
        <v>199.92</v>
      </c>
      <c r="L80" s="126">
        <f>IF(B80="","",IF(F80=0,0,CAT!H43))</f>
        <v>299</v>
      </c>
      <c r="M80" s="115"/>
      <c r="N80" s="126">
        <f t="shared" ref="N80:N143" si="8">IF(B80="","",0)</f>
        <v>0</v>
      </c>
      <c r="O80" s="126">
        <f t="shared" si="7"/>
        <v>6341.164185260277</v>
      </c>
      <c r="P80" s="126">
        <f t="shared" si="1"/>
        <v>562997.08341476612</v>
      </c>
      <c r="Q80" s="127">
        <f t="shared" si="2"/>
        <v>1</v>
      </c>
    </row>
    <row r="81" spans="2:17" x14ac:dyDescent="0.25">
      <c r="B81" s="122">
        <f t="shared" si="3"/>
        <v>38</v>
      </c>
      <c r="C81" s="123">
        <f>IF(B81="","",'Fecha Pago'!K41)</f>
        <v>47121</v>
      </c>
      <c r="D81" s="124">
        <f>IF(B81="","",'Fecha Pago'!L41)</f>
        <v>30.4</v>
      </c>
      <c r="E81" s="125">
        <f t="shared" si="0"/>
        <v>9.1499999999999998E-2</v>
      </c>
      <c r="F81" s="126">
        <f t="shared" si="4"/>
        <v>562997.08341476612</v>
      </c>
      <c r="G81" s="126">
        <f>IF(B81="","",IF(F81=0,0,MIN(F81,IF(Catálogos!$N$6=1,Prepagos!C40,IF(Catálogos!$N$6=2,Prepagos!D40,IF(Catálogos!$N$6=3,Prepagos!E40,))))))</f>
        <v>1153.6682438111918</v>
      </c>
      <c r="H81" s="126">
        <f t="shared" si="5"/>
        <v>4350.090797851426</v>
      </c>
      <c r="I81" s="126">
        <f t="shared" si="6"/>
        <v>0</v>
      </c>
      <c r="J81" s="126">
        <f>IF(B81="","",IF(F81=0,0,F81*Catálogos!$R$1))</f>
        <v>337.79825004885964</v>
      </c>
      <c r="K81" s="126">
        <f>IF(B81="","",IF(Catálogos!$K$10=1,Carátula!$F$17*Catálogos!$R$4,0))</f>
        <v>199.92</v>
      </c>
      <c r="L81" s="126">
        <f>IF(B81="","",IF(F81=0,0,CAT!H44))</f>
        <v>299</v>
      </c>
      <c r="M81" s="115"/>
      <c r="N81" s="126">
        <f t="shared" si="8"/>
        <v>0</v>
      </c>
      <c r="O81" s="126">
        <f t="shared" si="7"/>
        <v>6340.4772917114778</v>
      </c>
      <c r="P81" s="126">
        <f t="shared" si="1"/>
        <v>561843.41517095489</v>
      </c>
      <c r="Q81" s="127">
        <f t="shared" si="2"/>
        <v>1</v>
      </c>
    </row>
    <row r="82" spans="2:17" x14ac:dyDescent="0.25">
      <c r="B82" s="122">
        <f t="shared" si="3"/>
        <v>39</v>
      </c>
      <c r="C82" s="123">
        <f>IF(B82="","",'Fecha Pago'!K42)</f>
        <v>47152</v>
      </c>
      <c r="D82" s="124">
        <f>IF(B82="","",'Fecha Pago'!L42)</f>
        <v>30.4</v>
      </c>
      <c r="E82" s="125">
        <f t="shared" si="0"/>
        <v>9.1499999999999998E-2</v>
      </c>
      <c r="F82" s="126">
        <f t="shared" si="4"/>
        <v>561843.41517095489</v>
      </c>
      <c r="G82" s="126">
        <f>IF(B82="","",IF(F82=0,0,MIN(F82,IF(Catálogos!$N$6=1,Prepagos!C41,IF(Catálogos!$N$6=2,Prepagos!D41,IF(Catálogos!$N$6=3,Prepagos!E41,))))))</f>
        <v>1162.5822537750396</v>
      </c>
      <c r="H82" s="126">
        <f t="shared" si="5"/>
        <v>4341.1767878875771</v>
      </c>
      <c r="I82" s="126">
        <f t="shared" si="6"/>
        <v>0</v>
      </c>
      <c r="J82" s="126">
        <f>IF(B82="","",IF(F82=0,0,F82*Catálogos!$R$1))</f>
        <v>337.10604910257291</v>
      </c>
      <c r="K82" s="126">
        <f>IF(B82="","",IF(Catálogos!$K$10=1,Carátula!$F$17*Catálogos!$R$4,0))</f>
        <v>199.92</v>
      </c>
      <c r="L82" s="126">
        <f>IF(B82="","",IF(F82=0,0,CAT!H45))</f>
        <v>299</v>
      </c>
      <c r="M82" s="115"/>
      <c r="N82" s="126">
        <f t="shared" si="8"/>
        <v>0</v>
      </c>
      <c r="O82" s="126">
        <f t="shared" si="7"/>
        <v>6339.78509076519</v>
      </c>
      <c r="P82" s="126">
        <f t="shared" si="1"/>
        <v>560680.8329171798</v>
      </c>
      <c r="Q82" s="127">
        <f t="shared" si="2"/>
        <v>1</v>
      </c>
    </row>
    <row r="83" spans="2:17" x14ac:dyDescent="0.25">
      <c r="B83" s="122">
        <f t="shared" si="3"/>
        <v>40</v>
      </c>
      <c r="C83" s="123">
        <f>IF(B83="","",'Fecha Pago'!K43)</f>
        <v>47180</v>
      </c>
      <c r="D83" s="124">
        <f>IF(B83="","",'Fecha Pago'!L43)</f>
        <v>30.4</v>
      </c>
      <c r="E83" s="125">
        <f t="shared" si="0"/>
        <v>9.1499999999999998E-2</v>
      </c>
      <c r="F83" s="126">
        <f t="shared" si="4"/>
        <v>560680.8329171798</v>
      </c>
      <c r="G83" s="126">
        <f>IF(B83="","",IF(F83=0,0,MIN(F83,IF(Catálogos!$N$6=1,Prepagos!C42,IF(Catálogos!$N$6=2,Prepagos!D42,IF(Catálogos!$N$6=3,Prepagos!E42,))))))</f>
        <v>1171.5651393225417</v>
      </c>
      <c r="H83" s="126">
        <f t="shared" si="5"/>
        <v>4332.1939023400755</v>
      </c>
      <c r="I83" s="126">
        <f t="shared" si="6"/>
        <v>0</v>
      </c>
      <c r="J83" s="126">
        <f>IF(B83="","",IF(F83=0,0,F83*Catálogos!$R$1))</f>
        <v>336.40849975030784</v>
      </c>
      <c r="K83" s="126">
        <f>IF(B83="","",IF(Catálogos!$K$10=1,Carátula!$F$17*Catálogos!$R$4,0))</f>
        <v>199.92</v>
      </c>
      <c r="L83" s="126">
        <f>IF(B83="","",IF(F83=0,0,CAT!H46))</f>
        <v>299</v>
      </c>
      <c r="M83" s="115"/>
      <c r="N83" s="126">
        <f t="shared" si="8"/>
        <v>0</v>
      </c>
      <c r="O83" s="126">
        <f t="shared" si="7"/>
        <v>6339.087541412925</v>
      </c>
      <c r="P83" s="126">
        <f t="shared" si="1"/>
        <v>559509.26777785725</v>
      </c>
      <c r="Q83" s="127">
        <f t="shared" si="2"/>
        <v>1</v>
      </c>
    </row>
    <row r="84" spans="2:17" x14ac:dyDescent="0.25">
      <c r="B84" s="122">
        <f t="shared" si="3"/>
        <v>41</v>
      </c>
      <c r="C84" s="123">
        <f>IF(B84="","",'Fecha Pago'!K44)</f>
        <v>47211</v>
      </c>
      <c r="D84" s="124">
        <f>IF(B84="","",'Fecha Pago'!L44)</f>
        <v>30.4</v>
      </c>
      <c r="E84" s="125">
        <f t="shared" si="0"/>
        <v>9.1499999999999998E-2</v>
      </c>
      <c r="F84" s="126">
        <f t="shared" si="4"/>
        <v>559509.26777785725</v>
      </c>
      <c r="G84" s="126">
        <f>IF(B84="","",IF(F84=0,0,MIN(F84,IF(Catálogos!$N$6=1,Prepagos!C43,IF(Catálogos!$N$6=2,Prepagos!D43,IF(Catálogos!$N$6=3,Prepagos!E43,))))))</f>
        <v>1180.6174326323733</v>
      </c>
      <c r="H84" s="126">
        <f t="shared" si="5"/>
        <v>4323.1416090302428</v>
      </c>
      <c r="I84" s="126">
        <f t="shared" si="6"/>
        <v>0</v>
      </c>
      <c r="J84" s="126">
        <f>IF(B84="","",IF(F84=0,0,F84*Catálogos!$R$1))</f>
        <v>335.70556066671435</v>
      </c>
      <c r="K84" s="126">
        <f>IF(B84="","",IF(Catálogos!$K$10=1,Carátula!$F$17*Catálogos!$R$4,0))</f>
        <v>199.92</v>
      </c>
      <c r="L84" s="126">
        <f>IF(B84="","",IF(F84=0,0,CAT!H47))</f>
        <v>299</v>
      </c>
      <c r="M84" s="115"/>
      <c r="N84" s="126">
        <f t="shared" si="8"/>
        <v>0</v>
      </c>
      <c r="O84" s="126">
        <f t="shared" si="7"/>
        <v>6338.3846023293308</v>
      </c>
      <c r="P84" s="126">
        <f t="shared" si="1"/>
        <v>558328.65034522489</v>
      </c>
      <c r="Q84" s="127">
        <f t="shared" si="2"/>
        <v>1</v>
      </c>
    </row>
    <row r="85" spans="2:17" x14ac:dyDescent="0.25">
      <c r="B85" s="122">
        <f t="shared" si="3"/>
        <v>42</v>
      </c>
      <c r="C85" s="123">
        <f>IF(B85="","",'Fecha Pago'!K45)</f>
        <v>47241</v>
      </c>
      <c r="D85" s="124">
        <f>IF(B85="","",'Fecha Pago'!L45)</f>
        <v>30.4</v>
      </c>
      <c r="E85" s="125">
        <f t="shared" si="0"/>
        <v>9.1499999999999998E-2</v>
      </c>
      <c r="F85" s="126">
        <f t="shared" si="4"/>
        <v>558328.65034522489</v>
      </c>
      <c r="G85" s="126">
        <f>IF(B85="","",IF(F85=0,0,MIN(F85,IF(Catálogos!$N$6=1,Prepagos!C44,IF(Catálogos!$N$6=2,Prepagos!D44,IF(Catálogos!$N$6=3,Prepagos!E44,))))))</f>
        <v>1189.7396699951796</v>
      </c>
      <c r="H85" s="126">
        <f t="shared" si="5"/>
        <v>4314.0193716674366</v>
      </c>
      <c r="I85" s="126">
        <f t="shared" si="6"/>
        <v>0</v>
      </c>
      <c r="J85" s="126">
        <f>IF(B85="","",IF(F85=0,0,F85*Catálogos!$R$1))</f>
        <v>334.99719020713491</v>
      </c>
      <c r="K85" s="126">
        <f>IF(B85="","",IF(Catálogos!$K$10=1,Carátula!$F$17*Catálogos!$R$4,0))</f>
        <v>199.92</v>
      </c>
      <c r="L85" s="126">
        <f>IF(B85="","",IF(F85=0,0,CAT!H48))</f>
        <v>299</v>
      </c>
      <c r="M85" s="115"/>
      <c r="N85" s="126">
        <f t="shared" si="8"/>
        <v>0</v>
      </c>
      <c r="O85" s="126">
        <f t="shared" si="7"/>
        <v>6337.6762318697511</v>
      </c>
      <c r="P85" s="126">
        <f t="shared" si="1"/>
        <v>557138.91067522974</v>
      </c>
      <c r="Q85" s="127">
        <f t="shared" si="2"/>
        <v>1</v>
      </c>
    </row>
    <row r="86" spans="2:17" x14ac:dyDescent="0.25">
      <c r="B86" s="122">
        <f t="shared" si="3"/>
        <v>43</v>
      </c>
      <c r="C86" s="123">
        <f>IF(B86="","",'Fecha Pago'!K46)</f>
        <v>47272</v>
      </c>
      <c r="D86" s="124">
        <f>IF(B86="","",'Fecha Pago'!L46)</f>
        <v>30.4</v>
      </c>
      <c r="E86" s="125">
        <f t="shared" si="0"/>
        <v>9.1499999999999998E-2</v>
      </c>
      <c r="F86" s="126">
        <f t="shared" si="4"/>
        <v>557138.91067522974</v>
      </c>
      <c r="G86" s="126">
        <f>IF(B86="","",IF(F86=0,0,MIN(F86,IF(Catálogos!$N$6=1,Prepagos!C45,IF(Catálogos!$N$6=2,Prepagos!D45,IF(Catálogos!$N$6=3,Prepagos!E45,))))))</f>
        <v>1198.9323918453424</v>
      </c>
      <c r="H86" s="126">
        <f t="shared" si="5"/>
        <v>4304.8266498172743</v>
      </c>
      <c r="I86" s="126">
        <f t="shared" si="6"/>
        <v>0</v>
      </c>
      <c r="J86" s="126">
        <f>IF(B86="","",IF(F86=0,0,F86*Catálogos!$R$1))</f>
        <v>334.28334640513782</v>
      </c>
      <c r="K86" s="126">
        <f>IF(B86="","",IF(Catálogos!$K$10=1,Carátula!$F$17*Catálogos!$R$4,0))</f>
        <v>199.92</v>
      </c>
      <c r="L86" s="126">
        <f>IF(B86="","",IF(F86=0,0,CAT!H49))</f>
        <v>299</v>
      </c>
      <c r="M86" s="115"/>
      <c r="N86" s="126">
        <f t="shared" si="8"/>
        <v>0</v>
      </c>
      <c r="O86" s="126">
        <f t="shared" si="7"/>
        <v>6336.9623880677555</v>
      </c>
      <c r="P86" s="126">
        <f t="shared" si="1"/>
        <v>555939.97828338435</v>
      </c>
      <c r="Q86" s="127">
        <f t="shared" si="2"/>
        <v>1</v>
      </c>
    </row>
    <row r="87" spans="2:17" x14ac:dyDescent="0.25">
      <c r="B87" s="122">
        <f t="shared" si="3"/>
        <v>44</v>
      </c>
      <c r="C87" s="123">
        <f>IF(B87="","",'Fecha Pago'!K47)</f>
        <v>47302</v>
      </c>
      <c r="D87" s="124">
        <f>IF(B87="","",'Fecha Pago'!L47)</f>
        <v>30.4</v>
      </c>
      <c r="E87" s="125">
        <f t="shared" si="0"/>
        <v>9.1499999999999998E-2</v>
      </c>
      <c r="F87" s="126">
        <f t="shared" si="4"/>
        <v>555939.97828338435</v>
      </c>
      <c r="G87" s="126">
        <f>IF(B87="","",IF(F87=0,0,MIN(F87,IF(Catálogos!$N$6=1,Prepagos!C46,IF(Catálogos!$N$6=2,Prepagos!D46,IF(Catálogos!$N$6=3,Prepagos!E46,))))))</f>
        <v>1208.1961427930009</v>
      </c>
      <c r="H87" s="126">
        <f t="shared" si="5"/>
        <v>4295.5628988696162</v>
      </c>
      <c r="I87" s="126">
        <f t="shared" si="6"/>
        <v>0</v>
      </c>
      <c r="J87" s="126">
        <f>IF(B87="","",IF(F87=0,0,F87*Catálogos!$R$1))</f>
        <v>333.56398697003056</v>
      </c>
      <c r="K87" s="126">
        <f>IF(B87="","",IF(Catálogos!$K$10=1,Carátula!$F$17*Catálogos!$R$4,0))</f>
        <v>199.92</v>
      </c>
      <c r="L87" s="126">
        <f>IF(B87="","",IF(F87=0,0,CAT!H50))</f>
        <v>299</v>
      </c>
      <c r="M87" s="115"/>
      <c r="N87" s="126">
        <f t="shared" si="8"/>
        <v>0</v>
      </c>
      <c r="O87" s="126">
        <f t="shared" si="7"/>
        <v>6336.243028632648</v>
      </c>
      <c r="P87" s="126">
        <f t="shared" si="1"/>
        <v>554731.7821405913</v>
      </c>
      <c r="Q87" s="127">
        <f t="shared" si="2"/>
        <v>1</v>
      </c>
    </row>
    <row r="88" spans="2:17" x14ac:dyDescent="0.25">
      <c r="B88" s="122">
        <f t="shared" si="3"/>
        <v>45</v>
      </c>
      <c r="C88" s="123">
        <f>IF(B88="","",'Fecha Pago'!K48)</f>
        <v>47333</v>
      </c>
      <c r="D88" s="124">
        <f>IF(B88="","",'Fecha Pago'!L48)</f>
        <v>30.4</v>
      </c>
      <c r="E88" s="125">
        <f t="shared" si="0"/>
        <v>9.1499999999999998E-2</v>
      </c>
      <c r="F88" s="126">
        <f t="shared" si="4"/>
        <v>554731.7821405913</v>
      </c>
      <c r="G88" s="126">
        <f>IF(B88="","",IF(F88=0,0,MIN(F88,IF(Catálogos!$N$6=1,Prepagos!C47,IF(Catálogos!$N$6=2,Prepagos!D47,IF(Catálogos!$N$6=3,Prepagos!E47,))))))</f>
        <v>1217.5314716563148</v>
      </c>
      <c r="H88" s="126">
        <f t="shared" si="5"/>
        <v>4286.2275700063019</v>
      </c>
      <c r="I88" s="126">
        <f t="shared" si="6"/>
        <v>0</v>
      </c>
      <c r="J88" s="126">
        <f>IF(B88="","",IF(F88=0,0,F88*Catálogos!$R$1))</f>
        <v>332.83906928435476</v>
      </c>
      <c r="K88" s="126">
        <f>IF(B88="","",IF(Catálogos!$K$10=1,Carátula!$F$17*Catálogos!$R$4,0))</f>
        <v>199.92</v>
      </c>
      <c r="L88" s="126">
        <f>IF(B88="","",IF(F88=0,0,CAT!H51))</f>
        <v>299</v>
      </c>
      <c r="M88" s="115"/>
      <c r="N88" s="126">
        <f t="shared" si="8"/>
        <v>0</v>
      </c>
      <c r="O88" s="126">
        <f t="shared" si="7"/>
        <v>6335.5181109469722</v>
      </c>
      <c r="P88" s="126">
        <f t="shared" si="1"/>
        <v>553514.25066893501</v>
      </c>
      <c r="Q88" s="127">
        <f t="shared" si="2"/>
        <v>1</v>
      </c>
    </row>
    <row r="89" spans="2:17" x14ac:dyDescent="0.25">
      <c r="B89" s="122">
        <f t="shared" si="3"/>
        <v>46</v>
      </c>
      <c r="C89" s="123">
        <f>IF(B89="","",'Fecha Pago'!K49)</f>
        <v>47364</v>
      </c>
      <c r="D89" s="124">
        <f>IF(B89="","",'Fecha Pago'!L49)</f>
        <v>30.4</v>
      </c>
      <c r="E89" s="125">
        <f t="shared" si="0"/>
        <v>9.1499999999999998E-2</v>
      </c>
      <c r="F89" s="126">
        <f t="shared" si="4"/>
        <v>553514.25066893501</v>
      </c>
      <c r="G89" s="126">
        <f>IF(B89="","",IF(F89=0,0,MIN(F89,IF(Catálogos!$N$6=1,Prepagos!C48,IF(Catálogos!$N$6=2,Prepagos!D48,IF(Catálogos!$N$6=3,Prepagos!E48,))))))</f>
        <v>1226.9389314939792</v>
      </c>
      <c r="H89" s="126">
        <f t="shared" si="5"/>
        <v>4276.8201101686373</v>
      </c>
      <c r="I89" s="126">
        <f t="shared" si="6"/>
        <v>0</v>
      </c>
      <c r="J89" s="126">
        <f>IF(B89="","",IF(F89=0,0,F89*Catálogos!$R$1))</f>
        <v>332.10855040136096</v>
      </c>
      <c r="K89" s="126">
        <f>IF(B89="","",IF(Catálogos!$K$10=1,Carátula!$F$17*Catálogos!$R$4,0))</f>
        <v>199.92</v>
      </c>
      <c r="L89" s="126">
        <f>IF(B89="","",IF(F89=0,0,CAT!H52))</f>
        <v>299</v>
      </c>
      <c r="M89" s="115"/>
      <c r="N89" s="126">
        <f t="shared" si="8"/>
        <v>0</v>
      </c>
      <c r="O89" s="126">
        <f t="shared" si="7"/>
        <v>6334.7875920639772</v>
      </c>
      <c r="P89" s="126">
        <f t="shared" si="1"/>
        <v>552287.31173744099</v>
      </c>
      <c r="Q89" s="127">
        <f t="shared" si="2"/>
        <v>1</v>
      </c>
    </row>
    <row r="90" spans="2:17" x14ac:dyDescent="0.25">
      <c r="B90" s="122">
        <f t="shared" si="3"/>
        <v>47</v>
      </c>
      <c r="C90" s="123">
        <f>IF(B90="","",'Fecha Pago'!K50)</f>
        <v>47394</v>
      </c>
      <c r="D90" s="124">
        <f>IF(B90="","",'Fecha Pago'!L50)</f>
        <v>30.4</v>
      </c>
      <c r="E90" s="125">
        <f t="shared" si="0"/>
        <v>9.1499999999999998E-2</v>
      </c>
      <c r="F90" s="126">
        <f t="shared" si="4"/>
        <v>552287.31173744099</v>
      </c>
      <c r="G90" s="126">
        <f>IF(B90="","",IF(F90=0,0,MIN(F90,IF(Catálogos!$N$6=1,Prepagos!C49,IF(Catálogos!$N$6=2,Prepagos!D49,IF(Catálogos!$N$6=3,Prepagos!E49,))))))</f>
        <v>1236.4190796379894</v>
      </c>
      <c r="H90" s="126">
        <f t="shared" si="5"/>
        <v>4267.3399620246264</v>
      </c>
      <c r="I90" s="126">
        <f t="shared" si="6"/>
        <v>0</v>
      </c>
      <c r="J90" s="126">
        <f>IF(B90="","",IF(F90=0,0,F90*Catálogos!$R$1))</f>
        <v>331.37238704246454</v>
      </c>
      <c r="K90" s="126">
        <f>IF(B90="","",IF(Catálogos!$K$10=1,Carátula!$F$17*Catálogos!$R$4,0))</f>
        <v>199.92</v>
      </c>
      <c r="L90" s="126">
        <f>IF(B90="","",IF(F90=0,0,CAT!H53))</f>
        <v>299</v>
      </c>
      <c r="M90" s="115"/>
      <c r="N90" s="126">
        <f t="shared" si="8"/>
        <v>0</v>
      </c>
      <c r="O90" s="126">
        <f t="shared" si="7"/>
        <v>6334.0514287050801</v>
      </c>
      <c r="P90" s="126">
        <f t="shared" si="1"/>
        <v>551050.89265780302</v>
      </c>
      <c r="Q90" s="127">
        <f t="shared" si="2"/>
        <v>1</v>
      </c>
    </row>
    <row r="91" spans="2:17" x14ac:dyDescent="0.25">
      <c r="B91" s="122">
        <f t="shared" si="3"/>
        <v>48</v>
      </c>
      <c r="C91" s="123">
        <f>IF(B91="","",'Fecha Pago'!K51)</f>
        <v>47425</v>
      </c>
      <c r="D91" s="124">
        <f>IF(B91="","",'Fecha Pago'!L51)</f>
        <v>30.4</v>
      </c>
      <c r="E91" s="125">
        <f t="shared" si="0"/>
        <v>9.1499999999999998E-2</v>
      </c>
      <c r="F91" s="126">
        <f t="shared" si="4"/>
        <v>551050.89265780302</v>
      </c>
      <c r="G91" s="126">
        <f>IF(B91="","",IF(F91=0,0,MIN(F91,IF(Catálogos!$N$6=1,Prepagos!C50,IF(Catálogos!$N$6=2,Prepagos!D50,IF(Catálogos!$N$6=3,Prepagos!E50,))))))</f>
        <v>1245.972477726659</v>
      </c>
      <c r="H91" s="126">
        <f t="shared" si="5"/>
        <v>4257.786563935957</v>
      </c>
      <c r="I91" s="126">
        <f t="shared" si="6"/>
        <v>0</v>
      </c>
      <c r="J91" s="126">
        <f>IF(B91="","",IF(F91=0,0,F91*Catálogos!$R$1))</f>
        <v>330.63053559468176</v>
      </c>
      <c r="K91" s="126">
        <f>IF(B91="","",IF(Catálogos!$K$10=1,Carátula!$F$17*Catálogos!$R$4,0))</f>
        <v>199.92</v>
      </c>
      <c r="L91" s="126">
        <f>IF(B91="","",IF(F91=0,0,CAT!H54))</f>
        <v>299</v>
      </c>
      <c r="M91" s="115"/>
      <c r="N91" s="126">
        <f t="shared" si="8"/>
        <v>0</v>
      </c>
      <c r="O91" s="126">
        <f t="shared" si="7"/>
        <v>6333.3095772572979</v>
      </c>
      <c r="P91" s="126">
        <f t="shared" si="1"/>
        <v>549804.92018007638</v>
      </c>
      <c r="Q91" s="127">
        <f t="shared" si="2"/>
        <v>1</v>
      </c>
    </row>
    <row r="92" spans="2:17" x14ac:dyDescent="0.25">
      <c r="B92" s="122">
        <f t="shared" si="3"/>
        <v>49</v>
      </c>
      <c r="C92" s="123">
        <f>IF(B92="","",'Fecha Pago'!K52)</f>
        <v>47455</v>
      </c>
      <c r="D92" s="124">
        <f>IF(B92="","",'Fecha Pago'!L52)</f>
        <v>30.4</v>
      </c>
      <c r="E92" s="125">
        <f t="shared" si="0"/>
        <v>9.1499999999999998E-2</v>
      </c>
      <c r="F92" s="126">
        <f t="shared" si="4"/>
        <v>549804.92018007638</v>
      </c>
      <c r="G92" s="126">
        <f>IF(B92="","",IF(F92=0,0,MIN(F92,IF(Catálogos!$N$6=1,Prepagos!C51,IF(Catálogos!$N$6=2,Prepagos!D51,IF(Catálogos!$N$6=3,Prepagos!E51,))))))</f>
        <v>1255.5996917378936</v>
      </c>
      <c r="H92" s="126">
        <f t="shared" si="5"/>
        <v>4248.1593499247228</v>
      </c>
      <c r="I92" s="126">
        <f t="shared" si="6"/>
        <v>0</v>
      </c>
      <c r="J92" s="126">
        <f>IF(B92="","",IF(F92=0,0,F92*Catálogos!$R$1))</f>
        <v>329.8829521080458</v>
      </c>
      <c r="K92" s="126">
        <f>IF(B92="","",IF(Catálogos!$K$10=1,Carátula!$F$17*Catálogos!$R$4,0))</f>
        <v>199.92</v>
      </c>
      <c r="L92" s="126">
        <f>IF(B92="","",IF(F92=0,0,CAT!H55))</f>
        <v>299</v>
      </c>
      <c r="M92" s="115"/>
      <c r="N92" s="126">
        <f t="shared" si="8"/>
        <v>0</v>
      </c>
      <c r="O92" s="126">
        <f t="shared" si="7"/>
        <v>6332.5619937706624</v>
      </c>
      <c r="P92" s="126">
        <f t="shared" si="1"/>
        <v>548549.32048833848</v>
      </c>
      <c r="Q92" s="127">
        <f t="shared" si="2"/>
        <v>1</v>
      </c>
    </row>
    <row r="93" spans="2:17" x14ac:dyDescent="0.25">
      <c r="B93" s="122">
        <f t="shared" si="3"/>
        <v>50</v>
      </c>
      <c r="C93" s="123">
        <f>IF(B93="","",'Fecha Pago'!K53)</f>
        <v>47486</v>
      </c>
      <c r="D93" s="124">
        <f>IF(B93="","",'Fecha Pago'!L53)</f>
        <v>30.4</v>
      </c>
      <c r="E93" s="125">
        <f t="shared" si="0"/>
        <v>9.1499999999999998E-2</v>
      </c>
      <c r="F93" s="126">
        <f t="shared" si="4"/>
        <v>548549.32048833848</v>
      </c>
      <c r="G93" s="126">
        <f>IF(B93="","",IF(F93=0,0,MIN(F93,IF(Catálogos!$N$6=1,Prepagos!C52,IF(Catálogos!$N$6=2,Prepagos!D52,IF(Catálogos!$N$6=3,Prepagos!E52,))))))</f>
        <v>1265.3012920227216</v>
      </c>
      <c r="H93" s="126">
        <f t="shared" si="5"/>
        <v>4238.4577496398942</v>
      </c>
      <c r="I93" s="126">
        <f t="shared" si="6"/>
        <v>0</v>
      </c>
      <c r="J93" s="126">
        <f>IF(B93="","",IF(F93=0,0,F93*Catálogos!$R$1))</f>
        <v>329.12959229300304</v>
      </c>
      <c r="K93" s="126">
        <f>IF(B93="","",IF(Catálogos!$K$10=1,Carátula!$F$17*Catálogos!$R$4,0))</f>
        <v>199.92</v>
      </c>
      <c r="L93" s="126">
        <f>IF(B93="","",IF(F93=0,0,CAT!H56))</f>
        <v>299</v>
      </c>
      <c r="M93" s="115"/>
      <c r="N93" s="126">
        <f t="shared" si="8"/>
        <v>0</v>
      </c>
      <c r="O93" s="126">
        <f t="shared" si="7"/>
        <v>6331.8086339556185</v>
      </c>
      <c r="P93" s="126">
        <f t="shared" si="1"/>
        <v>547284.01919631578</v>
      </c>
      <c r="Q93" s="127">
        <f t="shared" si="2"/>
        <v>1</v>
      </c>
    </row>
    <row r="94" spans="2:17" x14ac:dyDescent="0.25">
      <c r="B94" s="122">
        <f t="shared" si="3"/>
        <v>51</v>
      </c>
      <c r="C94" s="123">
        <f>IF(B94="","",'Fecha Pago'!K54)</f>
        <v>47517</v>
      </c>
      <c r="D94" s="124">
        <f>IF(B94="","",'Fecha Pago'!L54)</f>
        <v>30.4</v>
      </c>
      <c r="E94" s="125">
        <f t="shared" si="0"/>
        <v>9.1499999999999998E-2</v>
      </c>
      <c r="F94" s="126">
        <f t="shared" si="4"/>
        <v>547284.01919631578</v>
      </c>
      <c r="G94" s="126">
        <f>IF(B94="","",IF(F94=0,0,MIN(F94,IF(Catálogos!$N$6=1,Prepagos!C53,IF(Catálogos!$N$6=2,Prepagos!D53,IF(Catálogos!$N$6=3,Prepagos!E53,))))))</f>
        <v>1275.077853339084</v>
      </c>
      <c r="H94" s="126">
        <f t="shared" si="5"/>
        <v>4228.6811883235323</v>
      </c>
      <c r="I94" s="126">
        <f t="shared" si="6"/>
        <v>0</v>
      </c>
      <c r="J94" s="126">
        <f>IF(B94="","",IF(F94=0,0,F94*Catálogos!$R$1))</f>
        <v>328.37041151778942</v>
      </c>
      <c r="K94" s="126">
        <f>IF(B94="","",IF(Catálogos!$K$10=1,Carátula!$F$17*Catálogos!$R$4,0))</f>
        <v>199.92</v>
      </c>
      <c r="L94" s="126">
        <f>IF(B94="","",IF(F94=0,0,CAT!H57))</f>
        <v>299</v>
      </c>
      <c r="M94" s="115"/>
      <c r="N94" s="126">
        <f t="shared" si="8"/>
        <v>0</v>
      </c>
      <c r="O94" s="126">
        <f t="shared" si="7"/>
        <v>6331.0494531804061</v>
      </c>
      <c r="P94" s="126">
        <f t="shared" si="1"/>
        <v>546008.94134297664</v>
      </c>
      <c r="Q94" s="127">
        <f t="shared" si="2"/>
        <v>1</v>
      </c>
    </row>
    <row r="95" spans="2:17" x14ac:dyDescent="0.25">
      <c r="B95" s="122">
        <f t="shared" si="3"/>
        <v>52</v>
      </c>
      <c r="C95" s="123">
        <f>IF(B95="","",'Fecha Pago'!K55)</f>
        <v>47545</v>
      </c>
      <c r="D95" s="124">
        <f>IF(B95="","",'Fecha Pago'!L55)</f>
        <v>30.4</v>
      </c>
      <c r="E95" s="125">
        <f t="shared" si="0"/>
        <v>9.1499999999999998E-2</v>
      </c>
      <c r="F95" s="126">
        <f t="shared" si="4"/>
        <v>546008.94134297664</v>
      </c>
      <c r="G95" s="126">
        <f>IF(B95="","",IF(F95=0,0,MIN(F95,IF(Catálogos!$N$6=1,Prepagos!C54,IF(Catálogos!$N$6=2,Prepagos!D54,IF(Catálogos!$N$6=3,Prepagos!E54,))))))</f>
        <v>1284.9299548858839</v>
      </c>
      <c r="H95" s="126">
        <f t="shared" si="5"/>
        <v>4218.8290867767319</v>
      </c>
      <c r="I95" s="126">
        <f t="shared" si="6"/>
        <v>0</v>
      </c>
      <c r="J95" s="126">
        <f>IF(B95="","",IF(F95=0,0,F95*Catálogos!$R$1))</f>
        <v>327.60536480578594</v>
      </c>
      <c r="K95" s="126">
        <f>IF(B95="","",IF(Catálogos!$K$10=1,Carátula!$F$17*Catálogos!$R$4,0))</f>
        <v>199.92</v>
      </c>
      <c r="L95" s="126">
        <f>IF(B95="","",IF(F95=0,0,CAT!H58))</f>
        <v>299</v>
      </c>
      <c r="M95" s="115"/>
      <c r="N95" s="126">
        <f t="shared" si="8"/>
        <v>0</v>
      </c>
      <c r="O95" s="126">
        <f t="shared" si="7"/>
        <v>6330.2844064684014</v>
      </c>
      <c r="P95" s="126">
        <f t="shared" si="1"/>
        <v>544724.01138809079</v>
      </c>
      <c r="Q95" s="127">
        <f t="shared" si="2"/>
        <v>1</v>
      </c>
    </row>
    <row r="96" spans="2:17" x14ac:dyDescent="0.25">
      <c r="B96" s="122">
        <f t="shared" si="3"/>
        <v>53</v>
      </c>
      <c r="C96" s="123">
        <f>IF(B96="","",'Fecha Pago'!K56)</f>
        <v>47576</v>
      </c>
      <c r="D96" s="124">
        <f>IF(B96="","",'Fecha Pago'!L56)</f>
        <v>30.4</v>
      </c>
      <c r="E96" s="125">
        <f t="shared" si="0"/>
        <v>9.1499999999999998E-2</v>
      </c>
      <c r="F96" s="126">
        <f t="shared" si="4"/>
        <v>544724.01138809079</v>
      </c>
      <c r="G96" s="126">
        <f>IF(B96="","",IF(F96=0,0,MIN(F96,IF(Catálogos!$N$6=1,Prepagos!C55,IF(Catálogos!$N$6=2,Prepagos!D55,IF(Catálogos!$N$6=3,Prepagos!E55,))))))</f>
        <v>1294.8581803373022</v>
      </c>
      <c r="H96" s="126">
        <f t="shared" si="5"/>
        <v>4208.9008613253145</v>
      </c>
      <c r="I96" s="126">
        <f t="shared" si="6"/>
        <v>0</v>
      </c>
      <c r="J96" s="126">
        <f>IF(B96="","",IF(F96=0,0,F96*Catálogos!$R$1))</f>
        <v>326.83440683285443</v>
      </c>
      <c r="K96" s="126">
        <f>IF(B96="","",IF(Catálogos!$K$10=1,Carátula!$F$17*Catálogos!$R$4,0))</f>
        <v>199.92</v>
      </c>
      <c r="L96" s="126">
        <f>IF(B96="","",IF(F96=0,0,CAT!H59))</f>
        <v>299</v>
      </c>
      <c r="M96" s="115"/>
      <c r="N96" s="126">
        <f t="shared" si="8"/>
        <v>0</v>
      </c>
      <c r="O96" s="126">
        <f t="shared" si="7"/>
        <v>6329.5134484954715</v>
      </c>
      <c r="P96" s="126">
        <f t="shared" si="1"/>
        <v>543429.15320775344</v>
      </c>
      <c r="Q96" s="127">
        <f t="shared" si="2"/>
        <v>1</v>
      </c>
    </row>
    <row r="97" spans="2:17" x14ac:dyDescent="0.25">
      <c r="B97" s="122">
        <f t="shared" si="3"/>
        <v>54</v>
      </c>
      <c r="C97" s="123">
        <f>IF(B97="","",'Fecha Pago'!K57)</f>
        <v>47606</v>
      </c>
      <c r="D97" s="124">
        <f>IF(B97="","",'Fecha Pago'!L57)</f>
        <v>30.4</v>
      </c>
      <c r="E97" s="125">
        <f t="shared" si="0"/>
        <v>9.1499999999999998E-2</v>
      </c>
      <c r="F97" s="126">
        <f t="shared" si="4"/>
        <v>543429.15320775344</v>
      </c>
      <c r="G97" s="126">
        <f>IF(B97="","",IF(F97=0,0,MIN(F97,IF(Catálogos!$N$6=1,Prepagos!C56,IF(Catálogos!$N$6=2,Prepagos!D56,IF(Catálogos!$N$6=3,Prepagos!E56,))))))</f>
        <v>1304.8631178773749</v>
      </c>
      <c r="H97" s="126">
        <f t="shared" si="5"/>
        <v>4198.8959237852405</v>
      </c>
      <c r="I97" s="126">
        <f t="shared" si="6"/>
        <v>0</v>
      </c>
      <c r="J97" s="126">
        <f>IF(B97="","",IF(F97=0,0,F97*Catálogos!$R$1))</f>
        <v>326.05749192465203</v>
      </c>
      <c r="K97" s="126">
        <f>IF(B97="","",IF(Catálogos!$K$10=1,Carátula!$F$17*Catálogos!$R$4,0))</f>
        <v>199.92</v>
      </c>
      <c r="L97" s="126">
        <f>IF(B97="","",IF(F97=0,0,CAT!H60))</f>
        <v>299</v>
      </c>
      <c r="M97" s="115"/>
      <c r="N97" s="126">
        <f t="shared" si="8"/>
        <v>0</v>
      </c>
      <c r="O97" s="126">
        <f t="shared" si="7"/>
        <v>6328.7365335872673</v>
      </c>
      <c r="P97" s="126">
        <f t="shared" si="1"/>
        <v>542124.29008987604</v>
      </c>
      <c r="Q97" s="127">
        <f t="shared" si="2"/>
        <v>1</v>
      </c>
    </row>
    <row r="98" spans="2:17" x14ac:dyDescent="0.25">
      <c r="B98" s="122">
        <f t="shared" si="3"/>
        <v>55</v>
      </c>
      <c r="C98" s="123">
        <f>IF(B98="","",'Fecha Pago'!K58)</f>
        <v>47637</v>
      </c>
      <c r="D98" s="124">
        <f>IF(B98="","",'Fecha Pago'!L58)</f>
        <v>30.4</v>
      </c>
      <c r="E98" s="125">
        <f t="shared" si="0"/>
        <v>9.1499999999999998E-2</v>
      </c>
      <c r="F98" s="126">
        <f t="shared" si="4"/>
        <v>542124.29008987604</v>
      </c>
      <c r="G98" s="126">
        <f>IF(B98="","",IF(F98=0,0,MIN(F98,IF(Catálogos!$N$6=1,Prepagos!C57,IF(Catálogos!$N$6=2,Prepagos!D57,IF(Catálogos!$N$6=3,Prepagos!E57,))))))</f>
        <v>1314.9453602348408</v>
      </c>
      <c r="H98" s="126">
        <f t="shared" si="5"/>
        <v>4188.813681427775</v>
      </c>
      <c r="I98" s="126">
        <f t="shared" si="6"/>
        <v>0</v>
      </c>
      <c r="J98" s="126">
        <f>IF(B98="","",IF(F98=0,0,F98*Catálogos!$R$1))</f>
        <v>325.27457405392562</v>
      </c>
      <c r="K98" s="126">
        <f>IF(B98="","",IF(Catálogos!$K$10=1,Carátula!$F$17*Catálogos!$R$4,0))</f>
        <v>199.92</v>
      </c>
      <c r="L98" s="126">
        <f>IF(B98="","",IF(F98=0,0,CAT!H61))</f>
        <v>299</v>
      </c>
      <c r="M98" s="115"/>
      <c r="N98" s="126">
        <f t="shared" si="8"/>
        <v>0</v>
      </c>
      <c r="O98" s="126">
        <f t="shared" si="7"/>
        <v>6327.9536157165412</v>
      </c>
      <c r="P98" s="126">
        <f t="shared" si="1"/>
        <v>540809.34472964122</v>
      </c>
      <c r="Q98" s="127">
        <f t="shared" si="2"/>
        <v>1</v>
      </c>
    </row>
    <row r="99" spans="2:17" x14ac:dyDescent="0.25">
      <c r="B99" s="122">
        <f t="shared" si="3"/>
        <v>56</v>
      </c>
      <c r="C99" s="123">
        <f>IF(B99="","",'Fecha Pago'!K59)</f>
        <v>47667</v>
      </c>
      <c r="D99" s="124">
        <f>IF(B99="","",'Fecha Pago'!L59)</f>
        <v>30.4</v>
      </c>
      <c r="E99" s="125">
        <f t="shared" si="0"/>
        <v>9.1499999999999998E-2</v>
      </c>
      <c r="F99" s="126">
        <f t="shared" si="4"/>
        <v>540809.34472964122</v>
      </c>
      <c r="G99" s="126">
        <f>IF(B99="","",IF(F99=0,0,MIN(F99,IF(Catálogos!$N$6=1,Prepagos!C58,IF(Catálogos!$N$6=2,Prepagos!D58,IF(Catálogos!$N$6=3,Prepagos!E58,))))))</f>
        <v>1325.1055047182554</v>
      </c>
      <c r="H99" s="126">
        <f t="shared" si="5"/>
        <v>4178.6535369443609</v>
      </c>
      <c r="I99" s="126">
        <f t="shared" si="6"/>
        <v>0</v>
      </c>
      <c r="J99" s="126">
        <f>IF(B99="","",IF(F99=0,0,F99*Catálogos!$R$1))</f>
        <v>324.4856068377847</v>
      </c>
      <c r="K99" s="126">
        <f>IF(B99="","",IF(Catálogos!$K$10=1,Carátula!$F$17*Catálogos!$R$4,0))</f>
        <v>199.92</v>
      </c>
      <c r="L99" s="126">
        <f>IF(B99="","",IF(F99=0,0,CAT!H62))</f>
        <v>299</v>
      </c>
      <c r="M99" s="115"/>
      <c r="N99" s="126">
        <f t="shared" si="8"/>
        <v>0</v>
      </c>
      <c r="O99" s="126">
        <f t="shared" si="7"/>
        <v>6327.1646485004012</v>
      </c>
      <c r="P99" s="126">
        <f t="shared" si="1"/>
        <v>539484.23922492296</v>
      </c>
      <c r="Q99" s="127">
        <f t="shared" si="2"/>
        <v>1</v>
      </c>
    </row>
    <row r="100" spans="2:17" x14ac:dyDescent="0.25">
      <c r="B100" s="122">
        <f t="shared" si="3"/>
        <v>57</v>
      </c>
      <c r="C100" s="123">
        <f>IF(B100="","",'Fecha Pago'!K60)</f>
        <v>47698</v>
      </c>
      <c r="D100" s="124">
        <f>IF(B100="","",'Fecha Pago'!L60)</f>
        <v>30.4</v>
      </c>
      <c r="E100" s="125">
        <f t="shared" si="0"/>
        <v>9.1499999999999998E-2</v>
      </c>
      <c r="F100" s="126">
        <f t="shared" si="4"/>
        <v>539484.23922492296</v>
      </c>
      <c r="G100" s="126">
        <f>IF(B100="","",IF(F100=0,0,MIN(F100,IF(Catálogos!$N$6=1,Prepagos!C59,IF(Catálogos!$N$6=2,Prepagos!D59,IF(Catálogos!$N$6=3,Prepagos!E59,))))))</f>
        <v>1335.3441532513787</v>
      </c>
      <c r="H100" s="126">
        <f t="shared" si="5"/>
        <v>4168.4148884112374</v>
      </c>
      <c r="I100" s="126">
        <f t="shared" si="6"/>
        <v>0</v>
      </c>
      <c r="J100" s="126">
        <f>IF(B100="","",IF(F100=0,0,F100*Catálogos!$R$1))</f>
        <v>323.69054353495375</v>
      </c>
      <c r="K100" s="126">
        <f>IF(B100="","",IF(Catálogos!$K$10=1,Carátula!$F$17*Catálogos!$R$4,0))</f>
        <v>199.92</v>
      </c>
      <c r="L100" s="126">
        <f>IF(B100="","",IF(F100=0,0,CAT!H63))</f>
        <v>299</v>
      </c>
      <c r="M100" s="115"/>
      <c r="N100" s="126">
        <f t="shared" si="8"/>
        <v>0</v>
      </c>
      <c r="O100" s="126">
        <f t="shared" si="7"/>
        <v>6326.3695851975699</v>
      </c>
      <c r="P100" s="126">
        <f t="shared" si="1"/>
        <v>538148.89507167158</v>
      </c>
      <c r="Q100" s="127">
        <f t="shared" si="2"/>
        <v>1</v>
      </c>
    </row>
    <row r="101" spans="2:17" x14ac:dyDescent="0.25">
      <c r="B101" s="122">
        <f t="shared" si="3"/>
        <v>58</v>
      </c>
      <c r="C101" s="123">
        <f>IF(B101="","",'Fecha Pago'!K61)</f>
        <v>47729</v>
      </c>
      <c r="D101" s="124">
        <f>IF(B101="","",'Fecha Pago'!L61)</f>
        <v>30.4</v>
      </c>
      <c r="E101" s="125">
        <f t="shared" si="0"/>
        <v>9.1499999999999998E-2</v>
      </c>
      <c r="F101" s="126">
        <f t="shared" si="4"/>
        <v>538148.89507167158</v>
      </c>
      <c r="G101" s="126">
        <f>IF(B101="","",IF(F101=0,0,MIN(F101,IF(Catálogos!$N$6=1,Prepagos!C60,IF(Catálogos!$N$6=2,Prepagos!D60,IF(Catálogos!$N$6=3,Prepagos!E60,))))))</f>
        <v>1345.661912408834</v>
      </c>
      <c r="H101" s="126">
        <f t="shared" si="5"/>
        <v>4158.0971292537815</v>
      </c>
      <c r="I101" s="126">
        <f t="shared" si="6"/>
        <v>0</v>
      </c>
      <c r="J101" s="126">
        <f>IF(B101="","",IF(F101=0,0,F101*Catálogos!$R$1))</f>
        <v>322.88933704300291</v>
      </c>
      <c r="K101" s="126">
        <f>IF(B101="","",IF(Catálogos!$K$10=1,Carátula!$F$17*Catálogos!$R$4,0))</f>
        <v>199.92</v>
      </c>
      <c r="L101" s="126">
        <f>IF(B101="","",IF(F101=0,0,CAT!H64))</f>
        <v>299</v>
      </c>
      <c r="M101" s="115"/>
      <c r="N101" s="126">
        <f t="shared" si="8"/>
        <v>0</v>
      </c>
      <c r="O101" s="126">
        <f t="shared" si="7"/>
        <v>6325.5683787056187</v>
      </c>
      <c r="P101" s="126">
        <f t="shared" si="1"/>
        <v>536803.23315926269</v>
      </c>
      <c r="Q101" s="127">
        <f t="shared" si="2"/>
        <v>1</v>
      </c>
    </row>
    <row r="102" spans="2:17" x14ac:dyDescent="0.25">
      <c r="B102" s="122">
        <f t="shared" si="3"/>
        <v>59</v>
      </c>
      <c r="C102" s="123">
        <f>IF(B102="","",'Fecha Pago'!K62)</f>
        <v>47759</v>
      </c>
      <c r="D102" s="124">
        <f>IF(B102="","",'Fecha Pago'!L62)</f>
        <v>30.4</v>
      </c>
      <c r="E102" s="125">
        <f t="shared" si="0"/>
        <v>9.1499999999999998E-2</v>
      </c>
      <c r="F102" s="126">
        <f t="shared" si="4"/>
        <v>536803.23315926269</v>
      </c>
      <c r="G102" s="126">
        <f>IF(B102="","",IF(F102=0,0,MIN(F102,IF(Catálogos!$N$6=1,Prepagos!C61,IF(Catálogos!$N$6=2,Prepagos!D61,IF(Catálogos!$N$6=3,Prepagos!E61,))))))</f>
        <v>1356.0593934520464</v>
      </c>
      <c r="H102" s="126">
        <f t="shared" si="5"/>
        <v>4147.6996482105687</v>
      </c>
      <c r="I102" s="126">
        <f t="shared" si="6"/>
        <v>0</v>
      </c>
      <c r="J102" s="126">
        <f>IF(B102="","",IF(F102=0,0,F102*Catálogos!$R$1))</f>
        <v>322.08193989555758</v>
      </c>
      <c r="K102" s="126">
        <f>IF(B102="","",IF(Catálogos!$K$10=1,Carátula!$F$17*Catálogos!$R$4,0))</f>
        <v>199.92</v>
      </c>
      <c r="L102" s="126">
        <f>IF(B102="","",IF(F102=0,0,CAT!H65))</f>
        <v>299</v>
      </c>
      <c r="M102" s="115"/>
      <c r="N102" s="126">
        <f t="shared" si="8"/>
        <v>0</v>
      </c>
      <c r="O102" s="126">
        <f t="shared" si="7"/>
        <v>6324.7609815581727</v>
      </c>
      <c r="P102" s="126">
        <f t="shared" si="1"/>
        <v>535447.17376581067</v>
      </c>
      <c r="Q102" s="127">
        <f t="shared" si="2"/>
        <v>1</v>
      </c>
    </row>
    <row r="103" spans="2:17" x14ac:dyDescent="0.25">
      <c r="B103" s="122">
        <f t="shared" si="3"/>
        <v>60</v>
      </c>
      <c r="C103" s="123">
        <f>IF(B103="","",'Fecha Pago'!K63)</f>
        <v>47790</v>
      </c>
      <c r="D103" s="124">
        <f>IF(B103="","",'Fecha Pago'!L63)</f>
        <v>30.4</v>
      </c>
      <c r="E103" s="125">
        <f t="shared" si="0"/>
        <v>9.1499999999999998E-2</v>
      </c>
      <c r="F103" s="126">
        <f t="shared" si="4"/>
        <v>535447.17376581067</v>
      </c>
      <c r="G103" s="126">
        <f>IF(B103="","",IF(F103=0,0,MIN(F103,IF(Catálogos!$N$6=1,Prepagos!C62,IF(Catálogos!$N$6=2,Prepagos!D62,IF(Catálogos!$N$6=3,Prepagos!E62,))))))</f>
        <v>1366.5372123654527</v>
      </c>
      <c r="H103" s="126">
        <f t="shared" si="5"/>
        <v>4137.2218292971629</v>
      </c>
      <c r="I103" s="126">
        <f t="shared" si="6"/>
        <v>0</v>
      </c>
      <c r="J103" s="126">
        <f>IF(B103="","",IF(F103=0,0,F103*Catálogos!$R$1))</f>
        <v>321.2683042594864</v>
      </c>
      <c r="K103" s="126">
        <f>IF(B103="","",IF(Catálogos!$K$10=1,Carátula!$F$17*Catálogos!$R$4,0))</f>
        <v>199.92</v>
      </c>
      <c r="L103" s="126">
        <f>IF(B103="","",IF(F103=0,0,CAT!H66))</f>
        <v>299</v>
      </c>
      <c r="M103" s="115"/>
      <c r="N103" s="126">
        <f t="shared" si="8"/>
        <v>0</v>
      </c>
      <c r="O103" s="126">
        <f t="shared" si="7"/>
        <v>6323.9473459221017</v>
      </c>
      <c r="P103" s="126">
        <f t="shared" si="1"/>
        <v>534080.63655344525</v>
      </c>
      <c r="Q103" s="127">
        <f t="shared" si="2"/>
        <v>1</v>
      </c>
    </row>
    <row r="104" spans="2:17" x14ac:dyDescent="0.25">
      <c r="B104" s="122">
        <f t="shared" si="3"/>
        <v>61</v>
      </c>
      <c r="C104" s="123">
        <f>IF(B104="","",'Fecha Pago'!K64)</f>
        <v>47820</v>
      </c>
      <c r="D104" s="124">
        <f>IF(B104="","",'Fecha Pago'!L64)</f>
        <v>30.4</v>
      </c>
      <c r="E104" s="125">
        <f t="shared" si="0"/>
        <v>9.1499999999999998E-2</v>
      </c>
      <c r="F104" s="126">
        <f t="shared" si="4"/>
        <v>534080.63655344525</v>
      </c>
      <c r="G104" s="126">
        <f>IF(B104="","",IF(F104=0,0,MIN(F104,IF(Catálogos!$N$6=1,Prepagos!C63,IF(Catálogos!$N$6=2,Prepagos!D63,IF(Catálogos!$N$6=3,Prepagos!E63,))))))</f>
        <v>1377.0959898929964</v>
      </c>
      <c r="H104" s="126">
        <f t="shared" si="5"/>
        <v>4126.6630517696194</v>
      </c>
      <c r="I104" s="126">
        <f t="shared" si="6"/>
        <v>0</v>
      </c>
      <c r="J104" s="126">
        <f>IF(B104="","",IF(F104=0,0,F104*Catálogos!$R$1))</f>
        <v>320.44838193206709</v>
      </c>
      <c r="K104" s="126">
        <f>IF(B104="","",IF(Catálogos!$K$10=1,Carátula!$F$17*Catálogos!$R$4,0))</f>
        <v>199.92</v>
      </c>
      <c r="L104" s="126">
        <f>IF(B104="","",IF(F104=0,0,CAT!H67))</f>
        <v>299</v>
      </c>
      <c r="M104" s="115"/>
      <c r="N104" s="126">
        <f t="shared" si="8"/>
        <v>0</v>
      </c>
      <c r="O104" s="126">
        <f t="shared" si="7"/>
        <v>6323.1274235946821</v>
      </c>
      <c r="P104" s="126">
        <f t="shared" si="1"/>
        <v>532703.54056355229</v>
      </c>
      <c r="Q104" s="127">
        <f t="shared" si="2"/>
        <v>1</v>
      </c>
    </row>
    <row r="105" spans="2:17" x14ac:dyDescent="0.25">
      <c r="B105" s="122">
        <f t="shared" si="3"/>
        <v>62</v>
      </c>
      <c r="C105" s="123">
        <f>IF(B105="","",'Fecha Pago'!K65)</f>
        <v>47851</v>
      </c>
      <c r="D105" s="124">
        <f>IF(B105="","",'Fecha Pago'!L65)</f>
        <v>30.4</v>
      </c>
      <c r="E105" s="125">
        <f t="shared" si="0"/>
        <v>9.1499999999999998E-2</v>
      </c>
      <c r="F105" s="126">
        <f t="shared" si="4"/>
        <v>532703.54056355229</v>
      </c>
      <c r="G105" s="126">
        <f>IF(B105="","",IF(F105=0,0,MIN(F105,IF(Catálogos!$N$6=1,Prepagos!C64,IF(Catálogos!$N$6=2,Prepagos!D64,IF(Catálogos!$N$6=3,Prepagos!E64,))))))</f>
        <v>1387.7363515749025</v>
      </c>
      <c r="H105" s="126">
        <f t="shared" si="5"/>
        <v>4116.0226900877133</v>
      </c>
      <c r="I105" s="126">
        <f t="shared" si="6"/>
        <v>0</v>
      </c>
      <c r="J105" s="126">
        <f>IF(B105="","",IF(F105=0,0,F105*Catálogos!$R$1))</f>
        <v>319.62212433813136</v>
      </c>
      <c r="K105" s="126">
        <f>IF(B105="","",IF(Catálogos!$K$10=1,Carátula!$F$17*Catálogos!$R$4,0))</f>
        <v>199.92</v>
      </c>
      <c r="L105" s="126">
        <f>IF(B105="","",IF(F105=0,0,CAT!H68))</f>
        <v>299</v>
      </c>
      <c r="M105" s="115"/>
      <c r="N105" s="126">
        <f t="shared" si="8"/>
        <v>0</v>
      </c>
      <c r="O105" s="126">
        <f t="shared" si="7"/>
        <v>6322.3011660007469</v>
      </c>
      <c r="P105" s="126">
        <f t="shared" si="1"/>
        <v>531315.8042119774</v>
      </c>
      <c r="Q105" s="127">
        <f t="shared" si="2"/>
        <v>1</v>
      </c>
    </row>
    <row r="106" spans="2:17" x14ac:dyDescent="0.25">
      <c r="B106" s="122">
        <f t="shared" si="3"/>
        <v>63</v>
      </c>
      <c r="C106" s="123">
        <f>IF(B106="","",'Fecha Pago'!K66)</f>
        <v>47882</v>
      </c>
      <c r="D106" s="124">
        <f>IF(B106="","",'Fecha Pago'!L66)</f>
        <v>30.4</v>
      </c>
      <c r="E106" s="125">
        <f t="shared" si="0"/>
        <v>9.1499999999999998E-2</v>
      </c>
      <c r="F106" s="126">
        <f t="shared" si="4"/>
        <v>531315.8042119774</v>
      </c>
      <c r="G106" s="126">
        <f>IF(B106="","",IF(F106=0,0,MIN(F106,IF(Catálogos!$N$6=1,Prepagos!C65,IF(Catálogos!$N$6=2,Prepagos!D65,IF(Catálogos!$N$6=3,Prepagos!E65,))))))</f>
        <v>1398.4589277847383</v>
      </c>
      <c r="H106" s="126">
        <f t="shared" si="5"/>
        <v>4105.3001138778782</v>
      </c>
      <c r="I106" s="126">
        <f t="shared" si="6"/>
        <v>0</v>
      </c>
      <c r="J106" s="126">
        <f>IF(B106="","",IF(F106=0,0,F106*Catálogos!$R$1))</f>
        <v>318.78948252718641</v>
      </c>
      <c r="K106" s="126">
        <f>IF(B106="","",IF(Catálogos!$K$10=1,Carátula!$F$17*Catálogos!$R$4,0))</f>
        <v>199.92</v>
      </c>
      <c r="L106" s="126">
        <f>IF(B106="","",IF(F106=0,0,CAT!H69))</f>
        <v>299</v>
      </c>
      <c r="M106" s="115"/>
      <c r="N106" s="126">
        <f t="shared" si="8"/>
        <v>0</v>
      </c>
      <c r="O106" s="126">
        <f t="shared" si="7"/>
        <v>6321.4685241898023</v>
      </c>
      <c r="P106" s="126">
        <f t="shared" si="1"/>
        <v>529917.34528419271</v>
      </c>
      <c r="Q106" s="127">
        <f t="shared" si="2"/>
        <v>1</v>
      </c>
    </row>
    <row r="107" spans="2:17" x14ac:dyDescent="0.25">
      <c r="B107" s="122">
        <f t="shared" si="3"/>
        <v>64</v>
      </c>
      <c r="C107" s="123">
        <f>IF(B107="","",'Fecha Pago'!K67)</f>
        <v>47910</v>
      </c>
      <c r="D107" s="124">
        <f>IF(B107="","",'Fecha Pago'!L67)</f>
        <v>30.4</v>
      </c>
      <c r="E107" s="125">
        <f t="shared" si="0"/>
        <v>9.1499999999999998E-2</v>
      </c>
      <c r="F107" s="126">
        <f t="shared" si="4"/>
        <v>529917.34528419271</v>
      </c>
      <c r="G107" s="126">
        <f>IF(B107="","",IF(F107=0,0,MIN(F107,IF(Catálogos!$N$6=1,Prepagos!C66,IF(Catálogos!$N$6=2,Prepagos!D66,IF(Catálogos!$N$6=3,Prepagos!E66,))))))</f>
        <v>1409.2643537667552</v>
      </c>
      <c r="H107" s="126">
        <f t="shared" si="5"/>
        <v>4094.4946878958617</v>
      </c>
      <c r="I107" s="126">
        <f t="shared" si="6"/>
        <v>0</v>
      </c>
      <c r="J107" s="126">
        <f>IF(B107="","",IF(F107=0,0,F107*Catálogos!$R$1))</f>
        <v>317.95040717051558</v>
      </c>
      <c r="K107" s="126">
        <f>IF(B107="","",IF(Catálogos!$K$10=1,Carátula!$F$17*Catálogos!$R$4,0))</f>
        <v>199.92</v>
      </c>
      <c r="L107" s="126">
        <f>IF(B107="","",IF(F107=0,0,CAT!H70))</f>
        <v>299</v>
      </c>
      <c r="M107" s="115"/>
      <c r="N107" s="126">
        <f t="shared" si="8"/>
        <v>0</v>
      </c>
      <c r="O107" s="126">
        <f t="shared" si="7"/>
        <v>6320.6294488331332</v>
      </c>
      <c r="P107" s="126">
        <f t="shared" si="1"/>
        <v>528508.0809304259</v>
      </c>
      <c r="Q107" s="127">
        <f t="shared" si="2"/>
        <v>1</v>
      </c>
    </row>
    <row r="108" spans="2:17" x14ac:dyDescent="0.25">
      <c r="B108" s="122">
        <f t="shared" si="3"/>
        <v>65</v>
      </c>
      <c r="C108" s="123">
        <f>IF(B108="","",'Fecha Pago'!K68)</f>
        <v>47941</v>
      </c>
      <c r="D108" s="124">
        <f>IF(B108="","",'Fecha Pago'!L68)</f>
        <v>30.4</v>
      </c>
      <c r="E108" s="125">
        <f t="shared" ref="E108:E171" si="9">IF(B108="","",$E$39)</f>
        <v>9.1499999999999998E-2</v>
      </c>
      <c r="F108" s="126">
        <f t="shared" si="4"/>
        <v>528508.0809304259</v>
      </c>
      <c r="G108" s="126">
        <f>IF(B108="","",IF(F108=0,0,MIN(F108,IF(Catálogos!$N$6=1,Prepagos!C67,IF(Catálogos!$N$6=2,Prepagos!D67,IF(Catálogos!$N$6=3,Prepagos!E67,))))))</f>
        <v>1420.1532696735262</v>
      </c>
      <c r="H108" s="126">
        <f t="shared" si="5"/>
        <v>4083.60577198909</v>
      </c>
      <c r="I108" s="126">
        <f t="shared" si="6"/>
        <v>0</v>
      </c>
      <c r="J108" s="126">
        <f>IF(B108="","",IF(F108=0,0,F108*Catálogos!$R$1))</f>
        <v>317.10484855825553</v>
      </c>
      <c r="K108" s="126">
        <f>IF(B108="","",IF(Catálogos!$K$10=1,Carátula!$F$17*Catálogos!$R$4,0))</f>
        <v>199.92</v>
      </c>
      <c r="L108" s="126">
        <f>IF(B108="","",IF(F108=0,0,CAT!H71))</f>
        <v>299</v>
      </c>
      <c r="M108" s="115"/>
      <c r="N108" s="126">
        <f t="shared" si="8"/>
        <v>0</v>
      </c>
      <c r="O108" s="126">
        <f t="shared" si="7"/>
        <v>6319.7838902208714</v>
      </c>
      <c r="P108" s="126">
        <f t="shared" ref="P108:P171" si="10">IF(B108="","",F108-G108)</f>
        <v>527087.92766075232</v>
      </c>
      <c r="Q108" s="127">
        <f t="shared" ref="Q108:Q171" si="11">IF(OR(B108="",F108=0),"",1)</f>
        <v>1</v>
      </c>
    </row>
    <row r="109" spans="2:17" x14ac:dyDescent="0.25">
      <c r="B109" s="122">
        <f t="shared" ref="B109:B172" si="12">IF(B108=$H$29,"",IF(B108="","",B108+1))</f>
        <v>66</v>
      </c>
      <c r="C109" s="123">
        <f>IF(B109="","",'Fecha Pago'!K69)</f>
        <v>47971</v>
      </c>
      <c r="D109" s="124">
        <f>IF(B109="","",'Fecha Pago'!L69)</f>
        <v>30.4</v>
      </c>
      <c r="E109" s="125">
        <f t="shared" si="9"/>
        <v>9.1499999999999998E-2</v>
      </c>
      <c r="F109" s="126">
        <f t="shared" ref="F109:F172" si="13">IF(B109="","",P108)</f>
        <v>527087.92766075232</v>
      </c>
      <c r="G109" s="126">
        <f>IF(B109="","",IF(F109=0,0,MIN(F109,IF(Catálogos!$N$6=1,Prepagos!C68,IF(Catálogos!$N$6=2,Prepagos!D68,IF(Catálogos!$N$6=3,Prepagos!E68,))))))</f>
        <v>1431.12632060387</v>
      </c>
      <c r="H109" s="126">
        <f t="shared" ref="H109:H172" si="14">IF(B109="","",IF(F109=0,0,(E109/360*D109)*F109))</f>
        <v>4072.6327210587456</v>
      </c>
      <c r="I109" s="126">
        <f t="shared" ref="I109:I172" si="15">IF(B109="","",IF($I$43&lt;&gt;"",H109*0.16,0))</f>
        <v>0</v>
      </c>
      <c r="J109" s="126">
        <f>IF(B109="","",IF(F109=0,0,F109*Catálogos!$R$1))</f>
        <v>316.25275659645138</v>
      </c>
      <c r="K109" s="126">
        <f>IF(B109="","",IF(Catálogos!$K$10=1,Carátula!$F$17*Catálogos!$R$4,0))</f>
        <v>199.92</v>
      </c>
      <c r="L109" s="126">
        <f>IF(B109="","",IF(F109=0,0,CAT!H72))</f>
        <v>299</v>
      </c>
      <c r="M109" s="115"/>
      <c r="N109" s="126">
        <f t="shared" si="8"/>
        <v>0</v>
      </c>
      <c r="O109" s="126">
        <f t="shared" ref="O109:O172" si="16">IF(B109="","",G109+H109+I109+J109+K109+L109)</f>
        <v>6318.9317982590665</v>
      </c>
      <c r="P109" s="126">
        <f t="shared" si="10"/>
        <v>525656.80134014843</v>
      </c>
      <c r="Q109" s="127">
        <f t="shared" si="11"/>
        <v>1</v>
      </c>
    </row>
    <row r="110" spans="2:17" x14ac:dyDescent="0.25">
      <c r="B110" s="122">
        <f t="shared" si="12"/>
        <v>67</v>
      </c>
      <c r="C110" s="123">
        <f>IF(B110="","",'Fecha Pago'!K70)</f>
        <v>48002</v>
      </c>
      <c r="D110" s="124">
        <f>IF(B110="","",'Fecha Pago'!L70)</f>
        <v>30.4</v>
      </c>
      <c r="E110" s="125">
        <f t="shared" si="9"/>
        <v>9.1499999999999998E-2</v>
      </c>
      <c r="F110" s="126">
        <f t="shared" si="13"/>
        <v>525656.80134014843</v>
      </c>
      <c r="G110" s="126">
        <f>IF(B110="","",IF(F110=0,0,MIN(F110,IF(Catálogos!$N$6=1,Prepagos!C69,IF(Catálogos!$N$6=2,Prepagos!D69,IF(Catálogos!$N$6=3,Prepagos!E69,))))))</f>
        <v>1442.1841566410692</v>
      </c>
      <c r="H110" s="126">
        <f t="shared" si="14"/>
        <v>4061.5748850215464</v>
      </c>
      <c r="I110" s="126">
        <f t="shared" si="15"/>
        <v>0</v>
      </c>
      <c r="J110" s="126">
        <f>IF(B110="","",IF(F110=0,0,F110*Catálogos!$R$1))</f>
        <v>315.39408080408901</v>
      </c>
      <c r="K110" s="126">
        <f>IF(B110="","",IF(Catálogos!$K$10=1,Carátula!$F$17*Catálogos!$R$4,0))</f>
        <v>199.92</v>
      </c>
      <c r="L110" s="126">
        <f>IF(B110="","",IF(F110=0,0,CAT!H73))</f>
        <v>299</v>
      </c>
      <c r="M110" s="115"/>
      <c r="N110" s="126">
        <f t="shared" si="8"/>
        <v>0</v>
      </c>
      <c r="O110" s="126">
        <f t="shared" si="16"/>
        <v>6318.0731224667043</v>
      </c>
      <c r="P110" s="126">
        <f t="shared" si="10"/>
        <v>524214.61718350736</v>
      </c>
      <c r="Q110" s="127">
        <f t="shared" si="11"/>
        <v>1</v>
      </c>
    </row>
    <row r="111" spans="2:17" x14ac:dyDescent="0.25">
      <c r="B111" s="122">
        <f t="shared" si="12"/>
        <v>68</v>
      </c>
      <c r="C111" s="123">
        <f>IF(B111="","",'Fecha Pago'!K71)</f>
        <v>48032</v>
      </c>
      <c r="D111" s="124">
        <f>IF(B111="","",'Fecha Pago'!L71)</f>
        <v>30.4</v>
      </c>
      <c r="E111" s="125">
        <f t="shared" si="9"/>
        <v>9.1499999999999998E-2</v>
      </c>
      <c r="F111" s="126">
        <f t="shared" si="13"/>
        <v>524214.61718350736</v>
      </c>
      <c r="G111" s="126">
        <f>IF(B111="","",IF(F111=0,0,MIN(F111,IF(Catálogos!$N$6=1,Prepagos!C70,IF(Catálogos!$N$6=2,Prepagos!D70,IF(Catálogos!$N$6=3,Prepagos!E70,))))))</f>
        <v>1453.3274328913826</v>
      </c>
      <c r="H111" s="126">
        <f t="shared" si="14"/>
        <v>4050.4316087712327</v>
      </c>
      <c r="I111" s="126">
        <f t="shared" si="15"/>
        <v>0</v>
      </c>
      <c r="J111" s="126">
        <f>IF(B111="","",IF(F111=0,0,F111*Catálogos!$R$1))</f>
        <v>314.52877031010439</v>
      </c>
      <c r="K111" s="126">
        <f>IF(B111="","",IF(Catálogos!$K$10=1,Carátula!$F$17*Catálogos!$R$4,0))</f>
        <v>199.92</v>
      </c>
      <c r="L111" s="126">
        <f>IF(B111="","",IF(F111=0,0,CAT!H74))</f>
        <v>299</v>
      </c>
      <c r="M111" s="115"/>
      <c r="N111" s="126">
        <f t="shared" si="8"/>
        <v>0</v>
      </c>
      <c r="O111" s="126">
        <f t="shared" si="16"/>
        <v>6317.2078119727194</v>
      </c>
      <c r="P111" s="126">
        <f t="shared" si="10"/>
        <v>522761.28975061601</v>
      </c>
      <c r="Q111" s="127">
        <f t="shared" si="11"/>
        <v>1</v>
      </c>
    </row>
    <row r="112" spans="2:17" x14ac:dyDescent="0.25">
      <c r="B112" s="122">
        <f t="shared" si="12"/>
        <v>69</v>
      </c>
      <c r="C112" s="123">
        <f>IF(B112="","",'Fecha Pago'!K72)</f>
        <v>48063</v>
      </c>
      <c r="D112" s="124">
        <f>IF(B112="","",'Fecha Pago'!L72)</f>
        <v>30.4</v>
      </c>
      <c r="E112" s="125">
        <f t="shared" si="9"/>
        <v>9.1499999999999998E-2</v>
      </c>
      <c r="F112" s="126">
        <f t="shared" si="13"/>
        <v>522761.28975061601</v>
      </c>
      <c r="G112" s="126">
        <f>IF(B112="","",IF(F112=0,0,MIN(F112,IF(Catálogos!$N$6=1,Prepagos!C71,IF(Catálogos!$N$6=2,Prepagos!D71,IF(Catálogos!$N$6=3,Prepagos!E71,))))))</f>
        <v>1464.5568095228571</v>
      </c>
      <c r="H112" s="126">
        <f t="shared" si="14"/>
        <v>4039.202232139759</v>
      </c>
      <c r="I112" s="126">
        <f t="shared" si="15"/>
        <v>0</v>
      </c>
      <c r="J112" s="126">
        <f>IF(B112="","",IF(F112=0,0,F112*Catálogos!$R$1))</f>
        <v>313.65677385036958</v>
      </c>
      <c r="K112" s="126">
        <f>IF(B112="","",IF(Catálogos!$K$10=1,Carátula!$F$17*Catálogos!$R$4,0))</f>
        <v>199.92</v>
      </c>
      <c r="L112" s="126">
        <f>IF(B112="","",IF(F112=0,0,CAT!H75))</f>
        <v>299</v>
      </c>
      <c r="M112" s="115"/>
      <c r="N112" s="126">
        <f t="shared" si="8"/>
        <v>0</v>
      </c>
      <c r="O112" s="126">
        <f t="shared" si="16"/>
        <v>6316.3358155129863</v>
      </c>
      <c r="P112" s="126">
        <f t="shared" si="10"/>
        <v>521296.73294109316</v>
      </c>
      <c r="Q112" s="127">
        <f t="shared" si="11"/>
        <v>1</v>
      </c>
    </row>
    <row r="113" spans="2:17" x14ac:dyDescent="0.25">
      <c r="B113" s="122">
        <f t="shared" si="12"/>
        <v>70</v>
      </c>
      <c r="C113" s="123">
        <f>IF(B113="","",'Fecha Pago'!K73)</f>
        <v>48094</v>
      </c>
      <c r="D113" s="124">
        <f>IF(B113="","",'Fecha Pago'!L73)</f>
        <v>30.4</v>
      </c>
      <c r="E113" s="125">
        <f t="shared" si="9"/>
        <v>9.1499999999999998E-2</v>
      </c>
      <c r="F113" s="126">
        <f t="shared" si="13"/>
        <v>521296.73294109316</v>
      </c>
      <c r="G113" s="126">
        <f>IF(B113="","",IF(F113=0,0,MIN(F113,IF(Catálogos!$N$6=1,Prepagos!C72,IF(Catálogos!$N$6=2,Prepagos!D72,IF(Catálogos!$N$6=3,Prepagos!E72,))))))</f>
        <v>1475.8729518044365</v>
      </c>
      <c r="H113" s="126">
        <f t="shared" si="14"/>
        <v>4027.8860898581793</v>
      </c>
      <c r="I113" s="126">
        <f t="shared" si="15"/>
        <v>0</v>
      </c>
      <c r="J113" s="126">
        <f>IF(B113="","",IF(F113=0,0,F113*Catálogos!$R$1))</f>
        <v>312.77803976465589</v>
      </c>
      <c r="K113" s="126">
        <f>IF(B113="","",IF(Catálogos!$K$10=1,Carátula!$F$17*Catálogos!$R$4,0))</f>
        <v>199.92</v>
      </c>
      <c r="L113" s="126">
        <f>IF(B113="","",IF(F113=0,0,CAT!H76))</f>
        <v>299</v>
      </c>
      <c r="M113" s="115"/>
      <c r="N113" s="126">
        <f t="shared" si="8"/>
        <v>0</v>
      </c>
      <c r="O113" s="126">
        <f t="shared" si="16"/>
        <v>6315.4570814272711</v>
      </c>
      <c r="P113" s="126">
        <f t="shared" si="10"/>
        <v>519820.85998928873</v>
      </c>
      <c r="Q113" s="127">
        <f t="shared" si="11"/>
        <v>1</v>
      </c>
    </row>
    <row r="114" spans="2:17" x14ac:dyDescent="0.25">
      <c r="B114" s="122">
        <f t="shared" si="12"/>
        <v>71</v>
      </c>
      <c r="C114" s="123">
        <f>IF(B114="","",'Fecha Pago'!K74)</f>
        <v>48124</v>
      </c>
      <c r="D114" s="124">
        <f>IF(B114="","",'Fecha Pago'!L74)</f>
        <v>30.4</v>
      </c>
      <c r="E114" s="125">
        <f t="shared" si="9"/>
        <v>9.1499999999999998E-2</v>
      </c>
      <c r="F114" s="126">
        <f t="shared" si="13"/>
        <v>519820.85998928873</v>
      </c>
      <c r="G114" s="126">
        <f>IF(B114="","",IF(F114=0,0,MIN(F114,IF(Catálogos!$N$6=1,Prepagos!C73,IF(Catálogos!$N$6=2,Prepagos!D73,IF(Catálogos!$N$6=3,Prepagos!E73,))))))</f>
        <v>1487.276530145379</v>
      </c>
      <c r="H114" s="126">
        <f t="shared" si="14"/>
        <v>4016.4825115172371</v>
      </c>
      <c r="I114" s="126">
        <f t="shared" si="15"/>
        <v>0</v>
      </c>
      <c r="J114" s="126">
        <f>IF(B114="","",IF(F114=0,0,F114*Catálogos!$R$1))</f>
        <v>311.89251599357323</v>
      </c>
      <c r="K114" s="126">
        <f>IF(B114="","",IF(Catálogos!$K$10=1,Carátula!$F$17*Catálogos!$R$4,0))</f>
        <v>199.92</v>
      </c>
      <c r="L114" s="126">
        <f>IF(B114="","",IF(F114=0,0,CAT!H77))</f>
        <v>299</v>
      </c>
      <c r="M114" s="115"/>
      <c r="N114" s="126">
        <f t="shared" si="8"/>
        <v>0</v>
      </c>
      <c r="O114" s="126">
        <f t="shared" si="16"/>
        <v>6314.5715576561897</v>
      </c>
      <c r="P114" s="126">
        <f t="shared" si="10"/>
        <v>518333.58345914335</v>
      </c>
      <c r="Q114" s="127">
        <f t="shared" si="11"/>
        <v>1</v>
      </c>
    </row>
    <row r="115" spans="2:17" x14ac:dyDescent="0.25">
      <c r="B115" s="122">
        <f t="shared" si="12"/>
        <v>72</v>
      </c>
      <c r="C115" s="123">
        <f>IF(B115="","",'Fecha Pago'!K75)</f>
        <v>48155</v>
      </c>
      <c r="D115" s="124">
        <f>IF(B115="","",'Fecha Pago'!L75)</f>
        <v>30.4</v>
      </c>
      <c r="E115" s="125">
        <f t="shared" si="9"/>
        <v>9.1499999999999998E-2</v>
      </c>
      <c r="F115" s="126">
        <f t="shared" si="13"/>
        <v>518333.58345914335</v>
      </c>
      <c r="G115" s="126">
        <f>IF(B115="","",IF(F115=0,0,MIN(F115,IF(Catálogos!$N$6=1,Prepagos!C74,IF(Catálogos!$N$6=2,Prepagos!D74,IF(Catálogos!$N$6=3,Prepagos!E74,))))))</f>
        <v>1498.7682201349689</v>
      </c>
      <c r="H115" s="126">
        <f t="shared" si="14"/>
        <v>4004.9908215276469</v>
      </c>
      <c r="I115" s="126">
        <f t="shared" si="15"/>
        <v>0</v>
      </c>
      <c r="J115" s="126">
        <f>IF(B115="","",IF(F115=0,0,F115*Catálogos!$R$1))</f>
        <v>311.00015007548598</v>
      </c>
      <c r="K115" s="126">
        <f>IF(B115="","",IF(Catálogos!$K$10=1,Carátula!$F$17*Catálogos!$R$4,0))</f>
        <v>199.92</v>
      </c>
      <c r="L115" s="126">
        <f>IF(B115="","",IF(F115=0,0,CAT!H78))</f>
        <v>299</v>
      </c>
      <c r="M115" s="115"/>
      <c r="N115" s="126">
        <f t="shared" si="8"/>
        <v>0</v>
      </c>
      <c r="O115" s="126">
        <f t="shared" si="16"/>
        <v>6313.6791917381015</v>
      </c>
      <c r="P115" s="126">
        <f t="shared" si="10"/>
        <v>516834.8152390084</v>
      </c>
      <c r="Q115" s="127">
        <f t="shared" si="11"/>
        <v>1</v>
      </c>
    </row>
    <row r="116" spans="2:17" x14ac:dyDescent="0.25">
      <c r="B116" s="122">
        <f t="shared" si="12"/>
        <v>73</v>
      </c>
      <c r="C116" s="123">
        <f>IF(B116="","",'Fecha Pago'!K76)</f>
        <v>48185</v>
      </c>
      <c r="D116" s="124">
        <f>IF(B116="","",'Fecha Pago'!L76)</f>
        <v>30.4</v>
      </c>
      <c r="E116" s="125">
        <f t="shared" si="9"/>
        <v>9.1499999999999998E-2</v>
      </c>
      <c r="F116" s="126">
        <f t="shared" si="13"/>
        <v>516834.8152390084</v>
      </c>
      <c r="G116" s="126">
        <f>IF(B116="","",IF(F116=0,0,MIN(F116,IF(Catálogos!$N$6=1,Prepagos!C75,IF(Catálogos!$N$6=2,Prepagos!D75,IF(Catálogos!$N$6=3,Prepagos!E75,))))))</f>
        <v>1510.3487025825452</v>
      </c>
      <c r="H116" s="126">
        <f t="shared" si="14"/>
        <v>3993.410339080071</v>
      </c>
      <c r="I116" s="126">
        <f t="shared" si="15"/>
        <v>0</v>
      </c>
      <c r="J116" s="126">
        <f>IF(B116="","",IF(F116=0,0,F116*Catálogos!$R$1))</f>
        <v>310.10088914340503</v>
      </c>
      <c r="K116" s="126">
        <f>IF(B116="","",IF(Catálogos!$K$10=1,Carátula!$F$17*Catálogos!$R$4,0))</f>
        <v>199.92</v>
      </c>
      <c r="L116" s="126">
        <f>IF(B116="","",IF(F116=0,0,CAT!H79))</f>
        <v>299</v>
      </c>
      <c r="M116" s="115"/>
      <c r="N116" s="126">
        <f t="shared" si="8"/>
        <v>0</v>
      </c>
      <c r="O116" s="126">
        <f t="shared" si="16"/>
        <v>6312.7799308060212</v>
      </c>
      <c r="P116" s="126">
        <f t="shared" si="10"/>
        <v>515324.46653642587</v>
      </c>
      <c r="Q116" s="127">
        <f t="shared" si="11"/>
        <v>1</v>
      </c>
    </row>
    <row r="117" spans="2:17" x14ac:dyDescent="0.25">
      <c r="B117" s="122">
        <f t="shared" si="12"/>
        <v>74</v>
      </c>
      <c r="C117" s="123">
        <f>IF(B117="","",'Fecha Pago'!K77)</f>
        <v>48216</v>
      </c>
      <c r="D117" s="124">
        <f>IF(B117="","",'Fecha Pago'!L77)</f>
        <v>30.4</v>
      </c>
      <c r="E117" s="125">
        <f t="shared" si="9"/>
        <v>9.1499999999999998E-2</v>
      </c>
      <c r="F117" s="126">
        <f t="shared" si="13"/>
        <v>515324.46653642587</v>
      </c>
      <c r="G117" s="126">
        <f>IF(B117="","",IF(F117=0,0,MIN(F117,IF(Catálogos!$N$6=1,Prepagos!C76,IF(Catálogos!$N$6=2,Prepagos!D76,IF(Catálogos!$N$6=3,Prepagos!E76,))))))</f>
        <v>1522.018663557833</v>
      </c>
      <c r="H117" s="126">
        <f t="shared" si="14"/>
        <v>3981.7403781047833</v>
      </c>
      <c r="I117" s="126">
        <f t="shared" si="15"/>
        <v>0</v>
      </c>
      <c r="J117" s="126">
        <f>IF(B117="","",IF(F117=0,0,F117*Catálogos!$R$1))</f>
        <v>309.19467992185548</v>
      </c>
      <c r="K117" s="126">
        <f>IF(B117="","",IF(Catálogos!$K$10=1,Carátula!$F$17*Catálogos!$R$4,0))</f>
        <v>199.92</v>
      </c>
      <c r="L117" s="126">
        <f>IF(B117="","",IF(F117=0,0,CAT!H80))</f>
        <v>299</v>
      </c>
      <c r="M117" s="115"/>
      <c r="N117" s="126">
        <f t="shared" si="8"/>
        <v>0</v>
      </c>
      <c r="O117" s="126">
        <f t="shared" si="16"/>
        <v>6311.8737215844722</v>
      </c>
      <c r="P117" s="126">
        <f t="shared" si="10"/>
        <v>513802.44787286804</v>
      </c>
      <c r="Q117" s="127">
        <f t="shared" si="11"/>
        <v>1</v>
      </c>
    </row>
    <row r="118" spans="2:17" x14ac:dyDescent="0.25">
      <c r="B118" s="122">
        <f t="shared" si="12"/>
        <v>75</v>
      </c>
      <c r="C118" s="123">
        <f>IF(B118="","",'Fecha Pago'!K78)</f>
        <v>48247</v>
      </c>
      <c r="D118" s="124">
        <f>IF(B118="","",'Fecha Pago'!L78)</f>
        <v>30.4</v>
      </c>
      <c r="E118" s="125">
        <f t="shared" si="9"/>
        <v>9.1499999999999998E-2</v>
      </c>
      <c r="F118" s="126">
        <f t="shared" si="13"/>
        <v>513802.44787286804</v>
      </c>
      <c r="G118" s="126">
        <f>IF(B118="","",IF(F118=0,0,MIN(F118,IF(Catálogos!$N$6=1,Prepagos!C77,IF(Catálogos!$N$6=2,Prepagos!D77,IF(Catálogos!$N$6=3,Prepagos!E77,))))))</f>
        <v>1533.7787944315899</v>
      </c>
      <c r="H118" s="126">
        <f t="shared" si="14"/>
        <v>3969.9802472310266</v>
      </c>
      <c r="I118" s="126">
        <f t="shared" si="15"/>
        <v>0</v>
      </c>
      <c r="J118" s="126">
        <f>IF(B118="","",IF(F118=0,0,F118*Catálogos!$R$1))</f>
        <v>308.28146872372082</v>
      </c>
      <c r="K118" s="126">
        <f>IF(B118="","",IF(Catálogos!$K$10=1,Carátula!$F$17*Catálogos!$R$4,0))</f>
        <v>199.92</v>
      </c>
      <c r="L118" s="126">
        <f>IF(B118="","",IF(F118=0,0,CAT!H81))</f>
        <v>299</v>
      </c>
      <c r="M118" s="115"/>
      <c r="N118" s="126">
        <f t="shared" si="8"/>
        <v>0</v>
      </c>
      <c r="O118" s="126">
        <f t="shared" si="16"/>
        <v>6310.9605103863369</v>
      </c>
      <c r="P118" s="126">
        <f t="shared" si="10"/>
        <v>512268.66907843645</v>
      </c>
      <c r="Q118" s="127">
        <f t="shared" si="11"/>
        <v>1</v>
      </c>
    </row>
    <row r="119" spans="2:17" x14ac:dyDescent="0.25">
      <c r="B119" s="122">
        <f t="shared" si="12"/>
        <v>76</v>
      </c>
      <c r="C119" s="123">
        <f>IF(B119="","",'Fecha Pago'!K79)</f>
        <v>48276</v>
      </c>
      <c r="D119" s="124">
        <f>IF(B119="","",'Fecha Pago'!L79)</f>
        <v>30.4</v>
      </c>
      <c r="E119" s="125">
        <f t="shared" si="9"/>
        <v>9.1499999999999998E-2</v>
      </c>
      <c r="F119" s="126">
        <f t="shared" si="13"/>
        <v>512268.66907843645</v>
      </c>
      <c r="G119" s="126">
        <f>IF(B119="","",IF(F119=0,0,MIN(F119,IF(Catálogos!$N$6=1,Prepagos!C78,IF(Catálogos!$N$6=2,Prepagos!D78,IF(Catálogos!$N$6=3,Prepagos!E78,))))))</f>
        <v>1545.6297919165645</v>
      </c>
      <c r="H119" s="126">
        <f t="shared" si="14"/>
        <v>3958.1292497460518</v>
      </c>
      <c r="I119" s="126">
        <f t="shared" si="15"/>
        <v>0</v>
      </c>
      <c r="J119" s="126">
        <f>IF(B119="","",IF(F119=0,0,F119*Catálogos!$R$1))</f>
        <v>307.36120144706183</v>
      </c>
      <c r="K119" s="126">
        <f>IF(B119="","",IF(Catálogos!$K$10=1,Carátula!$F$17*Catálogos!$R$4,0))</f>
        <v>199.92</v>
      </c>
      <c r="L119" s="126">
        <f>IF(B119="","",IF(F119=0,0,CAT!H82))</f>
        <v>299</v>
      </c>
      <c r="M119" s="115"/>
      <c r="N119" s="126">
        <f t="shared" si="8"/>
        <v>0</v>
      </c>
      <c r="O119" s="126">
        <f t="shared" si="16"/>
        <v>6310.0402431096782</v>
      </c>
      <c r="P119" s="126">
        <f t="shared" si="10"/>
        <v>510723.03928651987</v>
      </c>
      <c r="Q119" s="127">
        <f t="shared" si="11"/>
        <v>1</v>
      </c>
    </row>
    <row r="120" spans="2:17" x14ac:dyDescent="0.25">
      <c r="B120" s="122">
        <f t="shared" si="12"/>
        <v>77</v>
      </c>
      <c r="C120" s="123">
        <f>IF(B120="","",'Fecha Pago'!K80)</f>
        <v>48307</v>
      </c>
      <c r="D120" s="124">
        <f>IF(B120="","",'Fecha Pago'!L80)</f>
        <v>30.4</v>
      </c>
      <c r="E120" s="125">
        <f t="shared" si="9"/>
        <v>9.1499999999999998E-2</v>
      </c>
      <c r="F120" s="126">
        <f t="shared" si="13"/>
        <v>510723.03928651987</v>
      </c>
      <c r="G120" s="126">
        <f>IF(B120="","",IF(F120=0,0,MIN(F120,IF(Catálogos!$N$6=1,Prepagos!C79,IF(Catálogos!$N$6=2,Prepagos!D79,IF(Catálogos!$N$6=3,Prepagos!E79,))))))</f>
        <v>1557.5723581087734</v>
      </c>
      <c r="H120" s="126">
        <f t="shared" si="14"/>
        <v>3946.1866835538431</v>
      </c>
      <c r="I120" s="126">
        <f t="shared" si="15"/>
        <v>0</v>
      </c>
      <c r="J120" s="126">
        <f>IF(B120="","",IF(F120=0,0,F120*Catálogos!$R$1))</f>
        <v>306.43382357191189</v>
      </c>
      <c r="K120" s="126">
        <f>IF(B120="","",IF(Catálogos!$K$10=1,Carátula!$F$17*Catálogos!$R$4,0))</f>
        <v>199.92</v>
      </c>
      <c r="L120" s="126">
        <f>IF(B120="","",IF(F120=0,0,CAT!H83))</f>
        <v>299</v>
      </c>
      <c r="M120" s="115"/>
      <c r="N120" s="126">
        <f t="shared" si="8"/>
        <v>0</v>
      </c>
      <c r="O120" s="126">
        <f t="shared" si="16"/>
        <v>6309.1128652345278</v>
      </c>
      <c r="P120" s="126">
        <f t="shared" si="10"/>
        <v>509165.4669284111</v>
      </c>
      <c r="Q120" s="127">
        <f t="shared" si="11"/>
        <v>1</v>
      </c>
    </row>
    <row r="121" spans="2:17" x14ac:dyDescent="0.25">
      <c r="B121" s="122">
        <f t="shared" si="12"/>
        <v>78</v>
      </c>
      <c r="C121" s="123">
        <f>IF(B121="","",'Fecha Pago'!K81)</f>
        <v>48337</v>
      </c>
      <c r="D121" s="124">
        <f>IF(B121="","",'Fecha Pago'!L81)</f>
        <v>30.4</v>
      </c>
      <c r="E121" s="125">
        <f t="shared" si="9"/>
        <v>9.1499999999999998E-2</v>
      </c>
      <c r="F121" s="126">
        <f t="shared" si="13"/>
        <v>509165.4669284111</v>
      </c>
      <c r="G121" s="126">
        <f>IF(B121="","",IF(F121=0,0,MIN(F121,IF(Catálogos!$N$6=1,Prepagos!C80,IF(Catálogos!$N$6=2,Prepagos!D80,IF(Catálogos!$N$6=3,Prepagos!E80,))))))</f>
        <v>1569.6072005290935</v>
      </c>
      <c r="H121" s="126">
        <f t="shared" si="14"/>
        <v>3934.1518411335223</v>
      </c>
      <c r="I121" s="126">
        <f t="shared" si="15"/>
        <v>0</v>
      </c>
      <c r="J121" s="126">
        <f>IF(B121="","",IF(F121=0,0,F121*Catálogos!$R$1))</f>
        <v>305.49928015704666</v>
      </c>
      <c r="K121" s="126">
        <f>IF(B121="","",IF(Catálogos!$K$10=1,Carátula!$F$17*Catálogos!$R$4,0))</f>
        <v>199.92</v>
      </c>
      <c r="L121" s="126">
        <f>IF(B121="","",IF(F121=0,0,CAT!H84))</f>
        <v>299</v>
      </c>
      <c r="M121" s="115"/>
      <c r="N121" s="126">
        <f t="shared" si="8"/>
        <v>0</v>
      </c>
      <c r="O121" s="126">
        <f t="shared" si="16"/>
        <v>6308.1783218196624</v>
      </c>
      <c r="P121" s="126">
        <f t="shared" si="10"/>
        <v>507595.85972788202</v>
      </c>
      <c r="Q121" s="127">
        <f t="shared" si="11"/>
        <v>1</v>
      </c>
    </row>
    <row r="122" spans="2:17" x14ac:dyDescent="0.25">
      <c r="B122" s="122">
        <f t="shared" si="12"/>
        <v>79</v>
      </c>
      <c r="C122" s="123">
        <f>IF(B122="","",'Fecha Pago'!K82)</f>
        <v>48368</v>
      </c>
      <c r="D122" s="124">
        <f>IF(B122="","",'Fecha Pago'!L82)</f>
        <v>30.4</v>
      </c>
      <c r="E122" s="125">
        <f t="shared" si="9"/>
        <v>9.1499999999999998E-2</v>
      </c>
      <c r="F122" s="126">
        <f t="shared" si="13"/>
        <v>507595.85972788202</v>
      </c>
      <c r="G122" s="126">
        <f>IF(B122="","",IF(F122=0,0,MIN(F122,IF(Catálogos!$N$6=1,Prepagos!C81,IF(Catálogos!$N$6=2,Prepagos!D81,IF(Catálogos!$N$6=3,Prepagos!E81,))))))</f>
        <v>1581.7350321651818</v>
      </c>
      <c r="H122" s="126">
        <f t="shared" si="14"/>
        <v>3922.0240094974347</v>
      </c>
      <c r="I122" s="126">
        <f t="shared" si="15"/>
        <v>0</v>
      </c>
      <c r="J122" s="126">
        <f>IF(B122="","",IF(F122=0,0,F122*Catálogos!$R$1))</f>
        <v>304.55751583672918</v>
      </c>
      <c r="K122" s="126">
        <f>IF(B122="","",IF(Catálogos!$K$10=1,Carátula!$F$17*Catálogos!$R$4,0))</f>
        <v>199.92</v>
      </c>
      <c r="L122" s="126">
        <f>IF(B122="","",IF(F122=0,0,CAT!H85))</f>
        <v>299</v>
      </c>
      <c r="M122" s="115"/>
      <c r="N122" s="126">
        <f t="shared" si="8"/>
        <v>0</v>
      </c>
      <c r="O122" s="126">
        <f t="shared" si="16"/>
        <v>6307.2365574993455</v>
      </c>
      <c r="P122" s="126">
        <f t="shared" si="10"/>
        <v>506014.12469571683</v>
      </c>
      <c r="Q122" s="127">
        <f t="shared" si="11"/>
        <v>1</v>
      </c>
    </row>
    <row r="123" spans="2:17" x14ac:dyDescent="0.25">
      <c r="B123" s="122">
        <f t="shared" si="12"/>
        <v>80</v>
      </c>
      <c r="C123" s="123">
        <f>IF(B123="","",'Fecha Pago'!K83)</f>
        <v>48398</v>
      </c>
      <c r="D123" s="124">
        <f>IF(B123="","",'Fecha Pago'!L83)</f>
        <v>30.4</v>
      </c>
      <c r="E123" s="125">
        <f t="shared" si="9"/>
        <v>9.1499999999999998E-2</v>
      </c>
      <c r="F123" s="126">
        <f t="shared" si="13"/>
        <v>506014.12469571683</v>
      </c>
      <c r="G123" s="126">
        <f>IF(B123="","",IF(F123=0,0,MIN(F123,IF(Catálogos!$N$6=1,Prepagos!C82,IF(Catálogos!$N$6=2,Prepagos!D82,IF(Catálogos!$N$6=3,Prepagos!E82,))))))</f>
        <v>1593.9565715137114</v>
      </c>
      <c r="H123" s="126">
        <f t="shared" si="14"/>
        <v>3909.8024701489048</v>
      </c>
      <c r="I123" s="126">
        <f t="shared" si="15"/>
        <v>0</v>
      </c>
      <c r="J123" s="126">
        <f>IF(B123="","",IF(F123=0,0,F123*Catálogos!$R$1))</f>
        <v>303.60847481743008</v>
      </c>
      <c r="K123" s="126">
        <f>IF(B123="","",IF(Catálogos!$K$10=1,Carátula!$F$17*Catálogos!$R$4,0))</f>
        <v>199.92</v>
      </c>
      <c r="L123" s="126">
        <f>IF(B123="","",IF(F123=0,0,CAT!H86))</f>
        <v>299</v>
      </c>
      <c r="M123" s="115"/>
      <c r="N123" s="126">
        <f t="shared" si="8"/>
        <v>0</v>
      </c>
      <c r="O123" s="126">
        <f t="shared" si="16"/>
        <v>6306.2875164800462</v>
      </c>
      <c r="P123" s="126">
        <f t="shared" si="10"/>
        <v>504420.1681242031</v>
      </c>
      <c r="Q123" s="127">
        <f t="shared" si="11"/>
        <v>1</v>
      </c>
    </row>
    <row r="124" spans="2:17" x14ac:dyDescent="0.25">
      <c r="B124" s="122">
        <f t="shared" si="12"/>
        <v>81</v>
      </c>
      <c r="C124" s="123">
        <f>IF(B124="","",'Fecha Pago'!K84)</f>
        <v>48429</v>
      </c>
      <c r="D124" s="124">
        <f>IF(B124="","",'Fecha Pago'!L84)</f>
        <v>30.4</v>
      </c>
      <c r="E124" s="125">
        <f t="shared" si="9"/>
        <v>9.1499999999999998E-2</v>
      </c>
      <c r="F124" s="126">
        <f t="shared" si="13"/>
        <v>504420.1681242031</v>
      </c>
      <c r="G124" s="126">
        <f>IF(B124="","",IF(F124=0,0,MIN(F124,IF(Catálogos!$N$6=1,Prepagos!C83,IF(Catálogos!$N$6=2,Prepagos!D83,IF(Catálogos!$N$6=3,Prepagos!E83,))))))</f>
        <v>1606.2725426229408</v>
      </c>
      <c r="H124" s="126">
        <f t="shared" si="14"/>
        <v>3897.4864990396754</v>
      </c>
      <c r="I124" s="126">
        <f t="shared" si="15"/>
        <v>0</v>
      </c>
      <c r="J124" s="126">
        <f>IF(B124="","",IF(F124=0,0,F124*Catálogos!$R$1))</f>
        <v>302.65210087452186</v>
      </c>
      <c r="K124" s="126">
        <f>IF(B124="","",IF(Catálogos!$K$10=1,Carátula!$F$17*Catálogos!$R$4,0))</f>
        <v>199.92</v>
      </c>
      <c r="L124" s="126">
        <f>IF(B124="","",IF(F124=0,0,CAT!H87))</f>
        <v>299</v>
      </c>
      <c r="M124" s="115"/>
      <c r="N124" s="126">
        <f t="shared" si="8"/>
        <v>0</v>
      </c>
      <c r="O124" s="126">
        <f t="shared" si="16"/>
        <v>6305.3311425371385</v>
      </c>
      <c r="P124" s="126">
        <f t="shared" si="10"/>
        <v>502813.89558158017</v>
      </c>
      <c r="Q124" s="127">
        <f t="shared" si="11"/>
        <v>1</v>
      </c>
    </row>
    <row r="125" spans="2:17" x14ac:dyDescent="0.25">
      <c r="B125" s="122">
        <f t="shared" si="12"/>
        <v>82</v>
      </c>
      <c r="C125" s="123">
        <f>IF(B125="","",'Fecha Pago'!K85)</f>
        <v>48460</v>
      </c>
      <c r="D125" s="124">
        <f>IF(B125="","",'Fecha Pago'!L85)</f>
        <v>30.4</v>
      </c>
      <c r="E125" s="125">
        <f t="shared" si="9"/>
        <v>9.1499999999999998E-2</v>
      </c>
      <c r="F125" s="126">
        <f t="shared" si="13"/>
        <v>502813.89558158017</v>
      </c>
      <c r="G125" s="126">
        <f>IF(B125="","",IF(F125=0,0,MIN(F125,IF(Catálogos!$N$6=1,Prepagos!C84,IF(Catálogos!$N$6=2,Prepagos!D84,IF(Catálogos!$N$6=3,Prepagos!E84,))))))</f>
        <v>1618.6836751356075</v>
      </c>
      <c r="H125" s="126">
        <f t="shared" si="14"/>
        <v>3885.075366527009</v>
      </c>
      <c r="I125" s="126">
        <f t="shared" si="15"/>
        <v>0</v>
      </c>
      <c r="J125" s="126">
        <f>IF(B125="","",IF(F125=0,0,F125*Catálogos!$R$1))</f>
        <v>301.6883373489481</v>
      </c>
      <c r="K125" s="126">
        <f>IF(B125="","",IF(Catálogos!$K$10=1,Carátula!$F$17*Catálogos!$R$4,0))</f>
        <v>199.92</v>
      </c>
      <c r="L125" s="126">
        <f>IF(B125="","",IF(F125=0,0,CAT!H88))</f>
        <v>299</v>
      </c>
      <c r="M125" s="115"/>
      <c r="N125" s="126">
        <f t="shared" si="8"/>
        <v>0</v>
      </c>
      <c r="O125" s="126">
        <f t="shared" si="16"/>
        <v>6304.3673790115645</v>
      </c>
      <c r="P125" s="126">
        <f t="shared" si="10"/>
        <v>501195.21190644457</v>
      </c>
      <c r="Q125" s="127">
        <f t="shared" si="11"/>
        <v>1</v>
      </c>
    </row>
    <row r="126" spans="2:17" x14ac:dyDescent="0.25">
      <c r="B126" s="122">
        <f t="shared" si="12"/>
        <v>83</v>
      </c>
      <c r="C126" s="123">
        <f>IF(B126="","",'Fecha Pago'!K86)</f>
        <v>48490</v>
      </c>
      <c r="D126" s="124">
        <f>IF(B126="","",'Fecha Pago'!L86)</f>
        <v>30.4</v>
      </c>
      <c r="E126" s="125">
        <f t="shared" si="9"/>
        <v>9.1499999999999998E-2</v>
      </c>
      <c r="F126" s="126">
        <f t="shared" si="13"/>
        <v>501195.21190644457</v>
      </c>
      <c r="G126" s="126">
        <f>IF(B126="","",IF(F126=0,0,MIN(F126,IF(Catálogos!$N$6=1,Prepagos!C85,IF(Catálogos!$N$6=2,Prepagos!D85,IF(Catálogos!$N$6=3,Prepagos!E85,))))))</f>
        <v>1631.1907043321551</v>
      </c>
      <c r="H126" s="126">
        <f t="shared" si="14"/>
        <v>3872.568337330461</v>
      </c>
      <c r="I126" s="126">
        <f t="shared" si="15"/>
        <v>0</v>
      </c>
      <c r="J126" s="126">
        <f>IF(B126="","",IF(F126=0,0,F126*Catálogos!$R$1))</f>
        <v>300.71712714386672</v>
      </c>
      <c r="K126" s="126">
        <f>IF(B126="","",IF(Catálogos!$K$10=1,Carátula!$F$17*Catálogos!$R$4,0))</f>
        <v>199.92</v>
      </c>
      <c r="L126" s="126">
        <f>IF(B126="","",IF(F126=0,0,CAT!H89))</f>
        <v>299</v>
      </c>
      <c r="M126" s="115"/>
      <c r="N126" s="126">
        <f t="shared" si="8"/>
        <v>0</v>
      </c>
      <c r="O126" s="126">
        <f t="shared" si="16"/>
        <v>6303.3961688064828</v>
      </c>
      <c r="P126" s="126">
        <f t="shared" si="10"/>
        <v>499564.02120211243</v>
      </c>
      <c r="Q126" s="127">
        <f t="shared" si="11"/>
        <v>1</v>
      </c>
    </row>
    <row r="127" spans="2:17" x14ac:dyDescent="0.25">
      <c r="B127" s="122">
        <f t="shared" si="12"/>
        <v>84</v>
      </c>
      <c r="C127" s="123">
        <f>IF(B127="","",'Fecha Pago'!K87)</f>
        <v>48521</v>
      </c>
      <c r="D127" s="124">
        <f>IF(B127="","",'Fecha Pago'!L87)</f>
        <v>30.4</v>
      </c>
      <c r="E127" s="125">
        <f t="shared" si="9"/>
        <v>9.1499999999999998E-2</v>
      </c>
      <c r="F127" s="126">
        <f t="shared" si="13"/>
        <v>499564.02120211243</v>
      </c>
      <c r="G127" s="126">
        <f>IF(B127="","",IF(F127=0,0,MIN(F127,IF(Catálogos!$N$6=1,Prepagos!C86,IF(Catálogos!$N$6=2,Prepagos!D86,IF(Catálogos!$N$6=3,Prepagos!E86,))))))</f>
        <v>1643.7943711742951</v>
      </c>
      <c r="H127" s="126">
        <f t="shared" si="14"/>
        <v>3859.9646704883216</v>
      </c>
      <c r="I127" s="126">
        <f t="shared" si="15"/>
        <v>0</v>
      </c>
      <c r="J127" s="126">
        <f>IF(B127="","",IF(F127=0,0,F127*Catálogos!$R$1))</f>
        <v>299.73841272126742</v>
      </c>
      <c r="K127" s="126">
        <f>IF(B127="","",IF(Catálogos!$K$10=1,Carátula!$F$17*Catálogos!$R$4,0))</f>
        <v>199.92</v>
      </c>
      <c r="L127" s="126">
        <f>IF(B127="","",IF(F127=0,0,CAT!H90))</f>
        <v>299</v>
      </c>
      <c r="M127" s="115"/>
      <c r="N127" s="126">
        <f t="shared" si="8"/>
        <v>0</v>
      </c>
      <c r="O127" s="126">
        <f t="shared" si="16"/>
        <v>6302.4174543838844</v>
      </c>
      <c r="P127" s="126">
        <f t="shared" si="10"/>
        <v>497920.22683093813</v>
      </c>
      <c r="Q127" s="127">
        <f t="shared" si="11"/>
        <v>1</v>
      </c>
    </row>
    <row r="128" spans="2:17" x14ac:dyDescent="0.25">
      <c r="B128" s="122">
        <f t="shared" si="12"/>
        <v>85</v>
      </c>
      <c r="C128" s="123">
        <f>IF(B128="","",'Fecha Pago'!K88)</f>
        <v>48551</v>
      </c>
      <c r="D128" s="124">
        <f>IF(B128="","",'Fecha Pago'!L88)</f>
        <v>30.4</v>
      </c>
      <c r="E128" s="125">
        <f t="shared" si="9"/>
        <v>9.1499999999999998E-2</v>
      </c>
      <c r="F128" s="126">
        <f t="shared" si="13"/>
        <v>497920.22683093813</v>
      </c>
      <c r="G128" s="126">
        <f>IF(B128="","",IF(F128=0,0,MIN(F128,IF(Catálogos!$N$6=1,Prepagos!C87,IF(Catálogos!$N$6=2,Prepagos!D87,IF(Catálogos!$N$6=3,Prepagos!E87,))))))</f>
        <v>1656.4954223489017</v>
      </c>
      <c r="H128" s="126">
        <f t="shared" si="14"/>
        <v>3847.2636193137146</v>
      </c>
      <c r="I128" s="126">
        <f t="shared" si="15"/>
        <v>0</v>
      </c>
      <c r="J128" s="126">
        <f>IF(B128="","",IF(F128=0,0,F128*Catálogos!$R$1))</f>
        <v>298.75213609856286</v>
      </c>
      <c r="K128" s="126">
        <f>IF(B128="","",IF(Catálogos!$K$10=1,Carátula!$F$17*Catálogos!$R$4,0))</f>
        <v>199.92</v>
      </c>
      <c r="L128" s="126">
        <f>IF(B128="","",IF(F128=0,0,CAT!H91))</f>
        <v>299</v>
      </c>
      <c r="M128" s="115"/>
      <c r="N128" s="126">
        <f t="shared" si="8"/>
        <v>0</v>
      </c>
      <c r="O128" s="126">
        <f t="shared" si="16"/>
        <v>6301.4311777611792</v>
      </c>
      <c r="P128" s="126">
        <f t="shared" si="10"/>
        <v>496263.73140858923</v>
      </c>
      <c r="Q128" s="127">
        <f t="shared" si="11"/>
        <v>1</v>
      </c>
    </row>
    <row r="129" spans="2:17" x14ac:dyDescent="0.25">
      <c r="B129" s="122">
        <f t="shared" si="12"/>
        <v>86</v>
      </c>
      <c r="C129" s="123">
        <f>IF(B129="","",'Fecha Pago'!K89)</f>
        <v>48582</v>
      </c>
      <c r="D129" s="124">
        <f>IF(B129="","",'Fecha Pago'!L89)</f>
        <v>30.4</v>
      </c>
      <c r="E129" s="125">
        <f t="shared" si="9"/>
        <v>9.1499999999999998E-2</v>
      </c>
      <c r="F129" s="126">
        <f t="shared" si="13"/>
        <v>496263.73140858923</v>
      </c>
      <c r="G129" s="126">
        <f>IF(B129="","",IF(F129=0,0,MIN(F129,IF(Catálogos!$N$6=1,Prepagos!C88,IF(Catálogos!$N$6=2,Prepagos!D88,IF(Catálogos!$N$6=3,Prepagos!E88,))))))</f>
        <v>1669.2946103122511</v>
      </c>
      <c r="H129" s="126">
        <f t="shared" si="14"/>
        <v>3834.4644313503654</v>
      </c>
      <c r="I129" s="126">
        <f t="shared" si="15"/>
        <v>0</v>
      </c>
      <c r="J129" s="126">
        <f>IF(B129="","",IF(F129=0,0,F129*Catálogos!$R$1))</f>
        <v>297.75823884515353</v>
      </c>
      <c r="K129" s="126">
        <f>IF(B129="","",IF(Catálogos!$K$10=1,Carátula!$F$17*Catálogos!$R$4,0))</f>
        <v>199.92</v>
      </c>
      <c r="L129" s="126">
        <f>IF(B129="","",IF(F129=0,0,CAT!H92))</f>
        <v>299</v>
      </c>
      <c r="M129" s="115"/>
      <c r="N129" s="126">
        <f t="shared" si="8"/>
        <v>0</v>
      </c>
      <c r="O129" s="126">
        <f t="shared" si="16"/>
        <v>6300.4372805077701</v>
      </c>
      <c r="P129" s="126">
        <f t="shared" si="10"/>
        <v>494594.43679827696</v>
      </c>
      <c r="Q129" s="127">
        <f t="shared" si="11"/>
        <v>1</v>
      </c>
    </row>
    <row r="130" spans="2:17" x14ac:dyDescent="0.25">
      <c r="B130" s="122">
        <f t="shared" si="12"/>
        <v>87</v>
      </c>
      <c r="C130" s="123">
        <f>IF(B130="","",'Fecha Pago'!K90)</f>
        <v>48613</v>
      </c>
      <c r="D130" s="124">
        <f>IF(B130="","",'Fecha Pago'!L90)</f>
        <v>30.4</v>
      </c>
      <c r="E130" s="125">
        <f t="shared" si="9"/>
        <v>9.1499999999999998E-2</v>
      </c>
      <c r="F130" s="126">
        <f t="shared" si="13"/>
        <v>494594.43679827696</v>
      </c>
      <c r="G130" s="126">
        <f>IF(B130="","",IF(F130=0,0,MIN(F130,IF(Catálogos!$N$6=1,Prepagos!C89,IF(Catálogos!$N$6=2,Prepagos!D89,IF(Catálogos!$N$6=3,Prepagos!E89,))))))</f>
        <v>1682.1926933345967</v>
      </c>
      <c r="H130" s="126">
        <f t="shared" si="14"/>
        <v>3821.5663483280196</v>
      </c>
      <c r="I130" s="126">
        <f t="shared" si="15"/>
        <v>0</v>
      </c>
      <c r="J130" s="126">
        <f>IF(B130="","",IF(F130=0,0,F130*Catálogos!$R$1))</f>
        <v>296.75666207896614</v>
      </c>
      <c r="K130" s="126">
        <f>IF(B130="","",IF(Catálogos!$K$10=1,Carátula!$F$17*Catálogos!$R$4,0))</f>
        <v>199.92</v>
      </c>
      <c r="L130" s="126">
        <f>IF(B130="","",IF(F130=0,0,CAT!H93))</f>
        <v>299</v>
      </c>
      <c r="M130" s="115"/>
      <c r="N130" s="126">
        <f t="shared" si="8"/>
        <v>0</v>
      </c>
      <c r="O130" s="126">
        <f t="shared" si="16"/>
        <v>6299.4357037415821</v>
      </c>
      <c r="P130" s="126">
        <f t="shared" si="10"/>
        <v>492912.24410494237</v>
      </c>
      <c r="Q130" s="127">
        <f t="shared" si="11"/>
        <v>1</v>
      </c>
    </row>
    <row r="131" spans="2:17" x14ac:dyDescent="0.25">
      <c r="B131" s="122">
        <f t="shared" si="12"/>
        <v>88</v>
      </c>
      <c r="C131" s="123">
        <f>IF(B131="","",'Fecha Pago'!K91)</f>
        <v>48641</v>
      </c>
      <c r="D131" s="124">
        <f>IF(B131="","",'Fecha Pago'!L91)</f>
        <v>30.4</v>
      </c>
      <c r="E131" s="125">
        <f t="shared" si="9"/>
        <v>9.1499999999999998E-2</v>
      </c>
      <c r="F131" s="126">
        <f t="shared" si="13"/>
        <v>492912.24410494237</v>
      </c>
      <c r="G131" s="126">
        <f>IF(B131="","",IF(F131=0,0,MIN(F131,IF(Catálogos!$N$6=1,Prepagos!C90,IF(Catálogos!$N$6=2,Prepagos!D90,IF(Catálogos!$N$6=3,Prepagos!E90,))))))</f>
        <v>1695.1904355450952</v>
      </c>
      <c r="H131" s="126">
        <f t="shared" si="14"/>
        <v>3808.5686061175206</v>
      </c>
      <c r="I131" s="126">
        <f t="shared" si="15"/>
        <v>0</v>
      </c>
      <c r="J131" s="126">
        <f>IF(B131="","",IF(F131=0,0,F131*Catálogos!$R$1))</f>
        <v>295.74734646296537</v>
      </c>
      <c r="K131" s="126">
        <f>IF(B131="","",IF(Catálogos!$K$10=1,Carátula!$F$17*Catálogos!$R$4,0))</f>
        <v>199.92</v>
      </c>
      <c r="L131" s="126">
        <f>IF(B131="","",IF(F131=0,0,CAT!H94))</f>
        <v>299</v>
      </c>
      <c r="M131" s="115"/>
      <c r="N131" s="126">
        <f t="shared" si="8"/>
        <v>0</v>
      </c>
      <c r="O131" s="126">
        <f t="shared" si="16"/>
        <v>6298.4263881255811</v>
      </c>
      <c r="P131" s="126">
        <f t="shared" si="10"/>
        <v>491217.05366939725</v>
      </c>
      <c r="Q131" s="127">
        <f t="shared" si="11"/>
        <v>1</v>
      </c>
    </row>
    <row r="132" spans="2:17" x14ac:dyDescent="0.25">
      <c r="B132" s="122">
        <f t="shared" si="12"/>
        <v>89</v>
      </c>
      <c r="C132" s="123">
        <f>IF(B132="","",'Fecha Pago'!K92)</f>
        <v>48672</v>
      </c>
      <c r="D132" s="124">
        <f>IF(B132="","",'Fecha Pago'!L92)</f>
        <v>30.4</v>
      </c>
      <c r="E132" s="125">
        <f t="shared" si="9"/>
        <v>9.1499999999999998E-2</v>
      </c>
      <c r="F132" s="126">
        <f t="shared" si="13"/>
        <v>491217.05366939725</v>
      </c>
      <c r="G132" s="126">
        <f>IF(B132="","",IF(F132=0,0,MIN(F132,IF(Catálogos!$N$6=1,Prepagos!C91,IF(Catálogos!$N$6=2,Prepagos!D91,IF(Catálogos!$N$6=3,Prepagos!E91,))))))</f>
        <v>1708.2886069770741</v>
      </c>
      <c r="H132" s="126">
        <f t="shared" si="14"/>
        <v>3795.4704346855424</v>
      </c>
      <c r="I132" s="126">
        <f t="shared" si="15"/>
        <v>0</v>
      </c>
      <c r="J132" s="126">
        <f>IF(B132="","",IF(F132=0,0,F132*Catálogos!$R$1))</f>
        <v>294.73023220163833</v>
      </c>
      <c r="K132" s="126">
        <f>IF(B132="","",IF(Catálogos!$K$10=1,Carátula!$F$17*Catálogos!$R$4,0))</f>
        <v>199.92</v>
      </c>
      <c r="L132" s="126">
        <f>IF(B132="","",IF(F132=0,0,CAT!H95))</f>
        <v>299</v>
      </c>
      <c r="M132" s="115"/>
      <c r="N132" s="126">
        <f t="shared" si="8"/>
        <v>0</v>
      </c>
      <c r="O132" s="126">
        <f t="shared" si="16"/>
        <v>6297.4092738642548</v>
      </c>
      <c r="P132" s="126">
        <f t="shared" si="10"/>
        <v>489508.76506242016</v>
      </c>
      <c r="Q132" s="127">
        <f t="shared" si="11"/>
        <v>1</v>
      </c>
    </row>
    <row r="133" spans="2:17" x14ac:dyDescent="0.25">
      <c r="B133" s="122">
        <f t="shared" si="12"/>
        <v>90</v>
      </c>
      <c r="C133" s="123">
        <f>IF(B133="","",'Fecha Pago'!K93)</f>
        <v>48702</v>
      </c>
      <c r="D133" s="124">
        <f>IF(B133="","",'Fecha Pago'!L93)</f>
        <v>30.4</v>
      </c>
      <c r="E133" s="125">
        <f t="shared" si="9"/>
        <v>9.1499999999999998E-2</v>
      </c>
      <c r="F133" s="126">
        <f t="shared" si="13"/>
        <v>489508.76506242016</v>
      </c>
      <c r="G133" s="126">
        <f>IF(B133="","",IF(F133=0,0,MIN(F133,IF(Catálogos!$N$6=1,Prepagos!C92,IF(Catálogos!$N$6=2,Prepagos!D92,IF(Catálogos!$N$6=3,Prepagos!E92,))))))</f>
        <v>1721.4879836136502</v>
      </c>
      <c r="H133" s="126">
        <f t="shared" si="14"/>
        <v>3782.2710580489661</v>
      </c>
      <c r="I133" s="126">
        <f t="shared" si="15"/>
        <v>0</v>
      </c>
      <c r="J133" s="126">
        <f>IF(B133="","",IF(F133=0,0,F133*Catálogos!$R$1))</f>
        <v>293.70525903745209</v>
      </c>
      <c r="K133" s="126">
        <f>IF(B133="","",IF(Catálogos!$K$10=1,Carátula!$F$17*Catálogos!$R$4,0))</f>
        <v>199.92</v>
      </c>
      <c r="L133" s="126">
        <f>IF(B133="","",IF(F133=0,0,CAT!H96))</f>
        <v>299</v>
      </c>
      <c r="M133" s="115"/>
      <c r="N133" s="126">
        <f t="shared" si="8"/>
        <v>0</v>
      </c>
      <c r="O133" s="126">
        <f t="shared" si="16"/>
        <v>6296.3843007000687</v>
      </c>
      <c r="P133" s="126">
        <f t="shared" si="10"/>
        <v>487787.27707880654</v>
      </c>
      <c r="Q133" s="127">
        <f t="shared" si="11"/>
        <v>1</v>
      </c>
    </row>
    <row r="134" spans="2:17" x14ac:dyDescent="0.25">
      <c r="B134" s="122">
        <f t="shared" si="12"/>
        <v>91</v>
      </c>
      <c r="C134" s="123">
        <f>IF(B134="","",'Fecha Pago'!K94)</f>
        <v>48733</v>
      </c>
      <c r="D134" s="124">
        <f>IF(B134="","",'Fecha Pago'!L94)</f>
        <v>30.4</v>
      </c>
      <c r="E134" s="125">
        <f t="shared" si="9"/>
        <v>9.1499999999999998E-2</v>
      </c>
      <c r="F134" s="126">
        <f t="shared" si="13"/>
        <v>487787.27707880654</v>
      </c>
      <c r="G134" s="126">
        <f>IF(B134="","",IF(F134=0,0,MIN(F134,IF(Catálogos!$N$6=1,Prepagos!C93,IF(Catálogos!$N$6=2,Prepagos!D93,IF(Catálogos!$N$6=3,Prepagos!E93,))))))</f>
        <v>1734.7893474337047</v>
      </c>
      <c r="H134" s="126">
        <f t="shared" si="14"/>
        <v>3768.9696942289115</v>
      </c>
      <c r="I134" s="126">
        <f t="shared" si="15"/>
        <v>0</v>
      </c>
      <c r="J134" s="126">
        <f>IF(B134="","",IF(F134=0,0,F134*Catálogos!$R$1))</f>
        <v>292.67236624728389</v>
      </c>
      <c r="K134" s="126">
        <f>IF(B134="","",IF(Catálogos!$K$10=1,Carátula!$F$17*Catálogos!$R$4,0))</f>
        <v>199.92</v>
      </c>
      <c r="L134" s="126">
        <f>IF(B134="","",IF(F134=0,0,CAT!H97))</f>
        <v>299</v>
      </c>
      <c r="M134" s="115"/>
      <c r="N134" s="126">
        <f t="shared" si="8"/>
        <v>0</v>
      </c>
      <c r="O134" s="126">
        <f t="shared" si="16"/>
        <v>6295.3514079099004</v>
      </c>
      <c r="P134" s="126">
        <f t="shared" si="10"/>
        <v>486052.48773137282</v>
      </c>
      <c r="Q134" s="127">
        <f t="shared" si="11"/>
        <v>1</v>
      </c>
    </row>
    <row r="135" spans="2:17" x14ac:dyDescent="0.25">
      <c r="B135" s="122">
        <f t="shared" si="12"/>
        <v>92</v>
      </c>
      <c r="C135" s="123">
        <f>IF(B135="","",'Fecha Pago'!K95)</f>
        <v>48763</v>
      </c>
      <c r="D135" s="124">
        <f>IF(B135="","",'Fecha Pago'!L95)</f>
        <v>30.4</v>
      </c>
      <c r="E135" s="125">
        <f t="shared" si="9"/>
        <v>9.1499999999999998E-2</v>
      </c>
      <c r="F135" s="126">
        <f t="shared" si="13"/>
        <v>486052.48773137282</v>
      </c>
      <c r="G135" s="126">
        <f>IF(B135="","",IF(F135=0,0,MIN(F135,IF(Catálogos!$N$6=1,Prepagos!C94,IF(Catálogos!$N$6=2,Prepagos!D94,IF(Catálogos!$N$6=3,Prepagos!E94,))))))</f>
        <v>1748.1934864582092</v>
      </c>
      <c r="H135" s="126">
        <f t="shared" si="14"/>
        <v>3755.5655552044068</v>
      </c>
      <c r="I135" s="126">
        <f t="shared" si="15"/>
        <v>0</v>
      </c>
      <c r="J135" s="126">
        <f>IF(B135="","",IF(F135=0,0,F135*Catálogos!$R$1))</f>
        <v>291.63149263882366</v>
      </c>
      <c r="K135" s="126">
        <f>IF(B135="","",IF(Catálogos!$K$10=1,Carátula!$F$17*Catálogos!$R$4,0))</f>
        <v>199.92</v>
      </c>
      <c r="L135" s="126">
        <f>IF(B135="","",IF(F135=0,0,CAT!H98))</f>
        <v>299</v>
      </c>
      <c r="M135" s="115"/>
      <c r="N135" s="126">
        <f t="shared" si="8"/>
        <v>0</v>
      </c>
      <c r="O135" s="126">
        <f t="shared" si="16"/>
        <v>6294.3105343014404</v>
      </c>
      <c r="P135" s="126">
        <f t="shared" si="10"/>
        <v>484304.29424491461</v>
      </c>
      <c r="Q135" s="127">
        <f t="shared" si="11"/>
        <v>1</v>
      </c>
    </row>
    <row r="136" spans="2:17" x14ac:dyDescent="0.25">
      <c r="B136" s="122">
        <f t="shared" si="12"/>
        <v>93</v>
      </c>
      <c r="C136" s="123">
        <f>IF(B136="","",'Fecha Pago'!K96)</f>
        <v>48794</v>
      </c>
      <c r="D136" s="124">
        <f>IF(B136="","",'Fecha Pago'!L96)</f>
        <v>30.4</v>
      </c>
      <c r="E136" s="125">
        <f t="shared" si="9"/>
        <v>9.1499999999999998E-2</v>
      </c>
      <c r="F136" s="126">
        <f t="shared" si="13"/>
        <v>484304.29424491461</v>
      </c>
      <c r="G136" s="126">
        <f>IF(B136="","",IF(F136=0,0,MIN(F136,IF(Catálogos!$N$6=1,Prepagos!C95,IF(Catálogos!$N$6=2,Prepagos!D95,IF(Catálogos!$N$6=3,Prepagos!E95,))))))</f>
        <v>1761.7011947969097</v>
      </c>
      <c r="H136" s="126">
        <f t="shared" si="14"/>
        <v>3742.0578468657063</v>
      </c>
      <c r="I136" s="126">
        <f t="shared" si="15"/>
        <v>0</v>
      </c>
      <c r="J136" s="126">
        <f>IF(B136="","",IF(F136=0,0,F136*Catálogos!$R$1))</f>
        <v>290.58257654694876</v>
      </c>
      <c r="K136" s="126">
        <f>IF(B136="","",IF(Catálogos!$K$10=1,Carátula!$F$17*Catálogos!$R$4,0))</f>
        <v>199.92</v>
      </c>
      <c r="L136" s="126">
        <f>IF(B136="","",IF(F136=0,0,CAT!H99))</f>
        <v>299</v>
      </c>
      <c r="M136" s="115"/>
      <c r="N136" s="126">
        <f t="shared" si="8"/>
        <v>0</v>
      </c>
      <c r="O136" s="126">
        <f t="shared" si="16"/>
        <v>6293.2616182095653</v>
      </c>
      <c r="P136" s="126">
        <f t="shared" si="10"/>
        <v>482542.59305011772</v>
      </c>
      <c r="Q136" s="127">
        <f t="shared" si="11"/>
        <v>1</v>
      </c>
    </row>
    <row r="137" spans="2:17" x14ac:dyDescent="0.25">
      <c r="B137" s="122">
        <f t="shared" si="12"/>
        <v>94</v>
      </c>
      <c r="C137" s="123">
        <f>IF(B137="","",'Fecha Pago'!K97)</f>
        <v>48825</v>
      </c>
      <c r="D137" s="124">
        <f>IF(B137="","",'Fecha Pago'!L97)</f>
        <v>30.4</v>
      </c>
      <c r="E137" s="125">
        <f t="shared" si="9"/>
        <v>9.1499999999999998E-2</v>
      </c>
      <c r="F137" s="126">
        <f t="shared" si="13"/>
        <v>482542.59305011772</v>
      </c>
      <c r="G137" s="126">
        <f>IF(B137="","",IF(F137=0,0,MIN(F137,IF(Catálogos!$N$6=1,Prepagos!C96,IF(Catálogos!$N$6=2,Prepagos!D96,IF(Catálogos!$N$6=3,Prepagos!E96,))))))</f>
        <v>1775.3132726953738</v>
      </c>
      <c r="H137" s="126">
        <f t="shared" si="14"/>
        <v>3728.4457689672422</v>
      </c>
      <c r="I137" s="126">
        <f t="shared" si="15"/>
        <v>0</v>
      </c>
      <c r="J137" s="126">
        <f>IF(B137="","",IF(F137=0,0,F137*Catálogos!$R$1))</f>
        <v>289.52555583007063</v>
      </c>
      <c r="K137" s="126">
        <f>IF(B137="","",IF(Catálogos!$K$10=1,Carátula!$F$17*Catálogos!$R$4,0))</f>
        <v>199.92</v>
      </c>
      <c r="L137" s="126">
        <f>IF(B137="","",IF(F137=0,0,CAT!H100))</f>
        <v>299</v>
      </c>
      <c r="M137" s="115"/>
      <c r="N137" s="126">
        <f t="shared" si="8"/>
        <v>0</v>
      </c>
      <c r="O137" s="126">
        <f t="shared" si="16"/>
        <v>6292.2045974926868</v>
      </c>
      <c r="P137" s="126">
        <f t="shared" si="10"/>
        <v>480767.27977742237</v>
      </c>
      <c r="Q137" s="127">
        <f t="shared" si="11"/>
        <v>1</v>
      </c>
    </row>
    <row r="138" spans="2:17" x14ac:dyDescent="0.25">
      <c r="B138" s="122">
        <f t="shared" si="12"/>
        <v>95</v>
      </c>
      <c r="C138" s="123">
        <f>IF(B138="","",'Fecha Pago'!K98)</f>
        <v>48855</v>
      </c>
      <c r="D138" s="124">
        <f>IF(B138="","",'Fecha Pago'!L98)</f>
        <v>30.4</v>
      </c>
      <c r="E138" s="125">
        <f t="shared" si="9"/>
        <v>9.1499999999999998E-2</v>
      </c>
      <c r="F138" s="126">
        <f t="shared" si="13"/>
        <v>480767.27977742237</v>
      </c>
      <c r="G138" s="126">
        <f>IF(B138="","",IF(F138=0,0,MIN(F138,IF(Catálogos!$N$6=1,Prepagos!C97,IF(Catálogos!$N$6=2,Prepagos!D97,IF(Catálogos!$N$6=3,Prepagos!E97,))))))</f>
        <v>1789.0305265823999</v>
      </c>
      <c r="H138" s="126">
        <f t="shared" si="14"/>
        <v>3714.7285150802163</v>
      </c>
      <c r="I138" s="126">
        <f t="shared" si="15"/>
        <v>0</v>
      </c>
      <c r="J138" s="126">
        <f>IF(B138="","",IF(F138=0,0,F138*Catálogos!$R$1))</f>
        <v>288.4603678664534</v>
      </c>
      <c r="K138" s="126">
        <f>IF(B138="","",IF(Catálogos!$K$10=1,Carátula!$F$17*Catálogos!$R$4,0))</f>
        <v>199.92</v>
      </c>
      <c r="L138" s="126">
        <f>IF(B138="","",IF(F138=0,0,CAT!H101))</f>
        <v>299</v>
      </c>
      <c r="M138" s="115"/>
      <c r="N138" s="126">
        <f t="shared" si="8"/>
        <v>0</v>
      </c>
      <c r="O138" s="126">
        <f t="shared" si="16"/>
        <v>6291.1394095290698</v>
      </c>
      <c r="P138" s="126">
        <f t="shared" si="10"/>
        <v>478978.24925083999</v>
      </c>
      <c r="Q138" s="127">
        <f t="shared" si="11"/>
        <v>1</v>
      </c>
    </row>
    <row r="139" spans="2:17" x14ac:dyDescent="0.25">
      <c r="B139" s="122">
        <f t="shared" si="12"/>
        <v>96</v>
      </c>
      <c r="C139" s="123">
        <f>IF(B139="","",'Fecha Pago'!K99)</f>
        <v>48886</v>
      </c>
      <c r="D139" s="124">
        <f>IF(B139="","",'Fecha Pago'!L99)</f>
        <v>30.4</v>
      </c>
      <c r="E139" s="125">
        <f t="shared" si="9"/>
        <v>9.1499999999999998E-2</v>
      </c>
      <c r="F139" s="126">
        <f t="shared" si="13"/>
        <v>478978.24925083999</v>
      </c>
      <c r="G139" s="126">
        <f>IF(B139="","",IF(F139=0,0,MIN(F139,IF(Catálogos!$N$6=1,Prepagos!C98,IF(Catálogos!$N$6=2,Prepagos!D98,IF(Catálogos!$N$6=3,Prepagos!E98,))))))</f>
        <v>1802.8537691177935</v>
      </c>
      <c r="H139" s="126">
        <f t="shared" si="14"/>
        <v>3700.9052725448232</v>
      </c>
      <c r="I139" s="126">
        <f t="shared" si="15"/>
        <v>0</v>
      </c>
      <c r="J139" s="126">
        <f>IF(B139="","",IF(F139=0,0,F139*Catálogos!$R$1))</f>
        <v>287.38694955050397</v>
      </c>
      <c r="K139" s="126">
        <f>IF(B139="","",IF(Catálogos!$K$10=1,Carátula!$F$17*Catálogos!$R$4,0))</f>
        <v>199.92</v>
      </c>
      <c r="L139" s="126">
        <f>IF(B139="","",IF(F139=0,0,CAT!H102))</f>
        <v>299</v>
      </c>
      <c r="M139" s="115"/>
      <c r="N139" s="126">
        <f t="shared" si="8"/>
        <v>0</v>
      </c>
      <c r="O139" s="126">
        <f t="shared" si="16"/>
        <v>6290.0659912131214</v>
      </c>
      <c r="P139" s="126">
        <f t="shared" si="10"/>
        <v>477175.3954817222</v>
      </c>
      <c r="Q139" s="127">
        <f t="shared" si="11"/>
        <v>1</v>
      </c>
    </row>
    <row r="140" spans="2:17" x14ac:dyDescent="0.25">
      <c r="B140" s="122">
        <f t="shared" si="12"/>
        <v>97</v>
      </c>
      <c r="C140" s="123">
        <f>IF(B140="","",'Fecha Pago'!K100)</f>
        <v>48916</v>
      </c>
      <c r="D140" s="124">
        <f>IF(B140="","",'Fecha Pago'!L100)</f>
        <v>30.4</v>
      </c>
      <c r="E140" s="125">
        <f t="shared" si="9"/>
        <v>9.1499999999999998E-2</v>
      </c>
      <c r="F140" s="126">
        <f t="shared" si="13"/>
        <v>477175.3954817222</v>
      </c>
      <c r="G140" s="126">
        <f>IF(B140="","",IF(F140=0,0,MIN(F140,IF(Catálogos!$N$6=1,Prepagos!C99,IF(Catálogos!$N$6=2,Prepagos!D99,IF(Catálogos!$N$6=3,Prepagos!E99,))))))</f>
        <v>1816.7838192405102</v>
      </c>
      <c r="H140" s="126">
        <f t="shared" si="14"/>
        <v>3686.9752224221065</v>
      </c>
      <c r="I140" s="126">
        <f t="shared" si="15"/>
        <v>0</v>
      </c>
      <c r="J140" s="126">
        <f>IF(B140="","",IF(F140=0,0,F140*Catálogos!$R$1))</f>
        <v>286.3052372890333</v>
      </c>
      <c r="K140" s="126">
        <f>IF(B140="","",IF(Catálogos!$K$10=1,Carátula!$F$17*Catálogos!$R$4,0))</f>
        <v>199.92</v>
      </c>
      <c r="L140" s="126">
        <f>IF(B140="","",IF(F140=0,0,CAT!H103))</f>
        <v>299</v>
      </c>
      <c r="M140" s="115"/>
      <c r="N140" s="126">
        <f t="shared" si="8"/>
        <v>0</v>
      </c>
      <c r="O140" s="126">
        <f t="shared" si="16"/>
        <v>6288.9842789516506</v>
      </c>
      <c r="P140" s="126">
        <f t="shared" si="10"/>
        <v>475358.61166248168</v>
      </c>
      <c r="Q140" s="127">
        <f t="shared" si="11"/>
        <v>1</v>
      </c>
    </row>
    <row r="141" spans="2:17" x14ac:dyDescent="0.25">
      <c r="B141" s="122">
        <f t="shared" si="12"/>
        <v>98</v>
      </c>
      <c r="C141" s="123">
        <f>IF(B141="","",'Fecha Pago'!K101)</f>
        <v>48947</v>
      </c>
      <c r="D141" s="124">
        <f>IF(B141="","",'Fecha Pago'!L101)</f>
        <v>30.4</v>
      </c>
      <c r="E141" s="125">
        <f t="shared" si="9"/>
        <v>9.1499999999999998E-2</v>
      </c>
      <c r="F141" s="126">
        <f t="shared" si="13"/>
        <v>475358.61166248168</v>
      </c>
      <c r="G141" s="126">
        <f>IF(B141="","",IF(F141=0,0,MIN(F141,IF(Catálogos!$N$6=1,Prepagos!C100,IF(Catálogos!$N$6=2,Prepagos!D100,IF(Catálogos!$N$6=3,Prepagos!E100,))))))</f>
        <v>1830.8215022171755</v>
      </c>
      <c r="H141" s="126">
        <f t="shared" si="14"/>
        <v>3672.9375394454414</v>
      </c>
      <c r="I141" s="126">
        <f t="shared" si="15"/>
        <v>0</v>
      </c>
      <c r="J141" s="126">
        <f>IF(B141="","",IF(F141=0,0,F141*Catálogos!$R$1))</f>
        <v>285.21516699748901</v>
      </c>
      <c r="K141" s="126">
        <f>IF(B141="","",IF(Catálogos!$K$10=1,Carátula!$F$17*Catálogos!$R$4,0))</f>
        <v>199.92</v>
      </c>
      <c r="L141" s="126">
        <f>IF(B141="","",IF(F141=0,0,CAT!H104))</f>
        <v>299</v>
      </c>
      <c r="M141" s="115"/>
      <c r="N141" s="126">
        <f t="shared" si="8"/>
        <v>0</v>
      </c>
      <c r="O141" s="126">
        <f t="shared" si="16"/>
        <v>6287.8942086601064</v>
      </c>
      <c r="P141" s="126">
        <f t="shared" si="10"/>
        <v>473527.79016026453</v>
      </c>
      <c r="Q141" s="127">
        <f t="shared" si="11"/>
        <v>1</v>
      </c>
    </row>
    <row r="142" spans="2:17" x14ac:dyDescent="0.25">
      <c r="B142" s="122">
        <f t="shared" si="12"/>
        <v>99</v>
      </c>
      <c r="C142" s="123">
        <f>IF(B142="","",'Fecha Pago'!K102)</f>
        <v>48978</v>
      </c>
      <c r="D142" s="124">
        <f>IF(B142="","",'Fecha Pago'!L102)</f>
        <v>30.4</v>
      </c>
      <c r="E142" s="125">
        <f t="shared" si="9"/>
        <v>9.1499999999999998E-2</v>
      </c>
      <c r="F142" s="126">
        <f t="shared" si="13"/>
        <v>473527.79016026453</v>
      </c>
      <c r="G142" s="126">
        <f>IF(B142="","",IF(F142=0,0,MIN(F142,IF(Catálogos!$N$6=1,Prepagos!C101,IF(Catálogos!$N$6=2,Prepagos!D101,IF(Catálogos!$N$6=3,Prepagos!E101,))))))</f>
        <v>1844.9676496909733</v>
      </c>
      <c r="H142" s="126">
        <f t="shared" si="14"/>
        <v>3658.7913919716434</v>
      </c>
      <c r="I142" s="126">
        <f t="shared" si="15"/>
        <v>0</v>
      </c>
      <c r="J142" s="126">
        <f>IF(B142="","",IF(F142=0,0,F142*Catálogos!$R$1))</f>
        <v>284.1166740961587</v>
      </c>
      <c r="K142" s="126">
        <f>IF(B142="","",IF(Catálogos!$K$10=1,Carátula!$F$17*Catálogos!$R$4,0))</f>
        <v>199.92</v>
      </c>
      <c r="L142" s="126">
        <f>IF(B142="","",IF(F142=0,0,CAT!H105))</f>
        <v>299</v>
      </c>
      <c r="M142" s="115"/>
      <c r="N142" s="126">
        <f t="shared" si="8"/>
        <v>0</v>
      </c>
      <c r="O142" s="126">
        <f t="shared" si="16"/>
        <v>6286.7957157587762</v>
      </c>
      <c r="P142" s="126">
        <f t="shared" si="10"/>
        <v>471682.82251057355</v>
      </c>
      <c r="Q142" s="127">
        <f t="shared" si="11"/>
        <v>1</v>
      </c>
    </row>
    <row r="143" spans="2:17" x14ac:dyDescent="0.25">
      <c r="B143" s="122">
        <f t="shared" si="12"/>
        <v>100</v>
      </c>
      <c r="C143" s="123">
        <f>IF(B143="","",'Fecha Pago'!K103)</f>
        <v>49006</v>
      </c>
      <c r="D143" s="124">
        <f>IF(B143="","",'Fecha Pago'!L103)</f>
        <v>30.4</v>
      </c>
      <c r="E143" s="125">
        <f t="shared" si="9"/>
        <v>9.1499999999999998E-2</v>
      </c>
      <c r="F143" s="126">
        <f t="shared" si="13"/>
        <v>471682.82251057355</v>
      </c>
      <c r="G143" s="126">
        <f>IF(B143="","",IF(F143=0,0,MIN(F143,IF(Catálogos!$N$6=1,Prepagos!C102,IF(Catálogos!$N$6=2,Prepagos!D102,IF(Catálogos!$N$6=3,Prepagos!E102,))))))</f>
        <v>1859.2230997309186</v>
      </c>
      <c r="H143" s="126">
        <f t="shared" si="14"/>
        <v>3644.5359419316978</v>
      </c>
      <c r="I143" s="126">
        <f t="shared" si="15"/>
        <v>0</v>
      </c>
      <c r="J143" s="126">
        <f>IF(B143="","",IF(F143=0,0,F143*Catálogos!$R$1))</f>
        <v>283.00969350634409</v>
      </c>
      <c r="K143" s="126">
        <f>IF(B143="","",IF(Catálogos!$K$10=1,Carátula!$F$17*Catálogos!$R$4,0))</f>
        <v>199.92</v>
      </c>
      <c r="L143" s="126">
        <f>IF(B143="","",IF(F143=0,0,CAT!H106))</f>
        <v>299</v>
      </c>
      <c r="M143" s="115"/>
      <c r="N143" s="126">
        <f t="shared" si="8"/>
        <v>0</v>
      </c>
      <c r="O143" s="126">
        <f t="shared" si="16"/>
        <v>6285.6887351689602</v>
      </c>
      <c r="P143" s="126">
        <f t="shared" si="10"/>
        <v>469823.59941084264</v>
      </c>
      <c r="Q143" s="127">
        <f t="shared" si="11"/>
        <v>1</v>
      </c>
    </row>
    <row r="144" spans="2:17" x14ac:dyDescent="0.25">
      <c r="B144" s="122">
        <f t="shared" si="12"/>
        <v>101</v>
      </c>
      <c r="C144" s="123">
        <f>IF(B144="","",'Fecha Pago'!K104)</f>
        <v>49037</v>
      </c>
      <c r="D144" s="124">
        <f>IF(B144="","",'Fecha Pago'!L104)</f>
        <v>30.4</v>
      </c>
      <c r="E144" s="125">
        <f t="shared" si="9"/>
        <v>9.1499999999999998E-2</v>
      </c>
      <c r="F144" s="126">
        <f t="shared" si="13"/>
        <v>469823.59941084264</v>
      </c>
      <c r="G144" s="126">
        <f>IF(B144="","",IF(F144=0,0,MIN(F144,IF(Catálogos!$N$6=1,Prepagos!C103,IF(Catálogos!$N$6=2,Prepagos!D103,IF(Catálogos!$N$6=3,Prepagos!E103,))))))</f>
        <v>1873.5886968815062</v>
      </c>
      <c r="H144" s="126">
        <f t="shared" si="14"/>
        <v>3630.1703447811101</v>
      </c>
      <c r="I144" s="126">
        <f t="shared" si="15"/>
        <v>0</v>
      </c>
      <c r="J144" s="126">
        <f>IF(B144="","",IF(F144=0,0,F144*Catálogos!$R$1))</f>
        <v>281.89415964650556</v>
      </c>
      <c r="K144" s="126">
        <f>IF(B144="","",IF(Catálogos!$K$10=1,Carátula!$F$17*Catálogos!$R$4,0))</f>
        <v>199.92</v>
      </c>
      <c r="L144" s="126">
        <f>IF(B144="","",IF(F144=0,0,CAT!H107))</f>
        <v>299</v>
      </c>
      <c r="M144" s="115"/>
      <c r="N144" s="126">
        <f t="shared" ref="N144:N207" si="17">IF(B144="","",0)</f>
        <v>0</v>
      </c>
      <c r="O144" s="126">
        <f t="shared" si="16"/>
        <v>6284.5732013091219</v>
      </c>
      <c r="P144" s="126">
        <f t="shared" si="10"/>
        <v>467950.01071396115</v>
      </c>
      <c r="Q144" s="127">
        <f t="shared" si="11"/>
        <v>1</v>
      </c>
    </row>
    <row r="145" spans="2:17" x14ac:dyDescent="0.25">
      <c r="B145" s="122">
        <f t="shared" si="12"/>
        <v>102</v>
      </c>
      <c r="C145" s="123">
        <f>IF(B145="","",'Fecha Pago'!K105)</f>
        <v>49067</v>
      </c>
      <c r="D145" s="124">
        <f>IF(B145="","",'Fecha Pago'!L105)</f>
        <v>30.4</v>
      </c>
      <c r="E145" s="125">
        <f t="shared" si="9"/>
        <v>9.1499999999999998E-2</v>
      </c>
      <c r="F145" s="126">
        <f t="shared" si="13"/>
        <v>467950.01071396115</v>
      </c>
      <c r="G145" s="126">
        <f>IF(B145="","",IF(F145=0,0,MIN(F145,IF(Catálogos!$N$6=1,Prepagos!C104,IF(Catálogos!$N$6=2,Prepagos!D104,IF(Catálogos!$N$6=3,Prepagos!E104,))))))</f>
        <v>1888.0652922127442</v>
      </c>
      <c r="H145" s="126">
        <f t="shared" si="14"/>
        <v>3615.6937494498725</v>
      </c>
      <c r="I145" s="126">
        <f t="shared" si="15"/>
        <v>0</v>
      </c>
      <c r="J145" s="126">
        <f>IF(B145="","",IF(F145=0,0,F145*Catálogos!$R$1))</f>
        <v>280.77000642837669</v>
      </c>
      <c r="K145" s="126">
        <f>IF(B145="","",IF(Catálogos!$K$10=1,Carátula!$F$17*Catálogos!$R$4,0))</f>
        <v>199.92</v>
      </c>
      <c r="L145" s="126">
        <f>IF(B145="","",IF(F145=0,0,CAT!H108))</f>
        <v>299</v>
      </c>
      <c r="M145" s="115"/>
      <c r="N145" s="126">
        <f t="shared" si="17"/>
        <v>0</v>
      </c>
      <c r="O145" s="126">
        <f t="shared" si="16"/>
        <v>6283.4490480909935</v>
      </c>
      <c r="P145" s="126">
        <f t="shared" si="10"/>
        <v>466061.94542174839</v>
      </c>
      <c r="Q145" s="127">
        <f t="shared" si="11"/>
        <v>1</v>
      </c>
    </row>
    <row r="146" spans="2:17" x14ac:dyDescent="0.25">
      <c r="B146" s="122">
        <f t="shared" si="12"/>
        <v>103</v>
      </c>
      <c r="C146" s="123">
        <f>IF(B146="","",'Fecha Pago'!K106)</f>
        <v>49098</v>
      </c>
      <c r="D146" s="124">
        <f>IF(B146="","",'Fecha Pago'!L106)</f>
        <v>30.4</v>
      </c>
      <c r="E146" s="125">
        <f t="shared" si="9"/>
        <v>9.1499999999999998E-2</v>
      </c>
      <c r="F146" s="126">
        <f t="shared" si="13"/>
        <v>466061.94542174839</v>
      </c>
      <c r="G146" s="126">
        <f>IF(B146="","",IF(F146=0,0,MIN(F146,IF(Catálogos!$N$6=1,Prepagos!C105,IF(Catálogos!$N$6=2,Prepagos!D105,IF(Catálogos!$N$6=3,Prepagos!E105,))))))</f>
        <v>1902.6537433705744</v>
      </c>
      <c r="H146" s="126">
        <f t="shared" si="14"/>
        <v>3601.1052982920419</v>
      </c>
      <c r="I146" s="126">
        <f t="shared" si="15"/>
        <v>0</v>
      </c>
      <c r="J146" s="126">
        <f>IF(B146="","",IF(F146=0,0,F146*Catálogos!$R$1))</f>
        <v>279.63716725304903</v>
      </c>
      <c r="K146" s="126">
        <f>IF(B146="","",IF(Catálogos!$K$10=1,Carátula!$F$17*Catálogos!$R$4,0))</f>
        <v>199.92</v>
      </c>
      <c r="L146" s="126">
        <f>IF(B146="","",IF(F146=0,0,CAT!H109))</f>
        <v>299</v>
      </c>
      <c r="M146" s="115"/>
      <c r="N146" s="126">
        <f t="shared" si="17"/>
        <v>0</v>
      </c>
      <c r="O146" s="126">
        <f t="shared" si="16"/>
        <v>6282.3162089156649</v>
      </c>
      <c r="P146" s="126">
        <f t="shared" si="10"/>
        <v>464159.29167837783</v>
      </c>
      <c r="Q146" s="127">
        <f t="shared" si="11"/>
        <v>1</v>
      </c>
    </row>
    <row r="147" spans="2:17" x14ac:dyDescent="0.25">
      <c r="B147" s="122">
        <f t="shared" si="12"/>
        <v>104</v>
      </c>
      <c r="C147" s="123">
        <f>IF(B147="","",'Fecha Pago'!K107)</f>
        <v>49128</v>
      </c>
      <c r="D147" s="124">
        <f>IF(B147="","",'Fecha Pago'!L107)</f>
        <v>30.4</v>
      </c>
      <c r="E147" s="125">
        <f t="shared" si="9"/>
        <v>9.1499999999999998E-2</v>
      </c>
      <c r="F147" s="126">
        <f t="shared" si="13"/>
        <v>464159.29167837783</v>
      </c>
      <c r="G147" s="126">
        <f>IF(B147="","",IF(F147=0,0,MIN(F147,IF(Catálogos!$N$6=1,Prepagos!C106,IF(Catálogos!$N$6=2,Prepagos!D106,IF(Catálogos!$N$6=3,Prepagos!E106,))))))</f>
        <v>1917.3549146276844</v>
      </c>
      <c r="H147" s="126">
        <f t="shared" si="14"/>
        <v>3586.4041270349321</v>
      </c>
      <c r="I147" s="126">
        <f t="shared" si="15"/>
        <v>0</v>
      </c>
      <c r="J147" s="126">
        <f>IF(B147="","",IF(F147=0,0,F147*Catálogos!$R$1))</f>
        <v>278.49557500702667</v>
      </c>
      <c r="K147" s="126">
        <f>IF(B147="","",IF(Catálogos!$K$10=1,Carátula!$F$17*Catálogos!$R$4,0))</f>
        <v>199.92</v>
      </c>
      <c r="L147" s="126">
        <f>IF(B147="","",IF(F147=0,0,CAT!H110))</f>
        <v>299</v>
      </c>
      <c r="M147" s="115"/>
      <c r="N147" s="126">
        <f t="shared" si="17"/>
        <v>0</v>
      </c>
      <c r="O147" s="126">
        <f t="shared" si="16"/>
        <v>6281.174616669643</v>
      </c>
      <c r="P147" s="126">
        <f t="shared" si="10"/>
        <v>462241.93676375016</v>
      </c>
      <c r="Q147" s="127">
        <f t="shared" si="11"/>
        <v>1</v>
      </c>
    </row>
    <row r="148" spans="2:17" x14ac:dyDescent="0.25">
      <c r="B148" s="122">
        <f t="shared" si="12"/>
        <v>105</v>
      </c>
      <c r="C148" s="123">
        <f>IF(B148="","",'Fecha Pago'!K108)</f>
        <v>49159</v>
      </c>
      <c r="D148" s="124">
        <f>IF(B148="","",'Fecha Pago'!L108)</f>
        <v>30.4</v>
      </c>
      <c r="E148" s="125">
        <f t="shared" si="9"/>
        <v>9.1499999999999998E-2</v>
      </c>
      <c r="F148" s="126">
        <f t="shared" si="13"/>
        <v>462241.93676375016</v>
      </c>
      <c r="G148" s="126">
        <f>IF(B148="","",IF(F148=0,0,MIN(F148,IF(Catálogos!$N$6=1,Prepagos!C107,IF(Catálogos!$N$6=2,Prepagos!D107,IF(Catálogos!$N$6=3,Prepagos!E107,))))))</f>
        <v>1932.1696769347079</v>
      </c>
      <c r="H148" s="126">
        <f t="shared" si="14"/>
        <v>3571.589364727909</v>
      </c>
      <c r="I148" s="126">
        <f t="shared" si="15"/>
        <v>0</v>
      </c>
      <c r="J148" s="126">
        <f>IF(B148="","",IF(F148=0,0,F148*Catálogos!$R$1))</f>
        <v>277.34516205825008</v>
      </c>
      <c r="K148" s="126">
        <f>IF(B148="","",IF(Catálogos!$K$10=1,Carátula!$F$17*Catálogos!$R$4,0))</f>
        <v>199.92</v>
      </c>
      <c r="L148" s="126">
        <f>IF(B148="","",IF(F148=0,0,CAT!H111))</f>
        <v>299</v>
      </c>
      <c r="M148" s="115"/>
      <c r="N148" s="126">
        <f t="shared" si="17"/>
        <v>0</v>
      </c>
      <c r="O148" s="126">
        <f t="shared" si="16"/>
        <v>6280.0242037208673</v>
      </c>
      <c r="P148" s="126">
        <f t="shared" si="10"/>
        <v>460309.76708681544</v>
      </c>
      <c r="Q148" s="127">
        <f t="shared" si="11"/>
        <v>1</v>
      </c>
    </row>
    <row r="149" spans="2:17" x14ac:dyDescent="0.25">
      <c r="B149" s="122">
        <f t="shared" si="12"/>
        <v>106</v>
      </c>
      <c r="C149" s="123">
        <f>IF(B149="","",'Fecha Pago'!K109)</f>
        <v>49190</v>
      </c>
      <c r="D149" s="124">
        <f>IF(B149="","",'Fecha Pago'!L109)</f>
        <v>30.4</v>
      </c>
      <c r="E149" s="125">
        <f t="shared" si="9"/>
        <v>9.1499999999999998E-2</v>
      </c>
      <c r="F149" s="126">
        <f t="shared" si="13"/>
        <v>460309.76708681544</v>
      </c>
      <c r="G149" s="126">
        <f>IF(B149="","",IF(F149=0,0,MIN(F149,IF(Catálogos!$N$6=1,Prepagos!C108,IF(Catálogos!$N$6=2,Prepagos!D108,IF(Catálogos!$N$6=3,Prepagos!E108,))))))</f>
        <v>1947.0989079718236</v>
      </c>
      <c r="H149" s="126">
        <f t="shared" si="14"/>
        <v>3556.6601336907934</v>
      </c>
      <c r="I149" s="126">
        <f t="shared" si="15"/>
        <v>0</v>
      </c>
      <c r="J149" s="126">
        <f>IF(B149="","",IF(F149=0,0,F149*Catálogos!$R$1))</f>
        <v>276.18586025208924</v>
      </c>
      <c r="K149" s="126">
        <f>IF(B149="","",IF(Catálogos!$K$10=1,Carátula!$F$17*Catálogos!$R$4,0))</f>
        <v>199.92</v>
      </c>
      <c r="L149" s="126">
        <f>IF(B149="","",IF(F149=0,0,CAT!H112))</f>
        <v>299</v>
      </c>
      <c r="M149" s="115"/>
      <c r="N149" s="126">
        <f t="shared" si="17"/>
        <v>0</v>
      </c>
      <c r="O149" s="126">
        <f t="shared" si="16"/>
        <v>6278.8649019147069</v>
      </c>
      <c r="P149" s="126">
        <f t="shared" si="10"/>
        <v>458362.66817884363</v>
      </c>
      <c r="Q149" s="127">
        <f t="shared" si="11"/>
        <v>1</v>
      </c>
    </row>
    <row r="150" spans="2:17" x14ac:dyDescent="0.25">
      <c r="B150" s="122">
        <f t="shared" si="12"/>
        <v>107</v>
      </c>
      <c r="C150" s="123">
        <f>IF(B150="","",'Fecha Pago'!K110)</f>
        <v>49220</v>
      </c>
      <c r="D150" s="124">
        <f>IF(B150="","",'Fecha Pago'!L110)</f>
        <v>30.4</v>
      </c>
      <c r="E150" s="125">
        <f t="shared" si="9"/>
        <v>9.1499999999999998E-2</v>
      </c>
      <c r="F150" s="126">
        <f t="shared" si="13"/>
        <v>458362.66817884363</v>
      </c>
      <c r="G150" s="126">
        <f>IF(B150="","",IF(F150=0,0,MIN(F150,IF(Catálogos!$N$6=1,Prepagos!C109,IF(Catálogos!$N$6=2,Prepagos!D109,IF(Catálogos!$N$6=3,Prepagos!E109,))))))</f>
        <v>1962.143492200752</v>
      </c>
      <c r="H150" s="126">
        <f t="shared" si="14"/>
        <v>3541.6155494618647</v>
      </c>
      <c r="I150" s="126">
        <f t="shared" si="15"/>
        <v>0</v>
      </c>
      <c r="J150" s="126">
        <f>IF(B150="","",IF(F150=0,0,F150*Catálogos!$R$1))</f>
        <v>275.01760090730613</v>
      </c>
      <c r="K150" s="126">
        <f>IF(B150="","",IF(Catálogos!$K$10=1,Carátula!$F$17*Catálogos!$R$4,0))</f>
        <v>199.92</v>
      </c>
      <c r="L150" s="126">
        <f>IF(B150="","",IF(F150=0,0,CAT!H113))</f>
        <v>299</v>
      </c>
      <c r="M150" s="115"/>
      <c r="N150" s="126">
        <f t="shared" si="17"/>
        <v>0</v>
      </c>
      <c r="O150" s="126">
        <f t="shared" si="16"/>
        <v>6277.6966425699229</v>
      </c>
      <c r="P150" s="126">
        <f t="shared" si="10"/>
        <v>456400.52468664286</v>
      </c>
      <c r="Q150" s="127">
        <f t="shared" si="11"/>
        <v>1</v>
      </c>
    </row>
    <row r="151" spans="2:17" x14ac:dyDescent="0.25">
      <c r="B151" s="122">
        <f t="shared" si="12"/>
        <v>108</v>
      </c>
      <c r="C151" s="123">
        <f>IF(B151="","",'Fecha Pago'!K111)</f>
        <v>49251</v>
      </c>
      <c r="D151" s="124">
        <f>IF(B151="","",'Fecha Pago'!L111)</f>
        <v>30.4</v>
      </c>
      <c r="E151" s="125">
        <f t="shared" si="9"/>
        <v>9.1499999999999998E-2</v>
      </c>
      <c r="F151" s="126">
        <f t="shared" si="13"/>
        <v>456400.52468664286</v>
      </c>
      <c r="G151" s="126">
        <f>IF(B151="","",IF(F151=0,0,MIN(F151,IF(Catálogos!$N$6=1,Prepagos!C110,IF(Catálogos!$N$6=2,Prepagos!D110,IF(Catálogos!$N$6=3,Prepagos!E110,))))))</f>
        <v>1977.3043209171567</v>
      </c>
      <c r="H151" s="126">
        <f t="shared" si="14"/>
        <v>3526.4547207454602</v>
      </c>
      <c r="I151" s="126">
        <f t="shared" si="15"/>
        <v>0</v>
      </c>
      <c r="J151" s="126">
        <f>IF(B151="","",IF(F151=0,0,F151*Catálogos!$R$1))</f>
        <v>273.84031481198571</v>
      </c>
      <c r="K151" s="126">
        <f>IF(B151="","",IF(Catálogos!$K$10=1,Carátula!$F$17*Catálogos!$R$4,0))</f>
        <v>199.92</v>
      </c>
      <c r="L151" s="126">
        <f>IF(B151="","",IF(F151=0,0,CAT!H114))</f>
        <v>299</v>
      </c>
      <c r="M151" s="115"/>
      <c r="N151" s="126">
        <f t="shared" si="17"/>
        <v>0</v>
      </c>
      <c r="O151" s="126">
        <f t="shared" si="16"/>
        <v>6276.5193564746032</v>
      </c>
      <c r="P151" s="126">
        <f t="shared" si="10"/>
        <v>454423.22036572569</v>
      </c>
      <c r="Q151" s="127">
        <f t="shared" si="11"/>
        <v>1</v>
      </c>
    </row>
    <row r="152" spans="2:17" x14ac:dyDescent="0.25">
      <c r="B152" s="122">
        <f t="shared" si="12"/>
        <v>109</v>
      </c>
      <c r="C152" s="123">
        <f>IF(B152="","",'Fecha Pago'!K112)</f>
        <v>49281</v>
      </c>
      <c r="D152" s="124">
        <f>IF(B152="","",'Fecha Pago'!L112)</f>
        <v>30.4</v>
      </c>
      <c r="E152" s="125">
        <f t="shared" si="9"/>
        <v>9.1499999999999998E-2</v>
      </c>
      <c r="F152" s="126">
        <f t="shared" si="13"/>
        <v>454423.22036572569</v>
      </c>
      <c r="G152" s="126">
        <f>IF(B152="","",IF(F152=0,0,MIN(F152,IF(Catálogos!$N$6=1,Prepagos!C111,IF(Catálogos!$N$6=2,Prepagos!D111,IF(Catálogos!$N$6=3,Prepagos!E111,))))))</f>
        <v>1992.5822923034432</v>
      </c>
      <c r="H152" s="126">
        <f t="shared" si="14"/>
        <v>3511.1767493591733</v>
      </c>
      <c r="I152" s="126">
        <f t="shared" si="15"/>
        <v>0</v>
      </c>
      <c r="J152" s="126">
        <f>IF(B152="","",IF(F152=0,0,F152*Catálogos!$R$1))</f>
        <v>272.65393221943538</v>
      </c>
      <c r="K152" s="126">
        <f>IF(B152="","",IF(Catálogos!$K$10=1,Carátula!$F$17*Catálogos!$R$4,0))</f>
        <v>199.92</v>
      </c>
      <c r="L152" s="126">
        <f>IF(B152="","",IF(F152=0,0,CAT!H115))</f>
        <v>299</v>
      </c>
      <c r="M152" s="115"/>
      <c r="N152" s="126">
        <f t="shared" si="17"/>
        <v>0</v>
      </c>
      <c r="O152" s="126">
        <f t="shared" si="16"/>
        <v>6275.3329738820521</v>
      </c>
      <c r="P152" s="126">
        <f t="shared" si="10"/>
        <v>452430.63807342225</v>
      </c>
      <c r="Q152" s="127">
        <f t="shared" si="11"/>
        <v>1</v>
      </c>
    </row>
    <row r="153" spans="2:17" x14ac:dyDescent="0.25">
      <c r="B153" s="122">
        <f t="shared" si="12"/>
        <v>110</v>
      </c>
      <c r="C153" s="123">
        <f>IF(B153="","",'Fecha Pago'!K113)</f>
        <v>49312</v>
      </c>
      <c r="D153" s="124">
        <f>IF(B153="","",'Fecha Pago'!L113)</f>
        <v>30.4</v>
      </c>
      <c r="E153" s="125">
        <f t="shared" si="9"/>
        <v>9.1499999999999998E-2</v>
      </c>
      <c r="F153" s="126">
        <f t="shared" si="13"/>
        <v>452430.63807342225</v>
      </c>
      <c r="G153" s="126">
        <f>IF(B153="","",IF(F153=0,0,MIN(F153,IF(Catálogos!$N$6=1,Prepagos!C112,IF(Catálogos!$N$6=2,Prepagos!D112,IF(Catálogos!$N$6=3,Prepagos!E112,))))))</f>
        <v>2007.9783114819747</v>
      </c>
      <c r="H153" s="126">
        <f t="shared" si="14"/>
        <v>3495.780730180642</v>
      </c>
      <c r="I153" s="126">
        <f t="shared" si="15"/>
        <v>0</v>
      </c>
      <c r="J153" s="126">
        <f>IF(B153="","",IF(F153=0,0,F153*Catálogos!$R$1))</f>
        <v>271.45838284405335</v>
      </c>
      <c r="K153" s="126">
        <f>IF(B153="","",IF(Catálogos!$K$10=1,Carátula!$F$17*Catálogos!$R$4,0))</f>
        <v>199.92</v>
      </c>
      <c r="L153" s="126">
        <f>IF(B153="","",IF(F153=0,0,CAT!H116))</f>
        <v>299</v>
      </c>
      <c r="M153" s="115"/>
      <c r="N153" s="126">
        <f t="shared" si="17"/>
        <v>0</v>
      </c>
      <c r="O153" s="126">
        <f t="shared" si="16"/>
        <v>6274.1374245066709</v>
      </c>
      <c r="P153" s="126">
        <f t="shared" si="10"/>
        <v>450422.65976194025</v>
      </c>
      <c r="Q153" s="127">
        <f t="shared" si="11"/>
        <v>1</v>
      </c>
    </row>
    <row r="154" spans="2:17" x14ac:dyDescent="0.25">
      <c r="B154" s="122">
        <f t="shared" si="12"/>
        <v>111</v>
      </c>
      <c r="C154" s="123">
        <f>IF(B154="","",'Fecha Pago'!K114)</f>
        <v>49343</v>
      </c>
      <c r="D154" s="124">
        <f>IF(B154="","",'Fecha Pago'!L114)</f>
        <v>30.4</v>
      </c>
      <c r="E154" s="125">
        <f t="shared" si="9"/>
        <v>9.1499999999999998E-2</v>
      </c>
      <c r="F154" s="126">
        <f t="shared" si="13"/>
        <v>450422.65976194025</v>
      </c>
      <c r="G154" s="126">
        <f>IF(B154="","",IF(F154=0,0,MIN(F154,IF(Catálogos!$N$6=1,Prepagos!C113,IF(Catálogos!$N$6=2,Prepagos!D113,IF(Catálogos!$N$6=3,Prepagos!E113,))))))</f>
        <v>2023.4932905686917</v>
      </c>
      <c r="H154" s="126">
        <f t="shared" si="14"/>
        <v>3480.2657510939243</v>
      </c>
      <c r="I154" s="126">
        <f t="shared" si="15"/>
        <v>0</v>
      </c>
      <c r="J154" s="126">
        <f>IF(B154="","",IF(F154=0,0,F154*Catálogos!$R$1))</f>
        <v>270.2535958571641</v>
      </c>
      <c r="K154" s="126">
        <f>IF(B154="","",IF(Catálogos!$K$10=1,Carátula!$F$17*Catálogos!$R$4,0))</f>
        <v>199.92</v>
      </c>
      <c r="L154" s="126">
        <f>IF(B154="","",IF(F154=0,0,CAT!H117))</f>
        <v>299</v>
      </c>
      <c r="M154" s="115"/>
      <c r="N154" s="126">
        <f t="shared" si="17"/>
        <v>0</v>
      </c>
      <c r="O154" s="126">
        <f t="shared" si="16"/>
        <v>6272.9326375197807</v>
      </c>
      <c r="P154" s="126">
        <f t="shared" si="10"/>
        <v>448399.16647137154</v>
      </c>
      <c r="Q154" s="127">
        <f t="shared" si="11"/>
        <v>1</v>
      </c>
    </row>
    <row r="155" spans="2:17" x14ac:dyDescent="0.25">
      <c r="B155" s="122">
        <f t="shared" si="12"/>
        <v>112</v>
      </c>
      <c r="C155" s="123">
        <f>IF(B155="","",'Fecha Pago'!K115)</f>
        <v>49371</v>
      </c>
      <c r="D155" s="124">
        <f>IF(B155="","",'Fecha Pago'!L115)</f>
        <v>30.4</v>
      </c>
      <c r="E155" s="125">
        <f t="shared" si="9"/>
        <v>9.1499999999999998E-2</v>
      </c>
      <c r="F155" s="126">
        <f t="shared" si="13"/>
        <v>448399.16647137154</v>
      </c>
      <c r="G155" s="126">
        <f>IF(B155="","",IF(F155=0,0,MIN(F155,IF(Catálogos!$N$6=1,Prepagos!C114,IF(Catálogos!$N$6=2,Prepagos!D114,IF(Catálogos!$N$6=3,Prepagos!E114,))))))</f>
        <v>2039.1281487271524</v>
      </c>
      <c r="H155" s="126">
        <f t="shared" si="14"/>
        <v>3464.6308929354636</v>
      </c>
      <c r="I155" s="126">
        <f t="shared" si="15"/>
        <v>0</v>
      </c>
      <c r="J155" s="126">
        <f>IF(B155="","",IF(F155=0,0,F155*Catálogos!$R$1))</f>
        <v>269.03949988282289</v>
      </c>
      <c r="K155" s="126">
        <f>IF(B155="","",IF(Catálogos!$K$10=1,Carátula!$F$17*Catálogos!$R$4,0))</f>
        <v>199.92</v>
      </c>
      <c r="L155" s="126">
        <f>IF(B155="","",IF(F155=0,0,CAT!H118))</f>
        <v>299</v>
      </c>
      <c r="M155" s="115"/>
      <c r="N155" s="126">
        <f t="shared" si="17"/>
        <v>0</v>
      </c>
      <c r="O155" s="126">
        <f t="shared" si="16"/>
        <v>6271.7185415454396</v>
      </c>
      <c r="P155" s="126">
        <f t="shared" si="10"/>
        <v>446360.03832264437</v>
      </c>
      <c r="Q155" s="127">
        <f t="shared" si="11"/>
        <v>1</v>
      </c>
    </row>
    <row r="156" spans="2:17" x14ac:dyDescent="0.25">
      <c r="B156" s="122">
        <f t="shared" si="12"/>
        <v>113</v>
      </c>
      <c r="C156" s="123">
        <f>IF(B156="","",'Fecha Pago'!K116)</f>
        <v>49402</v>
      </c>
      <c r="D156" s="124">
        <f>IF(B156="","",'Fecha Pago'!L116)</f>
        <v>30.4</v>
      </c>
      <c r="E156" s="125">
        <f t="shared" si="9"/>
        <v>9.1499999999999998E-2</v>
      </c>
      <c r="F156" s="126">
        <f t="shared" si="13"/>
        <v>446360.03832264437</v>
      </c>
      <c r="G156" s="126">
        <f>IF(B156="","",IF(F156=0,0,MIN(F156,IF(Catálogos!$N$6=1,Prepagos!C115,IF(Catálogos!$N$6=2,Prepagos!D115,IF(Catálogos!$N$6=3,Prepagos!E115,))))))</f>
        <v>2054.8838122229849</v>
      </c>
      <c r="H156" s="126">
        <f t="shared" si="14"/>
        <v>3448.8752294396318</v>
      </c>
      <c r="I156" s="126">
        <f t="shared" si="15"/>
        <v>0</v>
      </c>
      <c r="J156" s="126">
        <f>IF(B156="","",IF(F156=0,0,F156*Catálogos!$R$1))</f>
        <v>267.81602299358661</v>
      </c>
      <c r="K156" s="126">
        <f>IF(B156="","",IF(Catálogos!$K$10=1,Carátula!$F$17*Catálogos!$R$4,0))</f>
        <v>199.92</v>
      </c>
      <c r="L156" s="126">
        <f>IF(B156="","",IF(F156=0,0,CAT!H119))</f>
        <v>299</v>
      </c>
      <c r="M156" s="115"/>
      <c r="N156" s="126">
        <f t="shared" si="17"/>
        <v>0</v>
      </c>
      <c r="O156" s="126">
        <f t="shared" si="16"/>
        <v>6270.4950646562038</v>
      </c>
      <c r="P156" s="126">
        <f t="shared" si="10"/>
        <v>444305.15451042139</v>
      </c>
      <c r="Q156" s="127">
        <f t="shared" si="11"/>
        <v>1</v>
      </c>
    </row>
    <row r="157" spans="2:17" x14ac:dyDescent="0.25">
      <c r="B157" s="122">
        <f t="shared" si="12"/>
        <v>114</v>
      </c>
      <c r="C157" s="123">
        <f>IF(B157="","",'Fecha Pago'!K117)</f>
        <v>49432</v>
      </c>
      <c r="D157" s="124">
        <f>IF(B157="","",'Fecha Pago'!L117)</f>
        <v>30.4</v>
      </c>
      <c r="E157" s="125">
        <f t="shared" si="9"/>
        <v>9.1499999999999998E-2</v>
      </c>
      <c r="F157" s="126">
        <f t="shared" si="13"/>
        <v>444305.15451042139</v>
      </c>
      <c r="G157" s="126">
        <f>IF(B157="","",IF(F157=0,0,MIN(F157,IF(Catálogos!$N$6=1,Prepagos!C116,IF(Catálogos!$N$6=2,Prepagos!D116,IF(Catálogos!$N$6=3,Prepagos!E116,))))))</f>
        <v>2070.7612144787608</v>
      </c>
      <c r="H157" s="126">
        <f t="shared" si="14"/>
        <v>3432.9978271838554</v>
      </c>
      <c r="I157" s="126">
        <f t="shared" si="15"/>
        <v>0</v>
      </c>
      <c r="J157" s="126">
        <f>IF(B157="","",IF(F157=0,0,F157*Catálogos!$R$1))</f>
        <v>266.58309270625278</v>
      </c>
      <c r="K157" s="126">
        <f>IF(B157="","",IF(Catálogos!$K$10=1,Carátula!$F$17*Catálogos!$R$4,0))</f>
        <v>199.92</v>
      </c>
      <c r="L157" s="126">
        <f>IF(B157="","",IF(F157=0,0,CAT!H120))</f>
        <v>299</v>
      </c>
      <c r="M157" s="115"/>
      <c r="N157" s="126">
        <f t="shared" si="17"/>
        <v>0</v>
      </c>
      <c r="O157" s="126">
        <f t="shared" si="16"/>
        <v>6269.2621343688688</v>
      </c>
      <c r="P157" s="126">
        <f t="shared" si="10"/>
        <v>442234.39329594263</v>
      </c>
      <c r="Q157" s="127">
        <f t="shared" si="11"/>
        <v>1</v>
      </c>
    </row>
    <row r="158" spans="2:17" x14ac:dyDescent="0.25">
      <c r="B158" s="122">
        <f t="shared" si="12"/>
        <v>115</v>
      </c>
      <c r="C158" s="123">
        <f>IF(B158="","",'Fecha Pago'!K118)</f>
        <v>49463</v>
      </c>
      <c r="D158" s="124">
        <f>IF(B158="","",'Fecha Pago'!L118)</f>
        <v>30.4</v>
      </c>
      <c r="E158" s="125">
        <f t="shared" si="9"/>
        <v>9.1499999999999998E-2</v>
      </c>
      <c r="F158" s="126">
        <f t="shared" si="13"/>
        <v>442234.39329594263</v>
      </c>
      <c r="G158" s="126">
        <f>IF(B158="","",IF(F158=0,0,MIN(F158,IF(Catálogos!$N$6=1,Prepagos!C117,IF(Catálogos!$N$6=2,Prepagos!D117,IF(Catálogos!$N$6=3,Prepagos!E117,))))))</f>
        <v>2086.7612961293003</v>
      </c>
      <c r="H158" s="126">
        <f t="shared" si="14"/>
        <v>3416.9977455333164</v>
      </c>
      <c r="I158" s="126">
        <f t="shared" si="15"/>
        <v>0</v>
      </c>
      <c r="J158" s="126">
        <f>IF(B158="","",IF(F158=0,0,F158*Catálogos!$R$1))</f>
        <v>265.34063597756557</v>
      </c>
      <c r="K158" s="126">
        <f>IF(B158="","",IF(Catálogos!$K$10=1,Carátula!$F$17*Catálogos!$R$4,0))</f>
        <v>199.92</v>
      </c>
      <c r="L158" s="126">
        <f>IF(B158="","",IF(F158=0,0,CAT!H121))</f>
        <v>299</v>
      </c>
      <c r="M158" s="115"/>
      <c r="N158" s="126">
        <f t="shared" si="17"/>
        <v>0</v>
      </c>
      <c r="O158" s="126">
        <f t="shared" si="16"/>
        <v>6268.0196776401826</v>
      </c>
      <c r="P158" s="126">
        <f t="shared" si="10"/>
        <v>440147.63199981331</v>
      </c>
      <c r="Q158" s="127">
        <f t="shared" si="11"/>
        <v>1</v>
      </c>
    </row>
    <row r="159" spans="2:17" x14ac:dyDescent="0.25">
      <c r="B159" s="122">
        <f t="shared" si="12"/>
        <v>116</v>
      </c>
      <c r="C159" s="123">
        <f>IF(B159="","",'Fecha Pago'!K119)</f>
        <v>49493</v>
      </c>
      <c r="D159" s="124">
        <f>IF(B159="","",'Fecha Pago'!L119)</f>
        <v>30.4</v>
      </c>
      <c r="E159" s="125">
        <f t="shared" si="9"/>
        <v>9.1499999999999998E-2</v>
      </c>
      <c r="F159" s="126">
        <f t="shared" si="13"/>
        <v>440147.63199981331</v>
      </c>
      <c r="G159" s="126">
        <f>IF(B159="","",IF(F159=0,0,MIN(F159,IF(Catálogos!$N$6=1,Prepagos!C118,IF(Catálogos!$N$6=2,Prepagos!D118,IF(Catálogos!$N$6=3,Prepagos!E118,))))))</f>
        <v>2102.8850050773926</v>
      </c>
      <c r="H159" s="126">
        <f t="shared" si="14"/>
        <v>3400.8740365852236</v>
      </c>
      <c r="I159" s="126">
        <f t="shared" si="15"/>
        <v>0</v>
      </c>
      <c r="J159" s="126">
        <f>IF(B159="","",IF(F159=0,0,F159*Catálogos!$R$1))</f>
        <v>264.08857919988799</v>
      </c>
      <c r="K159" s="126">
        <f>IF(B159="","",IF(Catálogos!$K$10=1,Carátula!$F$17*Catálogos!$R$4,0))</f>
        <v>199.92</v>
      </c>
      <c r="L159" s="126">
        <f>IF(B159="","",IF(F159=0,0,CAT!H122))</f>
        <v>299</v>
      </c>
      <c r="M159" s="115"/>
      <c r="N159" s="126">
        <f t="shared" si="17"/>
        <v>0</v>
      </c>
      <c r="O159" s="126">
        <f t="shared" si="16"/>
        <v>6266.7676208625044</v>
      </c>
      <c r="P159" s="126">
        <f t="shared" si="10"/>
        <v>438044.74699473591</v>
      </c>
      <c r="Q159" s="127">
        <f t="shared" si="11"/>
        <v>1</v>
      </c>
    </row>
    <row r="160" spans="2:17" x14ac:dyDescent="0.25">
      <c r="B160" s="122">
        <f t="shared" si="12"/>
        <v>117</v>
      </c>
      <c r="C160" s="123">
        <f>IF(B160="","",'Fecha Pago'!K120)</f>
        <v>49524</v>
      </c>
      <c r="D160" s="124">
        <f>IF(B160="","",'Fecha Pago'!L120)</f>
        <v>30.4</v>
      </c>
      <c r="E160" s="125">
        <f t="shared" si="9"/>
        <v>9.1499999999999998E-2</v>
      </c>
      <c r="F160" s="126">
        <f t="shared" si="13"/>
        <v>438044.74699473591</v>
      </c>
      <c r="G160" s="126">
        <f>IF(B160="","",IF(F160=0,0,MIN(F160,IF(Catálogos!$N$6=1,Prepagos!C119,IF(Catálogos!$N$6=2,Prepagos!D119,IF(Catálogos!$N$6=3,Prepagos!E119,))))))</f>
        <v>2119.1332965499569</v>
      </c>
      <c r="H160" s="126">
        <f t="shared" si="14"/>
        <v>3384.6257451126589</v>
      </c>
      <c r="I160" s="126">
        <f t="shared" si="15"/>
        <v>0</v>
      </c>
      <c r="J160" s="126">
        <f>IF(B160="","",IF(F160=0,0,F160*Catálogos!$R$1))</f>
        <v>262.82684819684152</v>
      </c>
      <c r="K160" s="126">
        <f>IF(B160="","",IF(Catálogos!$K$10=1,Carátula!$F$17*Catálogos!$R$4,0))</f>
        <v>199.92</v>
      </c>
      <c r="L160" s="126">
        <f>IF(B160="","",IF(F160=0,0,CAT!H123))</f>
        <v>299</v>
      </c>
      <c r="M160" s="115"/>
      <c r="N160" s="126">
        <f t="shared" si="17"/>
        <v>0</v>
      </c>
      <c r="O160" s="126">
        <f t="shared" si="16"/>
        <v>6265.5058898594571</v>
      </c>
      <c r="P160" s="126">
        <f t="shared" si="10"/>
        <v>435925.61369818595</v>
      </c>
      <c r="Q160" s="127">
        <f t="shared" si="11"/>
        <v>1</v>
      </c>
    </row>
    <row r="161" spans="2:17" x14ac:dyDescent="0.25">
      <c r="B161" s="122">
        <f t="shared" si="12"/>
        <v>118</v>
      </c>
      <c r="C161" s="123">
        <f>IF(B161="","",'Fecha Pago'!K121)</f>
        <v>49555</v>
      </c>
      <c r="D161" s="124">
        <f>IF(B161="","",'Fecha Pago'!L121)</f>
        <v>30.4</v>
      </c>
      <c r="E161" s="125">
        <f t="shared" si="9"/>
        <v>9.1499999999999998E-2</v>
      </c>
      <c r="F161" s="126">
        <f t="shared" si="13"/>
        <v>435925.61369818595</v>
      </c>
      <c r="G161" s="126">
        <f>IF(B161="","",IF(F161=0,0,MIN(F161,IF(Catálogos!$N$6=1,Prepagos!C120,IF(Catálogos!$N$6=2,Prepagos!D120,IF(Catálogos!$N$6=3,Prepagos!E120,))))))</f>
        <v>2135.5071331546333</v>
      </c>
      <c r="H161" s="126">
        <f t="shared" si="14"/>
        <v>3368.251908507983</v>
      </c>
      <c r="I161" s="126">
        <f t="shared" si="15"/>
        <v>0</v>
      </c>
      <c r="J161" s="126">
        <f>IF(B161="","",IF(F161=0,0,F161*Catálogos!$R$1))</f>
        <v>261.55536821891155</v>
      </c>
      <c r="K161" s="126">
        <f>IF(B161="","",IF(Catálogos!$K$10=1,Carátula!$F$17*Catálogos!$R$4,0))</f>
        <v>199.92</v>
      </c>
      <c r="L161" s="126">
        <f>IF(B161="","",IF(F161=0,0,CAT!H124))</f>
        <v>299</v>
      </c>
      <c r="M161" s="115"/>
      <c r="N161" s="126">
        <f t="shared" si="17"/>
        <v>0</v>
      </c>
      <c r="O161" s="126">
        <f t="shared" si="16"/>
        <v>6264.2344098815283</v>
      </c>
      <c r="P161" s="126">
        <f t="shared" si="10"/>
        <v>433790.10656503134</v>
      </c>
      <c r="Q161" s="127">
        <f t="shared" si="11"/>
        <v>1</v>
      </c>
    </row>
    <row r="162" spans="2:17" x14ac:dyDescent="0.25">
      <c r="B162" s="122">
        <f t="shared" si="12"/>
        <v>119</v>
      </c>
      <c r="C162" s="123">
        <f>IF(B162="","",'Fecha Pago'!K122)</f>
        <v>49585</v>
      </c>
      <c r="D162" s="124">
        <f>IF(B162="","",'Fecha Pago'!L122)</f>
        <v>30.4</v>
      </c>
      <c r="E162" s="125">
        <f t="shared" si="9"/>
        <v>9.1499999999999998E-2</v>
      </c>
      <c r="F162" s="126">
        <f t="shared" si="13"/>
        <v>433790.10656503134</v>
      </c>
      <c r="G162" s="126">
        <f>IF(B162="","",IF(F162=0,0,MIN(F162,IF(Catálogos!$N$6=1,Prepagos!C121,IF(Catálogos!$N$6=2,Prepagos!D121,IF(Catálogos!$N$6=3,Prepagos!E121,))))))</f>
        <v>2152.0074849368075</v>
      </c>
      <c r="H162" s="126">
        <f t="shared" si="14"/>
        <v>3351.7515567258083</v>
      </c>
      <c r="I162" s="126">
        <f t="shared" si="15"/>
        <v>0</v>
      </c>
      <c r="J162" s="126">
        <f>IF(B162="","",IF(F162=0,0,F162*Catálogos!$R$1))</f>
        <v>260.27406393901879</v>
      </c>
      <c r="K162" s="126">
        <f>IF(B162="","",IF(Catálogos!$K$10=1,Carátula!$F$17*Catálogos!$R$4,0))</f>
        <v>199.92</v>
      </c>
      <c r="L162" s="126">
        <f>IF(B162="","",IF(F162=0,0,CAT!H125))</f>
        <v>299</v>
      </c>
      <c r="M162" s="115"/>
      <c r="N162" s="126">
        <f t="shared" si="17"/>
        <v>0</v>
      </c>
      <c r="O162" s="126">
        <f t="shared" si="16"/>
        <v>6262.953105601634</v>
      </c>
      <c r="P162" s="126">
        <f t="shared" si="10"/>
        <v>431638.09908009454</v>
      </c>
      <c r="Q162" s="127">
        <f t="shared" si="11"/>
        <v>1</v>
      </c>
    </row>
    <row r="163" spans="2:17" x14ac:dyDescent="0.25">
      <c r="B163" s="122">
        <f t="shared" si="12"/>
        <v>120</v>
      </c>
      <c r="C163" s="123">
        <f>IF(B163="","",'Fecha Pago'!K123)</f>
        <v>49616</v>
      </c>
      <c r="D163" s="124">
        <f>IF(B163="","",'Fecha Pago'!L123)</f>
        <v>30.4</v>
      </c>
      <c r="E163" s="125">
        <f t="shared" si="9"/>
        <v>9.1499999999999998E-2</v>
      </c>
      <c r="F163" s="126">
        <f t="shared" si="13"/>
        <v>431638.09908009454</v>
      </c>
      <c r="G163" s="126">
        <f>IF(B163="","",IF(F163=0,0,MIN(F163,IF(Catálogos!$N$6=1,Prepagos!C122,IF(Catálogos!$N$6=2,Prepagos!D122,IF(Catálogos!$N$6=3,Prepagos!E122,))))))</f>
        <v>2168.6353294370865</v>
      </c>
      <c r="H163" s="126">
        <f t="shared" si="14"/>
        <v>3335.1237122255302</v>
      </c>
      <c r="I163" s="126">
        <f t="shared" si="15"/>
        <v>0</v>
      </c>
      <c r="J163" s="126">
        <f>IF(B163="","",IF(F163=0,0,F163*Catálogos!$R$1))</f>
        <v>258.98285944805673</v>
      </c>
      <c r="K163" s="126">
        <f>IF(B163="","",IF(Catálogos!$K$10=1,Carátula!$F$17*Catálogos!$R$4,0))</f>
        <v>199.92</v>
      </c>
      <c r="L163" s="126">
        <f>IF(B163="","",IF(F163=0,0,CAT!H126))</f>
        <v>299</v>
      </c>
      <c r="M163" s="115"/>
      <c r="N163" s="126">
        <f t="shared" si="17"/>
        <v>0</v>
      </c>
      <c r="O163" s="126">
        <f t="shared" si="16"/>
        <v>6261.6619011106741</v>
      </c>
      <c r="P163" s="126">
        <f t="shared" si="10"/>
        <v>429469.46375065745</v>
      </c>
      <c r="Q163" s="127">
        <f t="shared" si="11"/>
        <v>1</v>
      </c>
    </row>
    <row r="164" spans="2:17" x14ac:dyDescent="0.25">
      <c r="B164" s="122">
        <f t="shared" si="12"/>
        <v>121</v>
      </c>
      <c r="C164" s="123">
        <f>IF(B164="","",'Fecha Pago'!K124)</f>
        <v>49646</v>
      </c>
      <c r="D164" s="124">
        <f>IF(B164="","",'Fecha Pago'!L124)</f>
        <v>30.4</v>
      </c>
      <c r="E164" s="125">
        <f t="shared" si="9"/>
        <v>9.1499999999999998E-2</v>
      </c>
      <c r="F164" s="126">
        <f t="shared" si="13"/>
        <v>429469.46375065745</v>
      </c>
      <c r="G164" s="126">
        <f>IF(B164="","",IF(F164=0,0,MIN(F164,IF(Catálogos!$N$6=1,Prepagos!C123,IF(Catálogos!$N$6=2,Prepagos!D123,IF(Catálogos!$N$6=3,Prepagos!E123,))))))</f>
        <v>2185.3916517492039</v>
      </c>
      <c r="H164" s="126">
        <f t="shared" si="14"/>
        <v>3318.3673899134128</v>
      </c>
      <c r="I164" s="126">
        <f t="shared" si="15"/>
        <v>0</v>
      </c>
      <c r="J164" s="126">
        <f>IF(B164="","",IF(F164=0,0,F164*Catálogos!$R$1))</f>
        <v>257.68167825039444</v>
      </c>
      <c r="K164" s="126">
        <f>IF(B164="","",IF(Catálogos!$K$10=1,Carátula!$F$17*Catálogos!$R$4,0))</f>
        <v>199.92</v>
      </c>
      <c r="L164" s="126">
        <f>IF(B164="","",IF(F164=0,0,CAT!H127))</f>
        <v>299</v>
      </c>
      <c r="M164" s="115"/>
      <c r="N164" s="126">
        <f t="shared" si="17"/>
        <v>0</v>
      </c>
      <c r="O164" s="126">
        <f t="shared" si="16"/>
        <v>6260.360719913012</v>
      </c>
      <c r="P164" s="126">
        <f t="shared" si="10"/>
        <v>427284.07209890825</v>
      </c>
      <c r="Q164" s="127">
        <f t="shared" si="11"/>
        <v>1</v>
      </c>
    </row>
    <row r="165" spans="2:17" x14ac:dyDescent="0.25">
      <c r="B165" s="122">
        <f t="shared" si="12"/>
        <v>122</v>
      </c>
      <c r="C165" s="123">
        <f>IF(B165="","",'Fecha Pago'!K125)</f>
        <v>49677</v>
      </c>
      <c r="D165" s="124">
        <f>IF(B165="","",'Fecha Pago'!L125)</f>
        <v>30.4</v>
      </c>
      <c r="E165" s="125">
        <f t="shared" si="9"/>
        <v>9.1499999999999998E-2</v>
      </c>
      <c r="F165" s="126">
        <f t="shared" si="13"/>
        <v>427284.07209890825</v>
      </c>
      <c r="G165" s="126">
        <f>IF(B165="","",IF(F165=0,0,MIN(F165,IF(Catálogos!$N$6=1,Prepagos!C124,IF(Catálogos!$N$6=2,Prepagos!D124,IF(Catálogos!$N$6=3,Prepagos!E124,))))))</f>
        <v>2202.2774445783857</v>
      </c>
      <c r="H165" s="126">
        <f t="shared" si="14"/>
        <v>3301.4815970842305</v>
      </c>
      <c r="I165" s="126">
        <f t="shared" si="15"/>
        <v>0</v>
      </c>
      <c r="J165" s="126">
        <f>IF(B165="","",IF(F165=0,0,F165*Catálogos!$R$1))</f>
        <v>256.37044325934494</v>
      </c>
      <c r="K165" s="126">
        <f>IF(B165="","",IF(Catálogos!$K$10=1,Carátula!$F$17*Catálogos!$R$4,0))</f>
        <v>199.92</v>
      </c>
      <c r="L165" s="126">
        <f>IF(B165="","",IF(F165=0,0,CAT!H128))</f>
        <v>299</v>
      </c>
      <c r="M165" s="115"/>
      <c r="N165" s="126">
        <f t="shared" si="17"/>
        <v>0</v>
      </c>
      <c r="O165" s="126">
        <f t="shared" si="16"/>
        <v>6259.0494849219613</v>
      </c>
      <c r="P165" s="126">
        <f t="shared" si="10"/>
        <v>425081.79465432989</v>
      </c>
      <c r="Q165" s="127">
        <f t="shared" si="11"/>
        <v>1</v>
      </c>
    </row>
    <row r="166" spans="2:17" x14ac:dyDescent="0.25">
      <c r="B166" s="122">
        <f t="shared" si="12"/>
        <v>123</v>
      </c>
      <c r="C166" s="123">
        <f>IF(B166="","",'Fecha Pago'!K126)</f>
        <v>49708</v>
      </c>
      <c r="D166" s="124">
        <f>IF(B166="","",'Fecha Pago'!L126)</f>
        <v>30.4</v>
      </c>
      <c r="E166" s="125">
        <f t="shared" si="9"/>
        <v>9.1499999999999998E-2</v>
      </c>
      <c r="F166" s="126">
        <f t="shared" si="13"/>
        <v>425081.79465432989</v>
      </c>
      <c r="G166" s="126">
        <f>IF(B166="","",IF(F166=0,0,MIN(F166,IF(Catálogos!$N$6=1,Prepagos!C125,IF(Catálogos!$N$6=2,Prepagos!D125,IF(Catálogos!$N$6=3,Prepagos!E125,))))))</f>
        <v>2219.2937083001611</v>
      </c>
      <c r="H166" s="126">
        <f t="shared" si="14"/>
        <v>3284.4653333624551</v>
      </c>
      <c r="I166" s="126">
        <f t="shared" si="15"/>
        <v>0</v>
      </c>
      <c r="J166" s="126">
        <f>IF(B166="","",IF(F166=0,0,F166*Catálogos!$R$1))</f>
        <v>255.0490767925979</v>
      </c>
      <c r="K166" s="126">
        <f>IF(B166="","",IF(Catálogos!$K$10=1,Carátula!$F$17*Catálogos!$R$4,0))</f>
        <v>199.92</v>
      </c>
      <c r="L166" s="126">
        <f>IF(B166="","",IF(F166=0,0,CAT!H129))</f>
        <v>299</v>
      </c>
      <c r="M166" s="115"/>
      <c r="N166" s="126">
        <f t="shared" si="17"/>
        <v>0</v>
      </c>
      <c r="O166" s="126">
        <f t="shared" si="16"/>
        <v>6257.7281184552139</v>
      </c>
      <c r="P166" s="126">
        <f t="shared" si="10"/>
        <v>422862.50094602973</v>
      </c>
      <c r="Q166" s="127">
        <f t="shared" si="11"/>
        <v>1</v>
      </c>
    </row>
    <row r="167" spans="2:17" x14ac:dyDescent="0.25">
      <c r="B167" s="122">
        <f t="shared" si="12"/>
        <v>124</v>
      </c>
      <c r="C167" s="123">
        <f>IF(B167="","",'Fecha Pago'!K127)</f>
        <v>49737</v>
      </c>
      <c r="D167" s="124">
        <f>IF(B167="","",'Fecha Pago'!L127)</f>
        <v>30.4</v>
      </c>
      <c r="E167" s="125">
        <f t="shared" si="9"/>
        <v>9.1499999999999998E-2</v>
      </c>
      <c r="F167" s="126">
        <f t="shared" si="13"/>
        <v>422862.50094602973</v>
      </c>
      <c r="G167" s="126">
        <f>IF(B167="","",IF(F167=0,0,MIN(F167,IF(Catálogos!$N$6=1,Prepagos!C126,IF(Catálogos!$N$6=2,Prepagos!D126,IF(Catálogos!$N$6=3,Prepagos!E126,))))))</f>
        <v>2236.441451019627</v>
      </c>
      <c r="H167" s="126">
        <f t="shared" si="14"/>
        <v>3267.3175906429892</v>
      </c>
      <c r="I167" s="126">
        <f t="shared" si="15"/>
        <v>0</v>
      </c>
      <c r="J167" s="126">
        <f>IF(B167="","",IF(F167=0,0,F167*Catálogos!$R$1))</f>
        <v>253.7175005676178</v>
      </c>
      <c r="K167" s="126">
        <f>IF(B167="","",IF(Catálogos!$K$10=1,Carátula!$F$17*Catálogos!$R$4,0))</f>
        <v>199.92</v>
      </c>
      <c r="L167" s="126">
        <f>IF(B167="","",IF(F167=0,0,CAT!H130))</f>
        <v>299</v>
      </c>
      <c r="M167" s="115"/>
      <c r="N167" s="126">
        <f t="shared" si="17"/>
        <v>0</v>
      </c>
      <c r="O167" s="126">
        <f t="shared" si="16"/>
        <v>6256.3965422302344</v>
      </c>
      <c r="P167" s="126">
        <f t="shared" si="10"/>
        <v>420626.05949501012</v>
      </c>
      <c r="Q167" s="127">
        <f t="shared" si="11"/>
        <v>1</v>
      </c>
    </row>
    <row r="168" spans="2:17" x14ac:dyDescent="0.25">
      <c r="B168" s="122">
        <f t="shared" si="12"/>
        <v>125</v>
      </c>
      <c r="C168" s="123">
        <f>IF(B168="","",'Fecha Pago'!K128)</f>
        <v>49768</v>
      </c>
      <c r="D168" s="124">
        <f>IF(B168="","",'Fecha Pago'!L128)</f>
        <v>30.4</v>
      </c>
      <c r="E168" s="125">
        <f t="shared" si="9"/>
        <v>9.1499999999999998E-2</v>
      </c>
      <c r="F168" s="126">
        <f t="shared" si="13"/>
        <v>420626.05949501012</v>
      </c>
      <c r="G168" s="126">
        <f>IF(B168="","",IF(F168=0,0,MIN(F168,IF(Catálogos!$N$6=1,Prepagos!C127,IF(Catálogos!$N$6=2,Prepagos!D127,IF(Catálogos!$N$6=3,Prepagos!E127,))))))</f>
        <v>2253.7216886311721</v>
      </c>
      <c r="H168" s="126">
        <f t="shared" si="14"/>
        <v>3250.0373530314446</v>
      </c>
      <c r="I168" s="126">
        <f t="shared" si="15"/>
        <v>0</v>
      </c>
      <c r="J168" s="126">
        <f>IF(B168="","",IF(F168=0,0,F168*Catálogos!$R$1))</f>
        <v>252.37563569700606</v>
      </c>
      <c r="K168" s="126">
        <f>IF(B168="","",IF(Catálogos!$K$10=1,Carátula!$F$17*Catálogos!$R$4,0))</f>
        <v>199.92</v>
      </c>
      <c r="L168" s="126">
        <f>IF(B168="","",IF(F168=0,0,CAT!H131))</f>
        <v>299</v>
      </c>
      <c r="M168" s="115"/>
      <c r="N168" s="126">
        <f t="shared" si="17"/>
        <v>0</v>
      </c>
      <c r="O168" s="126">
        <f t="shared" si="16"/>
        <v>6255.0546773596234</v>
      </c>
      <c r="P168" s="126">
        <f t="shared" si="10"/>
        <v>418372.33780637896</v>
      </c>
      <c r="Q168" s="127">
        <f t="shared" si="11"/>
        <v>1</v>
      </c>
    </row>
    <row r="169" spans="2:17" x14ac:dyDescent="0.25">
      <c r="B169" s="122">
        <f t="shared" si="12"/>
        <v>126</v>
      </c>
      <c r="C169" s="123">
        <f>IF(B169="","",'Fecha Pago'!K129)</f>
        <v>49798</v>
      </c>
      <c r="D169" s="124">
        <f>IF(B169="","",'Fecha Pago'!L129)</f>
        <v>30.4</v>
      </c>
      <c r="E169" s="125">
        <f t="shared" si="9"/>
        <v>9.1499999999999998E-2</v>
      </c>
      <c r="F169" s="126">
        <f t="shared" si="13"/>
        <v>418372.33780637896</v>
      </c>
      <c r="G169" s="126">
        <f>IF(B169="","",IF(F169=0,0,MIN(F169,IF(Catálogos!$N$6=1,Prepagos!C128,IF(Catálogos!$N$6=2,Prepagos!D128,IF(Catálogos!$N$6=3,Prepagos!E128,))))))</f>
        <v>2271.1354448786628</v>
      </c>
      <c r="H169" s="126">
        <f t="shared" si="14"/>
        <v>3232.6235967839543</v>
      </c>
      <c r="I169" s="126">
        <f t="shared" si="15"/>
        <v>0</v>
      </c>
      <c r="J169" s="126">
        <f>IF(B169="","",IF(F169=0,0,F169*Catálogos!$R$1))</f>
        <v>251.02340268382736</v>
      </c>
      <c r="K169" s="126">
        <f>IF(B169="","",IF(Catálogos!$K$10=1,Carátula!$F$17*Catálogos!$R$4,0))</f>
        <v>199.92</v>
      </c>
      <c r="L169" s="126">
        <f>IF(B169="","",IF(F169=0,0,CAT!H132))</f>
        <v>299</v>
      </c>
      <c r="M169" s="115"/>
      <c r="N169" s="126">
        <f t="shared" si="17"/>
        <v>0</v>
      </c>
      <c r="O169" s="126">
        <f t="shared" si="16"/>
        <v>6253.7024443464443</v>
      </c>
      <c r="P169" s="126">
        <f t="shared" si="10"/>
        <v>416101.2023615003</v>
      </c>
      <c r="Q169" s="127">
        <f t="shared" si="11"/>
        <v>1</v>
      </c>
    </row>
    <row r="170" spans="2:17" x14ac:dyDescent="0.25">
      <c r="B170" s="122">
        <f t="shared" si="12"/>
        <v>127</v>
      </c>
      <c r="C170" s="123">
        <f>IF(B170="","",'Fecha Pago'!K130)</f>
        <v>49829</v>
      </c>
      <c r="D170" s="124">
        <f>IF(B170="","",'Fecha Pago'!L130)</f>
        <v>30.4</v>
      </c>
      <c r="E170" s="125">
        <f t="shared" si="9"/>
        <v>9.1499999999999998E-2</v>
      </c>
      <c r="F170" s="126">
        <f t="shared" si="13"/>
        <v>416101.2023615003</v>
      </c>
      <c r="G170" s="126">
        <f>IF(B170="","",IF(F170=0,0,MIN(F170,IF(Catálogos!$N$6=1,Prepagos!C129,IF(Catálogos!$N$6=2,Prepagos!D129,IF(Catálogos!$N$6=3,Prepagos!E129,))))))</f>
        <v>2288.6837514160916</v>
      </c>
      <c r="H170" s="126">
        <f t="shared" si="14"/>
        <v>3215.0752902465251</v>
      </c>
      <c r="I170" s="126">
        <f t="shared" si="15"/>
        <v>0</v>
      </c>
      <c r="J170" s="126">
        <f>IF(B170="","",IF(F170=0,0,F170*Catálogos!$R$1))</f>
        <v>249.66072141690015</v>
      </c>
      <c r="K170" s="126">
        <f>IF(B170="","",IF(Catálogos!$K$10=1,Carátula!$F$17*Catálogos!$R$4,0))</f>
        <v>199.92</v>
      </c>
      <c r="L170" s="126">
        <f>IF(B170="","",IF(F170=0,0,CAT!H133))</f>
        <v>299</v>
      </c>
      <c r="M170" s="115"/>
      <c r="N170" s="126">
        <f t="shared" si="17"/>
        <v>0</v>
      </c>
      <c r="O170" s="126">
        <f t="shared" si="16"/>
        <v>6252.3397630795171</v>
      </c>
      <c r="P170" s="126">
        <f t="shared" si="10"/>
        <v>413812.5186100842</v>
      </c>
      <c r="Q170" s="127">
        <f t="shared" si="11"/>
        <v>1</v>
      </c>
    </row>
    <row r="171" spans="2:17" x14ac:dyDescent="0.25">
      <c r="B171" s="122">
        <f t="shared" si="12"/>
        <v>128</v>
      </c>
      <c r="C171" s="123">
        <f>IF(B171="","",'Fecha Pago'!K131)</f>
        <v>49859</v>
      </c>
      <c r="D171" s="124">
        <f>IF(B171="","",'Fecha Pago'!L131)</f>
        <v>30.4</v>
      </c>
      <c r="E171" s="125">
        <f t="shared" si="9"/>
        <v>9.1499999999999998E-2</v>
      </c>
      <c r="F171" s="126">
        <f t="shared" si="13"/>
        <v>413812.5186100842</v>
      </c>
      <c r="G171" s="126">
        <f>IF(B171="","",IF(F171=0,0,MIN(F171,IF(Catálogos!$N$6=1,Prepagos!C130,IF(Catálogos!$N$6=2,Prepagos!D130,IF(Catálogos!$N$6=3,Prepagos!E130,))))))</f>
        <v>2306.3676478687003</v>
      </c>
      <c r="H171" s="126">
        <f t="shared" si="14"/>
        <v>3197.3913937939169</v>
      </c>
      <c r="I171" s="126">
        <f t="shared" si="15"/>
        <v>0</v>
      </c>
      <c r="J171" s="126">
        <f>IF(B171="","",IF(F171=0,0,F171*Catálogos!$R$1))</f>
        <v>248.28751116605051</v>
      </c>
      <c r="K171" s="126">
        <f>IF(B171="","",IF(Catálogos!$K$10=1,Carátula!$F$17*Catálogos!$R$4,0))</f>
        <v>199.92</v>
      </c>
      <c r="L171" s="126">
        <f>IF(B171="","",IF(F171=0,0,CAT!H134))</f>
        <v>299</v>
      </c>
      <c r="M171" s="115"/>
      <c r="N171" s="126">
        <f t="shared" si="17"/>
        <v>0</v>
      </c>
      <c r="O171" s="126">
        <f t="shared" si="16"/>
        <v>6250.9665528286678</v>
      </c>
      <c r="P171" s="126">
        <f t="shared" si="10"/>
        <v>411506.1509622155</v>
      </c>
      <c r="Q171" s="127">
        <f t="shared" si="11"/>
        <v>1</v>
      </c>
    </row>
    <row r="172" spans="2:17" x14ac:dyDescent="0.25">
      <c r="B172" s="122">
        <f t="shared" si="12"/>
        <v>129</v>
      </c>
      <c r="C172" s="123">
        <f>IF(B172="","",'Fecha Pago'!K132)</f>
        <v>49890</v>
      </c>
      <c r="D172" s="124">
        <f>IF(B172="","",'Fecha Pago'!L132)</f>
        <v>30.4</v>
      </c>
      <c r="E172" s="125">
        <f t="shared" ref="E172:E235" si="18">IF(B172="","",$E$39)</f>
        <v>9.1499999999999998E-2</v>
      </c>
      <c r="F172" s="126">
        <f t="shared" si="13"/>
        <v>411506.1509622155</v>
      </c>
      <c r="G172" s="126">
        <f>IF(B172="","",IF(F172=0,0,MIN(F172,IF(Catálogos!$N$6=1,Prepagos!C131,IF(Catálogos!$N$6=2,Prepagos!D131,IF(Catálogos!$N$6=3,Prepagos!E131,))))))</f>
        <v>2324.1881818945653</v>
      </c>
      <c r="H172" s="126">
        <f t="shared" si="14"/>
        <v>3179.5708597680514</v>
      </c>
      <c r="I172" s="126">
        <f t="shared" si="15"/>
        <v>0</v>
      </c>
      <c r="J172" s="126">
        <f>IF(B172="","",IF(F172=0,0,F172*Catálogos!$R$1))</f>
        <v>246.90369057732929</v>
      </c>
      <c r="K172" s="126">
        <f>IF(B172="","",IF(Catálogos!$K$10=1,Carátula!$F$17*Catálogos!$R$4,0))</f>
        <v>199.92</v>
      </c>
      <c r="L172" s="126">
        <f>IF(B172="","",IF(F172=0,0,CAT!H135))</f>
        <v>299</v>
      </c>
      <c r="M172" s="115"/>
      <c r="N172" s="126">
        <f t="shared" si="17"/>
        <v>0</v>
      </c>
      <c r="O172" s="126">
        <f t="shared" si="16"/>
        <v>6249.5827322399464</v>
      </c>
      <c r="P172" s="126">
        <f t="shared" ref="P172:P235" si="19">IF(B172="","",F172-G172)</f>
        <v>409181.96278032096</v>
      </c>
      <c r="Q172" s="127">
        <f t="shared" ref="Q172:Q235" si="20">IF(OR(B172="",F172=0),"",1)</f>
        <v>1</v>
      </c>
    </row>
    <row r="173" spans="2:17" x14ac:dyDescent="0.25">
      <c r="B173" s="122">
        <f t="shared" ref="B173:B236" si="21">IF(B172=$H$29,"",IF(B172="","",B172+1))</f>
        <v>130</v>
      </c>
      <c r="C173" s="123">
        <f>IF(B173="","",'Fecha Pago'!K133)</f>
        <v>49921</v>
      </c>
      <c r="D173" s="124">
        <f>IF(B173="","",'Fecha Pago'!L133)</f>
        <v>30.4</v>
      </c>
      <c r="E173" s="125">
        <f t="shared" si="18"/>
        <v>9.1499999999999998E-2</v>
      </c>
      <c r="F173" s="126">
        <f t="shared" ref="F173:F236" si="22">IF(B173="","",P172)</f>
        <v>409181.96278032096</v>
      </c>
      <c r="G173" s="126">
        <f>IF(B173="","",IF(F173=0,0,MIN(F173,IF(Catálogos!$N$6=1,Prepagos!C132,IF(Catálogos!$N$6=2,Prepagos!D132,IF(Catálogos!$N$6=3,Prepagos!E132,))))))</f>
        <v>2342.1464092466708</v>
      </c>
      <c r="H173" s="126">
        <f t="shared" ref="H173:H236" si="23">IF(B173="","",IF(F173=0,0,(E173/360*D173)*F173))</f>
        <v>3161.6126324159463</v>
      </c>
      <c r="I173" s="126">
        <f t="shared" ref="I173:I236" si="24">IF(B173="","",IF($I$43&lt;&gt;"",H173*0.16,0))</f>
        <v>0</v>
      </c>
      <c r="J173" s="126">
        <f>IF(B173="","",IF(F173=0,0,F173*Catálogos!$R$1))</f>
        <v>245.50917766819256</v>
      </c>
      <c r="K173" s="126">
        <f>IF(B173="","",IF(Catálogos!$K$10=1,Carátula!$F$17*Catálogos!$R$4,0))</f>
        <v>199.92</v>
      </c>
      <c r="L173" s="126">
        <f>IF(B173="","",IF(F173=0,0,CAT!H136))</f>
        <v>299</v>
      </c>
      <c r="M173" s="115"/>
      <c r="N173" s="126">
        <f t="shared" si="17"/>
        <v>0</v>
      </c>
      <c r="O173" s="126">
        <f t="shared" ref="O173:O236" si="25">IF(B173="","",G173+H173+I173+J173+K173+L173)</f>
        <v>6248.1882193308102</v>
      </c>
      <c r="P173" s="126">
        <f t="shared" si="19"/>
        <v>406839.8163710743</v>
      </c>
      <c r="Q173" s="127">
        <f t="shared" si="20"/>
        <v>1</v>
      </c>
    </row>
    <row r="174" spans="2:17" x14ac:dyDescent="0.25">
      <c r="B174" s="122">
        <f t="shared" si="21"/>
        <v>131</v>
      </c>
      <c r="C174" s="123">
        <f>IF(B174="","",'Fecha Pago'!K134)</f>
        <v>49951</v>
      </c>
      <c r="D174" s="124">
        <f>IF(B174="","",'Fecha Pago'!L134)</f>
        <v>30.4</v>
      </c>
      <c r="E174" s="125">
        <f t="shared" si="18"/>
        <v>9.1499999999999998E-2</v>
      </c>
      <c r="F174" s="126">
        <f t="shared" si="22"/>
        <v>406839.8163710743</v>
      </c>
      <c r="G174" s="126">
        <f>IF(B174="","",IF(F174=0,0,MIN(F174,IF(Catálogos!$N$6=1,Prepagos!C133,IF(Catálogos!$N$6=2,Prepagos!D133,IF(Catálogos!$N$6=3,Prepagos!E133,))))))</f>
        <v>2360.2433938354498</v>
      </c>
      <c r="H174" s="126">
        <f t="shared" si="23"/>
        <v>3143.515647827167</v>
      </c>
      <c r="I174" s="126">
        <f t="shared" si="24"/>
        <v>0</v>
      </c>
      <c r="J174" s="126">
        <f>IF(B174="","",IF(F174=0,0,F174*Catálogos!$R$1))</f>
        <v>244.10388982264456</v>
      </c>
      <c r="K174" s="126">
        <f>IF(B174="","",IF(Catálogos!$K$10=1,Carátula!$F$17*Catálogos!$R$4,0))</f>
        <v>199.92</v>
      </c>
      <c r="L174" s="126">
        <f>IF(B174="","",IF(F174=0,0,CAT!H137))</f>
        <v>299</v>
      </c>
      <c r="M174" s="115"/>
      <c r="N174" s="126">
        <f t="shared" si="17"/>
        <v>0</v>
      </c>
      <c r="O174" s="126">
        <f t="shared" si="25"/>
        <v>6246.7829314852615</v>
      </c>
      <c r="P174" s="126">
        <f t="shared" si="19"/>
        <v>404479.57297723886</v>
      </c>
      <c r="Q174" s="127">
        <f t="shared" si="20"/>
        <v>1</v>
      </c>
    </row>
    <row r="175" spans="2:17" x14ac:dyDescent="0.25">
      <c r="B175" s="122">
        <f t="shared" si="21"/>
        <v>132</v>
      </c>
      <c r="C175" s="123">
        <f>IF(B175="","",'Fecha Pago'!K135)</f>
        <v>49982</v>
      </c>
      <c r="D175" s="124">
        <f>IF(B175="","",'Fecha Pago'!L135)</f>
        <v>30.4</v>
      </c>
      <c r="E175" s="125">
        <f t="shared" si="18"/>
        <v>9.1499999999999998E-2</v>
      </c>
      <c r="F175" s="126">
        <f t="shared" si="22"/>
        <v>404479.57297723886</v>
      </c>
      <c r="G175" s="126">
        <f>IF(B175="","",IF(F175=0,0,MIN(F175,IF(Catálogos!$N$6=1,Prepagos!C134,IF(Catálogos!$N$6=2,Prepagos!D134,IF(Catálogos!$N$6=3,Prepagos!E134,))))))</f>
        <v>2378.4802077918184</v>
      </c>
      <c r="H175" s="126">
        <f t="shared" si="23"/>
        <v>3125.2788338707983</v>
      </c>
      <c r="I175" s="126">
        <f t="shared" si="24"/>
        <v>0</v>
      </c>
      <c r="J175" s="126">
        <f>IF(B175="","",IF(F175=0,0,F175*Catálogos!$R$1))</f>
        <v>242.6877437863433</v>
      </c>
      <c r="K175" s="126">
        <f>IF(B175="","",IF(Catálogos!$K$10=1,Carátula!$F$17*Catálogos!$R$4,0))</f>
        <v>199.92</v>
      </c>
      <c r="L175" s="126">
        <f>IF(B175="","",IF(F175=0,0,CAT!H138))</f>
        <v>299</v>
      </c>
      <c r="M175" s="115"/>
      <c r="N175" s="126">
        <f t="shared" si="17"/>
        <v>0</v>
      </c>
      <c r="O175" s="126">
        <f t="shared" si="25"/>
        <v>6245.3667854489604</v>
      </c>
      <c r="P175" s="126">
        <f t="shared" si="19"/>
        <v>402101.09276944702</v>
      </c>
      <c r="Q175" s="127">
        <f t="shared" si="20"/>
        <v>1</v>
      </c>
    </row>
    <row r="176" spans="2:17" x14ac:dyDescent="0.25">
      <c r="B176" s="122">
        <f t="shared" si="21"/>
        <v>133</v>
      </c>
      <c r="C176" s="123">
        <f>IF(B176="","",'Fecha Pago'!K136)</f>
        <v>50012</v>
      </c>
      <c r="D176" s="124">
        <f>IF(B176="","",'Fecha Pago'!L136)</f>
        <v>30.4</v>
      </c>
      <c r="E176" s="125">
        <f t="shared" si="18"/>
        <v>9.1499999999999998E-2</v>
      </c>
      <c r="F176" s="126">
        <f t="shared" si="22"/>
        <v>402101.09276944702</v>
      </c>
      <c r="G176" s="126">
        <f>IF(B176="","",IF(F176=0,0,MIN(F176,IF(Catálogos!$N$6=1,Prepagos!C135,IF(Catálogos!$N$6=2,Prepagos!D135,IF(Catálogos!$N$6=3,Prepagos!E135,))))))</f>
        <v>2396.8579315306902</v>
      </c>
      <c r="H176" s="126">
        <f t="shared" si="23"/>
        <v>3106.901110131927</v>
      </c>
      <c r="I176" s="126">
        <f t="shared" si="24"/>
        <v>0</v>
      </c>
      <c r="J176" s="126">
        <f>IF(B176="","",IF(F176=0,0,F176*Catálogos!$R$1))</f>
        <v>241.26065566166818</v>
      </c>
      <c r="K176" s="126">
        <f>IF(B176="","",IF(Catálogos!$K$10=1,Carátula!$F$17*Catálogos!$R$4,0))</f>
        <v>199.92</v>
      </c>
      <c r="L176" s="126">
        <f>IF(B176="","",IF(F176=0,0,CAT!H139))</f>
        <v>299</v>
      </c>
      <c r="M176" s="115"/>
      <c r="N176" s="126">
        <f t="shared" si="17"/>
        <v>0</v>
      </c>
      <c r="O176" s="126">
        <f t="shared" si="25"/>
        <v>6243.9396973242856</v>
      </c>
      <c r="P176" s="126">
        <f t="shared" si="19"/>
        <v>399704.23483791633</v>
      </c>
      <c r="Q176" s="127">
        <f t="shared" si="20"/>
        <v>1</v>
      </c>
    </row>
    <row r="177" spans="2:17" x14ac:dyDescent="0.25">
      <c r="B177" s="122">
        <f t="shared" si="21"/>
        <v>134</v>
      </c>
      <c r="C177" s="123">
        <f>IF(B177="","",'Fecha Pago'!K137)</f>
        <v>50043</v>
      </c>
      <c r="D177" s="124">
        <f>IF(B177="","",'Fecha Pago'!L137)</f>
        <v>30.4</v>
      </c>
      <c r="E177" s="125">
        <f t="shared" si="18"/>
        <v>9.1499999999999998E-2</v>
      </c>
      <c r="F177" s="126">
        <f t="shared" si="22"/>
        <v>399704.23483791633</v>
      </c>
      <c r="G177" s="126">
        <f>IF(B177="","",IF(F177=0,0,MIN(F177,IF(Catálogos!$N$6=1,Prepagos!C136,IF(Catálogos!$N$6=2,Prepagos!D136,IF(Catálogos!$N$6=3,Prepagos!E136,))))))</f>
        <v>2415.3776538149837</v>
      </c>
      <c r="H177" s="126">
        <f t="shared" si="23"/>
        <v>3088.3813878476331</v>
      </c>
      <c r="I177" s="126">
        <f t="shared" si="24"/>
        <v>0</v>
      </c>
      <c r="J177" s="126">
        <f>IF(B177="","",IF(F177=0,0,F177*Catálogos!$R$1))</f>
        <v>239.82254090274978</v>
      </c>
      <c r="K177" s="126">
        <f>IF(B177="","",IF(Catálogos!$K$10=1,Carátula!$F$17*Catálogos!$R$4,0))</f>
        <v>199.92</v>
      </c>
      <c r="L177" s="126">
        <f>IF(B177="","",IF(F177=0,0,CAT!H140))</f>
        <v>299</v>
      </c>
      <c r="M177" s="115"/>
      <c r="N177" s="126">
        <f t="shared" si="17"/>
        <v>0</v>
      </c>
      <c r="O177" s="126">
        <f t="shared" si="25"/>
        <v>6242.5015825653672</v>
      </c>
      <c r="P177" s="126">
        <f t="shared" si="19"/>
        <v>397288.85718410136</v>
      </c>
      <c r="Q177" s="127">
        <f t="shared" si="20"/>
        <v>1</v>
      </c>
    </row>
    <row r="178" spans="2:17" x14ac:dyDescent="0.25">
      <c r="B178" s="122">
        <f t="shared" si="21"/>
        <v>135</v>
      </c>
      <c r="C178" s="123">
        <f>IF(B178="","",'Fecha Pago'!K138)</f>
        <v>50074</v>
      </c>
      <c r="D178" s="124">
        <f>IF(B178="","",'Fecha Pago'!L138)</f>
        <v>30.4</v>
      </c>
      <c r="E178" s="125">
        <f t="shared" si="18"/>
        <v>9.1499999999999998E-2</v>
      </c>
      <c r="F178" s="126">
        <f t="shared" si="22"/>
        <v>397288.85718410136</v>
      </c>
      <c r="G178" s="126">
        <f>IF(B178="","",IF(F178=0,0,MIN(F178,IF(Catálogos!$N$6=1,Prepagos!C137,IF(Catálogos!$N$6=2,Prepagos!D137,IF(Catálogos!$N$6=3,Prepagos!E137,))))))</f>
        <v>2434.0404718201276</v>
      </c>
      <c r="H178" s="126">
        <f t="shared" si="23"/>
        <v>3069.7185698424896</v>
      </c>
      <c r="I178" s="126">
        <f t="shared" si="24"/>
        <v>0</v>
      </c>
      <c r="J178" s="126">
        <f>IF(B178="","",IF(F178=0,0,F178*Catálogos!$R$1))</f>
        <v>238.37331431046078</v>
      </c>
      <c r="K178" s="126">
        <f>IF(B178="","",IF(Catálogos!$K$10=1,Carátula!$F$17*Catálogos!$R$4,0))</f>
        <v>199.92</v>
      </c>
      <c r="L178" s="126">
        <f>IF(B178="","",IF(F178=0,0,CAT!H141))</f>
        <v>299</v>
      </c>
      <c r="M178" s="115"/>
      <c r="N178" s="126">
        <f t="shared" si="17"/>
        <v>0</v>
      </c>
      <c r="O178" s="126">
        <f t="shared" si="25"/>
        <v>6241.0523559730782</v>
      </c>
      <c r="P178" s="126">
        <f t="shared" si="19"/>
        <v>394854.81671228126</v>
      </c>
      <c r="Q178" s="127">
        <f t="shared" si="20"/>
        <v>1</v>
      </c>
    </row>
    <row r="179" spans="2:17" x14ac:dyDescent="0.25">
      <c r="B179" s="122">
        <f t="shared" si="21"/>
        <v>136</v>
      </c>
      <c r="C179" s="123">
        <f>IF(B179="","",'Fecha Pago'!K139)</f>
        <v>50102</v>
      </c>
      <c r="D179" s="124">
        <f>IF(B179="","",'Fecha Pago'!L139)</f>
        <v>30.4</v>
      </c>
      <c r="E179" s="125">
        <f t="shared" si="18"/>
        <v>9.1499999999999998E-2</v>
      </c>
      <c r="F179" s="126">
        <f t="shared" si="22"/>
        <v>394854.81671228126</v>
      </c>
      <c r="G179" s="126">
        <f>IF(B179="","",IF(F179=0,0,MIN(F179,IF(Catálogos!$N$6=1,Prepagos!C138,IF(Catálogos!$N$6=2,Prepagos!D138,IF(Catálogos!$N$6=3,Prepagos!E138,))))))</f>
        <v>2452.8474911990575</v>
      </c>
      <c r="H179" s="126">
        <f t="shared" si="23"/>
        <v>3050.9115504635593</v>
      </c>
      <c r="I179" s="126">
        <f t="shared" si="24"/>
        <v>0</v>
      </c>
      <c r="J179" s="126">
        <f>IF(B179="","",IF(F179=0,0,F179*Catálogos!$R$1))</f>
        <v>236.91289002736875</v>
      </c>
      <c r="K179" s="126">
        <f>IF(B179="","",IF(Catálogos!$K$10=1,Carátula!$F$17*Catálogos!$R$4,0))</f>
        <v>199.92</v>
      </c>
      <c r="L179" s="126">
        <f>IF(B179="","",IF(F179=0,0,CAT!H142))</f>
        <v>299</v>
      </c>
      <c r="M179" s="115"/>
      <c r="N179" s="126">
        <f t="shared" si="17"/>
        <v>0</v>
      </c>
      <c r="O179" s="126">
        <f t="shared" si="25"/>
        <v>6239.5919316899863</v>
      </c>
      <c r="P179" s="126">
        <f t="shared" si="19"/>
        <v>392401.96922108222</v>
      </c>
      <c r="Q179" s="127">
        <f t="shared" si="20"/>
        <v>1</v>
      </c>
    </row>
    <row r="180" spans="2:17" x14ac:dyDescent="0.25">
      <c r="B180" s="122">
        <f t="shared" si="21"/>
        <v>137</v>
      </c>
      <c r="C180" s="123">
        <f>IF(B180="","",'Fecha Pago'!K140)</f>
        <v>50133</v>
      </c>
      <c r="D180" s="124">
        <f>IF(B180="","",'Fecha Pago'!L140)</f>
        <v>30.4</v>
      </c>
      <c r="E180" s="125">
        <f t="shared" si="18"/>
        <v>9.1499999999999998E-2</v>
      </c>
      <c r="F180" s="126">
        <f t="shared" si="22"/>
        <v>392401.96922108222</v>
      </c>
      <c r="G180" s="126">
        <f>IF(B180="","",IF(F180=0,0,MIN(F180,IF(Catálogos!$N$6=1,Prepagos!C139,IF(Catálogos!$N$6=2,Prepagos!D139,IF(Catálogos!$N$6=3,Prepagos!E139,))))))</f>
        <v>2471.7998261477223</v>
      </c>
      <c r="H180" s="126">
        <f t="shared" si="23"/>
        <v>3031.9592155148948</v>
      </c>
      <c r="I180" s="126">
        <f t="shared" si="24"/>
        <v>0</v>
      </c>
      <c r="J180" s="126">
        <f>IF(B180="","",IF(F180=0,0,F180*Catálogos!$R$1))</f>
        <v>235.44118153264932</v>
      </c>
      <c r="K180" s="126">
        <f>IF(B180="","",IF(Catálogos!$K$10=1,Carátula!$F$17*Catálogos!$R$4,0))</f>
        <v>199.92</v>
      </c>
      <c r="L180" s="126">
        <f>IF(B180="","",IF(F180=0,0,CAT!H143))</f>
        <v>299</v>
      </c>
      <c r="M180" s="115"/>
      <c r="N180" s="126">
        <f t="shared" si="17"/>
        <v>0</v>
      </c>
      <c r="O180" s="126">
        <f t="shared" si="25"/>
        <v>6238.1202231952666</v>
      </c>
      <c r="P180" s="126">
        <f t="shared" si="19"/>
        <v>389930.16939493449</v>
      </c>
      <c r="Q180" s="127">
        <f t="shared" si="20"/>
        <v>1</v>
      </c>
    </row>
    <row r="181" spans="2:17" x14ac:dyDescent="0.25">
      <c r="B181" s="122">
        <f t="shared" si="21"/>
        <v>138</v>
      </c>
      <c r="C181" s="123">
        <f>IF(B181="","",'Fecha Pago'!K141)</f>
        <v>50163</v>
      </c>
      <c r="D181" s="124">
        <f>IF(B181="","",'Fecha Pago'!L141)</f>
        <v>30.4</v>
      </c>
      <c r="E181" s="125">
        <f t="shared" si="18"/>
        <v>9.1499999999999998E-2</v>
      </c>
      <c r="F181" s="126">
        <f t="shared" si="22"/>
        <v>389930.16939493449</v>
      </c>
      <c r="G181" s="126">
        <f>IF(B181="","",IF(F181=0,0,MIN(F181,IF(Catálogos!$N$6=1,Prepagos!C140,IF(Catálogos!$N$6=2,Prepagos!D140,IF(Catálogos!$N$6=3,Prepagos!E140,))))))</f>
        <v>2490.8985994710906</v>
      </c>
      <c r="H181" s="126">
        <f t="shared" si="23"/>
        <v>3012.8604421915265</v>
      </c>
      <c r="I181" s="126">
        <f t="shared" si="24"/>
        <v>0</v>
      </c>
      <c r="J181" s="126">
        <f>IF(B181="","",IF(F181=0,0,F181*Catálogos!$R$1))</f>
        <v>233.95810163696066</v>
      </c>
      <c r="K181" s="126">
        <f>IF(B181="","",IF(Catálogos!$K$10=1,Carátula!$F$17*Catálogos!$R$4,0))</f>
        <v>199.92</v>
      </c>
      <c r="L181" s="126">
        <f>IF(B181="","",IF(F181=0,0,CAT!H144))</f>
        <v>299</v>
      </c>
      <c r="M181" s="115"/>
      <c r="N181" s="126">
        <f t="shared" si="17"/>
        <v>0</v>
      </c>
      <c r="O181" s="126">
        <f t="shared" si="25"/>
        <v>6236.6371432995775</v>
      </c>
      <c r="P181" s="126">
        <f t="shared" si="19"/>
        <v>387439.27079546341</v>
      </c>
      <c r="Q181" s="127">
        <f t="shared" si="20"/>
        <v>1</v>
      </c>
    </row>
    <row r="182" spans="2:17" x14ac:dyDescent="0.25">
      <c r="B182" s="122">
        <f t="shared" si="21"/>
        <v>139</v>
      </c>
      <c r="C182" s="123">
        <f>IF(B182="","",'Fecha Pago'!K142)</f>
        <v>50194</v>
      </c>
      <c r="D182" s="124">
        <f>IF(B182="","",'Fecha Pago'!L142)</f>
        <v>30.4</v>
      </c>
      <c r="E182" s="125">
        <f t="shared" si="18"/>
        <v>9.1499999999999998E-2</v>
      </c>
      <c r="F182" s="126">
        <f t="shared" si="22"/>
        <v>387439.27079546341</v>
      </c>
      <c r="G182" s="126">
        <f>IF(B182="","",IF(F182=0,0,MIN(F182,IF(Catálogos!$N$6=1,Prepagos!C141,IF(Catálogos!$N$6=2,Prepagos!D141,IF(Catálogos!$N$6=3,Prepagos!E141,))))))</f>
        <v>2510.1449426496706</v>
      </c>
      <c r="H182" s="126">
        <f t="shared" si="23"/>
        <v>2993.614099012947</v>
      </c>
      <c r="I182" s="126">
        <f t="shared" si="24"/>
        <v>0</v>
      </c>
      <c r="J182" s="126">
        <f>IF(B182="","",IF(F182=0,0,F182*Catálogos!$R$1))</f>
        <v>232.46356247727803</v>
      </c>
      <c r="K182" s="126">
        <f>IF(B182="","",IF(Catálogos!$K$10=1,Carátula!$F$17*Catálogos!$R$4,0))</f>
        <v>199.92</v>
      </c>
      <c r="L182" s="126">
        <f>IF(B182="","",IF(F182=0,0,CAT!H145))</f>
        <v>299</v>
      </c>
      <c r="M182" s="115"/>
      <c r="N182" s="126">
        <f t="shared" si="17"/>
        <v>0</v>
      </c>
      <c r="O182" s="126">
        <f t="shared" si="25"/>
        <v>6235.1426041398954</v>
      </c>
      <c r="P182" s="126">
        <f t="shared" si="19"/>
        <v>384929.12585281371</v>
      </c>
      <c r="Q182" s="127">
        <f t="shared" si="20"/>
        <v>1</v>
      </c>
    </row>
    <row r="183" spans="2:17" x14ac:dyDescent="0.25">
      <c r="B183" s="122">
        <f t="shared" si="21"/>
        <v>140</v>
      </c>
      <c r="C183" s="123">
        <f>IF(B183="","",'Fecha Pago'!K143)</f>
        <v>50224</v>
      </c>
      <c r="D183" s="124">
        <f>IF(B183="","",'Fecha Pago'!L143)</f>
        <v>30.4</v>
      </c>
      <c r="E183" s="125">
        <f t="shared" si="18"/>
        <v>9.1499999999999998E-2</v>
      </c>
      <c r="F183" s="126">
        <f t="shared" si="22"/>
        <v>384929.12585281371</v>
      </c>
      <c r="G183" s="126">
        <f>IF(B183="","",IF(F183=0,0,MIN(F183,IF(Catálogos!$N$6=1,Prepagos!C142,IF(Catálogos!$N$6=2,Prepagos!D142,IF(Catálogos!$N$6=3,Prepagos!E142,))))))</f>
        <v>2529.5399959065435</v>
      </c>
      <c r="H183" s="126">
        <f t="shared" si="23"/>
        <v>2974.2190457560737</v>
      </c>
      <c r="I183" s="126">
        <f t="shared" si="24"/>
        <v>0</v>
      </c>
      <c r="J183" s="126">
        <f>IF(B183="","",IF(F183=0,0,F183*Catálogos!$R$1))</f>
        <v>230.95747551168822</v>
      </c>
      <c r="K183" s="126">
        <f>IF(B183="","",IF(Catálogos!$K$10=1,Carátula!$F$17*Catálogos!$R$4,0))</f>
        <v>199.92</v>
      </c>
      <c r="L183" s="126">
        <f>IF(B183="","",IF(F183=0,0,CAT!H146))</f>
        <v>299</v>
      </c>
      <c r="M183" s="115"/>
      <c r="N183" s="126">
        <f t="shared" si="17"/>
        <v>0</v>
      </c>
      <c r="O183" s="126">
        <f t="shared" si="25"/>
        <v>6233.6365171743055</v>
      </c>
      <c r="P183" s="126">
        <f t="shared" si="19"/>
        <v>382399.58585690719</v>
      </c>
      <c r="Q183" s="127">
        <f t="shared" si="20"/>
        <v>1</v>
      </c>
    </row>
    <row r="184" spans="2:17" x14ac:dyDescent="0.25">
      <c r="B184" s="122">
        <f t="shared" si="21"/>
        <v>141</v>
      </c>
      <c r="C184" s="123">
        <f>IF(B184="","",'Fecha Pago'!K144)</f>
        <v>50255</v>
      </c>
      <c r="D184" s="124">
        <f>IF(B184="","",'Fecha Pago'!L144)</f>
        <v>30.4</v>
      </c>
      <c r="E184" s="125">
        <f t="shared" si="18"/>
        <v>9.1499999999999998E-2</v>
      </c>
      <c r="F184" s="126">
        <f t="shared" si="22"/>
        <v>382399.58585690719</v>
      </c>
      <c r="G184" s="126">
        <f>IF(B184="","",IF(F184=0,0,MIN(F184,IF(Catálogos!$N$6=1,Prepagos!C143,IF(Catálogos!$N$6=2,Prepagos!D143,IF(Catálogos!$N$6=3,Prepagos!E143,))))))</f>
        <v>2549.0849082749146</v>
      </c>
      <c r="H184" s="126">
        <f t="shared" si="23"/>
        <v>2954.6741333877026</v>
      </c>
      <c r="I184" s="126">
        <f t="shared" si="24"/>
        <v>0</v>
      </c>
      <c r="J184" s="126">
        <f>IF(B184="","",IF(F184=0,0,F184*Catálogos!$R$1))</f>
        <v>229.43975151414429</v>
      </c>
      <c r="K184" s="126">
        <f>IF(B184="","",IF(Catálogos!$K$10=1,Carátula!$F$17*Catálogos!$R$4,0))</f>
        <v>199.92</v>
      </c>
      <c r="L184" s="126">
        <f>IF(B184="","",IF(F184=0,0,CAT!H147))</f>
        <v>299</v>
      </c>
      <c r="M184" s="115"/>
      <c r="N184" s="126">
        <f t="shared" si="17"/>
        <v>0</v>
      </c>
      <c r="O184" s="126">
        <f t="shared" si="25"/>
        <v>6232.1187931767618</v>
      </c>
      <c r="P184" s="126">
        <f t="shared" si="19"/>
        <v>379850.50094863225</v>
      </c>
      <c r="Q184" s="127">
        <f t="shared" si="20"/>
        <v>1</v>
      </c>
    </row>
    <row r="185" spans="2:17" x14ac:dyDescent="0.25">
      <c r="B185" s="122">
        <f t="shared" si="21"/>
        <v>142</v>
      </c>
      <c r="C185" s="123">
        <f>IF(B185="","",'Fecha Pago'!K145)</f>
        <v>50286</v>
      </c>
      <c r="D185" s="124">
        <f>IF(B185="","",'Fecha Pago'!L145)</f>
        <v>30.4</v>
      </c>
      <c r="E185" s="125">
        <f t="shared" si="18"/>
        <v>9.1499999999999998E-2</v>
      </c>
      <c r="F185" s="126">
        <f t="shared" si="22"/>
        <v>379850.50094863225</v>
      </c>
      <c r="G185" s="126">
        <f>IF(B185="","",IF(F185=0,0,MIN(F185,IF(Catálogos!$N$6=1,Prepagos!C144,IF(Catálogos!$N$6=2,Prepagos!D144,IF(Catálogos!$N$6=3,Prepagos!E144,))))))</f>
        <v>2568.7808376661856</v>
      </c>
      <c r="H185" s="126">
        <f t="shared" si="23"/>
        <v>2934.9782039964316</v>
      </c>
      <c r="I185" s="126">
        <f t="shared" si="24"/>
        <v>0</v>
      </c>
      <c r="J185" s="126">
        <f>IF(B185="","",IF(F185=0,0,F185*Catálogos!$R$1))</f>
        <v>227.91030056917933</v>
      </c>
      <c r="K185" s="126">
        <f>IF(B185="","",IF(Catálogos!$K$10=1,Carátula!$F$17*Catálogos!$R$4,0))</f>
        <v>199.92</v>
      </c>
      <c r="L185" s="126">
        <f>IF(B185="","",IF(F185=0,0,CAT!H148))</f>
        <v>299</v>
      </c>
      <c r="M185" s="115"/>
      <c r="N185" s="126">
        <f t="shared" si="17"/>
        <v>0</v>
      </c>
      <c r="O185" s="126">
        <f t="shared" si="25"/>
        <v>6230.5893422317968</v>
      </c>
      <c r="P185" s="126">
        <f t="shared" si="19"/>
        <v>377281.72011096607</v>
      </c>
      <c r="Q185" s="127">
        <f t="shared" si="20"/>
        <v>1</v>
      </c>
    </row>
    <row r="186" spans="2:17" x14ac:dyDescent="0.25">
      <c r="B186" s="122">
        <f t="shared" si="21"/>
        <v>143</v>
      </c>
      <c r="C186" s="123">
        <f>IF(B186="","",'Fecha Pago'!K146)</f>
        <v>50316</v>
      </c>
      <c r="D186" s="124">
        <f>IF(B186="","",'Fecha Pago'!L146)</f>
        <v>30.4</v>
      </c>
      <c r="E186" s="125">
        <f t="shared" si="18"/>
        <v>9.1499999999999998E-2</v>
      </c>
      <c r="F186" s="126">
        <f t="shared" si="22"/>
        <v>377281.72011096607</v>
      </c>
      <c r="G186" s="126">
        <f>IF(B186="","",IF(F186=0,0,MIN(F186,IF(Catálogos!$N$6=1,Prepagos!C145,IF(Catálogos!$N$6=2,Prepagos!D145,IF(Catálogos!$N$6=3,Prepagos!E145,))))))</f>
        <v>2588.6289509385529</v>
      </c>
      <c r="H186" s="126">
        <f t="shared" si="23"/>
        <v>2915.1300907240638</v>
      </c>
      <c r="I186" s="126">
        <f t="shared" si="24"/>
        <v>0</v>
      </c>
      <c r="J186" s="126">
        <f>IF(B186="","",IF(F186=0,0,F186*Catálogos!$R$1))</f>
        <v>226.36903206657962</v>
      </c>
      <c r="K186" s="126">
        <f>IF(B186="","",IF(Catálogos!$K$10=1,Carátula!$F$17*Catálogos!$R$4,0))</f>
        <v>199.92</v>
      </c>
      <c r="L186" s="126">
        <f>IF(B186="","",IF(F186=0,0,CAT!H149))</f>
        <v>299</v>
      </c>
      <c r="M186" s="115"/>
      <c r="N186" s="126">
        <f t="shared" si="17"/>
        <v>0</v>
      </c>
      <c r="O186" s="126">
        <f t="shared" si="25"/>
        <v>6229.0480737291964</v>
      </c>
      <c r="P186" s="126">
        <f t="shared" si="19"/>
        <v>374693.09116002754</v>
      </c>
      <c r="Q186" s="127">
        <f t="shared" si="20"/>
        <v>1</v>
      </c>
    </row>
    <row r="187" spans="2:17" x14ac:dyDescent="0.25">
      <c r="B187" s="122">
        <f t="shared" si="21"/>
        <v>144</v>
      </c>
      <c r="C187" s="123">
        <f>IF(B187="","",'Fecha Pago'!K147)</f>
        <v>50347</v>
      </c>
      <c r="D187" s="124">
        <f>IF(B187="","",'Fecha Pago'!L147)</f>
        <v>30.4</v>
      </c>
      <c r="E187" s="125">
        <f t="shared" si="18"/>
        <v>9.1499999999999998E-2</v>
      </c>
      <c r="F187" s="126">
        <f t="shared" si="22"/>
        <v>374693.09116002754</v>
      </c>
      <c r="G187" s="126">
        <f>IF(B187="","",IF(F187=0,0,MIN(F187,IF(Catálogos!$N$6=1,Prepagos!C146,IF(Catálogos!$N$6=2,Prepagos!D146,IF(Catálogos!$N$6=3,Prepagos!E146,))))))</f>
        <v>2608.6304239661381</v>
      </c>
      <c r="H187" s="126">
        <f t="shared" si="23"/>
        <v>2895.1286176964791</v>
      </c>
      <c r="I187" s="126">
        <f t="shared" si="24"/>
        <v>0</v>
      </c>
      <c r="J187" s="126">
        <f>IF(B187="","",IF(F187=0,0,F187*Catálogos!$R$1))</f>
        <v>224.81585469601652</v>
      </c>
      <c r="K187" s="126">
        <f>IF(B187="","",IF(Catálogos!$K$10=1,Carátula!$F$17*Catálogos!$R$4,0))</f>
        <v>199.92</v>
      </c>
      <c r="L187" s="126">
        <f>IF(B187="","",IF(F187=0,0,CAT!H150))</f>
        <v>299</v>
      </c>
      <c r="M187" s="115"/>
      <c r="N187" s="126">
        <f t="shared" si="17"/>
        <v>0</v>
      </c>
      <c r="O187" s="126">
        <f t="shared" si="25"/>
        <v>6227.4948963586339</v>
      </c>
      <c r="P187" s="126">
        <f t="shared" si="19"/>
        <v>372084.46073606139</v>
      </c>
      <c r="Q187" s="127">
        <f t="shared" si="20"/>
        <v>1</v>
      </c>
    </row>
    <row r="188" spans="2:17" x14ac:dyDescent="0.25">
      <c r="B188" s="122">
        <f t="shared" si="21"/>
        <v>145</v>
      </c>
      <c r="C188" s="123">
        <f>IF(B188="","",'Fecha Pago'!K148)</f>
        <v>50377</v>
      </c>
      <c r="D188" s="124">
        <f>IF(B188="","",'Fecha Pago'!L148)</f>
        <v>30.4</v>
      </c>
      <c r="E188" s="125">
        <f t="shared" si="18"/>
        <v>9.1499999999999998E-2</v>
      </c>
      <c r="F188" s="126">
        <f t="shared" si="22"/>
        <v>372084.46073606139</v>
      </c>
      <c r="G188" s="126">
        <f>IF(B188="","",IF(F188=0,0,MIN(F188,IF(Catálogos!$N$6=1,Prepagos!C147,IF(Catálogos!$N$6=2,Prepagos!D147,IF(Catálogos!$N$6=3,Prepagos!E147,))))))</f>
        <v>2628.7864417086498</v>
      </c>
      <c r="H188" s="126">
        <f t="shared" si="23"/>
        <v>2874.9725999539673</v>
      </c>
      <c r="I188" s="126">
        <f t="shared" si="24"/>
        <v>0</v>
      </c>
      <c r="J188" s="126">
        <f>IF(B188="","",IF(F188=0,0,F188*Catálogos!$R$1))</f>
        <v>223.25067644163681</v>
      </c>
      <c r="K188" s="126">
        <f>IF(B188="","",IF(Catálogos!$K$10=1,Carátula!$F$17*Catálogos!$R$4,0))</f>
        <v>199.92</v>
      </c>
      <c r="L188" s="126">
        <f>IF(B188="","",IF(F188=0,0,CAT!H151))</f>
        <v>299</v>
      </c>
      <c r="M188" s="115"/>
      <c r="N188" s="126">
        <f t="shared" si="17"/>
        <v>0</v>
      </c>
      <c r="O188" s="126">
        <f t="shared" si="25"/>
        <v>6225.9297181042539</v>
      </c>
      <c r="P188" s="126">
        <f t="shared" si="19"/>
        <v>369455.67429435276</v>
      </c>
      <c r="Q188" s="127">
        <f t="shared" si="20"/>
        <v>1</v>
      </c>
    </row>
    <row r="189" spans="2:17" x14ac:dyDescent="0.25">
      <c r="B189" s="122">
        <f t="shared" si="21"/>
        <v>146</v>
      </c>
      <c r="C189" s="123">
        <f>IF(B189="","",'Fecha Pago'!K149)</f>
        <v>50408</v>
      </c>
      <c r="D189" s="124">
        <f>IF(B189="","",'Fecha Pago'!L149)</f>
        <v>30.4</v>
      </c>
      <c r="E189" s="125">
        <f t="shared" si="18"/>
        <v>9.1499999999999998E-2</v>
      </c>
      <c r="F189" s="126">
        <f t="shared" si="22"/>
        <v>369455.67429435276</v>
      </c>
      <c r="G189" s="126">
        <f>IF(B189="","",IF(F189=0,0,MIN(F189,IF(Catálogos!$N$6=1,Prepagos!C148,IF(Catálogos!$N$6=2,Prepagos!D148,IF(Catálogos!$N$6=3,Prepagos!E148,))))))</f>
        <v>2649.0981982815856</v>
      </c>
      <c r="H189" s="126">
        <f t="shared" si="23"/>
        <v>2854.660843381032</v>
      </c>
      <c r="I189" s="126">
        <f t="shared" si="24"/>
        <v>0</v>
      </c>
      <c r="J189" s="126">
        <f>IF(B189="","",IF(F189=0,0,F189*Catálogos!$R$1))</f>
        <v>221.67340457661163</v>
      </c>
      <c r="K189" s="126">
        <f>IF(B189="","",IF(Catálogos!$K$10=1,Carátula!$F$17*Catálogos!$R$4,0))</f>
        <v>199.92</v>
      </c>
      <c r="L189" s="126">
        <f>IF(B189="","",IF(F189=0,0,CAT!H152))</f>
        <v>299</v>
      </c>
      <c r="M189" s="115"/>
      <c r="N189" s="126">
        <f t="shared" si="17"/>
        <v>0</v>
      </c>
      <c r="O189" s="126">
        <f t="shared" si="25"/>
        <v>6224.3524462392288</v>
      </c>
      <c r="P189" s="126">
        <f t="shared" si="19"/>
        <v>366806.57609607116</v>
      </c>
      <c r="Q189" s="127">
        <f t="shared" si="20"/>
        <v>1</v>
      </c>
    </row>
    <row r="190" spans="2:17" x14ac:dyDescent="0.25">
      <c r="B190" s="122">
        <f t="shared" si="21"/>
        <v>147</v>
      </c>
      <c r="C190" s="123">
        <f>IF(B190="","",'Fecha Pago'!K150)</f>
        <v>50439</v>
      </c>
      <c r="D190" s="124">
        <f>IF(B190="","",'Fecha Pago'!L150)</f>
        <v>30.4</v>
      </c>
      <c r="E190" s="125">
        <f t="shared" si="18"/>
        <v>9.1499999999999998E-2</v>
      </c>
      <c r="F190" s="126">
        <f t="shared" si="22"/>
        <v>366806.57609607116</v>
      </c>
      <c r="G190" s="126">
        <f>IF(B190="","",IF(F190=0,0,MIN(F190,IF(Catálogos!$N$6=1,Prepagos!C149,IF(Catálogos!$N$6=2,Prepagos!D149,IF(Catálogos!$N$6=3,Prepagos!E149,))))))</f>
        <v>2669.5668970269744</v>
      </c>
      <c r="H190" s="126">
        <f t="shared" si="23"/>
        <v>2834.1921446356428</v>
      </c>
      <c r="I190" s="126">
        <f t="shared" si="24"/>
        <v>0</v>
      </c>
      <c r="J190" s="126">
        <f>IF(B190="","",IF(F190=0,0,F190*Catálogos!$R$1))</f>
        <v>220.08394565764269</v>
      </c>
      <c r="K190" s="126">
        <f>IF(B190="","",IF(Catálogos!$K$10=1,Carátula!$F$17*Catálogos!$R$4,0))</f>
        <v>199.92</v>
      </c>
      <c r="L190" s="126">
        <f>IF(B190="","",IF(F190=0,0,CAT!H153))</f>
        <v>299</v>
      </c>
      <c r="M190" s="115"/>
      <c r="N190" s="126">
        <f t="shared" si="17"/>
        <v>0</v>
      </c>
      <c r="O190" s="126">
        <f t="shared" si="25"/>
        <v>6222.7629873202595</v>
      </c>
      <c r="P190" s="126">
        <f t="shared" si="19"/>
        <v>364137.0091990442</v>
      </c>
      <c r="Q190" s="127">
        <f t="shared" si="20"/>
        <v>1</v>
      </c>
    </row>
    <row r="191" spans="2:17" x14ac:dyDescent="0.25">
      <c r="B191" s="122">
        <f t="shared" si="21"/>
        <v>148</v>
      </c>
      <c r="C191" s="123">
        <f>IF(B191="","",'Fecha Pago'!K151)</f>
        <v>50467</v>
      </c>
      <c r="D191" s="124">
        <f>IF(B191="","",'Fecha Pago'!L151)</f>
        <v>30.4</v>
      </c>
      <c r="E191" s="125">
        <f t="shared" si="18"/>
        <v>9.1499999999999998E-2</v>
      </c>
      <c r="F191" s="126">
        <f t="shared" si="22"/>
        <v>364137.0091990442</v>
      </c>
      <c r="G191" s="126">
        <f>IF(B191="","",IF(F191=0,0,MIN(F191,IF(Catálogos!$N$6=1,Prepagos!C150,IF(Catálogos!$N$6=2,Prepagos!D150,IF(Catálogos!$N$6=3,Prepagos!E150,))))))</f>
        <v>2690.1937505846695</v>
      </c>
      <c r="H191" s="126">
        <f t="shared" si="23"/>
        <v>2813.5652910779477</v>
      </c>
      <c r="I191" s="126">
        <f t="shared" si="24"/>
        <v>0</v>
      </c>
      <c r="J191" s="126">
        <f>IF(B191="","",IF(F191=0,0,F191*Catálogos!$R$1))</f>
        <v>218.48220551942651</v>
      </c>
      <c r="K191" s="126">
        <f>IF(B191="","",IF(Catálogos!$K$10=1,Carátula!$F$17*Catálogos!$R$4,0))</f>
        <v>199.92</v>
      </c>
      <c r="L191" s="126">
        <f>IF(B191="","",IF(F191=0,0,CAT!H154))</f>
        <v>299</v>
      </c>
      <c r="M191" s="115"/>
      <c r="N191" s="126">
        <f t="shared" si="17"/>
        <v>0</v>
      </c>
      <c r="O191" s="126">
        <f t="shared" si="25"/>
        <v>6221.1612471820436</v>
      </c>
      <c r="P191" s="126">
        <f t="shared" si="19"/>
        <v>361446.81544845953</v>
      </c>
      <c r="Q191" s="127">
        <f t="shared" si="20"/>
        <v>1</v>
      </c>
    </row>
    <row r="192" spans="2:17" x14ac:dyDescent="0.25">
      <c r="B192" s="122">
        <f t="shared" si="21"/>
        <v>149</v>
      </c>
      <c r="C192" s="123">
        <f>IF(B192="","",'Fecha Pago'!K152)</f>
        <v>50498</v>
      </c>
      <c r="D192" s="124">
        <f>IF(B192="","",'Fecha Pago'!L152)</f>
        <v>30.4</v>
      </c>
      <c r="E192" s="125">
        <f t="shared" si="18"/>
        <v>9.1499999999999998E-2</v>
      </c>
      <c r="F192" s="126">
        <f t="shared" si="22"/>
        <v>361446.81544845953</v>
      </c>
      <c r="G192" s="126">
        <f>IF(B192="","",IF(F192=0,0,MIN(F192,IF(Catálogos!$N$6=1,Prepagos!C151,IF(Catálogos!$N$6=2,Prepagos!D151,IF(Catálogos!$N$6=3,Prepagos!E151,))))))</f>
        <v>2710.9799809641872</v>
      </c>
      <c r="H192" s="126">
        <f t="shared" si="23"/>
        <v>2792.7790606984304</v>
      </c>
      <c r="I192" s="126">
        <f t="shared" si="24"/>
        <v>0</v>
      </c>
      <c r="J192" s="126">
        <f>IF(B192="","",IF(F192=0,0,F192*Catálogos!$R$1))</f>
        <v>216.86808926907571</v>
      </c>
      <c r="K192" s="126">
        <f>IF(B192="","",IF(Catálogos!$K$10=1,Carátula!$F$17*Catálogos!$R$4,0))</f>
        <v>199.92</v>
      </c>
      <c r="L192" s="126">
        <f>IF(B192="","",IF(F192=0,0,CAT!H155))</f>
        <v>299</v>
      </c>
      <c r="M192" s="115"/>
      <c r="N192" s="126">
        <f t="shared" si="17"/>
        <v>0</v>
      </c>
      <c r="O192" s="126">
        <f t="shared" si="25"/>
        <v>6219.5471309316927</v>
      </c>
      <c r="P192" s="126">
        <f t="shared" si="19"/>
        <v>358735.83546749532</v>
      </c>
      <c r="Q192" s="127">
        <f t="shared" si="20"/>
        <v>1</v>
      </c>
    </row>
    <row r="193" spans="2:17" x14ac:dyDescent="0.25">
      <c r="B193" s="122">
        <f t="shared" si="21"/>
        <v>150</v>
      </c>
      <c r="C193" s="123">
        <f>IF(B193="","",'Fecha Pago'!K153)</f>
        <v>50528</v>
      </c>
      <c r="D193" s="124">
        <f>IF(B193="","",'Fecha Pago'!L153)</f>
        <v>30.4</v>
      </c>
      <c r="E193" s="125">
        <f t="shared" si="18"/>
        <v>9.1499999999999998E-2</v>
      </c>
      <c r="F193" s="126">
        <f t="shared" si="22"/>
        <v>358735.83546749532</v>
      </c>
      <c r="G193" s="126">
        <f>IF(B193="","",IF(F193=0,0,MIN(F193,IF(Catálogos!$N$6=1,Prepagos!C152,IF(Catálogos!$N$6=2,Prepagos!D152,IF(Catálogos!$N$6=3,Prepagos!E152,))))))</f>
        <v>2731.9268196171038</v>
      </c>
      <c r="H193" s="126">
        <f t="shared" si="23"/>
        <v>2771.8322220455134</v>
      </c>
      <c r="I193" s="126">
        <f t="shared" si="24"/>
        <v>0</v>
      </c>
      <c r="J193" s="126">
        <f>IF(B193="","",IF(F193=0,0,F193*Catálogos!$R$1))</f>
        <v>215.24150128049718</v>
      </c>
      <c r="K193" s="126">
        <f>IF(B193="","",IF(Catálogos!$K$10=1,Carátula!$F$17*Catálogos!$R$4,0))</f>
        <v>199.92</v>
      </c>
      <c r="L193" s="126">
        <f>IF(B193="","",IF(F193=0,0,CAT!H156))</f>
        <v>299</v>
      </c>
      <c r="M193" s="115"/>
      <c r="N193" s="126">
        <f t="shared" si="17"/>
        <v>0</v>
      </c>
      <c r="O193" s="126">
        <f t="shared" si="25"/>
        <v>6217.920542943114</v>
      </c>
      <c r="P193" s="126">
        <f t="shared" si="19"/>
        <v>356003.90864787821</v>
      </c>
      <c r="Q193" s="127">
        <f t="shared" si="20"/>
        <v>1</v>
      </c>
    </row>
    <row r="194" spans="2:17" x14ac:dyDescent="0.25">
      <c r="B194" s="122">
        <f t="shared" si="21"/>
        <v>151</v>
      </c>
      <c r="C194" s="123">
        <f>IF(B194="","",'Fecha Pago'!K154)</f>
        <v>50559</v>
      </c>
      <c r="D194" s="124">
        <f>IF(B194="","",'Fecha Pago'!L154)</f>
        <v>30.4</v>
      </c>
      <c r="E194" s="125">
        <f t="shared" si="18"/>
        <v>9.1499999999999998E-2</v>
      </c>
      <c r="F194" s="126">
        <f t="shared" si="22"/>
        <v>356003.90864787821</v>
      </c>
      <c r="G194" s="126">
        <f>IF(B194="","",IF(F194=0,0,MIN(F194,IF(Catálogos!$N$6=1,Prepagos!C153,IF(Catálogos!$N$6=2,Prepagos!D153,IF(Catálogos!$N$6=3,Prepagos!E153,))))))</f>
        <v>2753.0355075100115</v>
      </c>
      <c r="H194" s="126">
        <f t="shared" si="23"/>
        <v>2750.7235341526052</v>
      </c>
      <c r="I194" s="126">
        <f t="shared" si="24"/>
        <v>0</v>
      </c>
      <c r="J194" s="126">
        <f>IF(B194="","",IF(F194=0,0,F194*Catálogos!$R$1))</f>
        <v>213.6023451887269</v>
      </c>
      <c r="K194" s="126">
        <f>IF(B194="","",IF(Catálogos!$K$10=1,Carátula!$F$17*Catálogos!$R$4,0))</f>
        <v>199.92</v>
      </c>
      <c r="L194" s="126">
        <f>IF(B194="","",IF(F194=0,0,CAT!H157))</f>
        <v>299</v>
      </c>
      <c r="M194" s="115"/>
      <c r="N194" s="126">
        <f t="shared" si="17"/>
        <v>0</v>
      </c>
      <c r="O194" s="126">
        <f t="shared" si="25"/>
        <v>6216.281386851344</v>
      </c>
      <c r="P194" s="126">
        <f t="shared" si="19"/>
        <v>353250.8731403682</v>
      </c>
      <c r="Q194" s="127">
        <f t="shared" si="20"/>
        <v>1</v>
      </c>
    </row>
    <row r="195" spans="2:17" x14ac:dyDescent="0.25">
      <c r="B195" s="122">
        <f t="shared" si="21"/>
        <v>152</v>
      </c>
      <c r="C195" s="123">
        <f>IF(B195="","",'Fecha Pago'!K155)</f>
        <v>50589</v>
      </c>
      <c r="D195" s="124">
        <f>IF(B195="","",'Fecha Pago'!L155)</f>
        <v>30.4</v>
      </c>
      <c r="E195" s="125">
        <f t="shared" si="18"/>
        <v>9.1499999999999998E-2</v>
      </c>
      <c r="F195" s="126">
        <f t="shared" si="22"/>
        <v>353250.8731403682</v>
      </c>
      <c r="G195" s="126">
        <f>IF(B195="","",IF(F195=0,0,MIN(F195,IF(Catálogos!$N$6=1,Prepagos!C154,IF(Catálogos!$N$6=2,Prepagos!D154,IF(Catálogos!$N$6=3,Prepagos!E154,))))))</f>
        <v>2774.3072951980389</v>
      </c>
      <c r="H195" s="126">
        <f t="shared" si="23"/>
        <v>2729.4517464645778</v>
      </c>
      <c r="I195" s="126">
        <f t="shared" si="24"/>
        <v>0</v>
      </c>
      <c r="J195" s="126">
        <f>IF(B195="","",IF(F195=0,0,F195*Catálogos!$R$1))</f>
        <v>211.9505238842209</v>
      </c>
      <c r="K195" s="126">
        <f>IF(B195="","",IF(Catálogos!$K$10=1,Carátula!$F$17*Catálogos!$R$4,0))</f>
        <v>199.92</v>
      </c>
      <c r="L195" s="126">
        <f>IF(B195="","",IF(F195=0,0,CAT!H158))</f>
        <v>299</v>
      </c>
      <c r="M195" s="115"/>
      <c r="N195" s="126">
        <f t="shared" si="17"/>
        <v>0</v>
      </c>
      <c r="O195" s="126">
        <f t="shared" si="25"/>
        <v>6214.6295655468384</v>
      </c>
      <c r="P195" s="126">
        <f t="shared" si="19"/>
        <v>350476.56584517017</v>
      </c>
      <c r="Q195" s="127">
        <f t="shared" si="20"/>
        <v>1</v>
      </c>
    </row>
    <row r="196" spans="2:17" x14ac:dyDescent="0.25">
      <c r="B196" s="122">
        <f t="shared" si="21"/>
        <v>153</v>
      </c>
      <c r="C196" s="123">
        <f>IF(B196="","",'Fecha Pago'!K156)</f>
        <v>50620</v>
      </c>
      <c r="D196" s="124">
        <f>IF(B196="","",'Fecha Pago'!L156)</f>
        <v>30.4</v>
      </c>
      <c r="E196" s="125">
        <f t="shared" si="18"/>
        <v>9.1499999999999998E-2</v>
      </c>
      <c r="F196" s="126">
        <f t="shared" si="22"/>
        <v>350476.56584517017</v>
      </c>
      <c r="G196" s="126">
        <f>IF(B196="","",IF(F196=0,0,MIN(F196,IF(Catálogos!$N$6=1,Prepagos!C155,IF(Catálogos!$N$6=2,Prepagos!D155,IF(Catálogos!$N$6=3,Prepagos!E155,))))))</f>
        <v>2795.7434428989363</v>
      </c>
      <c r="H196" s="126">
        <f t="shared" si="23"/>
        <v>2708.0155987636813</v>
      </c>
      <c r="I196" s="126">
        <f t="shared" si="24"/>
        <v>0</v>
      </c>
      <c r="J196" s="126">
        <f>IF(B196="","",IF(F196=0,0,F196*Catálogos!$R$1))</f>
        <v>210.28593950710209</v>
      </c>
      <c r="K196" s="126">
        <f>IF(B196="","",IF(Catálogos!$K$10=1,Carátula!$F$17*Catálogos!$R$4,0))</f>
        <v>199.92</v>
      </c>
      <c r="L196" s="126">
        <f>IF(B196="","",IF(F196=0,0,CAT!H159))</f>
        <v>299</v>
      </c>
      <c r="M196" s="115"/>
      <c r="N196" s="126">
        <f t="shared" si="17"/>
        <v>0</v>
      </c>
      <c r="O196" s="126">
        <f t="shared" si="25"/>
        <v>6212.9649811697191</v>
      </c>
      <c r="P196" s="126">
        <f t="shared" si="19"/>
        <v>347680.82240227121</v>
      </c>
      <c r="Q196" s="127">
        <f t="shared" si="20"/>
        <v>1</v>
      </c>
    </row>
    <row r="197" spans="2:17" x14ac:dyDescent="0.25">
      <c r="B197" s="122">
        <f t="shared" si="21"/>
        <v>154</v>
      </c>
      <c r="C197" s="123">
        <f>IF(B197="","",'Fecha Pago'!K157)</f>
        <v>50651</v>
      </c>
      <c r="D197" s="124">
        <f>IF(B197="","",'Fecha Pago'!L157)</f>
        <v>30.4</v>
      </c>
      <c r="E197" s="125">
        <f t="shared" si="18"/>
        <v>9.1499999999999998E-2</v>
      </c>
      <c r="F197" s="126">
        <f t="shared" si="22"/>
        <v>347680.82240227121</v>
      </c>
      <c r="G197" s="126">
        <f>IF(B197="","",IF(F197=0,0,MIN(F197,IF(Catálogos!$N$6=1,Prepagos!C156,IF(Catálogos!$N$6=2,Prepagos!D156,IF(Catálogos!$N$6=3,Prepagos!E156,))))))</f>
        <v>2817.3452205677349</v>
      </c>
      <c r="H197" s="126">
        <f t="shared" si="23"/>
        <v>2686.4138210948818</v>
      </c>
      <c r="I197" s="126">
        <f t="shared" si="24"/>
        <v>0</v>
      </c>
      <c r="J197" s="126">
        <f>IF(B197="","",IF(F197=0,0,F197*Catálogos!$R$1))</f>
        <v>208.6084934413627</v>
      </c>
      <c r="K197" s="126">
        <f>IF(B197="","",IF(Catálogos!$K$10=1,Carátula!$F$17*Catálogos!$R$4,0))</f>
        <v>199.92</v>
      </c>
      <c r="L197" s="126">
        <f>IF(B197="","",IF(F197=0,0,CAT!H160))</f>
        <v>299</v>
      </c>
      <c r="M197" s="115"/>
      <c r="N197" s="126">
        <f t="shared" si="17"/>
        <v>0</v>
      </c>
      <c r="O197" s="126">
        <f t="shared" si="25"/>
        <v>6211.2875351039802</v>
      </c>
      <c r="P197" s="126">
        <f t="shared" si="19"/>
        <v>344863.47718170349</v>
      </c>
      <c r="Q197" s="127">
        <f t="shared" si="20"/>
        <v>1</v>
      </c>
    </row>
    <row r="198" spans="2:17" x14ac:dyDescent="0.25">
      <c r="B198" s="122">
        <f t="shared" si="21"/>
        <v>155</v>
      </c>
      <c r="C198" s="123">
        <f>IF(B198="","",'Fecha Pago'!K158)</f>
        <v>50681</v>
      </c>
      <c r="D198" s="124">
        <f>IF(B198="","",'Fecha Pago'!L158)</f>
        <v>30.4</v>
      </c>
      <c r="E198" s="125">
        <f t="shared" si="18"/>
        <v>9.1499999999999998E-2</v>
      </c>
      <c r="F198" s="126">
        <f t="shared" si="22"/>
        <v>344863.47718170349</v>
      </c>
      <c r="G198" s="126">
        <f>IF(B198="","",IF(F198=0,0,MIN(F198,IF(Catálogos!$N$6=1,Prepagos!C157,IF(Catálogos!$N$6=2,Prepagos!D157,IF(Catálogos!$N$6=3,Prepagos!E157,))))))</f>
        <v>2839.1139079719883</v>
      </c>
      <c r="H198" s="126">
        <f t="shared" si="23"/>
        <v>2664.6451336906284</v>
      </c>
      <c r="I198" s="126">
        <f t="shared" si="24"/>
        <v>0</v>
      </c>
      <c r="J198" s="126">
        <f>IF(B198="","",IF(F198=0,0,F198*Catálogos!$R$1))</f>
        <v>206.91808630902207</v>
      </c>
      <c r="K198" s="126">
        <f>IF(B198="","",IF(Catálogos!$K$10=1,Carátula!$F$17*Catálogos!$R$4,0))</f>
        <v>199.92</v>
      </c>
      <c r="L198" s="126">
        <f>IF(B198="","",IF(F198=0,0,CAT!H161))</f>
        <v>299</v>
      </c>
      <c r="M198" s="115"/>
      <c r="N198" s="126">
        <f t="shared" si="17"/>
        <v>0</v>
      </c>
      <c r="O198" s="126">
        <f t="shared" si="25"/>
        <v>6209.5971279716396</v>
      </c>
      <c r="P198" s="126">
        <f t="shared" si="19"/>
        <v>342024.36327373149</v>
      </c>
      <c r="Q198" s="127">
        <f t="shared" si="20"/>
        <v>1</v>
      </c>
    </row>
    <row r="199" spans="2:17" x14ac:dyDescent="0.25">
      <c r="B199" s="122">
        <f t="shared" si="21"/>
        <v>156</v>
      </c>
      <c r="C199" s="123">
        <f>IF(B199="","",'Fecha Pago'!K159)</f>
        <v>50712</v>
      </c>
      <c r="D199" s="124">
        <f>IF(B199="","",'Fecha Pago'!L159)</f>
        <v>30.4</v>
      </c>
      <c r="E199" s="125">
        <f t="shared" si="18"/>
        <v>9.1499999999999998E-2</v>
      </c>
      <c r="F199" s="126">
        <f t="shared" si="22"/>
        <v>342024.36327373149</v>
      </c>
      <c r="G199" s="126">
        <f>IF(B199="","",IF(F199=0,0,MIN(F199,IF(Catálogos!$N$6=1,Prepagos!C158,IF(Catálogos!$N$6=2,Prepagos!D158,IF(Catálogos!$N$6=3,Prepagos!E158,))))))</f>
        <v>2861.0507947675851</v>
      </c>
      <c r="H199" s="126">
        <f t="shared" si="23"/>
        <v>2642.7082468950316</v>
      </c>
      <c r="I199" s="126">
        <f t="shared" si="24"/>
        <v>0</v>
      </c>
      <c r="J199" s="126">
        <f>IF(B199="","",IF(F199=0,0,F199*Catálogos!$R$1))</f>
        <v>205.21461796423887</v>
      </c>
      <c r="K199" s="126">
        <f>IF(B199="","",IF(Catálogos!$K$10=1,Carátula!$F$17*Catálogos!$R$4,0))</f>
        <v>199.92</v>
      </c>
      <c r="L199" s="126">
        <f>IF(B199="","",IF(F199=0,0,CAT!H162))</f>
        <v>299</v>
      </c>
      <c r="M199" s="115"/>
      <c r="N199" s="126">
        <f t="shared" si="17"/>
        <v>0</v>
      </c>
      <c r="O199" s="126">
        <f t="shared" si="25"/>
        <v>6207.8936596268559</v>
      </c>
      <c r="P199" s="126">
        <f t="shared" si="19"/>
        <v>339163.31247896393</v>
      </c>
      <c r="Q199" s="127">
        <f t="shared" si="20"/>
        <v>1</v>
      </c>
    </row>
    <row r="200" spans="2:17" x14ac:dyDescent="0.25">
      <c r="B200" s="122">
        <f t="shared" si="21"/>
        <v>157</v>
      </c>
      <c r="C200" s="123">
        <f>IF(B200="","",'Fecha Pago'!K160)</f>
        <v>50742</v>
      </c>
      <c r="D200" s="124">
        <f>IF(B200="","",'Fecha Pago'!L160)</f>
        <v>30.4</v>
      </c>
      <c r="E200" s="125">
        <f t="shared" si="18"/>
        <v>9.1499999999999998E-2</v>
      </c>
      <c r="F200" s="126">
        <f t="shared" si="22"/>
        <v>339163.31247896393</v>
      </c>
      <c r="G200" s="126">
        <f>IF(B200="","",IF(F200=0,0,MIN(F200,IF(Catálogos!$N$6=1,Prepagos!C159,IF(Catálogos!$N$6=2,Prepagos!D159,IF(Catálogos!$N$6=3,Prepagos!E159,))))))</f>
        <v>2883.157180575156</v>
      </c>
      <c r="H200" s="126">
        <f t="shared" si="23"/>
        <v>2620.6018610874607</v>
      </c>
      <c r="I200" s="126">
        <f t="shared" si="24"/>
        <v>0</v>
      </c>
      <c r="J200" s="126">
        <f>IF(B200="","",IF(F200=0,0,F200*Catálogos!$R$1))</f>
        <v>203.49798748737834</v>
      </c>
      <c r="K200" s="126">
        <f>IF(B200="","",IF(Catálogos!$K$10=1,Carátula!$F$17*Catálogos!$R$4,0))</f>
        <v>199.92</v>
      </c>
      <c r="L200" s="126">
        <f>IF(B200="","",IF(F200=0,0,CAT!H163))</f>
        <v>299</v>
      </c>
      <c r="M200" s="115"/>
      <c r="N200" s="126">
        <f t="shared" si="17"/>
        <v>0</v>
      </c>
      <c r="O200" s="126">
        <f t="shared" si="25"/>
        <v>6206.1770291499952</v>
      </c>
      <c r="P200" s="126">
        <f t="shared" si="19"/>
        <v>336280.1552983888</v>
      </c>
      <c r="Q200" s="127">
        <f t="shared" si="20"/>
        <v>1</v>
      </c>
    </row>
    <row r="201" spans="2:17" x14ac:dyDescent="0.25">
      <c r="B201" s="122">
        <f t="shared" si="21"/>
        <v>158</v>
      </c>
      <c r="C201" s="123">
        <f>IF(B201="","",'Fecha Pago'!K161)</f>
        <v>50773</v>
      </c>
      <c r="D201" s="124">
        <f>IF(B201="","",'Fecha Pago'!L161)</f>
        <v>30.4</v>
      </c>
      <c r="E201" s="125">
        <f t="shared" si="18"/>
        <v>9.1499999999999998E-2</v>
      </c>
      <c r="F201" s="126">
        <f t="shared" si="22"/>
        <v>336280.1552983888</v>
      </c>
      <c r="G201" s="126">
        <f>IF(B201="","",IF(F201=0,0,MIN(F201,IF(Catálogos!$N$6=1,Prepagos!C160,IF(Catálogos!$N$6=2,Prepagos!D160,IF(Catálogos!$N$6=3,Prepagos!E160,))))))</f>
        <v>2905.434375057067</v>
      </c>
      <c r="H201" s="126">
        <f t="shared" si="23"/>
        <v>2598.3246666055502</v>
      </c>
      <c r="I201" s="126">
        <f t="shared" si="24"/>
        <v>0</v>
      </c>
      <c r="J201" s="126">
        <f>IF(B201="","",IF(F201=0,0,F201*Catálogos!$R$1))</f>
        <v>201.76809317903326</v>
      </c>
      <c r="K201" s="126">
        <f>IF(B201="","",IF(Catálogos!$K$10=1,Carátula!$F$17*Catálogos!$R$4,0))</f>
        <v>199.92</v>
      </c>
      <c r="L201" s="126">
        <f>IF(B201="","",IF(F201=0,0,CAT!H164))</f>
        <v>299</v>
      </c>
      <c r="M201" s="115"/>
      <c r="N201" s="126">
        <f t="shared" si="17"/>
        <v>0</v>
      </c>
      <c r="O201" s="126">
        <f t="shared" si="25"/>
        <v>6204.44713484165</v>
      </c>
      <c r="P201" s="126">
        <f t="shared" si="19"/>
        <v>333374.72092333174</v>
      </c>
      <c r="Q201" s="127">
        <f t="shared" si="20"/>
        <v>1</v>
      </c>
    </row>
    <row r="202" spans="2:17" x14ac:dyDescent="0.25">
      <c r="B202" s="122">
        <f t="shared" si="21"/>
        <v>159</v>
      </c>
      <c r="C202" s="123">
        <f>IF(B202="","",'Fecha Pago'!K162)</f>
        <v>50804</v>
      </c>
      <c r="D202" s="124">
        <f>IF(B202="","",'Fecha Pago'!L162)</f>
        <v>30.4</v>
      </c>
      <c r="E202" s="125">
        <f t="shared" si="18"/>
        <v>9.1499999999999998E-2</v>
      </c>
      <c r="F202" s="126">
        <f t="shared" si="22"/>
        <v>333374.72092333174</v>
      </c>
      <c r="G202" s="126">
        <f>IF(B202="","",IF(F202=0,0,MIN(F202,IF(Catálogos!$N$6=1,Prepagos!C161,IF(Catálogos!$N$6=2,Prepagos!D161,IF(Catálogos!$N$6=3,Prepagos!E161,))))))</f>
        <v>2927.8836979950079</v>
      </c>
      <c r="H202" s="126">
        <f t="shared" si="23"/>
        <v>2575.8753436676097</v>
      </c>
      <c r="I202" s="126">
        <f t="shared" si="24"/>
        <v>0</v>
      </c>
      <c r="J202" s="126">
        <f>IF(B202="","",IF(F202=0,0,F202*Catálogos!$R$1))</f>
        <v>200.02483255399903</v>
      </c>
      <c r="K202" s="126">
        <f>IF(B202="","",IF(Catálogos!$K$10=1,Carátula!$F$17*Catálogos!$R$4,0))</f>
        <v>199.92</v>
      </c>
      <c r="L202" s="126">
        <f>IF(B202="","",IF(F202=0,0,CAT!H165))</f>
        <v>299</v>
      </c>
      <c r="M202" s="115"/>
      <c r="N202" s="126">
        <f t="shared" si="17"/>
        <v>0</v>
      </c>
      <c r="O202" s="126">
        <f t="shared" si="25"/>
        <v>6202.703874216616</v>
      </c>
      <c r="P202" s="126">
        <f t="shared" si="19"/>
        <v>330446.83722533676</v>
      </c>
      <c r="Q202" s="127">
        <f t="shared" si="20"/>
        <v>1</v>
      </c>
    </row>
    <row r="203" spans="2:17" x14ac:dyDescent="0.25">
      <c r="B203" s="122">
        <f t="shared" si="21"/>
        <v>160</v>
      </c>
      <c r="C203" s="123">
        <f>IF(B203="","",'Fecha Pago'!K163)</f>
        <v>50832</v>
      </c>
      <c r="D203" s="124">
        <f>IF(B203="","",'Fecha Pago'!L163)</f>
        <v>30.4</v>
      </c>
      <c r="E203" s="125">
        <f t="shared" si="18"/>
        <v>9.1499999999999998E-2</v>
      </c>
      <c r="F203" s="126">
        <f t="shared" si="22"/>
        <v>330446.83722533676</v>
      </c>
      <c r="G203" s="126">
        <f>IF(B203="","",IF(F203=0,0,MIN(F203,IF(Catálogos!$N$6=1,Prepagos!C162,IF(Catálogos!$N$6=2,Prepagos!D162,IF(Catálogos!$N$6=3,Prepagos!E162,))))))</f>
        <v>2950.5064793681822</v>
      </c>
      <c r="H203" s="126">
        <f t="shared" si="23"/>
        <v>2553.2525622944349</v>
      </c>
      <c r="I203" s="126">
        <f t="shared" si="24"/>
        <v>0</v>
      </c>
      <c r="J203" s="126">
        <f>IF(B203="","",IF(F203=0,0,F203*Catálogos!$R$1))</f>
        <v>198.26810233520203</v>
      </c>
      <c r="K203" s="126">
        <f>IF(B203="","",IF(Catálogos!$K$10=1,Carátula!$F$17*Catálogos!$R$4,0))</f>
        <v>199.92</v>
      </c>
      <c r="L203" s="126">
        <f>IF(B203="","",IF(F203=0,0,CAT!H166))</f>
        <v>299</v>
      </c>
      <c r="M203" s="115"/>
      <c r="N203" s="126">
        <f t="shared" si="17"/>
        <v>0</v>
      </c>
      <c r="O203" s="126">
        <f t="shared" si="25"/>
        <v>6200.9471439978197</v>
      </c>
      <c r="P203" s="126">
        <f t="shared" si="19"/>
        <v>327496.33074596856</v>
      </c>
      <c r="Q203" s="127">
        <f t="shared" si="20"/>
        <v>1</v>
      </c>
    </row>
    <row r="204" spans="2:17" x14ac:dyDescent="0.25">
      <c r="B204" s="122">
        <f t="shared" si="21"/>
        <v>161</v>
      </c>
      <c r="C204" s="123">
        <f>IF(B204="","",'Fecha Pago'!K164)</f>
        <v>50863</v>
      </c>
      <c r="D204" s="124">
        <f>IF(B204="","",'Fecha Pago'!L164)</f>
        <v>30.4</v>
      </c>
      <c r="E204" s="125">
        <f t="shared" si="18"/>
        <v>9.1499999999999998E-2</v>
      </c>
      <c r="F204" s="126">
        <f t="shared" si="22"/>
        <v>327496.33074596856</v>
      </c>
      <c r="G204" s="126">
        <f>IF(B204="","",IF(F204=0,0,MIN(F204,IF(Catálogos!$N$6=1,Prepagos!C163,IF(Catálogos!$N$6=2,Prepagos!D163,IF(Catálogos!$N$6=3,Prepagos!E163,))))))</f>
        <v>2973.3040594321005</v>
      </c>
      <c r="H204" s="126">
        <f t="shared" si="23"/>
        <v>2530.4549822305166</v>
      </c>
      <c r="I204" s="126">
        <f t="shared" si="24"/>
        <v>0</v>
      </c>
      <c r="J204" s="126">
        <f>IF(B204="","",IF(F204=0,0,F204*Catálogos!$R$1))</f>
        <v>196.49779844758112</v>
      </c>
      <c r="K204" s="126">
        <f>IF(B204="","",IF(Catálogos!$K$10=1,Carátula!$F$17*Catálogos!$R$4,0))</f>
        <v>199.92</v>
      </c>
      <c r="L204" s="126">
        <f>IF(B204="","",IF(F204=0,0,CAT!H167))</f>
        <v>299</v>
      </c>
      <c r="M204" s="115"/>
      <c r="N204" s="126">
        <f t="shared" si="17"/>
        <v>0</v>
      </c>
      <c r="O204" s="126">
        <f t="shared" si="25"/>
        <v>6199.1768401101981</v>
      </c>
      <c r="P204" s="126">
        <f t="shared" si="19"/>
        <v>324523.02668653644</v>
      </c>
      <c r="Q204" s="127">
        <f t="shared" si="20"/>
        <v>1</v>
      </c>
    </row>
    <row r="205" spans="2:17" x14ac:dyDescent="0.25">
      <c r="B205" s="122">
        <f t="shared" si="21"/>
        <v>162</v>
      </c>
      <c r="C205" s="123">
        <f>IF(B205="","",'Fecha Pago'!K165)</f>
        <v>50893</v>
      </c>
      <c r="D205" s="124">
        <f>IF(B205="","",'Fecha Pago'!L165)</f>
        <v>30.4</v>
      </c>
      <c r="E205" s="125">
        <f t="shared" si="18"/>
        <v>9.1499999999999998E-2</v>
      </c>
      <c r="F205" s="126">
        <f t="shared" si="22"/>
        <v>324523.02668653644</v>
      </c>
      <c r="G205" s="126">
        <f>IF(B205="","",IF(F205=0,0,MIN(F205,IF(Catálogos!$N$6=1,Prepagos!C164,IF(Catálogos!$N$6=2,Prepagos!D164,IF(Catálogos!$N$6=3,Prepagos!E164,))))))</f>
        <v>2996.2777887979796</v>
      </c>
      <c r="H205" s="126">
        <f t="shared" si="23"/>
        <v>2507.481252864638</v>
      </c>
      <c r="I205" s="126">
        <f t="shared" si="24"/>
        <v>0</v>
      </c>
      <c r="J205" s="126">
        <f>IF(B205="","",IF(F205=0,0,F205*Catálogos!$R$1))</f>
        <v>194.71381601192184</v>
      </c>
      <c r="K205" s="126">
        <f>IF(B205="","",IF(Catálogos!$K$10=1,Carátula!$F$17*Catálogos!$R$4,0))</f>
        <v>199.92</v>
      </c>
      <c r="L205" s="126">
        <f>IF(B205="","",IF(F205=0,0,CAT!H168))</f>
        <v>299</v>
      </c>
      <c r="M205" s="115"/>
      <c r="N205" s="126">
        <f t="shared" si="17"/>
        <v>0</v>
      </c>
      <c r="O205" s="126">
        <f t="shared" si="25"/>
        <v>6197.3928576745393</v>
      </c>
      <c r="P205" s="126">
        <f t="shared" si="19"/>
        <v>321526.74889773846</v>
      </c>
      <c r="Q205" s="127">
        <f t="shared" si="20"/>
        <v>1</v>
      </c>
    </row>
    <row r="206" spans="2:17" x14ac:dyDescent="0.25">
      <c r="B206" s="122">
        <f t="shared" si="21"/>
        <v>163</v>
      </c>
      <c r="C206" s="123">
        <f>IF(B206="","",'Fecha Pago'!K166)</f>
        <v>50924</v>
      </c>
      <c r="D206" s="124">
        <f>IF(B206="","",'Fecha Pago'!L166)</f>
        <v>30.4</v>
      </c>
      <c r="E206" s="125">
        <f t="shared" si="18"/>
        <v>9.1499999999999998E-2</v>
      </c>
      <c r="F206" s="126">
        <f t="shared" si="22"/>
        <v>321526.74889773846</v>
      </c>
      <c r="G206" s="126">
        <f>IF(B206="","",IF(F206=0,0,MIN(F206,IF(Catálogos!$N$6=1,Prepagos!C165,IF(Catálogos!$N$6=2,Prepagos!D165,IF(Catálogos!$N$6=3,Prepagos!E165,))))))</f>
        <v>3019.4290285127586</v>
      </c>
      <c r="H206" s="126">
        <f t="shared" si="23"/>
        <v>2484.330013149859</v>
      </c>
      <c r="I206" s="126">
        <f t="shared" si="24"/>
        <v>0</v>
      </c>
      <c r="J206" s="126">
        <f>IF(B206="","",IF(F206=0,0,F206*Catálogos!$R$1))</f>
        <v>192.91604933864306</v>
      </c>
      <c r="K206" s="126">
        <f>IF(B206="","",IF(Catálogos!$K$10=1,Carátula!$F$17*Catálogos!$R$4,0))</f>
        <v>199.92</v>
      </c>
      <c r="L206" s="126">
        <f>IF(B206="","",IF(F206=0,0,CAT!H169))</f>
        <v>299</v>
      </c>
      <c r="M206" s="115"/>
      <c r="N206" s="126">
        <f t="shared" si="17"/>
        <v>0</v>
      </c>
      <c r="O206" s="126">
        <f t="shared" si="25"/>
        <v>6195.5950910012607</v>
      </c>
      <c r="P206" s="126">
        <f t="shared" si="19"/>
        <v>318507.31986922573</v>
      </c>
      <c r="Q206" s="127">
        <f t="shared" si="20"/>
        <v>1</v>
      </c>
    </row>
    <row r="207" spans="2:17" x14ac:dyDescent="0.25">
      <c r="B207" s="122">
        <f t="shared" si="21"/>
        <v>164</v>
      </c>
      <c r="C207" s="123">
        <f>IF(B207="","",'Fecha Pago'!K167)</f>
        <v>50954</v>
      </c>
      <c r="D207" s="124">
        <f>IF(B207="","",'Fecha Pago'!L167)</f>
        <v>30.4</v>
      </c>
      <c r="E207" s="125">
        <f t="shared" si="18"/>
        <v>9.1499999999999998E-2</v>
      </c>
      <c r="F207" s="126">
        <f t="shared" si="22"/>
        <v>318507.31986922573</v>
      </c>
      <c r="G207" s="126">
        <f>IF(B207="","",IF(F207=0,0,MIN(F207,IF(Catálogos!$N$6=1,Prepagos!C166,IF(Catálogos!$N$6=2,Prepagos!D166,IF(Catálogos!$N$6=3,Prepagos!E166,))))))</f>
        <v>3042.7591501397342</v>
      </c>
      <c r="H207" s="126">
        <f t="shared" si="23"/>
        <v>2460.9998915228839</v>
      </c>
      <c r="I207" s="126">
        <f t="shared" si="24"/>
        <v>0</v>
      </c>
      <c r="J207" s="126">
        <f>IF(B207="","",IF(F207=0,0,F207*Catálogos!$R$1))</f>
        <v>191.10439192153541</v>
      </c>
      <c r="K207" s="126">
        <f>IF(B207="","",IF(Catálogos!$K$10=1,Carátula!$F$17*Catálogos!$R$4,0))</f>
        <v>199.92</v>
      </c>
      <c r="L207" s="126">
        <f>IF(B207="","",IF(F207=0,0,CAT!H170))</f>
        <v>299</v>
      </c>
      <c r="M207" s="115"/>
      <c r="N207" s="126">
        <f t="shared" si="17"/>
        <v>0</v>
      </c>
      <c r="O207" s="126">
        <f t="shared" si="25"/>
        <v>6193.7834335841535</v>
      </c>
      <c r="P207" s="126">
        <f t="shared" si="19"/>
        <v>315464.56071908597</v>
      </c>
      <c r="Q207" s="127">
        <f t="shared" si="20"/>
        <v>1</v>
      </c>
    </row>
    <row r="208" spans="2:17" x14ac:dyDescent="0.25">
      <c r="B208" s="122">
        <f t="shared" si="21"/>
        <v>165</v>
      </c>
      <c r="C208" s="123">
        <f>IF(B208="","",'Fecha Pago'!K168)</f>
        <v>50985</v>
      </c>
      <c r="D208" s="124">
        <f>IF(B208="","",'Fecha Pago'!L168)</f>
        <v>30.4</v>
      </c>
      <c r="E208" s="125">
        <f t="shared" si="18"/>
        <v>9.1499999999999998E-2</v>
      </c>
      <c r="F208" s="126">
        <f t="shared" si="22"/>
        <v>315464.56071908597</v>
      </c>
      <c r="G208" s="126">
        <f>IF(B208="","",IF(F208=0,0,MIN(F208,IF(Catálogos!$N$6=1,Prepagos!C167,IF(Catálogos!$N$6=2,Prepagos!D167,IF(Catálogos!$N$6=3,Prepagos!E167,))))))</f>
        <v>3066.2695358398137</v>
      </c>
      <c r="H208" s="126">
        <f t="shared" si="23"/>
        <v>2437.4895058228039</v>
      </c>
      <c r="I208" s="126">
        <f t="shared" si="24"/>
        <v>0</v>
      </c>
      <c r="J208" s="126">
        <f>IF(B208="","",IF(F208=0,0,F208*Catálogos!$R$1))</f>
        <v>189.27873643145156</v>
      </c>
      <c r="K208" s="126">
        <f>IF(B208="","",IF(Catálogos!$K$10=1,Carátula!$F$17*Catálogos!$R$4,0))</f>
        <v>199.92</v>
      </c>
      <c r="L208" s="126">
        <f>IF(B208="","",IF(F208=0,0,CAT!H171))</f>
        <v>299</v>
      </c>
      <c r="M208" s="115"/>
      <c r="N208" s="126">
        <f t="shared" ref="N208:N271" si="26">IF(B208="","",0)</f>
        <v>0</v>
      </c>
      <c r="O208" s="126">
        <f t="shared" si="25"/>
        <v>6191.957778094069</v>
      </c>
      <c r="P208" s="126">
        <f t="shared" si="19"/>
        <v>312398.29118324618</v>
      </c>
      <c r="Q208" s="127">
        <f t="shared" si="20"/>
        <v>1</v>
      </c>
    </row>
    <row r="209" spans="2:17" x14ac:dyDescent="0.25">
      <c r="B209" s="122">
        <f t="shared" si="21"/>
        <v>166</v>
      </c>
      <c r="C209" s="123">
        <f>IF(B209="","",'Fecha Pago'!K169)</f>
        <v>51016</v>
      </c>
      <c r="D209" s="124">
        <f>IF(B209="","",'Fecha Pago'!L169)</f>
        <v>30.4</v>
      </c>
      <c r="E209" s="125">
        <f t="shared" si="18"/>
        <v>9.1499999999999998E-2</v>
      </c>
      <c r="F209" s="126">
        <f t="shared" si="22"/>
        <v>312398.29118324618</v>
      </c>
      <c r="G209" s="126">
        <f>IF(B209="","",IF(F209=0,0,MIN(F209,IF(Catálogos!$N$6=1,Prepagos!C168,IF(Catálogos!$N$6=2,Prepagos!D168,IF(Catálogos!$N$6=3,Prepagos!E168,))))))</f>
        <v>3089.9615784534021</v>
      </c>
      <c r="H209" s="126">
        <f t="shared" si="23"/>
        <v>2413.797463209215</v>
      </c>
      <c r="I209" s="126">
        <f t="shared" si="24"/>
        <v>0</v>
      </c>
      <c r="J209" s="126">
        <f>IF(B209="","",IF(F209=0,0,F209*Catálogos!$R$1))</f>
        <v>187.4389747099477</v>
      </c>
      <c r="K209" s="126">
        <f>IF(B209="","",IF(Catálogos!$K$10=1,Carátula!$F$17*Catálogos!$R$4,0))</f>
        <v>199.92</v>
      </c>
      <c r="L209" s="126">
        <f>IF(B209="","",IF(F209=0,0,CAT!H172))</f>
        <v>299</v>
      </c>
      <c r="M209" s="115"/>
      <c r="N209" s="126">
        <f t="shared" si="26"/>
        <v>0</v>
      </c>
      <c r="O209" s="126">
        <f t="shared" si="25"/>
        <v>6190.1180163725649</v>
      </c>
      <c r="P209" s="126">
        <f t="shared" si="19"/>
        <v>309308.32960479276</v>
      </c>
      <c r="Q209" s="127">
        <f t="shared" si="20"/>
        <v>1</v>
      </c>
    </row>
    <row r="210" spans="2:17" x14ac:dyDescent="0.25">
      <c r="B210" s="122">
        <f t="shared" si="21"/>
        <v>167</v>
      </c>
      <c r="C210" s="123">
        <f>IF(B210="","",'Fecha Pago'!K170)</f>
        <v>51046</v>
      </c>
      <c r="D210" s="124">
        <f>IF(B210="","",'Fecha Pago'!L170)</f>
        <v>30.4</v>
      </c>
      <c r="E210" s="125">
        <f t="shared" si="18"/>
        <v>9.1499999999999998E-2</v>
      </c>
      <c r="F210" s="126">
        <f t="shared" si="22"/>
        <v>309308.32960479276</v>
      </c>
      <c r="G210" s="126">
        <f>IF(B210="","",IF(F210=0,0,MIN(F210,IF(Catálogos!$N$6=1,Prepagos!C169,IF(Catálogos!$N$6=2,Prepagos!D169,IF(Catálogos!$N$6=3,Prepagos!E169,))))))</f>
        <v>3113.8366815829195</v>
      </c>
      <c r="H210" s="126">
        <f t="shared" si="23"/>
        <v>2389.9223600796981</v>
      </c>
      <c r="I210" s="126">
        <f t="shared" si="24"/>
        <v>0</v>
      </c>
      <c r="J210" s="126">
        <f>IF(B210="","",IF(F210=0,0,F210*Catálogos!$R$1))</f>
        <v>185.58499776287564</v>
      </c>
      <c r="K210" s="126">
        <f>IF(B210="","",IF(Catálogos!$K$10=1,Carátula!$F$17*Catálogos!$R$4,0))</f>
        <v>199.92</v>
      </c>
      <c r="L210" s="126">
        <f>IF(B210="","",IF(F210=0,0,CAT!H173))</f>
        <v>299</v>
      </c>
      <c r="M210" s="115"/>
      <c r="N210" s="126">
        <f t="shared" si="26"/>
        <v>0</v>
      </c>
      <c r="O210" s="126">
        <f t="shared" si="25"/>
        <v>6188.2640394254931</v>
      </c>
      <c r="P210" s="126">
        <f t="shared" si="19"/>
        <v>306194.49292320985</v>
      </c>
      <c r="Q210" s="127">
        <f t="shared" si="20"/>
        <v>1</v>
      </c>
    </row>
    <row r="211" spans="2:17" x14ac:dyDescent="0.25">
      <c r="B211" s="122">
        <f t="shared" si="21"/>
        <v>168</v>
      </c>
      <c r="C211" s="123">
        <f>IF(B211="","",'Fecha Pago'!K171)</f>
        <v>51077</v>
      </c>
      <c r="D211" s="124">
        <f>IF(B211="","",'Fecha Pago'!L171)</f>
        <v>30.4</v>
      </c>
      <c r="E211" s="125">
        <f t="shared" si="18"/>
        <v>9.1499999999999998E-2</v>
      </c>
      <c r="F211" s="126">
        <f t="shared" si="22"/>
        <v>306194.49292320985</v>
      </c>
      <c r="G211" s="126">
        <f>IF(B211="","",IF(F211=0,0,MIN(F211,IF(Catálogos!$N$6=1,Prepagos!C170,IF(Catálogos!$N$6=2,Prepagos!D170,IF(Catálogos!$N$6=3,Prepagos!E170,))))))</f>
        <v>3137.8962596759498</v>
      </c>
      <c r="H211" s="126">
        <f t="shared" si="23"/>
        <v>2365.8627819866679</v>
      </c>
      <c r="I211" s="126">
        <f t="shared" si="24"/>
        <v>0</v>
      </c>
      <c r="J211" s="126">
        <f>IF(B211="","",IF(F211=0,0,F211*Catálogos!$R$1))</f>
        <v>183.7166957539259</v>
      </c>
      <c r="K211" s="126">
        <f>IF(B211="","",IF(Catálogos!$K$10=1,Carátula!$F$17*Catálogos!$R$4,0))</f>
        <v>199.92</v>
      </c>
      <c r="L211" s="126">
        <f>IF(B211="","",IF(F211=0,0,CAT!H174))</f>
        <v>299</v>
      </c>
      <c r="M211" s="115"/>
      <c r="N211" s="126">
        <f t="shared" si="26"/>
        <v>0</v>
      </c>
      <c r="O211" s="126">
        <f t="shared" si="25"/>
        <v>6186.3957374165429</v>
      </c>
      <c r="P211" s="126">
        <f t="shared" si="19"/>
        <v>303056.59666353388</v>
      </c>
      <c r="Q211" s="127">
        <f t="shared" si="20"/>
        <v>1</v>
      </c>
    </row>
    <row r="212" spans="2:17" x14ac:dyDescent="0.25">
      <c r="B212" s="122">
        <f t="shared" si="21"/>
        <v>169</v>
      </c>
      <c r="C212" s="123">
        <f>IF(B212="","",'Fecha Pago'!K172)</f>
        <v>51107</v>
      </c>
      <c r="D212" s="124">
        <f>IF(B212="","",'Fecha Pago'!L172)</f>
        <v>30.4</v>
      </c>
      <c r="E212" s="125">
        <f t="shared" si="18"/>
        <v>9.1499999999999998E-2</v>
      </c>
      <c r="F212" s="126">
        <f t="shared" si="22"/>
        <v>303056.59666353388</v>
      </c>
      <c r="G212" s="126">
        <f>IF(B212="","",IF(F212=0,0,MIN(F212,IF(Catálogos!$N$6=1,Prepagos!C171,IF(Catálogos!$N$6=2,Prepagos!D171,IF(Catálogos!$N$6=3,Prepagos!E171,))))))</f>
        <v>3162.1417381090459</v>
      </c>
      <c r="H212" s="126">
        <f t="shared" si="23"/>
        <v>2341.6173035535717</v>
      </c>
      <c r="I212" s="126">
        <f t="shared" si="24"/>
        <v>0</v>
      </c>
      <c r="J212" s="126">
        <f>IF(B212="","",IF(F212=0,0,F212*Catálogos!$R$1))</f>
        <v>181.83395799812033</v>
      </c>
      <c r="K212" s="126">
        <f>IF(B212="","",IF(Catálogos!$K$10=1,Carátula!$F$17*Catálogos!$R$4,0))</f>
        <v>199.92</v>
      </c>
      <c r="L212" s="126">
        <f>IF(B212="","",IF(F212=0,0,CAT!H175))</f>
        <v>299</v>
      </c>
      <c r="M212" s="115"/>
      <c r="N212" s="126">
        <f t="shared" si="26"/>
        <v>0</v>
      </c>
      <c r="O212" s="126">
        <f t="shared" si="25"/>
        <v>6184.5129996607375</v>
      </c>
      <c r="P212" s="126">
        <f t="shared" si="19"/>
        <v>299894.45492542483</v>
      </c>
      <c r="Q212" s="127">
        <f t="shared" si="20"/>
        <v>1</v>
      </c>
    </row>
    <row r="213" spans="2:17" x14ac:dyDescent="0.25">
      <c r="B213" s="122">
        <f t="shared" si="21"/>
        <v>170</v>
      </c>
      <c r="C213" s="123">
        <f>IF(B213="","",'Fecha Pago'!K173)</f>
        <v>51138</v>
      </c>
      <c r="D213" s="124">
        <f>IF(B213="","",'Fecha Pago'!L173)</f>
        <v>30.4</v>
      </c>
      <c r="E213" s="125">
        <f t="shared" si="18"/>
        <v>9.1499999999999998E-2</v>
      </c>
      <c r="F213" s="126">
        <f t="shared" si="22"/>
        <v>299894.45492542483</v>
      </c>
      <c r="G213" s="126">
        <f>IF(B213="","",IF(F213=0,0,MIN(F213,IF(Catálogos!$N$6=1,Prepagos!C172,IF(Catálogos!$N$6=2,Prepagos!D172,IF(Catálogos!$N$6=3,Prepagos!E172,))))))</f>
        <v>3186.574553272168</v>
      </c>
      <c r="H213" s="126">
        <f t="shared" si="23"/>
        <v>2317.1844883904487</v>
      </c>
      <c r="I213" s="126">
        <f t="shared" si="24"/>
        <v>0</v>
      </c>
      <c r="J213" s="126">
        <f>IF(B213="","",IF(F213=0,0,F213*Catálogos!$R$1))</f>
        <v>179.93667295525489</v>
      </c>
      <c r="K213" s="126">
        <f>IF(B213="","",IF(Catálogos!$K$10=1,Carátula!$F$17*Catálogos!$R$4,0))</f>
        <v>199.92</v>
      </c>
      <c r="L213" s="126">
        <f>IF(B213="","",IF(F213=0,0,CAT!H176))</f>
        <v>299</v>
      </c>
      <c r="M213" s="115"/>
      <c r="N213" s="126">
        <f t="shared" si="26"/>
        <v>0</v>
      </c>
      <c r="O213" s="126">
        <f t="shared" si="25"/>
        <v>6182.6157146178721</v>
      </c>
      <c r="P213" s="126">
        <f t="shared" si="19"/>
        <v>296707.88037215266</v>
      </c>
      <c r="Q213" s="127">
        <f t="shared" si="20"/>
        <v>1</v>
      </c>
    </row>
    <row r="214" spans="2:17" x14ac:dyDescent="0.25">
      <c r="B214" s="122">
        <f t="shared" si="21"/>
        <v>171</v>
      </c>
      <c r="C214" s="123">
        <f>IF(B214="","",'Fecha Pago'!K174)</f>
        <v>51169</v>
      </c>
      <c r="D214" s="124">
        <f>IF(B214="","",'Fecha Pago'!L174)</f>
        <v>30.4</v>
      </c>
      <c r="E214" s="125">
        <f t="shared" si="18"/>
        <v>9.1499999999999998E-2</v>
      </c>
      <c r="F214" s="126">
        <f t="shared" si="22"/>
        <v>296707.88037215266</v>
      </c>
      <c r="G214" s="126">
        <f>IF(B214="","",IF(F214=0,0,MIN(F214,IF(Catálogos!$N$6=1,Prepagos!C173,IF(Catálogos!$N$6=2,Prepagos!D173,IF(Catálogos!$N$6=3,Prepagos!E173,))))))</f>
        <v>3211.1961526537848</v>
      </c>
      <c r="H214" s="126">
        <f t="shared" si="23"/>
        <v>2292.5628890088324</v>
      </c>
      <c r="I214" s="126">
        <f t="shared" si="24"/>
        <v>0</v>
      </c>
      <c r="J214" s="126">
        <f>IF(B214="","",IF(F214=0,0,F214*Catálogos!$R$1))</f>
        <v>178.02472822329159</v>
      </c>
      <c r="K214" s="126">
        <f>IF(B214="","",IF(Catálogos!$K$10=1,Carátula!$F$17*Catálogos!$R$4,0))</f>
        <v>199.92</v>
      </c>
      <c r="L214" s="126">
        <f>IF(B214="","",IF(F214=0,0,CAT!H177))</f>
        <v>299</v>
      </c>
      <c r="M214" s="115"/>
      <c r="N214" s="126">
        <f t="shared" si="26"/>
        <v>0</v>
      </c>
      <c r="O214" s="126">
        <f t="shared" si="25"/>
        <v>6180.7037698859085</v>
      </c>
      <c r="P214" s="126">
        <f t="shared" si="19"/>
        <v>293496.68421949889</v>
      </c>
      <c r="Q214" s="127">
        <f t="shared" si="20"/>
        <v>1</v>
      </c>
    </row>
    <row r="215" spans="2:17" x14ac:dyDescent="0.25">
      <c r="B215" s="122">
        <f t="shared" si="21"/>
        <v>172</v>
      </c>
      <c r="C215" s="123">
        <f>IF(B215="","",'Fecha Pago'!K175)</f>
        <v>51198</v>
      </c>
      <c r="D215" s="124">
        <f>IF(B215="","",'Fecha Pago'!L175)</f>
        <v>30.4</v>
      </c>
      <c r="E215" s="125">
        <f t="shared" si="18"/>
        <v>9.1499999999999998E-2</v>
      </c>
      <c r="F215" s="126">
        <f t="shared" si="22"/>
        <v>293496.68421949889</v>
      </c>
      <c r="G215" s="126">
        <f>IF(B215="","",IF(F215=0,0,MIN(F215,IF(Catálogos!$N$6=1,Prepagos!C174,IF(Catálogos!$N$6=2,Prepagos!D174,IF(Catálogos!$N$6=3,Prepagos!E174,))))))</f>
        <v>3236.0079949266228</v>
      </c>
      <c r="H215" s="126">
        <f t="shared" si="23"/>
        <v>2267.7510467359944</v>
      </c>
      <c r="I215" s="126">
        <f t="shared" si="24"/>
        <v>0</v>
      </c>
      <c r="J215" s="126">
        <f>IF(B215="","",IF(F215=0,0,F215*Catálogos!$R$1))</f>
        <v>176.09801053169932</v>
      </c>
      <c r="K215" s="126">
        <f>IF(B215="","",IF(Catálogos!$K$10=1,Carátula!$F$17*Catálogos!$R$4,0))</f>
        <v>199.92</v>
      </c>
      <c r="L215" s="126">
        <f>IF(B215="","",IF(F215=0,0,CAT!H178))</f>
        <v>299</v>
      </c>
      <c r="M215" s="115"/>
      <c r="N215" s="126">
        <f t="shared" si="26"/>
        <v>0</v>
      </c>
      <c r="O215" s="126">
        <f t="shared" si="25"/>
        <v>6178.7770521943166</v>
      </c>
      <c r="P215" s="126">
        <f t="shared" si="19"/>
        <v>290260.67622457223</v>
      </c>
      <c r="Q215" s="127">
        <f t="shared" si="20"/>
        <v>1</v>
      </c>
    </row>
    <row r="216" spans="2:17" x14ac:dyDescent="0.25">
      <c r="B216" s="122">
        <f t="shared" si="21"/>
        <v>173</v>
      </c>
      <c r="C216" s="123">
        <f>IF(B216="","",'Fecha Pago'!K176)</f>
        <v>51229</v>
      </c>
      <c r="D216" s="124">
        <f>IF(B216="","",'Fecha Pago'!L176)</f>
        <v>30.4</v>
      </c>
      <c r="E216" s="125">
        <f t="shared" si="18"/>
        <v>9.1499999999999998E-2</v>
      </c>
      <c r="F216" s="126">
        <f t="shared" si="22"/>
        <v>290260.67622457223</v>
      </c>
      <c r="G216" s="126">
        <f>IF(B216="","",IF(F216=0,0,MIN(F216,IF(Catálogos!$N$6=1,Prepagos!C175,IF(Catálogos!$N$6=2,Prepagos!D175,IF(Catálogos!$N$6=3,Prepagos!E175,))))))</f>
        <v>3261.0115500340894</v>
      </c>
      <c r="H216" s="126">
        <f t="shared" si="23"/>
        <v>2242.7474916285278</v>
      </c>
      <c r="I216" s="126">
        <f t="shared" si="24"/>
        <v>0</v>
      </c>
      <c r="J216" s="126">
        <f>IF(B216="","",IF(F216=0,0,F216*Catálogos!$R$1))</f>
        <v>174.15640573474332</v>
      </c>
      <c r="K216" s="126">
        <f>IF(B216="","",IF(Catálogos!$K$10=1,Carátula!$F$17*Catálogos!$R$4,0))</f>
        <v>199.92</v>
      </c>
      <c r="L216" s="126">
        <f>IF(B216="","",IF(F216=0,0,CAT!H179))</f>
        <v>299</v>
      </c>
      <c r="M216" s="115"/>
      <c r="N216" s="126">
        <f t="shared" si="26"/>
        <v>0</v>
      </c>
      <c r="O216" s="126">
        <f t="shared" si="25"/>
        <v>6176.8354473973604</v>
      </c>
      <c r="P216" s="126">
        <f t="shared" si="19"/>
        <v>286999.66467453813</v>
      </c>
      <c r="Q216" s="127">
        <f t="shared" si="20"/>
        <v>1</v>
      </c>
    </row>
    <row r="217" spans="2:17" x14ac:dyDescent="0.25">
      <c r="B217" s="122">
        <f t="shared" si="21"/>
        <v>174</v>
      </c>
      <c r="C217" s="123">
        <f>IF(B217="","",'Fecha Pago'!K177)</f>
        <v>51259</v>
      </c>
      <c r="D217" s="124">
        <f>IF(B217="","",'Fecha Pago'!L177)</f>
        <v>30.4</v>
      </c>
      <c r="E217" s="125">
        <f t="shared" si="18"/>
        <v>9.1499999999999998E-2</v>
      </c>
      <c r="F217" s="126">
        <f t="shared" si="22"/>
        <v>286999.66467453813</v>
      </c>
      <c r="G217" s="126">
        <f>IF(B217="","",IF(F217=0,0,MIN(F217,IF(Catálogos!$N$6=1,Prepagos!C176,IF(Catálogos!$N$6=2,Prepagos!D176,IF(Catálogos!$N$6=3,Prepagos!E176,))))))</f>
        <v>3286.2082992773521</v>
      </c>
      <c r="H217" s="126">
        <f t="shared" si="23"/>
        <v>2217.5507423852641</v>
      </c>
      <c r="I217" s="126">
        <f t="shared" si="24"/>
        <v>0</v>
      </c>
      <c r="J217" s="126">
        <f>IF(B217="","",IF(F217=0,0,F217*Catálogos!$R$1))</f>
        <v>172.19979880472286</v>
      </c>
      <c r="K217" s="126">
        <f>IF(B217="","",IF(Catálogos!$K$10=1,Carátula!$F$17*Catálogos!$R$4,0))</f>
        <v>199.92</v>
      </c>
      <c r="L217" s="126">
        <f>IF(B217="","",IF(F217=0,0,CAT!H180))</f>
        <v>299</v>
      </c>
      <c r="M217" s="115"/>
      <c r="N217" s="126">
        <f t="shared" si="26"/>
        <v>0</v>
      </c>
      <c r="O217" s="126">
        <f t="shared" si="25"/>
        <v>6174.8788404673396</v>
      </c>
      <c r="P217" s="126">
        <f t="shared" si="19"/>
        <v>283713.45637526078</v>
      </c>
      <c r="Q217" s="127">
        <f t="shared" si="20"/>
        <v>1</v>
      </c>
    </row>
    <row r="218" spans="2:17" x14ac:dyDescent="0.25">
      <c r="B218" s="122">
        <f t="shared" si="21"/>
        <v>175</v>
      </c>
      <c r="C218" s="123">
        <f>IF(B218="","",'Fecha Pago'!K178)</f>
        <v>51290</v>
      </c>
      <c r="D218" s="124">
        <f>IF(B218="","",'Fecha Pago'!L178)</f>
        <v>30.4</v>
      </c>
      <c r="E218" s="125">
        <f t="shared" si="18"/>
        <v>9.1499999999999998E-2</v>
      </c>
      <c r="F218" s="126">
        <f t="shared" si="22"/>
        <v>283713.45637526078</v>
      </c>
      <c r="G218" s="126">
        <f>IF(B218="","",IF(F218=0,0,MIN(F218,IF(Catálogos!$N$6=1,Prepagos!C177,IF(Catálogos!$N$6=2,Prepagos!D177,IF(Catálogos!$N$6=3,Prepagos!E177,))))))</f>
        <v>3311.5997354031028</v>
      </c>
      <c r="H218" s="126">
        <f t="shared" si="23"/>
        <v>2192.1593062595148</v>
      </c>
      <c r="I218" s="126">
        <f t="shared" si="24"/>
        <v>0</v>
      </c>
      <c r="J218" s="126">
        <f>IF(B218="","",IF(F218=0,0,F218*Catálogos!$R$1))</f>
        <v>170.22807382515646</v>
      </c>
      <c r="K218" s="126">
        <f>IF(B218="","",IF(Catálogos!$K$10=1,Carátula!$F$17*Catálogos!$R$4,0))</f>
        <v>199.92</v>
      </c>
      <c r="L218" s="126">
        <f>IF(B218="","",IF(F218=0,0,CAT!H181))</f>
        <v>299</v>
      </c>
      <c r="M218" s="115"/>
      <c r="N218" s="126">
        <f t="shared" si="26"/>
        <v>0</v>
      </c>
      <c r="O218" s="126">
        <f t="shared" si="25"/>
        <v>6172.9071154877738</v>
      </c>
      <c r="P218" s="126">
        <f t="shared" si="19"/>
        <v>280401.85663985769</v>
      </c>
      <c r="Q218" s="127">
        <f t="shared" si="20"/>
        <v>1</v>
      </c>
    </row>
    <row r="219" spans="2:17" x14ac:dyDescent="0.25">
      <c r="B219" s="122">
        <f t="shared" si="21"/>
        <v>176</v>
      </c>
      <c r="C219" s="123">
        <f>IF(B219="","",'Fecha Pago'!K179)</f>
        <v>51320</v>
      </c>
      <c r="D219" s="124">
        <f>IF(B219="","",'Fecha Pago'!L179)</f>
        <v>30.4</v>
      </c>
      <c r="E219" s="125">
        <f t="shared" si="18"/>
        <v>9.1499999999999998E-2</v>
      </c>
      <c r="F219" s="126">
        <f t="shared" si="22"/>
        <v>280401.85663985769</v>
      </c>
      <c r="G219" s="126">
        <f>IF(B219="","",IF(F219=0,0,MIN(F219,IF(Catálogos!$N$6=1,Prepagos!C178,IF(Catálogos!$N$6=2,Prepagos!D178,IF(Catálogos!$N$6=3,Prepagos!E178,))))))</f>
        <v>3337.1873626919833</v>
      </c>
      <c r="H219" s="126">
        <f t="shared" si="23"/>
        <v>2166.5716789706335</v>
      </c>
      <c r="I219" s="126">
        <f t="shared" si="24"/>
        <v>0</v>
      </c>
      <c r="J219" s="126">
        <f>IF(B219="","",IF(F219=0,0,F219*Catálogos!$R$1))</f>
        <v>168.2411139839146</v>
      </c>
      <c r="K219" s="126">
        <f>IF(B219="","",IF(Catálogos!$K$10=1,Carátula!$F$17*Catálogos!$R$4,0))</f>
        <v>199.92</v>
      </c>
      <c r="L219" s="126">
        <f>IF(B219="","",IF(F219=0,0,CAT!H182))</f>
        <v>299</v>
      </c>
      <c r="M219" s="115"/>
      <c r="N219" s="126">
        <f t="shared" si="26"/>
        <v>0</v>
      </c>
      <c r="O219" s="126">
        <f t="shared" si="25"/>
        <v>6170.9201556465323</v>
      </c>
      <c r="P219" s="126">
        <f t="shared" si="19"/>
        <v>277064.66927716573</v>
      </c>
      <c r="Q219" s="127">
        <f t="shared" si="20"/>
        <v>1</v>
      </c>
    </row>
    <row r="220" spans="2:17" x14ac:dyDescent="0.25">
      <c r="B220" s="122">
        <f t="shared" si="21"/>
        <v>177</v>
      </c>
      <c r="C220" s="123">
        <f>IF(B220="","",'Fecha Pago'!K180)</f>
        <v>51351</v>
      </c>
      <c r="D220" s="124">
        <f>IF(B220="","",'Fecha Pago'!L180)</f>
        <v>30.4</v>
      </c>
      <c r="E220" s="125">
        <f t="shared" si="18"/>
        <v>9.1499999999999998E-2</v>
      </c>
      <c r="F220" s="126">
        <f t="shared" si="22"/>
        <v>277064.66927716573</v>
      </c>
      <c r="G220" s="126">
        <f>IF(B220="","",IF(F220=0,0,MIN(F220,IF(Catálogos!$N$6=1,Prepagos!C179,IF(Catálogos!$N$6=2,Prepagos!D179,IF(Catálogos!$N$6=3,Prepagos!E179,))))))</f>
        <v>3362.9726970477177</v>
      </c>
      <c r="H220" s="126">
        <f t="shared" si="23"/>
        <v>2140.7863446149004</v>
      </c>
      <c r="I220" s="126">
        <f t="shared" si="24"/>
        <v>0</v>
      </c>
      <c r="J220" s="126">
        <f>IF(B220="","",IF(F220=0,0,F220*Catálogos!$R$1))</f>
        <v>166.23880156629943</v>
      </c>
      <c r="K220" s="126">
        <f>IF(B220="","",IF(Catálogos!$K$10=1,Carátula!$F$17*Catálogos!$R$4,0))</f>
        <v>199.92</v>
      </c>
      <c r="L220" s="126">
        <f>IF(B220="","",IF(F220=0,0,CAT!H183))</f>
        <v>299</v>
      </c>
      <c r="M220" s="115"/>
      <c r="N220" s="126">
        <f t="shared" si="26"/>
        <v>0</v>
      </c>
      <c r="O220" s="126">
        <f t="shared" si="25"/>
        <v>6168.9178432289173</v>
      </c>
      <c r="P220" s="126">
        <f t="shared" si="19"/>
        <v>273701.69658011803</v>
      </c>
      <c r="Q220" s="127">
        <f t="shared" si="20"/>
        <v>1</v>
      </c>
    </row>
    <row r="221" spans="2:17" x14ac:dyDescent="0.25">
      <c r="B221" s="122">
        <f t="shared" si="21"/>
        <v>178</v>
      </c>
      <c r="C221" s="123">
        <f>IF(B221="","",'Fecha Pago'!K181)</f>
        <v>51382</v>
      </c>
      <c r="D221" s="124">
        <f>IF(B221="","",'Fecha Pago'!L181)</f>
        <v>30.4</v>
      </c>
      <c r="E221" s="125">
        <f t="shared" si="18"/>
        <v>9.1499999999999998E-2</v>
      </c>
      <c r="F221" s="126">
        <f t="shared" si="22"/>
        <v>273701.69658011803</v>
      </c>
      <c r="G221" s="126">
        <f>IF(B221="","",IF(F221=0,0,MIN(F221,IF(Catálogos!$N$6=1,Prepagos!C180,IF(Catálogos!$N$6=2,Prepagos!D180,IF(Catálogos!$N$6=3,Prepagos!E180,))))))</f>
        <v>3388.9572660869062</v>
      </c>
      <c r="H221" s="126">
        <f t="shared" si="23"/>
        <v>2114.8017755757119</v>
      </c>
      <c r="I221" s="126">
        <f t="shared" si="24"/>
        <v>0</v>
      </c>
      <c r="J221" s="126">
        <f>IF(B221="","",IF(F221=0,0,F221*Catálogos!$R$1))</f>
        <v>164.2210179480708</v>
      </c>
      <c r="K221" s="126">
        <f>IF(B221="","",IF(Catálogos!$K$10=1,Carátula!$F$17*Catálogos!$R$4,0))</f>
        <v>199.92</v>
      </c>
      <c r="L221" s="126">
        <f>IF(B221="","",IF(F221=0,0,CAT!H184))</f>
        <v>299</v>
      </c>
      <c r="M221" s="115"/>
      <c r="N221" s="126">
        <f t="shared" si="26"/>
        <v>0</v>
      </c>
      <c r="O221" s="126">
        <f t="shared" si="25"/>
        <v>6166.9000596106889</v>
      </c>
      <c r="P221" s="126">
        <f t="shared" si="19"/>
        <v>270312.73931403115</v>
      </c>
      <c r="Q221" s="127">
        <f t="shared" si="20"/>
        <v>1</v>
      </c>
    </row>
    <row r="222" spans="2:17" x14ac:dyDescent="0.25">
      <c r="B222" s="122">
        <f t="shared" si="21"/>
        <v>179</v>
      </c>
      <c r="C222" s="123">
        <f>IF(B222="","",'Fecha Pago'!K182)</f>
        <v>51412</v>
      </c>
      <c r="D222" s="124">
        <f>IF(B222="","",'Fecha Pago'!L182)</f>
        <v>30.4</v>
      </c>
      <c r="E222" s="125">
        <f t="shared" si="18"/>
        <v>9.1499999999999998E-2</v>
      </c>
      <c r="F222" s="126">
        <f t="shared" si="22"/>
        <v>270312.73931403115</v>
      </c>
      <c r="G222" s="126">
        <f>IF(B222="","",IF(F222=0,0,MIN(F222,IF(Catálogos!$N$6=1,Prepagos!C181,IF(Catálogos!$N$6=2,Prepagos!D181,IF(Catálogos!$N$6=3,Prepagos!E181,))))))</f>
        <v>3415.1426092295369</v>
      </c>
      <c r="H222" s="126">
        <f t="shared" si="23"/>
        <v>2088.6164324330803</v>
      </c>
      <c r="I222" s="126">
        <f t="shared" si="24"/>
        <v>0</v>
      </c>
      <c r="J222" s="126">
        <f>IF(B222="","",IF(F222=0,0,F222*Catálogos!$R$1))</f>
        <v>162.18764358841867</v>
      </c>
      <c r="K222" s="126">
        <f>IF(B222="","",IF(Catálogos!$K$10=1,Carátula!$F$17*Catálogos!$R$4,0))</f>
        <v>199.92</v>
      </c>
      <c r="L222" s="126">
        <f>IF(B222="","",IF(F222=0,0,CAT!H185))</f>
        <v>299</v>
      </c>
      <c r="M222" s="115"/>
      <c r="N222" s="126">
        <f t="shared" si="26"/>
        <v>0</v>
      </c>
      <c r="O222" s="126">
        <f t="shared" si="25"/>
        <v>6164.866685251036</v>
      </c>
      <c r="P222" s="126">
        <f t="shared" si="19"/>
        <v>266897.5967048016</v>
      </c>
      <c r="Q222" s="127">
        <f t="shared" si="20"/>
        <v>1</v>
      </c>
    </row>
    <row r="223" spans="2:17" x14ac:dyDescent="0.25">
      <c r="B223" s="122">
        <f t="shared" si="21"/>
        <v>180</v>
      </c>
      <c r="C223" s="123">
        <f>IF(B223="","",'Fecha Pago'!K183)</f>
        <v>51443</v>
      </c>
      <c r="D223" s="124">
        <f>IF(B223="","",'Fecha Pago'!L183)</f>
        <v>30.4</v>
      </c>
      <c r="E223" s="125">
        <f t="shared" si="18"/>
        <v>9.1499999999999998E-2</v>
      </c>
      <c r="F223" s="126">
        <f t="shared" si="22"/>
        <v>266897.5967048016</v>
      </c>
      <c r="G223" s="126">
        <f>IF(B223="","",IF(F223=0,0,MIN(F223,IF(Catálogos!$N$6=1,Prepagos!C182,IF(Catálogos!$N$6=2,Prepagos!D182,IF(Catálogos!$N$6=3,Prepagos!E182,))))))</f>
        <v>3441.5302777901838</v>
      </c>
      <c r="H223" s="126">
        <f t="shared" si="23"/>
        <v>2062.2287638724333</v>
      </c>
      <c r="I223" s="126">
        <f t="shared" si="24"/>
        <v>0</v>
      </c>
      <c r="J223" s="126">
        <f>IF(B223="","",IF(F223=0,0,F223*Catálogos!$R$1))</f>
        <v>160.13855802288094</v>
      </c>
      <c r="K223" s="126">
        <f>IF(B223="","",IF(Catálogos!$K$10=1,Carátula!$F$17*Catálogos!$R$4,0))</f>
        <v>199.92</v>
      </c>
      <c r="L223" s="126">
        <f>IF(B223="","",IF(F223=0,0,CAT!H186))</f>
        <v>299</v>
      </c>
      <c r="M223" s="115"/>
      <c r="N223" s="126">
        <f t="shared" si="26"/>
        <v>0</v>
      </c>
      <c r="O223" s="126">
        <f t="shared" si="25"/>
        <v>6162.817599685498</v>
      </c>
      <c r="P223" s="126">
        <f t="shared" si="19"/>
        <v>263456.06642701139</v>
      </c>
      <c r="Q223" s="127">
        <f t="shared" si="20"/>
        <v>1</v>
      </c>
    </row>
    <row r="224" spans="2:17" x14ac:dyDescent="0.25">
      <c r="B224" s="122">
        <f t="shared" si="21"/>
        <v>181</v>
      </c>
      <c r="C224" s="123">
        <f>IF(B224="","",'Fecha Pago'!K184)</f>
        <v>51473</v>
      </c>
      <c r="D224" s="124">
        <f>IF(B224="","",'Fecha Pago'!L184)</f>
        <v>30.4</v>
      </c>
      <c r="E224" s="125">
        <f t="shared" si="18"/>
        <v>9.1499999999999998E-2</v>
      </c>
      <c r="F224" s="126">
        <f t="shared" si="22"/>
        <v>263456.06642701139</v>
      </c>
      <c r="G224" s="126">
        <f>IF(B224="","",IF(F224=0,0,MIN(F224,IF(Catálogos!$N$6=1,Prepagos!C183,IF(Catálogos!$N$6=2,Prepagos!D183,IF(Catálogos!$N$6=3,Prepagos!E183,))))))</f>
        <v>3468.12183506991</v>
      </c>
      <c r="H224" s="126">
        <f t="shared" si="23"/>
        <v>2035.6372065927078</v>
      </c>
      <c r="I224" s="126">
        <f t="shared" si="24"/>
        <v>0</v>
      </c>
      <c r="J224" s="126">
        <f>IF(B224="","",IF(F224=0,0,F224*Catálogos!$R$1))</f>
        <v>158.07363985620682</v>
      </c>
      <c r="K224" s="126">
        <f>IF(B224="","",IF(Catálogos!$K$10=1,Carátula!$F$17*Catálogos!$R$4,0))</f>
        <v>199.92</v>
      </c>
      <c r="L224" s="126">
        <f>IF(B224="","",IF(F224=0,0,CAT!H187))</f>
        <v>299</v>
      </c>
      <c r="M224" s="115"/>
      <c r="N224" s="126">
        <f t="shared" si="26"/>
        <v>0</v>
      </c>
      <c r="O224" s="126">
        <f t="shared" si="25"/>
        <v>6160.7526815188248</v>
      </c>
      <c r="P224" s="126">
        <f t="shared" si="19"/>
        <v>259987.94459194149</v>
      </c>
      <c r="Q224" s="127">
        <f t="shared" si="20"/>
        <v>1</v>
      </c>
    </row>
    <row r="225" spans="2:17" x14ac:dyDescent="0.25">
      <c r="B225" s="122">
        <f t="shared" si="21"/>
        <v>182</v>
      </c>
      <c r="C225" s="123">
        <f>IF(B225="","",'Fecha Pago'!K185)</f>
        <v>51504</v>
      </c>
      <c r="D225" s="124">
        <f>IF(B225="","",'Fecha Pago'!L185)</f>
        <v>30.4</v>
      </c>
      <c r="E225" s="125">
        <f t="shared" si="18"/>
        <v>9.1499999999999998E-2</v>
      </c>
      <c r="F225" s="126">
        <f t="shared" si="22"/>
        <v>259987.94459194149</v>
      </c>
      <c r="G225" s="126">
        <f>IF(B225="","",IF(F225=0,0,MIN(F225,IF(Catálogos!$N$6=1,Prepagos!C184,IF(Catálogos!$N$6=2,Prepagos!D184,IF(Catálogos!$N$6=3,Prepagos!E184,))))))</f>
        <v>3494.9188564488832</v>
      </c>
      <c r="H225" s="126">
        <f t="shared" si="23"/>
        <v>2008.8401852137342</v>
      </c>
      <c r="I225" s="126">
        <f t="shared" si="24"/>
        <v>0</v>
      </c>
      <c r="J225" s="126">
        <f>IF(B225="","",IF(F225=0,0,F225*Catálogos!$R$1))</f>
        <v>155.99276675516487</v>
      </c>
      <c r="K225" s="126">
        <f>IF(B225="","",IF(Catálogos!$K$10=1,Carátula!$F$17*Catálogos!$R$4,0))</f>
        <v>199.92</v>
      </c>
      <c r="L225" s="126">
        <f>IF(B225="","",IF(F225=0,0,CAT!H188))</f>
        <v>299</v>
      </c>
      <c r="M225" s="115"/>
      <c r="N225" s="126">
        <f t="shared" si="26"/>
        <v>0</v>
      </c>
      <c r="O225" s="126">
        <f t="shared" si="25"/>
        <v>6158.6718084177819</v>
      </c>
      <c r="P225" s="126">
        <f t="shared" si="19"/>
        <v>256493.02573549261</v>
      </c>
      <c r="Q225" s="127">
        <f t="shared" si="20"/>
        <v>1</v>
      </c>
    </row>
    <row r="226" spans="2:17" x14ac:dyDescent="0.25">
      <c r="B226" s="122">
        <f t="shared" si="21"/>
        <v>183</v>
      </c>
      <c r="C226" s="123">
        <f>IF(B226="","",'Fecha Pago'!K186)</f>
        <v>51535</v>
      </c>
      <c r="D226" s="124">
        <f>IF(B226="","",'Fecha Pago'!L186)</f>
        <v>30.4</v>
      </c>
      <c r="E226" s="125">
        <f t="shared" si="18"/>
        <v>9.1499999999999998E-2</v>
      </c>
      <c r="F226" s="126">
        <f t="shared" si="22"/>
        <v>256493.02573549261</v>
      </c>
      <c r="G226" s="126">
        <f>IF(B226="","",IF(F226=0,0,MIN(F226,IF(Catálogos!$N$6=1,Prepagos!C185,IF(Catálogos!$N$6=2,Prepagos!D185,IF(Catálogos!$N$6=3,Prepagos!E185,))))))</f>
        <v>3521.9229294797115</v>
      </c>
      <c r="H226" s="126">
        <f t="shared" si="23"/>
        <v>1981.8361121829059</v>
      </c>
      <c r="I226" s="126">
        <f t="shared" si="24"/>
        <v>0</v>
      </c>
      <c r="J226" s="126">
        <f>IF(B226="","",IF(F226=0,0,F226*Catálogos!$R$1))</f>
        <v>153.89581544129555</v>
      </c>
      <c r="K226" s="126">
        <f>IF(B226="","",IF(Catálogos!$K$10=1,Carátula!$F$17*Catálogos!$R$4,0))</f>
        <v>199.92</v>
      </c>
      <c r="L226" s="126">
        <f>IF(B226="","",IF(F226=0,0,CAT!H189))</f>
        <v>299</v>
      </c>
      <c r="M226" s="115"/>
      <c r="N226" s="126">
        <f t="shared" si="26"/>
        <v>0</v>
      </c>
      <c r="O226" s="126">
        <f t="shared" si="25"/>
        <v>6156.574857103913</v>
      </c>
      <c r="P226" s="126">
        <f t="shared" si="19"/>
        <v>252971.1028060129</v>
      </c>
      <c r="Q226" s="127">
        <f t="shared" si="20"/>
        <v>1</v>
      </c>
    </row>
    <row r="227" spans="2:17" x14ac:dyDescent="0.25">
      <c r="B227" s="122">
        <f t="shared" si="21"/>
        <v>184</v>
      </c>
      <c r="C227" s="123">
        <f>IF(B227="","",'Fecha Pago'!K187)</f>
        <v>51563</v>
      </c>
      <c r="D227" s="124">
        <f>IF(B227="","",'Fecha Pago'!L187)</f>
        <v>30.4</v>
      </c>
      <c r="E227" s="125">
        <f t="shared" si="18"/>
        <v>9.1499999999999998E-2</v>
      </c>
      <c r="F227" s="126">
        <f t="shared" si="22"/>
        <v>252971.1028060129</v>
      </c>
      <c r="G227" s="126">
        <f>IF(B227="","",IF(F227=0,0,MIN(F227,IF(Catálogos!$N$6=1,Prepagos!C186,IF(Catálogos!$N$6=2,Prepagos!D186,IF(Catálogos!$N$6=3,Prepagos!E186,))))))</f>
        <v>3549.1356539814919</v>
      </c>
      <c r="H227" s="126">
        <f t="shared" si="23"/>
        <v>1954.6233876811261</v>
      </c>
      <c r="I227" s="126">
        <f t="shared" si="24"/>
        <v>0</v>
      </c>
      <c r="J227" s="126">
        <f>IF(B227="","",IF(F227=0,0,F227*Catálogos!$R$1))</f>
        <v>151.78266168360773</v>
      </c>
      <c r="K227" s="126">
        <f>IF(B227="","",IF(Catálogos!$K$10=1,Carátula!$F$17*Catálogos!$R$4,0))</f>
        <v>199.92</v>
      </c>
      <c r="L227" s="126">
        <f>IF(B227="","",IF(F227=0,0,CAT!H190))</f>
        <v>299</v>
      </c>
      <c r="M227" s="115"/>
      <c r="N227" s="126">
        <f t="shared" si="26"/>
        <v>0</v>
      </c>
      <c r="O227" s="126">
        <f t="shared" si="25"/>
        <v>6154.4617033462255</v>
      </c>
      <c r="P227" s="126">
        <f t="shared" si="19"/>
        <v>249421.9671520314</v>
      </c>
      <c r="Q227" s="127">
        <f t="shared" si="20"/>
        <v>1</v>
      </c>
    </row>
    <row r="228" spans="2:17" x14ac:dyDescent="0.25">
      <c r="B228" s="122">
        <f t="shared" si="21"/>
        <v>185</v>
      </c>
      <c r="C228" s="123">
        <f>IF(B228="","",'Fecha Pago'!K188)</f>
        <v>51594</v>
      </c>
      <c r="D228" s="124">
        <f>IF(B228="","",'Fecha Pago'!L188)</f>
        <v>30.4</v>
      </c>
      <c r="E228" s="125">
        <f t="shared" si="18"/>
        <v>9.1499999999999998E-2</v>
      </c>
      <c r="F228" s="126">
        <f t="shared" si="22"/>
        <v>249421.9671520314</v>
      </c>
      <c r="G228" s="126">
        <f>IF(B228="","",IF(F228=0,0,MIN(F228,IF(Catálogos!$N$6=1,Prepagos!C187,IF(Catálogos!$N$6=2,Prepagos!D187,IF(Catálogos!$N$6=3,Prepagos!E187,))))))</f>
        <v>3576.5586421345879</v>
      </c>
      <c r="H228" s="126">
        <f t="shared" si="23"/>
        <v>1927.200399528029</v>
      </c>
      <c r="I228" s="126">
        <f t="shared" si="24"/>
        <v>0</v>
      </c>
      <c r="J228" s="126">
        <f>IF(B228="","",IF(F228=0,0,F228*Catálogos!$R$1))</f>
        <v>149.65318029121883</v>
      </c>
      <c r="K228" s="126">
        <f>IF(B228="","",IF(Catálogos!$K$10=1,Carátula!$F$17*Catálogos!$R$4,0))</f>
        <v>199.92</v>
      </c>
      <c r="L228" s="126">
        <f>IF(B228="","",IF(F228=0,0,CAT!H191))</f>
        <v>299</v>
      </c>
      <c r="M228" s="115"/>
      <c r="N228" s="126">
        <f t="shared" si="26"/>
        <v>0</v>
      </c>
      <c r="O228" s="126">
        <f t="shared" si="25"/>
        <v>6152.3322219538359</v>
      </c>
      <c r="P228" s="126">
        <f t="shared" si="19"/>
        <v>245845.40850989681</v>
      </c>
      <c r="Q228" s="127">
        <f t="shared" si="20"/>
        <v>1</v>
      </c>
    </row>
    <row r="229" spans="2:17" x14ac:dyDescent="0.25">
      <c r="B229" s="122">
        <f t="shared" si="21"/>
        <v>186</v>
      </c>
      <c r="C229" s="123">
        <f>IF(B229="","",'Fecha Pago'!K189)</f>
        <v>51624</v>
      </c>
      <c r="D229" s="124">
        <f>IF(B229="","",'Fecha Pago'!L189)</f>
        <v>30.4</v>
      </c>
      <c r="E229" s="125">
        <f t="shared" si="18"/>
        <v>9.1499999999999998E-2</v>
      </c>
      <c r="F229" s="126">
        <f t="shared" si="22"/>
        <v>245845.40850989681</v>
      </c>
      <c r="G229" s="126">
        <f>IF(B229="","",IF(F229=0,0,MIN(F229,IF(Catálogos!$N$6=1,Prepagos!C188,IF(Catálogos!$N$6=2,Prepagos!D188,IF(Catálogos!$N$6=3,Prepagos!E188,))))))</f>
        <v>3604.1935185761486</v>
      </c>
      <c r="H229" s="126">
        <f t="shared" si="23"/>
        <v>1899.5655230864691</v>
      </c>
      <c r="I229" s="126">
        <f t="shared" si="24"/>
        <v>0</v>
      </c>
      <c r="J229" s="126">
        <f>IF(B229="","",IF(F229=0,0,F229*Catálogos!$R$1))</f>
        <v>147.50724510593807</v>
      </c>
      <c r="K229" s="126">
        <f>IF(B229="","",IF(Catálogos!$K$10=1,Carátula!$F$17*Catálogos!$R$4,0))</f>
        <v>199.92</v>
      </c>
      <c r="L229" s="126">
        <f>IF(B229="","",IF(F229=0,0,CAT!H192))</f>
        <v>299</v>
      </c>
      <c r="M229" s="115"/>
      <c r="N229" s="126">
        <f t="shared" si="26"/>
        <v>0</v>
      </c>
      <c r="O229" s="126">
        <f t="shared" si="25"/>
        <v>6150.186286768555</v>
      </c>
      <c r="P229" s="126">
        <f t="shared" si="19"/>
        <v>242241.21499132065</v>
      </c>
      <c r="Q229" s="127">
        <f t="shared" si="20"/>
        <v>1</v>
      </c>
    </row>
    <row r="230" spans="2:17" x14ac:dyDescent="0.25">
      <c r="B230" s="122">
        <f t="shared" si="21"/>
        <v>187</v>
      </c>
      <c r="C230" s="123">
        <f>IF(B230="","",'Fecha Pago'!K190)</f>
        <v>51655</v>
      </c>
      <c r="D230" s="124">
        <f>IF(B230="","",'Fecha Pago'!L190)</f>
        <v>30.4</v>
      </c>
      <c r="E230" s="125">
        <f t="shared" si="18"/>
        <v>9.1499999999999998E-2</v>
      </c>
      <c r="F230" s="126">
        <f t="shared" si="22"/>
        <v>242241.21499132065</v>
      </c>
      <c r="G230" s="126">
        <f>IF(B230="","",IF(F230=0,0,MIN(F230,IF(Catálogos!$N$6=1,Prepagos!C189,IF(Catálogos!$N$6=2,Prepagos!D189,IF(Catálogos!$N$6=3,Prepagos!E189,))))))</f>
        <v>3632.0419204963468</v>
      </c>
      <c r="H230" s="126">
        <f t="shared" si="23"/>
        <v>1871.7171211662705</v>
      </c>
      <c r="I230" s="126">
        <f t="shared" si="24"/>
        <v>0</v>
      </c>
      <c r="J230" s="126">
        <f>IF(B230="","",IF(F230=0,0,F230*Catálogos!$R$1))</f>
        <v>145.34472899479238</v>
      </c>
      <c r="K230" s="126">
        <f>IF(B230="","",IF(Catálogos!$K$10=1,Carátula!$F$17*Catálogos!$R$4,0))</f>
        <v>199.92</v>
      </c>
      <c r="L230" s="126">
        <f>IF(B230="","",IF(F230=0,0,CAT!H193))</f>
        <v>299</v>
      </c>
      <c r="M230" s="115"/>
      <c r="N230" s="126">
        <f t="shared" si="26"/>
        <v>0</v>
      </c>
      <c r="O230" s="126">
        <f t="shared" si="25"/>
        <v>6148.0237706574098</v>
      </c>
      <c r="P230" s="126">
        <f t="shared" si="19"/>
        <v>238609.1730708243</v>
      </c>
      <c r="Q230" s="127">
        <f t="shared" si="20"/>
        <v>1</v>
      </c>
    </row>
    <row r="231" spans="2:17" x14ac:dyDescent="0.25">
      <c r="B231" s="122">
        <f t="shared" si="21"/>
        <v>188</v>
      </c>
      <c r="C231" s="123">
        <f>IF(B231="","",'Fecha Pago'!K191)</f>
        <v>51685</v>
      </c>
      <c r="D231" s="124">
        <f>IF(B231="","",'Fecha Pago'!L191)</f>
        <v>30.4</v>
      </c>
      <c r="E231" s="125">
        <f t="shared" si="18"/>
        <v>9.1499999999999998E-2</v>
      </c>
      <c r="F231" s="126">
        <f t="shared" si="22"/>
        <v>238609.1730708243</v>
      </c>
      <c r="G231" s="126">
        <f>IF(B231="","",IF(F231=0,0,MIN(F231,IF(Catálogos!$N$6=1,Prepagos!C190,IF(Catálogos!$N$6=2,Prepagos!D190,IF(Catálogos!$N$6=3,Prepagos!E190,))))))</f>
        <v>3660.105497735382</v>
      </c>
      <c r="H231" s="126">
        <f t="shared" si="23"/>
        <v>1843.6535439272354</v>
      </c>
      <c r="I231" s="126">
        <f t="shared" si="24"/>
        <v>0</v>
      </c>
      <c r="J231" s="126">
        <f>IF(B231="","",IF(F231=0,0,F231*Catálogos!$R$1))</f>
        <v>143.16550384249456</v>
      </c>
      <c r="K231" s="126">
        <f>IF(B231="","",IF(Catálogos!$K$10=1,Carátula!$F$17*Catálogos!$R$4,0))</f>
        <v>199.92</v>
      </c>
      <c r="L231" s="126">
        <f>IF(B231="","",IF(F231=0,0,CAT!H194))</f>
        <v>299</v>
      </c>
      <c r="M231" s="115"/>
      <c r="N231" s="126">
        <f t="shared" si="26"/>
        <v>0</v>
      </c>
      <c r="O231" s="126">
        <f t="shared" si="25"/>
        <v>6145.8445455051115</v>
      </c>
      <c r="P231" s="126">
        <f t="shared" si="19"/>
        <v>234949.06757308892</v>
      </c>
      <c r="Q231" s="127">
        <f t="shared" si="20"/>
        <v>1</v>
      </c>
    </row>
    <row r="232" spans="2:17" x14ac:dyDescent="0.25">
      <c r="B232" s="122">
        <f t="shared" si="21"/>
        <v>189</v>
      </c>
      <c r="C232" s="123">
        <f>IF(B232="","",'Fecha Pago'!K192)</f>
        <v>51716</v>
      </c>
      <c r="D232" s="124">
        <f>IF(B232="","",'Fecha Pago'!L192)</f>
        <v>30.4</v>
      </c>
      <c r="E232" s="125">
        <f t="shared" si="18"/>
        <v>9.1499999999999998E-2</v>
      </c>
      <c r="F232" s="126">
        <f t="shared" si="22"/>
        <v>234949.06757308892</v>
      </c>
      <c r="G232" s="126">
        <f>IF(B232="","",IF(F232=0,0,MIN(F232,IF(Catálogos!$N$6=1,Prepagos!C191,IF(Catálogos!$N$6=2,Prepagos!D191,IF(Catálogos!$N$6=3,Prepagos!E191,))))))</f>
        <v>3688.3859128812173</v>
      </c>
      <c r="H232" s="126">
        <f t="shared" si="23"/>
        <v>1815.3731287814001</v>
      </c>
      <c r="I232" s="126">
        <f t="shared" si="24"/>
        <v>0</v>
      </c>
      <c r="J232" s="126">
        <f>IF(B232="","",IF(F232=0,0,F232*Catálogos!$R$1))</f>
        <v>140.96944054385335</v>
      </c>
      <c r="K232" s="126">
        <f>IF(B232="","",IF(Catálogos!$K$10=1,Carátula!$F$17*Catálogos!$R$4,0))</f>
        <v>199.92</v>
      </c>
      <c r="L232" s="126">
        <f>IF(B232="","",IF(F232=0,0,CAT!H195))</f>
        <v>299</v>
      </c>
      <c r="M232" s="115"/>
      <c r="N232" s="126">
        <f t="shared" si="26"/>
        <v>0</v>
      </c>
      <c r="O232" s="126">
        <f t="shared" si="25"/>
        <v>6143.6484822064704</v>
      </c>
      <c r="P232" s="126">
        <f t="shared" si="19"/>
        <v>231260.68166020772</v>
      </c>
      <c r="Q232" s="127">
        <f t="shared" si="20"/>
        <v>1</v>
      </c>
    </row>
    <row r="233" spans="2:17" x14ac:dyDescent="0.25">
      <c r="B233" s="122">
        <f t="shared" si="21"/>
        <v>190</v>
      </c>
      <c r="C233" s="123">
        <f>IF(B233="","",'Fecha Pago'!K193)</f>
        <v>51747</v>
      </c>
      <c r="D233" s="124">
        <f>IF(B233="","",'Fecha Pago'!L193)</f>
        <v>30.4</v>
      </c>
      <c r="E233" s="125">
        <f t="shared" si="18"/>
        <v>9.1499999999999998E-2</v>
      </c>
      <c r="F233" s="126">
        <f t="shared" si="22"/>
        <v>231260.68166020772</v>
      </c>
      <c r="G233" s="126">
        <f>IF(B233="","",IF(F233=0,0,MIN(F233,IF(Catálogos!$N$6=1,Prepagos!C192,IF(Catálogos!$N$6=2,Prepagos!D192,IF(Catálogos!$N$6=3,Prepagos!E192,))))))</f>
        <v>3716.8848413680789</v>
      </c>
      <c r="H233" s="126">
        <f t="shared" si="23"/>
        <v>1786.874200294538</v>
      </c>
      <c r="I233" s="126">
        <f t="shared" si="24"/>
        <v>0</v>
      </c>
      <c r="J233" s="126">
        <f>IF(B233="","",IF(F233=0,0,F233*Catálogos!$R$1))</f>
        <v>138.75640899612461</v>
      </c>
      <c r="K233" s="126">
        <f>IF(B233="","",IF(Catálogos!$K$10=1,Carátula!$F$17*Catálogos!$R$4,0))</f>
        <v>199.92</v>
      </c>
      <c r="L233" s="126">
        <f>IF(B233="","",IF(F233=0,0,CAT!H196))</f>
        <v>299</v>
      </c>
      <c r="M233" s="115"/>
      <c r="N233" s="126">
        <f t="shared" si="26"/>
        <v>0</v>
      </c>
      <c r="O233" s="126">
        <f t="shared" si="25"/>
        <v>6141.4354506587415</v>
      </c>
      <c r="P233" s="126">
        <f t="shared" si="19"/>
        <v>227543.79681883965</v>
      </c>
      <c r="Q233" s="127">
        <f t="shared" si="20"/>
        <v>1</v>
      </c>
    </row>
    <row r="234" spans="2:17" x14ac:dyDescent="0.25">
      <c r="B234" s="122">
        <f t="shared" si="21"/>
        <v>191</v>
      </c>
      <c r="C234" s="123">
        <f>IF(B234="","",'Fecha Pago'!K194)</f>
        <v>51777</v>
      </c>
      <c r="D234" s="124">
        <f>IF(B234="","",'Fecha Pago'!L194)</f>
        <v>30.4</v>
      </c>
      <c r="E234" s="125">
        <f t="shared" si="18"/>
        <v>9.1499999999999998E-2</v>
      </c>
      <c r="F234" s="126">
        <f t="shared" si="22"/>
        <v>227543.79681883965</v>
      </c>
      <c r="G234" s="126">
        <f>IF(B234="","",IF(F234=0,0,MIN(F234,IF(Catálogos!$N$6=1,Prepagos!C193,IF(Catálogos!$N$6=2,Prepagos!D193,IF(Catálogos!$N$6=3,Prepagos!E193,))))))</f>
        <v>3745.603971575717</v>
      </c>
      <c r="H234" s="126">
        <f t="shared" si="23"/>
        <v>1758.1550700869007</v>
      </c>
      <c r="I234" s="126">
        <f t="shared" si="24"/>
        <v>0</v>
      </c>
      <c r="J234" s="126">
        <f>IF(B234="","",IF(F234=0,0,F234*Catálogos!$R$1))</f>
        <v>136.52627809130377</v>
      </c>
      <c r="K234" s="126">
        <f>IF(B234="","",IF(Catálogos!$K$10=1,Carátula!$F$17*Catálogos!$R$4,0))</f>
        <v>199.92</v>
      </c>
      <c r="L234" s="126">
        <f>IF(B234="","",IF(F234=0,0,CAT!H197))</f>
        <v>299</v>
      </c>
      <c r="M234" s="115"/>
      <c r="N234" s="126">
        <f t="shared" si="26"/>
        <v>0</v>
      </c>
      <c r="O234" s="126">
        <f t="shared" si="25"/>
        <v>6139.2053197539208</v>
      </c>
      <c r="P234" s="126">
        <f t="shared" si="19"/>
        <v>223798.19284726394</v>
      </c>
      <c r="Q234" s="127">
        <f t="shared" si="20"/>
        <v>1</v>
      </c>
    </row>
    <row r="235" spans="2:17" x14ac:dyDescent="0.25">
      <c r="B235" s="122">
        <f t="shared" si="21"/>
        <v>192</v>
      </c>
      <c r="C235" s="123">
        <f>IF(B235="","",'Fecha Pago'!K195)</f>
        <v>51808</v>
      </c>
      <c r="D235" s="124">
        <f>IF(B235="","",'Fecha Pago'!L195)</f>
        <v>30.4</v>
      </c>
      <c r="E235" s="125">
        <f t="shared" si="18"/>
        <v>9.1499999999999998E-2</v>
      </c>
      <c r="F235" s="126">
        <f t="shared" si="22"/>
        <v>223798.19284726394</v>
      </c>
      <c r="G235" s="126">
        <f>IF(B235="","",IF(F235=0,0,MIN(F235,IF(Catálogos!$N$6=1,Prepagos!C194,IF(Catálogos!$N$6=2,Prepagos!D194,IF(Catálogos!$N$6=3,Prepagos!E194,))))))</f>
        <v>3774.545004929425</v>
      </c>
      <c r="H235" s="126">
        <f t="shared" si="23"/>
        <v>1729.2140367331924</v>
      </c>
      <c r="I235" s="126">
        <f t="shared" si="24"/>
        <v>0</v>
      </c>
      <c r="J235" s="126">
        <f>IF(B235="","",IF(F235=0,0,F235*Catálogos!$R$1))</f>
        <v>134.27891570835834</v>
      </c>
      <c r="K235" s="126">
        <f>IF(B235="","",IF(Catálogos!$K$10=1,Carátula!$F$17*Catálogos!$R$4,0))</f>
        <v>199.92</v>
      </c>
      <c r="L235" s="126">
        <f>IF(B235="","",IF(F235=0,0,CAT!H198))</f>
        <v>299</v>
      </c>
      <c r="M235" s="115"/>
      <c r="N235" s="126">
        <f t="shared" si="26"/>
        <v>0</v>
      </c>
      <c r="O235" s="126">
        <f t="shared" si="25"/>
        <v>6136.9579573709752</v>
      </c>
      <c r="P235" s="126">
        <f t="shared" si="19"/>
        <v>220023.64784233453</v>
      </c>
      <c r="Q235" s="127">
        <f t="shared" si="20"/>
        <v>1</v>
      </c>
    </row>
    <row r="236" spans="2:17" x14ac:dyDescent="0.25">
      <c r="B236" s="122">
        <f t="shared" si="21"/>
        <v>193</v>
      </c>
      <c r="C236" s="123">
        <f>IF(B236="","",'Fecha Pago'!K196)</f>
        <v>51838</v>
      </c>
      <c r="D236" s="124">
        <f>IF(B236="","",'Fecha Pago'!L196)</f>
        <v>30.4</v>
      </c>
      <c r="E236" s="125">
        <f t="shared" ref="E236:E283" si="27">IF(B236="","",$E$39)</f>
        <v>9.1499999999999998E-2</v>
      </c>
      <c r="F236" s="126">
        <f t="shared" si="22"/>
        <v>220023.64784233453</v>
      </c>
      <c r="G236" s="126">
        <f>IF(B236="","",IF(F236=0,0,MIN(F236,IF(Catálogos!$N$6=1,Prepagos!C195,IF(Catálogos!$N$6=2,Prepagos!D195,IF(Catálogos!$N$6=3,Prepagos!E195,))))))</f>
        <v>3803.7096560008467</v>
      </c>
      <c r="H236" s="126">
        <f t="shared" si="23"/>
        <v>1700.0493856617711</v>
      </c>
      <c r="I236" s="126">
        <f t="shared" si="24"/>
        <v>0</v>
      </c>
      <c r="J236" s="126">
        <f>IF(B236="","",IF(F236=0,0,F236*Catálogos!$R$1))</f>
        <v>132.0141887054007</v>
      </c>
      <c r="K236" s="126">
        <f>IF(B236="","",IF(Catálogos!$K$10=1,Carátula!$F$17*Catálogos!$R$4,0))</f>
        <v>199.92</v>
      </c>
      <c r="L236" s="126">
        <f>IF(B236="","",IF(F236=0,0,CAT!H199))</f>
        <v>299</v>
      </c>
      <c r="M236" s="115"/>
      <c r="N236" s="126">
        <f t="shared" si="26"/>
        <v>0</v>
      </c>
      <c r="O236" s="126">
        <f t="shared" si="25"/>
        <v>6134.6932303680187</v>
      </c>
      <c r="P236" s="126">
        <f t="shared" ref="P236:P283" si="28">IF(B236="","",F236-G236)</f>
        <v>216219.93818633369</v>
      </c>
      <c r="Q236" s="127">
        <f t="shared" ref="Q236:Q283" si="29">IF(OR(B236="",F236=0),"",1)</f>
        <v>1</v>
      </c>
    </row>
    <row r="237" spans="2:17" x14ac:dyDescent="0.25">
      <c r="B237" s="122">
        <f t="shared" ref="B237:B283" si="30">IF(B236=$H$29,"",IF(B236="","",B236+1))</f>
        <v>194</v>
      </c>
      <c r="C237" s="123">
        <f>IF(B237="","",'Fecha Pago'!K197)</f>
        <v>51869</v>
      </c>
      <c r="D237" s="124">
        <f>IF(B237="","",'Fecha Pago'!L197)</f>
        <v>30.4</v>
      </c>
      <c r="E237" s="125">
        <f t="shared" si="27"/>
        <v>9.1499999999999998E-2</v>
      </c>
      <c r="F237" s="126">
        <f t="shared" ref="F237:F283" si="31">IF(B237="","",P236)</f>
        <v>216219.93818633369</v>
      </c>
      <c r="G237" s="126">
        <f>IF(B237="","",IF(F237=0,0,MIN(F237,IF(Catálogos!$N$6=1,Prepagos!C196,IF(Catálogos!$N$6=2,Prepagos!D196,IF(Catálogos!$N$6=3,Prepagos!E196,))))))</f>
        <v>3833.0996526095464</v>
      </c>
      <c r="H237" s="126">
        <f t="shared" ref="H237:H283" si="32">IF(B237="","",IF(F237=0,0,(E237/360*D237)*F237))</f>
        <v>1670.6593890530714</v>
      </c>
      <c r="I237" s="126">
        <f t="shared" ref="I237:I283" si="33">IF(B237="","",IF($I$43&lt;&gt;"",H237*0.16,0))</f>
        <v>0</v>
      </c>
      <c r="J237" s="126">
        <f>IF(B237="","",IF(F237=0,0,F237*Catálogos!$R$1))</f>
        <v>129.7319629118002</v>
      </c>
      <c r="K237" s="126">
        <f>IF(B237="","",IF(Catálogos!$K$10=1,Carátula!$F$17*Catálogos!$R$4,0))</f>
        <v>199.92</v>
      </c>
      <c r="L237" s="126">
        <f>IF(B237="","",IF(F237=0,0,CAT!H200))</f>
        <v>299</v>
      </c>
      <c r="M237" s="115"/>
      <c r="N237" s="126">
        <f t="shared" si="26"/>
        <v>0</v>
      </c>
      <c r="O237" s="126">
        <f t="shared" ref="O237:O283" si="34">IF(B237="","",G237+H237+I237+J237+K237+L237)</f>
        <v>6132.4110045744183</v>
      </c>
      <c r="P237" s="126">
        <f t="shared" si="28"/>
        <v>212386.83853372413</v>
      </c>
      <c r="Q237" s="127">
        <f t="shared" si="29"/>
        <v>1</v>
      </c>
    </row>
    <row r="238" spans="2:17" x14ac:dyDescent="0.25">
      <c r="B238" s="122">
        <f t="shared" si="30"/>
        <v>195</v>
      </c>
      <c r="C238" s="123">
        <f>IF(B238="","",'Fecha Pago'!K198)</f>
        <v>51900</v>
      </c>
      <c r="D238" s="124">
        <f>IF(B238="","",'Fecha Pago'!L198)</f>
        <v>30.4</v>
      </c>
      <c r="E238" s="125">
        <f t="shared" si="27"/>
        <v>9.1499999999999998E-2</v>
      </c>
      <c r="F238" s="126">
        <f t="shared" si="31"/>
        <v>212386.83853372413</v>
      </c>
      <c r="G238" s="126">
        <f>IF(B238="","",IF(F238=0,0,MIN(F238,IF(Catálogos!$N$6=1,Prepagos!C197,IF(Catálogos!$N$6=2,Prepagos!D197,IF(Catálogos!$N$6=3,Prepagos!E197,))))))</f>
        <v>3862.7167359253763</v>
      </c>
      <c r="H238" s="126">
        <f t="shared" si="32"/>
        <v>1641.0423057372416</v>
      </c>
      <c r="I238" s="126">
        <f t="shared" si="33"/>
        <v>0</v>
      </c>
      <c r="J238" s="126">
        <f>IF(B238="","",IF(F238=0,0,F238*Catálogos!$R$1))</f>
        <v>127.43210312023447</v>
      </c>
      <c r="K238" s="126">
        <f>IF(B238="","",IF(Catálogos!$K$10=1,Carátula!$F$17*Catálogos!$R$4,0))</f>
        <v>199.92</v>
      </c>
      <c r="L238" s="126">
        <f>IF(B238="","",IF(F238=0,0,CAT!H201))</f>
        <v>299</v>
      </c>
      <c r="M238" s="115"/>
      <c r="N238" s="126">
        <f t="shared" si="26"/>
        <v>0</v>
      </c>
      <c r="O238" s="126">
        <f t="shared" si="34"/>
        <v>6130.1111447828525</v>
      </c>
      <c r="P238" s="126">
        <f t="shared" si="28"/>
        <v>208524.12179779875</v>
      </c>
      <c r="Q238" s="127">
        <f t="shared" si="29"/>
        <v>1</v>
      </c>
    </row>
    <row r="239" spans="2:17" x14ac:dyDescent="0.25">
      <c r="B239" s="122">
        <f t="shared" si="30"/>
        <v>196</v>
      </c>
      <c r="C239" s="123">
        <f>IF(B239="","",'Fecha Pago'!K199)</f>
        <v>51928</v>
      </c>
      <c r="D239" s="124">
        <f>IF(B239="","",'Fecha Pago'!L199)</f>
        <v>30.4</v>
      </c>
      <c r="E239" s="125">
        <f t="shared" si="27"/>
        <v>9.1499999999999998E-2</v>
      </c>
      <c r="F239" s="126">
        <f t="shared" si="31"/>
        <v>208524.12179779875</v>
      </c>
      <c r="G239" s="126">
        <f>IF(B239="","",IF(F239=0,0,MIN(F239,IF(Catálogos!$N$6=1,Prepagos!C198,IF(Catálogos!$N$6=2,Prepagos!D198,IF(Catálogos!$N$6=3,Prepagos!E198,))))))</f>
        <v>3892.5626605716261</v>
      </c>
      <c r="H239" s="126">
        <f t="shared" si="32"/>
        <v>1611.1963810909915</v>
      </c>
      <c r="I239" s="126">
        <f t="shared" si="33"/>
        <v>0</v>
      </c>
      <c r="J239" s="126">
        <f>IF(B239="","",IF(F239=0,0,F239*Catálogos!$R$1))</f>
        <v>125.11447307867924</v>
      </c>
      <c r="K239" s="126">
        <f>IF(B239="","",IF(Catálogos!$K$10=1,Carátula!$F$17*Catálogos!$R$4,0))</f>
        <v>199.92</v>
      </c>
      <c r="L239" s="126">
        <f>IF(B239="","",IF(F239=0,0,CAT!H202))</f>
        <v>299</v>
      </c>
      <c r="M239" s="115"/>
      <c r="N239" s="126">
        <f t="shared" si="26"/>
        <v>0</v>
      </c>
      <c r="O239" s="126">
        <f t="shared" si="34"/>
        <v>6127.7935147412963</v>
      </c>
      <c r="P239" s="126">
        <f t="shared" si="28"/>
        <v>204631.55913722713</v>
      </c>
      <c r="Q239" s="127">
        <f t="shared" si="29"/>
        <v>1</v>
      </c>
    </row>
    <row r="240" spans="2:17" x14ac:dyDescent="0.25">
      <c r="B240" s="122">
        <f t="shared" si="30"/>
        <v>197</v>
      </c>
      <c r="C240" s="123">
        <f>IF(B240="","",'Fecha Pago'!K200)</f>
        <v>51959</v>
      </c>
      <c r="D240" s="124">
        <f>IF(B240="","",'Fecha Pago'!L200)</f>
        <v>30.4</v>
      </c>
      <c r="E240" s="125">
        <f t="shared" si="27"/>
        <v>9.1499999999999998E-2</v>
      </c>
      <c r="F240" s="126">
        <f t="shared" si="31"/>
        <v>204631.55913722713</v>
      </c>
      <c r="G240" s="126">
        <f>IF(B240="","",IF(F240=0,0,MIN(F240,IF(Catálogos!$N$6=1,Prepagos!C199,IF(Catálogos!$N$6=2,Prepagos!D199,IF(Catálogos!$N$6=3,Prepagos!E199,))))))</f>
        <v>3922.6391947289762</v>
      </c>
      <c r="H240" s="126">
        <f t="shared" si="32"/>
        <v>1581.1198469336414</v>
      </c>
      <c r="I240" s="126">
        <f t="shared" si="33"/>
        <v>0</v>
      </c>
      <c r="J240" s="126">
        <f>IF(B240="","",IF(F240=0,0,F240*Catálogos!$R$1))</f>
        <v>122.77893548233627</v>
      </c>
      <c r="K240" s="126">
        <f>IF(B240="","",IF(Catálogos!$K$10=1,Carátula!$F$17*Catálogos!$R$4,0))</f>
        <v>199.92</v>
      </c>
      <c r="L240" s="126">
        <f>IF(B240="","",IF(F240=0,0,CAT!H203))</f>
        <v>299</v>
      </c>
      <c r="M240" s="115"/>
      <c r="N240" s="126">
        <f t="shared" si="26"/>
        <v>0</v>
      </c>
      <c r="O240" s="126">
        <f t="shared" si="34"/>
        <v>6125.4579771449535</v>
      </c>
      <c r="P240" s="126">
        <f t="shared" si="28"/>
        <v>200708.91994249815</v>
      </c>
      <c r="Q240" s="127">
        <f t="shared" si="29"/>
        <v>1</v>
      </c>
    </row>
    <row r="241" spans="2:17" x14ac:dyDescent="0.25">
      <c r="B241" s="122">
        <f t="shared" si="30"/>
        <v>198</v>
      </c>
      <c r="C241" s="123">
        <f>IF(B241="","",'Fecha Pago'!K201)</f>
        <v>51989</v>
      </c>
      <c r="D241" s="124">
        <f>IF(B241="","",'Fecha Pago'!L201)</f>
        <v>30.4</v>
      </c>
      <c r="E241" s="125">
        <f t="shared" si="27"/>
        <v>9.1499999999999998E-2</v>
      </c>
      <c r="F241" s="126">
        <f t="shared" si="31"/>
        <v>200708.91994249815</v>
      </c>
      <c r="G241" s="126">
        <f>IF(B241="","",IF(F241=0,0,MIN(F241,IF(Catálogos!$N$6=1,Prepagos!C200,IF(Catálogos!$N$6=2,Prepagos!D200,IF(Catálogos!$N$6=3,Prepagos!E200,))))))</f>
        <v>3952.9481202402485</v>
      </c>
      <c r="H241" s="126">
        <f t="shared" si="32"/>
        <v>1550.8109214223689</v>
      </c>
      <c r="I241" s="126">
        <f t="shared" si="33"/>
        <v>0</v>
      </c>
      <c r="J241" s="126">
        <f>IF(B241="","",IF(F241=0,0,F241*Catálogos!$R$1))</f>
        <v>120.42535196549888</v>
      </c>
      <c r="K241" s="126">
        <f>IF(B241="","",IF(Catálogos!$K$10=1,Carátula!$F$17*Catálogos!$R$4,0))</f>
        <v>199.92</v>
      </c>
      <c r="L241" s="126">
        <f>IF(B241="","",IF(F241=0,0,CAT!H204))</f>
        <v>299</v>
      </c>
      <c r="M241" s="115"/>
      <c r="N241" s="126">
        <f t="shared" si="26"/>
        <v>0</v>
      </c>
      <c r="O241" s="126">
        <f t="shared" si="34"/>
        <v>6123.1043936281158</v>
      </c>
      <c r="P241" s="126">
        <f t="shared" si="28"/>
        <v>196755.97182225791</v>
      </c>
      <c r="Q241" s="127">
        <f t="shared" si="29"/>
        <v>1</v>
      </c>
    </row>
    <row r="242" spans="2:17" x14ac:dyDescent="0.25">
      <c r="B242" s="122">
        <f t="shared" si="30"/>
        <v>199</v>
      </c>
      <c r="C242" s="123">
        <f>IF(B242="","",'Fecha Pago'!K202)</f>
        <v>52020</v>
      </c>
      <c r="D242" s="124">
        <f>IF(B242="","",'Fecha Pago'!L202)</f>
        <v>30.4</v>
      </c>
      <c r="E242" s="125">
        <f t="shared" si="27"/>
        <v>9.1499999999999998E-2</v>
      </c>
      <c r="F242" s="126">
        <f t="shared" si="31"/>
        <v>196755.97182225791</v>
      </c>
      <c r="G242" s="126">
        <f>IF(B242="","",IF(F242=0,0,MIN(F242,IF(Catálogos!$N$6=1,Prepagos!C201,IF(Catálogos!$N$6=2,Prepagos!D201,IF(Catálogos!$N$6=3,Prepagos!E201,))))))</f>
        <v>3983.4912327159718</v>
      </c>
      <c r="H242" s="126">
        <f t="shared" si="32"/>
        <v>1520.2678089466458</v>
      </c>
      <c r="I242" s="126">
        <f t="shared" si="33"/>
        <v>0</v>
      </c>
      <c r="J242" s="126">
        <f>IF(B242="","",IF(F242=0,0,F242*Catálogos!$R$1))</f>
        <v>118.05358309335473</v>
      </c>
      <c r="K242" s="126">
        <f>IF(B242="","",IF(Catálogos!$K$10=1,Carátula!$F$17*Catálogos!$R$4,0))</f>
        <v>199.92</v>
      </c>
      <c r="L242" s="126">
        <f>IF(B242="","",IF(F242=0,0,CAT!H205))</f>
        <v>299</v>
      </c>
      <c r="M242" s="115"/>
      <c r="N242" s="126">
        <f t="shared" si="26"/>
        <v>0</v>
      </c>
      <c r="O242" s="126">
        <f t="shared" si="34"/>
        <v>6120.7326247559722</v>
      </c>
      <c r="P242" s="126">
        <f t="shared" si="28"/>
        <v>192772.48058954193</v>
      </c>
      <c r="Q242" s="127">
        <f t="shared" si="29"/>
        <v>1</v>
      </c>
    </row>
    <row r="243" spans="2:17" x14ac:dyDescent="0.25">
      <c r="B243" s="122">
        <f t="shared" si="30"/>
        <v>200</v>
      </c>
      <c r="C243" s="123">
        <f>IF(B243="","",'Fecha Pago'!K203)</f>
        <v>52050</v>
      </c>
      <c r="D243" s="124">
        <f>IF(B243="","",'Fecha Pago'!L203)</f>
        <v>30.4</v>
      </c>
      <c r="E243" s="125">
        <f t="shared" si="27"/>
        <v>9.1499999999999998E-2</v>
      </c>
      <c r="F243" s="126">
        <f t="shared" si="31"/>
        <v>192772.48058954193</v>
      </c>
      <c r="G243" s="126">
        <f>IF(B243="","",IF(F243=0,0,MIN(F243,IF(Catálogos!$N$6=1,Prepagos!C202,IF(Catálogos!$N$6=2,Prepagos!D202,IF(Catálogos!$N$6=3,Prepagos!E202,))))))</f>
        <v>4014.2703416407571</v>
      </c>
      <c r="H243" s="126">
        <f t="shared" si="32"/>
        <v>1489.4887000218605</v>
      </c>
      <c r="I243" s="126">
        <f t="shared" si="33"/>
        <v>0</v>
      </c>
      <c r="J243" s="126">
        <f>IF(B243="","",IF(F243=0,0,F243*Catálogos!$R$1))</f>
        <v>115.66348835372514</v>
      </c>
      <c r="K243" s="126">
        <f>IF(B243="","",IF(Catálogos!$K$10=1,Carátula!$F$17*Catálogos!$R$4,0))</f>
        <v>199.92</v>
      </c>
      <c r="L243" s="126">
        <f>IF(B243="","",IF(F243=0,0,CAT!H206))</f>
        <v>299</v>
      </c>
      <c r="M243" s="115"/>
      <c r="N243" s="126">
        <f t="shared" si="26"/>
        <v>0</v>
      </c>
      <c r="O243" s="126">
        <f t="shared" si="34"/>
        <v>6118.3425300163426</v>
      </c>
      <c r="P243" s="126">
        <f t="shared" si="28"/>
        <v>188758.21024790118</v>
      </c>
      <c r="Q243" s="127">
        <f t="shared" si="29"/>
        <v>1</v>
      </c>
    </row>
    <row r="244" spans="2:17" x14ac:dyDescent="0.25">
      <c r="B244" s="122">
        <f t="shared" si="30"/>
        <v>201</v>
      </c>
      <c r="C244" s="123">
        <f>IF(B244="","",'Fecha Pago'!K204)</f>
        <v>52081</v>
      </c>
      <c r="D244" s="124">
        <f>IF(B244="","",'Fecha Pago'!L204)</f>
        <v>30.4</v>
      </c>
      <c r="E244" s="125">
        <f t="shared" si="27"/>
        <v>9.1499999999999998E-2</v>
      </c>
      <c r="F244" s="126">
        <f t="shared" si="31"/>
        <v>188758.21024790118</v>
      </c>
      <c r="G244" s="126">
        <f>IF(B244="","",IF(F244=0,0,MIN(F244,IF(Catálogos!$N$6=1,Prepagos!C203,IF(Catálogos!$N$6=2,Prepagos!D203,IF(Catálogos!$N$6=3,Prepagos!E203,))))))</f>
        <v>4045.2872704805013</v>
      </c>
      <c r="H244" s="126">
        <f t="shared" si="32"/>
        <v>1458.4717711821163</v>
      </c>
      <c r="I244" s="126">
        <f t="shared" si="33"/>
        <v>0</v>
      </c>
      <c r="J244" s="126">
        <f>IF(B244="","",IF(F244=0,0,F244*Catálogos!$R$1))</f>
        <v>113.25492614874069</v>
      </c>
      <c r="K244" s="126">
        <f>IF(B244="","",IF(Catálogos!$K$10=1,Carátula!$F$17*Catálogos!$R$4,0))</f>
        <v>199.92</v>
      </c>
      <c r="L244" s="126">
        <f>IF(B244="","",IF(F244=0,0,CAT!H207))</f>
        <v>299</v>
      </c>
      <c r="M244" s="115"/>
      <c r="N244" s="126">
        <f t="shared" si="26"/>
        <v>0</v>
      </c>
      <c r="O244" s="126">
        <f t="shared" si="34"/>
        <v>6115.9339678113583</v>
      </c>
      <c r="P244" s="126">
        <f t="shared" si="28"/>
        <v>184712.92297742068</v>
      </c>
      <c r="Q244" s="127">
        <f t="shared" si="29"/>
        <v>1</v>
      </c>
    </row>
    <row r="245" spans="2:17" x14ac:dyDescent="0.25">
      <c r="B245" s="122">
        <f t="shared" si="30"/>
        <v>202</v>
      </c>
      <c r="C245" s="123">
        <f>IF(B245="","",'Fecha Pago'!K205)</f>
        <v>52112</v>
      </c>
      <c r="D245" s="124">
        <f>IF(B245="","",'Fecha Pago'!L205)</f>
        <v>30.4</v>
      </c>
      <c r="E245" s="125">
        <f t="shared" si="27"/>
        <v>9.1499999999999998E-2</v>
      </c>
      <c r="F245" s="126">
        <f t="shared" si="31"/>
        <v>184712.92297742068</v>
      </c>
      <c r="G245" s="126">
        <f>IF(B245="","",IF(F245=0,0,MIN(F245,IF(Catálogos!$N$6=1,Prepagos!C204,IF(Catálogos!$N$6=2,Prepagos!D204,IF(Catálogos!$N$6=3,Prepagos!E204,))))))</f>
        <v>4076.5438567904139</v>
      </c>
      <c r="H245" s="126">
        <f t="shared" si="32"/>
        <v>1427.2151848722035</v>
      </c>
      <c r="I245" s="126">
        <f t="shared" si="33"/>
        <v>0</v>
      </c>
      <c r="J245" s="126">
        <f>IF(B245="","",IF(F245=0,0,F245*Catálogos!$R$1))</f>
        <v>110.82775378645239</v>
      </c>
      <c r="K245" s="126">
        <f>IF(B245="","",IF(Catálogos!$K$10=1,Carátula!$F$17*Catálogos!$R$4,0))</f>
        <v>199.92</v>
      </c>
      <c r="L245" s="126">
        <f>IF(B245="","",IF(F245=0,0,CAT!H208))</f>
        <v>299</v>
      </c>
      <c r="M245" s="115"/>
      <c r="N245" s="126">
        <f t="shared" si="26"/>
        <v>0</v>
      </c>
      <c r="O245" s="126">
        <f t="shared" si="34"/>
        <v>6113.5067954490696</v>
      </c>
      <c r="P245" s="126">
        <f t="shared" si="28"/>
        <v>180636.37912063027</v>
      </c>
      <c r="Q245" s="127">
        <f t="shared" si="29"/>
        <v>1</v>
      </c>
    </row>
    <row r="246" spans="2:17" x14ac:dyDescent="0.25">
      <c r="B246" s="122">
        <f t="shared" si="30"/>
        <v>203</v>
      </c>
      <c r="C246" s="123">
        <f>IF(B246="","",'Fecha Pago'!K206)</f>
        <v>52142</v>
      </c>
      <c r="D246" s="124">
        <f>IF(B246="","",'Fecha Pago'!L206)</f>
        <v>30.4</v>
      </c>
      <c r="E246" s="125">
        <f t="shared" si="27"/>
        <v>9.1499999999999998E-2</v>
      </c>
      <c r="F246" s="126">
        <f t="shared" si="31"/>
        <v>180636.37912063027</v>
      </c>
      <c r="G246" s="126">
        <f>IF(B246="","",IF(F246=0,0,MIN(F246,IF(Catálogos!$N$6=1,Prepagos!C205,IF(Catálogos!$N$6=2,Prepagos!D205,IF(Catálogos!$N$6=3,Prepagos!E205,))))))</f>
        <v>4108.0419523238807</v>
      </c>
      <c r="H246" s="126">
        <f t="shared" si="32"/>
        <v>1395.7170893387363</v>
      </c>
      <c r="I246" s="126">
        <f t="shared" si="33"/>
        <v>0</v>
      </c>
      <c r="J246" s="126">
        <f>IF(B246="","",IF(F246=0,0,F246*Catálogos!$R$1))</f>
        <v>108.38182747237815</v>
      </c>
      <c r="K246" s="126">
        <f>IF(B246="","",IF(Catálogos!$K$10=1,Carátula!$F$17*Catálogos!$R$4,0))</f>
        <v>199.92</v>
      </c>
      <c r="L246" s="126">
        <f>IF(B246="","",IF(F246=0,0,CAT!H209))</f>
        <v>299</v>
      </c>
      <c r="M246" s="115"/>
      <c r="N246" s="126">
        <f t="shared" si="26"/>
        <v>0</v>
      </c>
      <c r="O246" s="126">
        <f t="shared" si="34"/>
        <v>6111.0608691349953</v>
      </c>
      <c r="P246" s="126">
        <f t="shared" si="28"/>
        <v>176528.3371683064</v>
      </c>
      <c r="Q246" s="127">
        <f t="shared" si="29"/>
        <v>1</v>
      </c>
    </row>
    <row r="247" spans="2:17" x14ac:dyDescent="0.25">
      <c r="B247" s="122">
        <f t="shared" si="30"/>
        <v>204</v>
      </c>
      <c r="C247" s="123">
        <f>IF(B247="","",'Fecha Pago'!K207)</f>
        <v>52173</v>
      </c>
      <c r="D247" s="124">
        <f>IF(B247="","",'Fecha Pago'!L207)</f>
        <v>30.4</v>
      </c>
      <c r="E247" s="125">
        <f t="shared" si="27"/>
        <v>9.1499999999999998E-2</v>
      </c>
      <c r="F247" s="126">
        <f t="shared" si="31"/>
        <v>176528.3371683064</v>
      </c>
      <c r="G247" s="126">
        <f>IF(B247="","",IF(F247=0,0,MIN(F247,IF(Catálogos!$N$6=1,Prepagos!C206,IF(Catálogos!$N$6=2,Prepagos!D206,IF(Catálogos!$N$6=3,Prepagos!E206,))))))</f>
        <v>4139.7834231421702</v>
      </c>
      <c r="H247" s="126">
        <f t="shared" si="32"/>
        <v>1363.9756185204474</v>
      </c>
      <c r="I247" s="126">
        <f t="shared" si="33"/>
        <v>0</v>
      </c>
      <c r="J247" s="126">
        <f>IF(B247="","",IF(F247=0,0,F247*Catálogos!$R$1))</f>
        <v>105.91700230098384</v>
      </c>
      <c r="K247" s="126">
        <f>IF(B247="","",IF(Catálogos!$K$10=1,Carátula!$F$17*Catálogos!$R$4,0))</f>
        <v>199.92</v>
      </c>
      <c r="L247" s="126">
        <f>IF(B247="","",IF(F247=0,0,CAT!H210))</f>
        <v>299</v>
      </c>
      <c r="M247" s="115"/>
      <c r="N247" s="126">
        <f t="shared" si="26"/>
        <v>0</v>
      </c>
      <c r="O247" s="126">
        <f t="shared" si="34"/>
        <v>6108.596043963601</v>
      </c>
      <c r="P247" s="126">
        <f t="shared" si="28"/>
        <v>172388.55374516424</v>
      </c>
      <c r="Q247" s="127">
        <f t="shared" si="29"/>
        <v>1</v>
      </c>
    </row>
    <row r="248" spans="2:17" x14ac:dyDescent="0.25">
      <c r="B248" s="122">
        <f t="shared" si="30"/>
        <v>205</v>
      </c>
      <c r="C248" s="123">
        <f>IF(B248="","",'Fecha Pago'!K208)</f>
        <v>52203</v>
      </c>
      <c r="D248" s="124">
        <f>IF(B248="","",'Fecha Pago'!L208)</f>
        <v>30.4</v>
      </c>
      <c r="E248" s="125">
        <f t="shared" si="27"/>
        <v>9.1499999999999998E-2</v>
      </c>
      <c r="F248" s="126">
        <f t="shared" si="31"/>
        <v>172388.55374516424</v>
      </c>
      <c r="G248" s="126">
        <f>IF(B248="","",IF(F248=0,0,MIN(F248,IF(Catálogos!$N$6=1,Prepagos!C207,IF(Catálogos!$N$6=2,Prepagos!D207,IF(Catálogos!$N$6=3,Prepagos!E207,))))))</f>
        <v>4171.7701497249827</v>
      </c>
      <c r="H248" s="126">
        <f t="shared" si="32"/>
        <v>1331.9888919376356</v>
      </c>
      <c r="I248" s="126">
        <f t="shared" si="33"/>
        <v>0</v>
      </c>
      <c r="J248" s="126">
        <f>IF(B248="","",IF(F248=0,0,F248*Catálogos!$R$1))</f>
        <v>103.43313224709854</v>
      </c>
      <c r="K248" s="126">
        <f>IF(B248="","",IF(Catálogos!$K$10=1,Carátula!$F$17*Catálogos!$R$4,0))</f>
        <v>199.92</v>
      </c>
      <c r="L248" s="126">
        <f>IF(B248="","",IF(F248=0,0,CAT!H211))</f>
        <v>299</v>
      </c>
      <c r="M248" s="115"/>
      <c r="N248" s="126">
        <f t="shared" si="26"/>
        <v>0</v>
      </c>
      <c r="O248" s="126">
        <f t="shared" si="34"/>
        <v>6106.1121739097171</v>
      </c>
      <c r="P248" s="126">
        <f t="shared" si="28"/>
        <v>168216.78359543925</v>
      </c>
      <c r="Q248" s="127">
        <f t="shared" si="29"/>
        <v>1</v>
      </c>
    </row>
    <row r="249" spans="2:17" x14ac:dyDescent="0.25">
      <c r="B249" s="122">
        <f t="shared" si="30"/>
        <v>206</v>
      </c>
      <c r="C249" s="123">
        <f>IF(B249="","",'Fecha Pago'!K209)</f>
        <v>52234</v>
      </c>
      <c r="D249" s="124">
        <f>IF(B249="","",'Fecha Pago'!L209)</f>
        <v>30.4</v>
      </c>
      <c r="E249" s="125">
        <f t="shared" si="27"/>
        <v>9.1499999999999998E-2</v>
      </c>
      <c r="F249" s="126">
        <f t="shared" si="31"/>
        <v>168216.78359543925</v>
      </c>
      <c r="G249" s="126">
        <f>IF(B249="","",IF(F249=0,0,MIN(F249,IF(Catálogos!$N$6=1,Prepagos!C208,IF(Catálogos!$N$6=2,Prepagos!D208,IF(Catálogos!$N$6=3,Prepagos!E208,))))))</f>
        <v>4204.0040270818572</v>
      </c>
      <c r="H249" s="126">
        <f t="shared" si="32"/>
        <v>1299.7550145807604</v>
      </c>
      <c r="I249" s="126">
        <f t="shared" si="33"/>
        <v>0</v>
      </c>
      <c r="J249" s="126">
        <f>IF(B249="","",IF(F249=0,0,F249*Catálogos!$R$1))</f>
        <v>100.93007015726354</v>
      </c>
      <c r="K249" s="126">
        <f>IF(B249="","",IF(Catálogos!$K$10=1,Carátula!$F$17*Catálogos!$R$4,0))</f>
        <v>199.92</v>
      </c>
      <c r="L249" s="126">
        <f>IF(B249="","",IF(F249=0,0,CAT!H212))</f>
        <v>299</v>
      </c>
      <c r="M249" s="115"/>
      <c r="N249" s="126">
        <f t="shared" si="26"/>
        <v>0</v>
      </c>
      <c r="O249" s="126">
        <f t="shared" si="34"/>
        <v>6103.609111819881</v>
      </c>
      <c r="P249" s="126">
        <f t="shared" si="28"/>
        <v>164012.77956835739</v>
      </c>
      <c r="Q249" s="127">
        <f t="shared" si="29"/>
        <v>1</v>
      </c>
    </row>
    <row r="250" spans="2:17" x14ac:dyDescent="0.25">
      <c r="B250" s="122">
        <f t="shared" si="30"/>
        <v>207</v>
      </c>
      <c r="C250" s="123">
        <f>IF(B250="","",'Fecha Pago'!K210)</f>
        <v>52265</v>
      </c>
      <c r="D250" s="124">
        <f>IF(B250="","",'Fecha Pago'!L210)</f>
        <v>30.4</v>
      </c>
      <c r="E250" s="125">
        <f t="shared" si="27"/>
        <v>9.1499999999999998E-2</v>
      </c>
      <c r="F250" s="126">
        <f t="shared" si="31"/>
        <v>164012.77956835739</v>
      </c>
      <c r="G250" s="126">
        <f>IF(B250="","",IF(F250=0,0,MIN(F250,IF(Catálogos!$N$6=1,Prepagos!C209,IF(Catálogos!$N$6=2,Prepagos!D209,IF(Catálogos!$N$6=3,Prepagos!E209,))))))</f>
        <v>4236.4869648644435</v>
      </c>
      <c r="H250" s="126">
        <f t="shared" si="32"/>
        <v>1267.2720767981746</v>
      </c>
      <c r="I250" s="126">
        <f t="shared" si="33"/>
        <v>0</v>
      </c>
      <c r="J250" s="126">
        <f>IF(B250="","",IF(F250=0,0,F250*Catálogos!$R$1))</f>
        <v>98.407667741014421</v>
      </c>
      <c r="K250" s="126">
        <f>IF(B250="","",IF(Catálogos!$K$10=1,Carátula!$F$17*Catálogos!$R$4,0))</f>
        <v>199.92</v>
      </c>
      <c r="L250" s="126">
        <f>IF(B250="","",IF(F250=0,0,CAT!H213))</f>
        <v>299</v>
      </c>
      <c r="M250" s="115"/>
      <c r="N250" s="126">
        <f t="shared" si="26"/>
        <v>0</v>
      </c>
      <c r="O250" s="126">
        <f t="shared" si="34"/>
        <v>6101.086709403633</v>
      </c>
      <c r="P250" s="126">
        <f t="shared" si="28"/>
        <v>159776.29260349294</v>
      </c>
      <c r="Q250" s="127">
        <f t="shared" si="29"/>
        <v>1</v>
      </c>
    </row>
    <row r="251" spans="2:17" x14ac:dyDescent="0.25">
      <c r="B251" s="122">
        <f t="shared" si="30"/>
        <v>208</v>
      </c>
      <c r="C251" s="123">
        <f>IF(B251="","",'Fecha Pago'!K211)</f>
        <v>52293</v>
      </c>
      <c r="D251" s="124">
        <f>IF(B251="","",'Fecha Pago'!L211)</f>
        <v>30.4</v>
      </c>
      <c r="E251" s="125">
        <f t="shared" si="27"/>
        <v>9.1499999999999998E-2</v>
      </c>
      <c r="F251" s="126">
        <f t="shared" si="31"/>
        <v>159776.29260349294</v>
      </c>
      <c r="G251" s="126">
        <f>IF(B251="","",IF(F251=0,0,MIN(F251,IF(Catálogos!$N$6=1,Prepagos!C210,IF(Catálogos!$N$6=2,Prepagos!D210,IF(Catálogos!$N$6=3,Prepagos!E210,))))))</f>
        <v>4269.2208874796288</v>
      </c>
      <c r="H251" s="126">
        <f t="shared" si="32"/>
        <v>1234.5381541829886</v>
      </c>
      <c r="I251" s="126">
        <f t="shared" si="33"/>
        <v>0</v>
      </c>
      <c r="J251" s="126">
        <f>IF(B251="","",IF(F251=0,0,F251*Catálogos!$R$1))</f>
        <v>95.865775562095763</v>
      </c>
      <c r="K251" s="126">
        <f>IF(B251="","",IF(Catálogos!$K$10=1,Carátula!$F$17*Catálogos!$R$4,0))</f>
        <v>199.92</v>
      </c>
      <c r="L251" s="126">
        <f>IF(B251="","",IF(F251=0,0,CAT!H214))</f>
        <v>299</v>
      </c>
      <c r="M251" s="115"/>
      <c r="N251" s="126">
        <f t="shared" si="26"/>
        <v>0</v>
      </c>
      <c r="O251" s="126">
        <f t="shared" si="34"/>
        <v>6098.5448172247134</v>
      </c>
      <c r="P251" s="126">
        <f t="shared" si="28"/>
        <v>155507.07171601331</v>
      </c>
      <c r="Q251" s="127">
        <f t="shared" si="29"/>
        <v>1</v>
      </c>
    </row>
    <row r="252" spans="2:17" x14ac:dyDescent="0.25">
      <c r="B252" s="122">
        <f t="shared" si="30"/>
        <v>209</v>
      </c>
      <c r="C252" s="123">
        <f>IF(B252="","",'Fecha Pago'!K212)</f>
        <v>52324</v>
      </c>
      <c r="D252" s="124">
        <f>IF(B252="","",'Fecha Pago'!L212)</f>
        <v>30.4</v>
      </c>
      <c r="E252" s="125">
        <f t="shared" si="27"/>
        <v>9.1499999999999998E-2</v>
      </c>
      <c r="F252" s="126">
        <f t="shared" si="31"/>
        <v>155507.07171601331</v>
      </c>
      <c r="G252" s="126">
        <f>IF(B252="","",IF(F252=0,0,MIN(F252,IF(Catálogos!$N$6=1,Prepagos!C211,IF(Catálogos!$N$6=2,Prepagos!D211,IF(Catálogos!$N$6=3,Prepagos!E211,))))))</f>
        <v>4302.2077342035545</v>
      </c>
      <c r="H252" s="126">
        <f t="shared" si="32"/>
        <v>1201.5513074590626</v>
      </c>
      <c r="I252" s="126">
        <f t="shared" si="33"/>
        <v>0</v>
      </c>
      <c r="J252" s="126">
        <f>IF(B252="","",IF(F252=0,0,F252*Catálogos!$R$1))</f>
        <v>93.304243029607974</v>
      </c>
      <c r="K252" s="126">
        <f>IF(B252="","",IF(Catálogos!$K$10=1,Carátula!$F$17*Catálogos!$R$4,0))</f>
        <v>199.92</v>
      </c>
      <c r="L252" s="126">
        <f>IF(B252="","",IF(F252=0,0,CAT!H215))</f>
        <v>299</v>
      </c>
      <c r="M252" s="115"/>
      <c r="N252" s="126">
        <f t="shared" si="26"/>
        <v>0</v>
      </c>
      <c r="O252" s="126">
        <f t="shared" si="34"/>
        <v>6095.9832846922254</v>
      </c>
      <c r="P252" s="126">
        <f t="shared" si="28"/>
        <v>151204.86398180976</v>
      </c>
      <c r="Q252" s="127">
        <f t="shared" si="29"/>
        <v>1</v>
      </c>
    </row>
    <row r="253" spans="2:17" x14ac:dyDescent="0.25">
      <c r="B253" s="122">
        <f t="shared" si="30"/>
        <v>210</v>
      </c>
      <c r="C253" s="123">
        <f>IF(B253="","",'Fecha Pago'!K213)</f>
        <v>52354</v>
      </c>
      <c r="D253" s="124">
        <f>IF(B253="","",'Fecha Pago'!L213)</f>
        <v>30.4</v>
      </c>
      <c r="E253" s="125">
        <f t="shared" si="27"/>
        <v>9.1499999999999998E-2</v>
      </c>
      <c r="F253" s="126">
        <f t="shared" si="31"/>
        <v>151204.86398180976</v>
      </c>
      <c r="G253" s="126">
        <f>IF(B253="","",IF(F253=0,0,MIN(F253,IF(Catálogos!$N$6=1,Prepagos!C212,IF(Catálogos!$N$6=2,Prepagos!D212,IF(Catálogos!$N$6=3,Prepagos!E212,))))))</f>
        <v>4335.449459296502</v>
      </c>
      <c r="H253" s="126">
        <f t="shared" si="32"/>
        <v>1168.3095823661165</v>
      </c>
      <c r="I253" s="126">
        <f t="shared" si="33"/>
        <v>0</v>
      </c>
      <c r="J253" s="126">
        <f>IF(B253="","",IF(F253=0,0,F253*Catálogos!$R$1))</f>
        <v>90.722918389085848</v>
      </c>
      <c r="K253" s="126">
        <f>IF(B253="","",IF(Catálogos!$K$10=1,Carátula!$F$17*Catálogos!$R$4,0))</f>
        <v>199.92</v>
      </c>
      <c r="L253" s="126">
        <f>IF(B253="","",IF(F253=0,0,CAT!H216))</f>
        <v>299</v>
      </c>
      <c r="M253" s="115"/>
      <c r="N253" s="126">
        <f t="shared" si="26"/>
        <v>0</v>
      </c>
      <c r="O253" s="126">
        <f t="shared" si="34"/>
        <v>6093.4019600517049</v>
      </c>
      <c r="P253" s="126">
        <f t="shared" si="28"/>
        <v>146869.41452251325</v>
      </c>
      <c r="Q253" s="127">
        <f t="shared" si="29"/>
        <v>1</v>
      </c>
    </row>
    <row r="254" spans="2:17" x14ac:dyDescent="0.25">
      <c r="B254" s="122">
        <f t="shared" si="30"/>
        <v>211</v>
      </c>
      <c r="C254" s="123">
        <f>IF(B254="","",'Fecha Pago'!K214)</f>
        <v>52385</v>
      </c>
      <c r="D254" s="124">
        <f>IF(B254="","",'Fecha Pago'!L214)</f>
        <v>30.4</v>
      </c>
      <c r="E254" s="125">
        <f t="shared" si="27"/>
        <v>9.1499999999999998E-2</v>
      </c>
      <c r="F254" s="126">
        <f t="shared" si="31"/>
        <v>146869.41452251325</v>
      </c>
      <c r="G254" s="126">
        <f>IF(B254="","",IF(F254=0,0,MIN(F254,IF(Catálogos!$N$6=1,Prepagos!C213,IF(Catálogos!$N$6=2,Prepagos!D213,IF(Catálogos!$N$6=3,Prepagos!E213,))))))</f>
        <v>4368.9480321186657</v>
      </c>
      <c r="H254" s="126">
        <f t="shared" si="32"/>
        <v>1134.8110095439522</v>
      </c>
      <c r="I254" s="126">
        <f t="shared" si="33"/>
        <v>0</v>
      </c>
      <c r="J254" s="126">
        <f>IF(B254="","",IF(F254=0,0,F254*Catálogos!$R$1))</f>
        <v>88.121648713507938</v>
      </c>
      <c r="K254" s="126">
        <f>IF(B254="","",IF(Catálogos!$K$10=1,Carátula!$F$17*Catálogos!$R$4,0))</f>
        <v>199.92</v>
      </c>
      <c r="L254" s="126">
        <f>IF(B254="","",IF(F254=0,0,CAT!H217))</f>
        <v>299</v>
      </c>
      <c r="M254" s="115"/>
      <c r="N254" s="126">
        <f t="shared" si="26"/>
        <v>0</v>
      </c>
      <c r="O254" s="126">
        <f t="shared" si="34"/>
        <v>6090.8006903761261</v>
      </c>
      <c r="P254" s="126">
        <f t="shared" si="28"/>
        <v>142500.46649039458</v>
      </c>
      <c r="Q254" s="127">
        <f t="shared" si="29"/>
        <v>1</v>
      </c>
    </row>
    <row r="255" spans="2:17" x14ac:dyDescent="0.25">
      <c r="B255" s="122">
        <f t="shared" si="30"/>
        <v>212</v>
      </c>
      <c r="C255" s="123">
        <f>IF(B255="","",'Fecha Pago'!K215)</f>
        <v>52415</v>
      </c>
      <c r="D255" s="124">
        <f>IF(B255="","",'Fecha Pago'!L215)</f>
        <v>30.4</v>
      </c>
      <c r="E255" s="125">
        <f t="shared" si="27"/>
        <v>9.1499999999999998E-2</v>
      </c>
      <c r="F255" s="126">
        <f t="shared" si="31"/>
        <v>142500.46649039458</v>
      </c>
      <c r="G255" s="126">
        <f>IF(B255="","",IF(F255=0,0,MIN(F255,IF(Catálogos!$N$6=1,Prepagos!C214,IF(Catálogos!$N$6=2,Prepagos!D214,IF(Catálogos!$N$6=3,Prepagos!E214,))))))</f>
        <v>4402.7054372468365</v>
      </c>
      <c r="H255" s="126">
        <f t="shared" si="32"/>
        <v>1101.053604415782</v>
      </c>
      <c r="I255" s="126">
        <f t="shared" si="33"/>
        <v>0</v>
      </c>
      <c r="J255" s="126">
        <f>IF(B255="","",IF(F255=0,0,F255*Catálogos!$R$1))</f>
        <v>85.500279894236741</v>
      </c>
      <c r="K255" s="126">
        <f>IF(B255="","",IF(Catálogos!$K$10=1,Carátula!$F$17*Catálogos!$R$4,0))</f>
        <v>199.92</v>
      </c>
      <c r="L255" s="126">
        <f>IF(B255="","",IF(F255=0,0,CAT!H218))</f>
        <v>299</v>
      </c>
      <c r="M255" s="115"/>
      <c r="N255" s="126">
        <f t="shared" si="26"/>
        <v>0</v>
      </c>
      <c r="O255" s="126">
        <f t="shared" si="34"/>
        <v>6088.1793215568559</v>
      </c>
      <c r="P255" s="126">
        <f t="shared" si="28"/>
        <v>138097.76105314775</v>
      </c>
      <c r="Q255" s="127">
        <f t="shared" si="29"/>
        <v>1</v>
      </c>
    </row>
    <row r="256" spans="2:17" x14ac:dyDescent="0.25">
      <c r="B256" s="122">
        <f t="shared" si="30"/>
        <v>213</v>
      </c>
      <c r="C256" s="123">
        <f>IF(B256="","",'Fecha Pago'!K216)</f>
        <v>52446</v>
      </c>
      <c r="D256" s="124">
        <f>IF(B256="","",'Fecha Pago'!L216)</f>
        <v>30.4</v>
      </c>
      <c r="E256" s="125">
        <f t="shared" si="27"/>
        <v>9.1499999999999998E-2</v>
      </c>
      <c r="F256" s="126">
        <f t="shared" si="31"/>
        <v>138097.76105314775</v>
      </c>
      <c r="G256" s="126">
        <f>IF(B256="","",IF(F256=0,0,MIN(F256,IF(Catálogos!$N$6=1,Prepagos!C215,IF(Catálogos!$N$6=2,Prepagos!D215,IF(Catálogos!$N$6=3,Prepagos!E215,))))))</f>
        <v>4436.7236745919636</v>
      </c>
      <c r="H256" s="126">
        <f t="shared" si="32"/>
        <v>1067.0353670706547</v>
      </c>
      <c r="I256" s="126">
        <f t="shared" si="33"/>
        <v>0</v>
      </c>
      <c r="J256" s="126">
        <f>IF(B256="","",IF(F256=0,0,F256*Catálogos!$R$1))</f>
        <v>82.85865663188865</v>
      </c>
      <c r="K256" s="126">
        <f>IF(B256="","",IF(Catálogos!$K$10=1,Carátula!$F$17*Catálogos!$R$4,0))</f>
        <v>199.92</v>
      </c>
      <c r="L256" s="126">
        <f>IF(B256="","",IF(F256=0,0,CAT!H219))</f>
        <v>299</v>
      </c>
      <c r="M256" s="115"/>
      <c r="N256" s="126">
        <f t="shared" si="26"/>
        <v>0</v>
      </c>
      <c r="O256" s="126">
        <f t="shared" si="34"/>
        <v>6085.5376982945072</v>
      </c>
      <c r="P256" s="126">
        <f t="shared" si="28"/>
        <v>133661.0373785558</v>
      </c>
      <c r="Q256" s="127">
        <f t="shared" si="29"/>
        <v>1</v>
      </c>
    </row>
    <row r="257" spans="2:17" x14ac:dyDescent="0.25">
      <c r="B257" s="122">
        <f t="shared" si="30"/>
        <v>214</v>
      </c>
      <c r="C257" s="123">
        <f>IF(B257="","",'Fecha Pago'!K217)</f>
        <v>52477</v>
      </c>
      <c r="D257" s="124">
        <f>IF(B257="","",'Fecha Pago'!L217)</f>
        <v>30.4</v>
      </c>
      <c r="E257" s="125">
        <f t="shared" si="27"/>
        <v>9.1499999999999998E-2</v>
      </c>
      <c r="F257" s="126">
        <f t="shared" si="31"/>
        <v>133661.0373785558</v>
      </c>
      <c r="G257" s="126">
        <f>IF(B257="","",IF(F257=0,0,MIN(F257,IF(Catálogos!$N$6=1,Prepagos!C216,IF(Catálogos!$N$6=2,Prepagos!D216,IF(Catálogos!$N$6=3,Prepagos!E216,))))))</f>
        <v>4471.0047595176429</v>
      </c>
      <c r="H257" s="126">
        <f t="shared" si="32"/>
        <v>1032.7542821449745</v>
      </c>
      <c r="I257" s="126">
        <f t="shared" si="33"/>
        <v>0</v>
      </c>
      <c r="J257" s="126">
        <f>IF(B257="","",IF(F257=0,0,F257*Catálogos!$R$1))</f>
        <v>80.196622427133477</v>
      </c>
      <c r="K257" s="126">
        <f>IF(B257="","",IF(Catálogos!$K$10=1,Carátula!$F$17*Catálogos!$R$4,0))</f>
        <v>199.92</v>
      </c>
      <c r="L257" s="126">
        <f>IF(B257="","",IF(F257=0,0,CAT!H220))</f>
        <v>299</v>
      </c>
      <c r="M257" s="115"/>
      <c r="N257" s="126">
        <f t="shared" si="26"/>
        <v>0</v>
      </c>
      <c r="O257" s="126">
        <f t="shared" si="34"/>
        <v>6082.8756640897509</v>
      </c>
      <c r="P257" s="126">
        <f t="shared" si="28"/>
        <v>129190.03261903816</v>
      </c>
      <c r="Q257" s="127">
        <f t="shared" si="29"/>
        <v>1</v>
      </c>
    </row>
    <row r="258" spans="2:17" x14ac:dyDescent="0.25">
      <c r="B258" s="122">
        <f t="shared" si="30"/>
        <v>215</v>
      </c>
      <c r="C258" s="123">
        <f>IF(B258="","",'Fecha Pago'!K218)</f>
        <v>52507</v>
      </c>
      <c r="D258" s="124">
        <f>IF(B258="","",'Fecha Pago'!L218)</f>
        <v>30.4</v>
      </c>
      <c r="E258" s="125">
        <f t="shared" si="27"/>
        <v>9.1499999999999998E-2</v>
      </c>
      <c r="F258" s="126">
        <f t="shared" si="31"/>
        <v>129190.03261903816</v>
      </c>
      <c r="G258" s="126">
        <f>IF(B258="","",IF(F258=0,0,MIN(F258,IF(Catálogos!$N$6=1,Prepagos!C217,IF(Catálogos!$N$6=2,Prepagos!D217,IF(Catálogos!$N$6=3,Prepagos!E217,))))))</f>
        <v>4505.550722959516</v>
      </c>
      <c r="H258" s="126">
        <f t="shared" si="32"/>
        <v>998.20831870310133</v>
      </c>
      <c r="I258" s="126">
        <f t="shared" si="33"/>
        <v>0</v>
      </c>
      <c r="J258" s="126">
        <f>IF(B258="","",IF(F258=0,0,F258*Catálogos!$R$1))</f>
        <v>77.514019571422892</v>
      </c>
      <c r="K258" s="126">
        <f>IF(B258="","",IF(Catálogos!$K$10=1,Carátula!$F$17*Catálogos!$R$4,0))</f>
        <v>199.92</v>
      </c>
      <c r="L258" s="126">
        <f>IF(B258="","",IF(F258=0,0,CAT!H221))</f>
        <v>299</v>
      </c>
      <c r="M258" s="115"/>
      <c r="N258" s="126">
        <f t="shared" si="26"/>
        <v>0</v>
      </c>
      <c r="O258" s="126">
        <f t="shared" si="34"/>
        <v>6080.1930612340402</v>
      </c>
      <c r="P258" s="126">
        <f t="shared" si="28"/>
        <v>124684.48189607865</v>
      </c>
      <c r="Q258" s="127">
        <f t="shared" si="29"/>
        <v>1</v>
      </c>
    </row>
    <row r="259" spans="2:17" x14ac:dyDescent="0.25">
      <c r="B259" s="122">
        <f t="shared" si="30"/>
        <v>216</v>
      </c>
      <c r="C259" s="123">
        <f>IF(B259="","",'Fecha Pago'!K219)</f>
        <v>52538</v>
      </c>
      <c r="D259" s="124">
        <f>IF(B259="","",'Fecha Pago'!L219)</f>
        <v>30.4</v>
      </c>
      <c r="E259" s="125">
        <f t="shared" si="27"/>
        <v>9.1499999999999998E-2</v>
      </c>
      <c r="F259" s="126">
        <f t="shared" si="31"/>
        <v>124684.48189607865</v>
      </c>
      <c r="G259" s="126">
        <f>IF(B259="","",IF(F259=0,0,MIN(F259,IF(Catálogos!$N$6=1,Prepagos!C218,IF(Catálogos!$N$6=2,Prepagos!D218,IF(Catálogos!$N$6=3,Prepagos!E218,))))))</f>
        <v>4540.3636115455829</v>
      </c>
      <c r="H259" s="126">
        <f t="shared" si="32"/>
        <v>963.39543011703427</v>
      </c>
      <c r="I259" s="126">
        <f t="shared" si="33"/>
        <v>0</v>
      </c>
      <c r="J259" s="126">
        <f>IF(B259="","",IF(F259=0,0,F259*Catálogos!$R$1))</f>
        <v>74.810689137647188</v>
      </c>
      <c r="K259" s="126">
        <f>IF(B259="","",IF(Catálogos!$K$10=1,Carátula!$F$17*Catálogos!$R$4,0))</f>
        <v>199.92</v>
      </c>
      <c r="L259" s="126">
        <f>IF(B259="","",IF(F259=0,0,CAT!H222))</f>
        <v>299</v>
      </c>
      <c r="M259" s="115"/>
      <c r="N259" s="126">
        <f t="shared" si="26"/>
        <v>0</v>
      </c>
      <c r="O259" s="126">
        <f t="shared" si="34"/>
        <v>6077.4897308002646</v>
      </c>
      <c r="P259" s="126">
        <f t="shared" si="28"/>
        <v>120144.11828453306</v>
      </c>
      <c r="Q259" s="127">
        <f t="shared" si="29"/>
        <v>1</v>
      </c>
    </row>
    <row r="260" spans="2:17" x14ac:dyDescent="0.25">
      <c r="B260" s="122">
        <f t="shared" si="30"/>
        <v>217</v>
      </c>
      <c r="C260" s="123">
        <f>IF(B260="","",'Fecha Pago'!K220)</f>
        <v>52568</v>
      </c>
      <c r="D260" s="124">
        <f>IF(B260="","",'Fecha Pago'!L220)</f>
        <v>30.4</v>
      </c>
      <c r="E260" s="125">
        <f t="shared" si="27"/>
        <v>9.1499999999999998E-2</v>
      </c>
      <c r="F260" s="126">
        <f t="shared" si="31"/>
        <v>120144.11828453306</v>
      </c>
      <c r="G260" s="126">
        <f>IF(B260="","",IF(F260=0,0,MIN(F260,IF(Catálogos!$N$6=1,Prepagos!C219,IF(Catálogos!$N$6=2,Prepagos!D219,IF(Catálogos!$N$6=3,Prepagos!E219,))))))</f>
        <v>4575.4454877174594</v>
      </c>
      <c r="H260" s="126">
        <f t="shared" si="32"/>
        <v>928.31355394515867</v>
      </c>
      <c r="I260" s="126">
        <f t="shared" si="33"/>
        <v>0</v>
      </c>
      <c r="J260" s="126">
        <f>IF(B260="","",IF(F260=0,0,F260*Catálogos!$R$1))</f>
        <v>72.08647097071983</v>
      </c>
      <c r="K260" s="126">
        <f>IF(B260="","",IF(Catálogos!$K$10=1,Carátula!$F$17*Catálogos!$R$4,0))</f>
        <v>199.92</v>
      </c>
      <c r="L260" s="126">
        <f>IF(B260="","",IF(F260=0,0,CAT!H223))</f>
        <v>299</v>
      </c>
      <c r="M260" s="115"/>
      <c r="N260" s="126">
        <f t="shared" si="26"/>
        <v>0</v>
      </c>
      <c r="O260" s="126">
        <f t="shared" si="34"/>
        <v>6074.7655126333384</v>
      </c>
      <c r="P260" s="126">
        <f t="shared" si="28"/>
        <v>115568.6727968156</v>
      </c>
      <c r="Q260" s="127">
        <f t="shared" si="29"/>
        <v>1</v>
      </c>
    </row>
    <row r="261" spans="2:17" x14ac:dyDescent="0.25">
      <c r="B261" s="122">
        <f t="shared" si="30"/>
        <v>218</v>
      </c>
      <c r="C261" s="123">
        <f>IF(B261="","",'Fecha Pago'!K221)</f>
        <v>52599</v>
      </c>
      <c r="D261" s="124">
        <f>IF(B261="","",'Fecha Pago'!L221)</f>
        <v>30.4</v>
      </c>
      <c r="E261" s="125">
        <f t="shared" si="27"/>
        <v>9.1499999999999998E-2</v>
      </c>
      <c r="F261" s="126">
        <f t="shared" si="31"/>
        <v>115568.6727968156</v>
      </c>
      <c r="G261" s="126">
        <f>IF(B261="","",IF(F261=0,0,MIN(F261,IF(Catálogos!$N$6=1,Prepagos!C220,IF(Catálogos!$N$6=2,Prepagos!D220,IF(Catálogos!$N$6=3,Prepagos!E220,))))))</f>
        <v>4610.7984298525571</v>
      </c>
      <c r="H261" s="126">
        <f t="shared" si="32"/>
        <v>892.96061181006178</v>
      </c>
      <c r="I261" s="126">
        <f t="shared" si="33"/>
        <v>0</v>
      </c>
      <c r="J261" s="126">
        <f>IF(B261="","",IF(F261=0,0,F261*Catálogos!$R$1))</f>
        <v>69.341203678089357</v>
      </c>
      <c r="K261" s="126">
        <f>IF(B261="","",IF(Catálogos!$K$10=1,Carátula!$F$17*Catálogos!$R$4,0))</f>
        <v>199.92</v>
      </c>
      <c r="L261" s="126">
        <f>IF(B261="","",IF(F261=0,0,CAT!H224))</f>
        <v>299</v>
      </c>
      <c r="M261" s="115"/>
      <c r="N261" s="126">
        <f t="shared" si="26"/>
        <v>0</v>
      </c>
      <c r="O261" s="126">
        <f t="shared" si="34"/>
        <v>6072.0202453407082</v>
      </c>
      <c r="P261" s="126">
        <f t="shared" si="28"/>
        <v>110957.87436696305</v>
      </c>
      <c r="Q261" s="127">
        <f t="shared" si="29"/>
        <v>1</v>
      </c>
    </row>
    <row r="262" spans="2:17" x14ac:dyDescent="0.25">
      <c r="B262" s="122">
        <f t="shared" si="30"/>
        <v>219</v>
      </c>
      <c r="C262" s="123">
        <f>IF(B262="","",'Fecha Pago'!K222)</f>
        <v>52630</v>
      </c>
      <c r="D262" s="124">
        <f>IF(B262="","",'Fecha Pago'!L222)</f>
        <v>30.4</v>
      </c>
      <c r="E262" s="125">
        <f t="shared" si="27"/>
        <v>9.1499999999999998E-2</v>
      </c>
      <c r="F262" s="126">
        <f t="shared" si="31"/>
        <v>110957.87436696305</v>
      </c>
      <c r="G262" s="126">
        <f>IF(B262="","",IF(F262=0,0,MIN(F262,IF(Catálogos!$N$6=1,Prepagos!C221,IF(Catálogos!$N$6=2,Prepagos!D221,IF(Catálogos!$N$6=3,Prepagos!E221,))))))</f>
        <v>4646.4245323872165</v>
      </c>
      <c r="H262" s="126">
        <f t="shared" si="32"/>
        <v>857.33450927540105</v>
      </c>
      <c r="I262" s="126">
        <f t="shared" si="33"/>
        <v>0</v>
      </c>
      <c r="J262" s="126">
        <f>IF(B262="","",IF(F262=0,0,F262*Catálogos!$R$1))</f>
        <v>66.574724620177818</v>
      </c>
      <c r="K262" s="126">
        <f>IF(B262="","",IF(Catálogos!$K$10=1,Carátula!$F$17*Catálogos!$R$4,0))</f>
        <v>199.92</v>
      </c>
      <c r="L262" s="126">
        <f>IF(B262="","",IF(F262=0,0,CAT!H225))</f>
        <v>299</v>
      </c>
      <c r="M262" s="115"/>
      <c r="N262" s="126">
        <f t="shared" si="26"/>
        <v>0</v>
      </c>
      <c r="O262" s="126">
        <f t="shared" si="34"/>
        <v>6069.2537662827954</v>
      </c>
      <c r="P262" s="126">
        <f t="shared" si="28"/>
        <v>106311.44983457583</v>
      </c>
      <c r="Q262" s="127">
        <f t="shared" si="29"/>
        <v>1</v>
      </c>
    </row>
    <row r="263" spans="2:17" x14ac:dyDescent="0.25">
      <c r="B263" s="122">
        <f t="shared" si="30"/>
        <v>220</v>
      </c>
      <c r="C263" s="123">
        <f>IF(B263="","",'Fecha Pago'!K223)</f>
        <v>52659</v>
      </c>
      <c r="D263" s="124">
        <f>IF(B263="","",'Fecha Pago'!L223)</f>
        <v>30.4</v>
      </c>
      <c r="E263" s="125">
        <f t="shared" si="27"/>
        <v>9.1499999999999998E-2</v>
      </c>
      <c r="F263" s="126">
        <f t="shared" si="31"/>
        <v>106311.44983457583</v>
      </c>
      <c r="G263" s="126">
        <f>IF(B263="","",IF(F263=0,0,MIN(F263,IF(Catálogos!$N$6=1,Prepagos!C222,IF(Catálogos!$N$6=2,Prepagos!D222,IF(Catálogos!$N$6=3,Prepagos!E222,))))))</f>
        <v>4682.3259059407947</v>
      </c>
      <c r="H263" s="126">
        <f t="shared" si="32"/>
        <v>821.43313572182251</v>
      </c>
      <c r="I263" s="126">
        <f t="shared" si="33"/>
        <v>0</v>
      </c>
      <c r="J263" s="126">
        <f>IF(B263="","",IF(F263=0,0,F263*Catálogos!$R$1))</f>
        <v>63.786869900745494</v>
      </c>
      <c r="K263" s="126">
        <f>IF(B263="","",IF(Catálogos!$K$10=1,Carátula!$F$17*Catálogos!$R$4,0))</f>
        <v>199.92</v>
      </c>
      <c r="L263" s="126">
        <f>IF(B263="","",IF(F263=0,0,CAT!H226))</f>
        <v>299</v>
      </c>
      <c r="M263" s="115"/>
      <c r="N263" s="126">
        <f t="shared" si="26"/>
        <v>0</v>
      </c>
      <c r="O263" s="126">
        <f t="shared" si="34"/>
        <v>6066.4659115633631</v>
      </c>
      <c r="P263" s="126">
        <f t="shared" si="28"/>
        <v>101629.12392863503</v>
      </c>
      <c r="Q263" s="127">
        <f t="shared" si="29"/>
        <v>1</v>
      </c>
    </row>
    <row r="264" spans="2:17" x14ac:dyDescent="0.25">
      <c r="B264" s="122">
        <f t="shared" si="30"/>
        <v>221</v>
      </c>
      <c r="C264" s="123">
        <f>IF(B264="","",'Fecha Pago'!K224)</f>
        <v>52690</v>
      </c>
      <c r="D264" s="124">
        <f>IF(B264="","",'Fecha Pago'!L224)</f>
        <v>30.4</v>
      </c>
      <c r="E264" s="125">
        <f t="shared" si="27"/>
        <v>9.1499999999999998E-2</v>
      </c>
      <c r="F264" s="126">
        <f t="shared" si="31"/>
        <v>101629.12392863503</v>
      </c>
      <c r="G264" s="126">
        <f>IF(B264="","",IF(F264=0,0,MIN(F264,IF(Catálogos!$N$6=1,Prepagos!C223,IF(Catálogos!$N$6=2,Prepagos!D223,IF(Catálogos!$N$6=3,Prepagos!E223,))))))</f>
        <v>4718.5046774406983</v>
      </c>
      <c r="H264" s="126">
        <f t="shared" si="32"/>
        <v>785.2543642219199</v>
      </c>
      <c r="I264" s="126">
        <f t="shared" si="33"/>
        <v>0</v>
      </c>
      <c r="J264" s="126">
        <f>IF(B264="","",IF(F264=0,0,F264*Catálogos!$R$1))</f>
        <v>60.977474357181016</v>
      </c>
      <c r="K264" s="126">
        <f>IF(B264="","",IF(Catálogos!$K$10=1,Carátula!$F$17*Catálogos!$R$4,0))</f>
        <v>199.92</v>
      </c>
      <c r="L264" s="126">
        <f>IF(B264="","",IF(F264=0,0,CAT!H227))</f>
        <v>299</v>
      </c>
      <c r="M264" s="115"/>
      <c r="N264" s="126">
        <f t="shared" si="26"/>
        <v>0</v>
      </c>
      <c r="O264" s="126">
        <f t="shared" si="34"/>
        <v>6063.6565160197988</v>
      </c>
      <c r="P264" s="126">
        <f t="shared" si="28"/>
        <v>96910.619251194337</v>
      </c>
      <c r="Q264" s="127">
        <f t="shared" si="29"/>
        <v>1</v>
      </c>
    </row>
    <row r="265" spans="2:17" x14ac:dyDescent="0.25">
      <c r="B265" s="122">
        <f t="shared" si="30"/>
        <v>222</v>
      </c>
      <c r="C265" s="123">
        <f>IF(B265="","",'Fecha Pago'!K225)</f>
        <v>52720</v>
      </c>
      <c r="D265" s="124">
        <f>IF(B265="","",'Fecha Pago'!L225)</f>
        <v>30.4</v>
      </c>
      <c r="E265" s="125">
        <f t="shared" si="27"/>
        <v>9.1499999999999998E-2</v>
      </c>
      <c r="F265" s="126">
        <f t="shared" si="31"/>
        <v>96910.619251194337</v>
      </c>
      <c r="G265" s="126">
        <f>IF(B265="","",IF(F265=0,0,MIN(F265,IF(Catálogos!$N$6=1,Prepagos!C224,IF(Catálogos!$N$6=2,Prepagos!D224,IF(Catálogos!$N$6=3,Prepagos!E224,))))))</f>
        <v>4754.9629902483903</v>
      </c>
      <c r="H265" s="126">
        <f t="shared" si="32"/>
        <v>748.79605141422815</v>
      </c>
      <c r="I265" s="126">
        <f t="shared" si="33"/>
        <v>0</v>
      </c>
      <c r="J265" s="126">
        <f>IF(B265="","",IF(F265=0,0,F265*Catálogos!$R$1))</f>
        <v>58.146371550716594</v>
      </c>
      <c r="K265" s="126">
        <f>IF(B265="","",IF(Catálogos!$K$10=1,Carátula!$F$17*Catálogos!$R$4,0))</f>
        <v>199.92</v>
      </c>
      <c r="L265" s="126">
        <f>IF(B265="","",IF(F265=0,0,CAT!H228))</f>
        <v>299</v>
      </c>
      <c r="M265" s="115"/>
      <c r="N265" s="126">
        <f t="shared" si="26"/>
        <v>0</v>
      </c>
      <c r="O265" s="126">
        <f t="shared" si="34"/>
        <v>6060.8254132133352</v>
      </c>
      <c r="P265" s="126">
        <f t="shared" si="28"/>
        <v>92155.656260945951</v>
      </c>
      <c r="Q265" s="127">
        <f t="shared" si="29"/>
        <v>1</v>
      </c>
    </row>
    <row r="266" spans="2:17" x14ac:dyDescent="0.25">
      <c r="B266" s="122">
        <f t="shared" si="30"/>
        <v>223</v>
      </c>
      <c r="C266" s="123">
        <f>IF(B266="","",'Fecha Pago'!K226)</f>
        <v>52751</v>
      </c>
      <c r="D266" s="124">
        <f>IF(B266="","",'Fecha Pago'!L226)</f>
        <v>30.4</v>
      </c>
      <c r="E266" s="125">
        <f t="shared" si="27"/>
        <v>9.1499999999999998E-2</v>
      </c>
      <c r="F266" s="126">
        <f t="shared" si="31"/>
        <v>92155.656260945951</v>
      </c>
      <c r="G266" s="126">
        <f>IF(B266="","",IF(F266=0,0,MIN(F266,IF(Catálogos!$N$6=1,Prepagos!C225,IF(Catálogos!$N$6=2,Prepagos!D225,IF(Catálogos!$N$6=3,Prepagos!E225,))))))</f>
        <v>4791.7030042863753</v>
      </c>
      <c r="H266" s="126">
        <f t="shared" si="32"/>
        <v>712.05603737624233</v>
      </c>
      <c r="I266" s="126">
        <f t="shared" si="33"/>
        <v>0</v>
      </c>
      <c r="J266" s="126">
        <f>IF(B266="","",IF(F266=0,0,F266*Catálogos!$R$1))</f>
        <v>55.293393756567568</v>
      </c>
      <c r="K266" s="126">
        <f>IF(B266="","",IF(Catálogos!$K$10=1,Carátula!$F$17*Catálogos!$R$4,0))</f>
        <v>199.92</v>
      </c>
      <c r="L266" s="126">
        <f>IF(B266="","",IF(F266=0,0,CAT!H229))</f>
        <v>299</v>
      </c>
      <c r="M266" s="115"/>
      <c r="N266" s="126">
        <f t="shared" si="26"/>
        <v>0</v>
      </c>
      <c r="O266" s="126">
        <f t="shared" si="34"/>
        <v>6057.9724354191849</v>
      </c>
      <c r="P266" s="126">
        <f t="shared" si="28"/>
        <v>87363.953256659574</v>
      </c>
      <c r="Q266" s="127">
        <f t="shared" si="29"/>
        <v>1</v>
      </c>
    </row>
    <row r="267" spans="2:17" x14ac:dyDescent="0.25">
      <c r="B267" s="122">
        <f t="shared" si="30"/>
        <v>224</v>
      </c>
      <c r="C267" s="123">
        <f>IF(B267="","",'Fecha Pago'!K227)</f>
        <v>52781</v>
      </c>
      <c r="D267" s="124">
        <f>IF(B267="","",'Fecha Pago'!L227)</f>
        <v>30.4</v>
      </c>
      <c r="E267" s="125">
        <f t="shared" si="27"/>
        <v>9.1499999999999998E-2</v>
      </c>
      <c r="F267" s="126">
        <f t="shared" si="31"/>
        <v>87363.953256659574</v>
      </c>
      <c r="G267" s="126">
        <f>IF(B267="","",IF(F267=0,0,MIN(F267,IF(Catálogos!$N$6=1,Prepagos!C226,IF(Catálogos!$N$6=2,Prepagos!D226,IF(Catálogos!$N$6=3,Prepagos!E226,))))))</f>
        <v>4828.7268961661621</v>
      </c>
      <c r="H267" s="126">
        <f t="shared" si="32"/>
        <v>675.03214549645622</v>
      </c>
      <c r="I267" s="126">
        <f t="shared" si="33"/>
        <v>0</v>
      </c>
      <c r="J267" s="126">
        <f>IF(B267="","",IF(F267=0,0,F267*Catálogos!$R$1))</f>
        <v>52.418371953995738</v>
      </c>
      <c r="K267" s="126">
        <f>IF(B267="","",IF(Catálogos!$K$10=1,Carátula!$F$17*Catálogos!$R$4,0))</f>
        <v>199.92</v>
      </c>
      <c r="L267" s="126">
        <f>IF(B267="","",IF(F267=0,0,CAT!H230))</f>
        <v>299</v>
      </c>
      <c r="M267" s="115"/>
      <c r="N267" s="126">
        <f t="shared" si="26"/>
        <v>0</v>
      </c>
      <c r="O267" s="126">
        <f t="shared" si="34"/>
        <v>6055.0974136166142</v>
      </c>
      <c r="P267" s="126">
        <f t="shared" si="28"/>
        <v>82535.226360493412</v>
      </c>
      <c r="Q267" s="127">
        <f t="shared" si="29"/>
        <v>1</v>
      </c>
    </row>
    <row r="268" spans="2:17" x14ac:dyDescent="0.25">
      <c r="B268" s="122">
        <f t="shared" si="30"/>
        <v>225</v>
      </c>
      <c r="C268" s="123">
        <f>IF(B268="","",'Fecha Pago'!K228)</f>
        <v>52812</v>
      </c>
      <c r="D268" s="124">
        <f>IF(B268="","",'Fecha Pago'!L228)</f>
        <v>30.4</v>
      </c>
      <c r="E268" s="125">
        <f t="shared" si="27"/>
        <v>9.1499999999999998E-2</v>
      </c>
      <c r="F268" s="126">
        <f t="shared" si="31"/>
        <v>82535.226360493412</v>
      </c>
      <c r="G268" s="126">
        <f>IF(B268="","",IF(F268=0,0,MIN(F268,IF(Catálogos!$N$6=1,Prepagos!C227,IF(Catálogos!$N$6=2,Prepagos!D227,IF(Catálogos!$N$6=3,Prepagos!E227,))))))</f>
        <v>4866.0368593172052</v>
      </c>
      <c r="H268" s="126">
        <f t="shared" si="32"/>
        <v>637.72218234541231</v>
      </c>
      <c r="I268" s="126">
        <f t="shared" si="33"/>
        <v>0</v>
      </c>
      <c r="J268" s="126">
        <f>IF(B268="","",IF(F268=0,0,F268*Catálogos!$R$1))</f>
        <v>49.521135816296045</v>
      </c>
      <c r="K268" s="126">
        <f>IF(B268="","",IF(Catálogos!$K$10=1,Carátula!$F$17*Catálogos!$R$4,0))</f>
        <v>199.92</v>
      </c>
      <c r="L268" s="126">
        <f>IF(B268="","",IF(F268=0,0,CAT!H231))</f>
        <v>299</v>
      </c>
      <c r="M268" s="115"/>
      <c r="N268" s="126">
        <f t="shared" si="26"/>
        <v>0</v>
      </c>
      <c r="O268" s="126">
        <f t="shared" si="34"/>
        <v>6052.2001774789132</v>
      </c>
      <c r="P268" s="126">
        <f t="shared" si="28"/>
        <v>77669.18950117621</v>
      </c>
      <c r="Q268" s="127">
        <f t="shared" si="29"/>
        <v>1</v>
      </c>
    </row>
    <row r="269" spans="2:17" x14ac:dyDescent="0.25">
      <c r="B269" s="122">
        <f t="shared" si="30"/>
        <v>226</v>
      </c>
      <c r="C269" s="123">
        <f>IF(B269="","",'Fecha Pago'!K229)</f>
        <v>52843</v>
      </c>
      <c r="D269" s="124">
        <f>IF(B269="","",'Fecha Pago'!L229)</f>
        <v>30.4</v>
      </c>
      <c r="E269" s="125">
        <f t="shared" si="27"/>
        <v>9.1499999999999998E-2</v>
      </c>
      <c r="F269" s="126">
        <f t="shared" si="31"/>
        <v>77669.18950117621</v>
      </c>
      <c r="G269" s="126">
        <f>IF(B269="","",IF(F269=0,0,MIN(F269,IF(Catálogos!$N$6=1,Prepagos!C228,IF(Catálogos!$N$6=2,Prepagos!D228,IF(Catálogos!$N$6=3,Prepagos!E228,))))))</f>
        <v>4903.6351041168627</v>
      </c>
      <c r="H269" s="126">
        <f t="shared" si="32"/>
        <v>600.12393754575476</v>
      </c>
      <c r="I269" s="126">
        <f t="shared" si="33"/>
        <v>0</v>
      </c>
      <c r="J269" s="126">
        <f>IF(B269="","",IF(F269=0,0,F269*Catálogos!$R$1))</f>
        <v>46.601513700705723</v>
      </c>
      <c r="K269" s="126">
        <f>IF(B269="","",IF(Catálogos!$K$10=1,Carátula!$F$17*Catálogos!$R$4,0))</f>
        <v>199.92</v>
      </c>
      <c r="L269" s="126">
        <f>IF(B269="","",IF(F269=0,0,CAT!H232))</f>
        <v>299</v>
      </c>
      <c r="M269" s="115"/>
      <c r="N269" s="126">
        <f t="shared" si="26"/>
        <v>0</v>
      </c>
      <c r="O269" s="126">
        <f t="shared" si="34"/>
        <v>6049.2805553633234</v>
      </c>
      <c r="P269" s="126">
        <f t="shared" si="28"/>
        <v>72765.554397059343</v>
      </c>
      <c r="Q269" s="127">
        <f t="shared" si="29"/>
        <v>1</v>
      </c>
    </row>
    <row r="270" spans="2:17" x14ac:dyDescent="0.25">
      <c r="B270" s="122">
        <f t="shared" si="30"/>
        <v>227</v>
      </c>
      <c r="C270" s="123">
        <f>IF(B270="","",'Fecha Pago'!K230)</f>
        <v>52873</v>
      </c>
      <c r="D270" s="124">
        <f>IF(B270="","",'Fecha Pago'!L230)</f>
        <v>30.4</v>
      </c>
      <c r="E270" s="125">
        <f t="shared" si="27"/>
        <v>9.1499999999999998E-2</v>
      </c>
      <c r="F270" s="126">
        <f t="shared" si="31"/>
        <v>72765.554397059343</v>
      </c>
      <c r="G270" s="126">
        <f>IF(B270="","",IF(F270=0,0,MIN(F270,IF(Catálogos!$N$6=1,Prepagos!C229,IF(Catálogos!$N$6=2,Prepagos!D229,IF(Catálogos!$N$6=3,Prepagos!E229,))))))</f>
        <v>4941.523858021339</v>
      </c>
      <c r="H270" s="126">
        <f t="shared" si="32"/>
        <v>562.23518364127847</v>
      </c>
      <c r="I270" s="126">
        <f t="shared" si="33"/>
        <v>0</v>
      </c>
      <c r="J270" s="126">
        <f>IF(B270="","",IF(F270=0,0,F270*Catálogos!$R$1))</f>
        <v>43.659332638235604</v>
      </c>
      <c r="K270" s="126">
        <f>IF(B270="","",IF(Catálogos!$K$10=1,Carátula!$F$17*Catálogos!$R$4,0))</f>
        <v>199.92</v>
      </c>
      <c r="L270" s="126">
        <f>IF(B270="","",IF(F270=0,0,CAT!H233))</f>
        <v>299</v>
      </c>
      <c r="M270" s="115"/>
      <c r="N270" s="126">
        <f t="shared" si="26"/>
        <v>0</v>
      </c>
      <c r="O270" s="126">
        <f t="shared" si="34"/>
        <v>6046.3383743008526</v>
      </c>
      <c r="P270" s="126">
        <f t="shared" si="28"/>
        <v>67824.030539038009</v>
      </c>
      <c r="Q270" s="127">
        <f t="shared" si="29"/>
        <v>1</v>
      </c>
    </row>
    <row r="271" spans="2:17" x14ac:dyDescent="0.25">
      <c r="B271" s="122">
        <f t="shared" si="30"/>
        <v>228</v>
      </c>
      <c r="C271" s="123">
        <f>IF(B271="","",'Fecha Pago'!K231)</f>
        <v>52904</v>
      </c>
      <c r="D271" s="124">
        <f>IF(B271="","",'Fecha Pago'!L231)</f>
        <v>30.4</v>
      </c>
      <c r="E271" s="125">
        <f t="shared" si="27"/>
        <v>9.1499999999999998E-2</v>
      </c>
      <c r="F271" s="126">
        <f t="shared" si="31"/>
        <v>67824.030539038009</v>
      </c>
      <c r="G271" s="126">
        <f>IF(B271="","",IF(F271=0,0,MIN(F271,IF(Catálogos!$N$6=1,Prepagos!C230,IF(Catálogos!$N$6=2,Prepagos!D230,IF(Catálogos!$N$6=3,Prepagos!E230,))))))</f>
        <v>4979.7053656976504</v>
      </c>
      <c r="H271" s="126">
        <f t="shared" si="32"/>
        <v>524.05367596496694</v>
      </c>
      <c r="I271" s="126">
        <f t="shared" si="33"/>
        <v>0</v>
      </c>
      <c r="J271" s="126">
        <f>IF(B271="","",IF(F271=0,0,F271*Catálogos!$R$1))</f>
        <v>40.694418323422802</v>
      </c>
      <c r="K271" s="126">
        <f>IF(B271="","",IF(Catálogos!$K$10=1,Carátula!$F$17*Catálogos!$R$4,0))</f>
        <v>199.92</v>
      </c>
      <c r="L271" s="126">
        <f>IF(B271="","",IF(F271=0,0,CAT!H234))</f>
        <v>299</v>
      </c>
      <c r="M271" s="115"/>
      <c r="N271" s="126">
        <f t="shared" si="26"/>
        <v>0</v>
      </c>
      <c r="O271" s="126">
        <f t="shared" si="34"/>
        <v>6043.37345998604</v>
      </c>
      <c r="P271" s="126">
        <f t="shared" si="28"/>
        <v>62844.325173340359</v>
      </c>
      <c r="Q271" s="127">
        <f t="shared" si="29"/>
        <v>1</v>
      </c>
    </row>
    <row r="272" spans="2:17" x14ac:dyDescent="0.25">
      <c r="B272" s="122">
        <f t="shared" si="30"/>
        <v>229</v>
      </c>
      <c r="C272" s="123">
        <f>IF(B272="","",'Fecha Pago'!K232)</f>
        <v>52934</v>
      </c>
      <c r="D272" s="124">
        <f>IF(B272="","",'Fecha Pago'!L232)</f>
        <v>30.4</v>
      </c>
      <c r="E272" s="125">
        <f t="shared" si="27"/>
        <v>9.1499999999999998E-2</v>
      </c>
      <c r="F272" s="126">
        <f t="shared" si="31"/>
        <v>62844.325173340359</v>
      </c>
      <c r="G272" s="126">
        <f>IF(B272="","",IF(F272=0,0,MIN(F272,IF(Catálogos!$N$6=1,Prepagos!C231,IF(Catálogos!$N$6=2,Prepagos!D231,IF(Catálogos!$N$6=3,Prepagos!E231,))))))</f>
        <v>5018.181889156609</v>
      </c>
      <c r="H272" s="126">
        <f t="shared" si="32"/>
        <v>485.57715250600978</v>
      </c>
      <c r="I272" s="126">
        <f t="shared" si="33"/>
        <v>0</v>
      </c>
      <c r="J272" s="126">
        <f>IF(B272="","",IF(F272=0,0,F272*Catálogos!$R$1))</f>
        <v>37.706595104004215</v>
      </c>
      <c r="K272" s="126">
        <f>IF(B272="","",IF(Catálogos!$K$10=1,Carátula!$F$17*Catálogos!$R$4,0))</f>
        <v>199.92</v>
      </c>
      <c r="L272" s="126">
        <f>IF(B272="","",IF(F272=0,0,CAT!H235))</f>
        <v>299</v>
      </c>
      <c r="M272" s="115"/>
      <c r="N272" s="126">
        <f t="shared" ref="N272:N283" si="35">IF(B272="","",0)</f>
        <v>0</v>
      </c>
      <c r="O272" s="126">
        <f t="shared" si="34"/>
        <v>6040.3856367666231</v>
      </c>
      <c r="P272" s="126">
        <f t="shared" si="28"/>
        <v>57826.143284183752</v>
      </c>
      <c r="Q272" s="127">
        <f t="shared" si="29"/>
        <v>1</v>
      </c>
    </row>
    <row r="273" spans="2:17" x14ac:dyDescent="0.25">
      <c r="B273" s="122">
        <f t="shared" si="30"/>
        <v>230</v>
      </c>
      <c r="C273" s="123">
        <f>IF(B273="","",'Fecha Pago'!K233)</f>
        <v>52965</v>
      </c>
      <c r="D273" s="124">
        <f>IF(B273="","",'Fecha Pago'!L233)</f>
        <v>30.4</v>
      </c>
      <c r="E273" s="125">
        <f t="shared" si="27"/>
        <v>9.1499999999999998E-2</v>
      </c>
      <c r="F273" s="126">
        <f t="shared" si="31"/>
        <v>57826.143284183752</v>
      </c>
      <c r="G273" s="126">
        <f>IF(B273="","",IF(F273=0,0,MIN(F273,IF(Catálogos!$N$6=1,Prepagos!C232,IF(Catálogos!$N$6=2,Prepagos!D232,IF(Catálogos!$N$6=3,Prepagos!E232,))))))</f>
        <v>5056.9557078868256</v>
      </c>
      <c r="H273" s="126">
        <f t="shared" si="32"/>
        <v>446.80333377579308</v>
      </c>
      <c r="I273" s="126">
        <f t="shared" si="33"/>
        <v>0</v>
      </c>
      <c r="J273" s="126">
        <f>IF(B273="","",IF(F273=0,0,F273*Catálogos!$R$1))</f>
        <v>34.695685970510247</v>
      </c>
      <c r="K273" s="126">
        <f>IF(B273="","",IF(Catálogos!$K$10=1,Carátula!$F$17*Catálogos!$R$4,0))</f>
        <v>199.92</v>
      </c>
      <c r="L273" s="126">
        <f>IF(B273="","",IF(F273=0,0,CAT!H236))</f>
        <v>299</v>
      </c>
      <c r="M273" s="115"/>
      <c r="N273" s="126">
        <f t="shared" si="35"/>
        <v>0</v>
      </c>
      <c r="O273" s="126">
        <f t="shared" si="34"/>
        <v>6037.3747276331296</v>
      </c>
      <c r="P273" s="126">
        <f t="shared" si="28"/>
        <v>52769.187576296928</v>
      </c>
      <c r="Q273" s="127">
        <f t="shared" si="29"/>
        <v>1</v>
      </c>
    </row>
    <row r="274" spans="2:17" x14ac:dyDescent="0.25">
      <c r="B274" s="122">
        <f t="shared" si="30"/>
        <v>231</v>
      </c>
      <c r="C274" s="123">
        <f>IF(B274="","",'Fecha Pago'!K234)</f>
        <v>52996</v>
      </c>
      <c r="D274" s="124">
        <f>IF(B274="","",'Fecha Pago'!L234)</f>
        <v>30.4</v>
      </c>
      <c r="E274" s="125">
        <f t="shared" si="27"/>
        <v>9.1499999999999998E-2</v>
      </c>
      <c r="F274" s="126">
        <f t="shared" si="31"/>
        <v>52769.187576296928</v>
      </c>
      <c r="G274" s="126">
        <f>IF(B274="","",IF(F274=0,0,MIN(F274,IF(Catálogos!$N$6=1,Prepagos!C233,IF(Catálogos!$N$6=2,Prepagos!D233,IF(Catálogos!$N$6=3,Prepagos!E233,))))))</f>
        <v>5096.0291189897644</v>
      </c>
      <c r="H274" s="126">
        <f t="shared" si="32"/>
        <v>407.72992267285423</v>
      </c>
      <c r="I274" s="126">
        <f t="shared" si="33"/>
        <v>0</v>
      </c>
      <c r="J274" s="126">
        <f>IF(B274="","",IF(F274=0,0,F274*Catálogos!$R$1))</f>
        <v>31.661512545778155</v>
      </c>
      <c r="K274" s="126">
        <f>IF(B274="","",IF(Catálogos!$K$10=1,Carátula!$F$17*Catálogos!$R$4,0))</f>
        <v>199.92</v>
      </c>
      <c r="L274" s="126">
        <f>IF(B274="","",IF(F274=0,0,CAT!H237))</f>
        <v>299</v>
      </c>
      <c r="M274" s="115"/>
      <c r="N274" s="126">
        <f t="shared" si="35"/>
        <v>0</v>
      </c>
      <c r="O274" s="126">
        <f t="shared" si="34"/>
        <v>6034.3405542083974</v>
      </c>
      <c r="P274" s="126">
        <f t="shared" si="28"/>
        <v>47673.158457307167</v>
      </c>
      <c r="Q274" s="127">
        <f t="shared" si="29"/>
        <v>1</v>
      </c>
    </row>
    <row r="275" spans="2:17" x14ac:dyDescent="0.25">
      <c r="B275" s="122">
        <f t="shared" si="30"/>
        <v>232</v>
      </c>
      <c r="C275" s="123">
        <f>IF(B275="","",'Fecha Pago'!K235)</f>
        <v>53024</v>
      </c>
      <c r="D275" s="124">
        <f>IF(B275="","",'Fecha Pago'!L235)</f>
        <v>30.4</v>
      </c>
      <c r="E275" s="125">
        <f t="shared" si="27"/>
        <v>9.1499999999999998E-2</v>
      </c>
      <c r="F275" s="126">
        <f t="shared" si="31"/>
        <v>47673.158457307167</v>
      </c>
      <c r="G275" s="126">
        <f>IF(B275="","",IF(F275=0,0,MIN(F275,IF(Catálogos!$N$6=1,Prepagos!C234,IF(Catálogos!$N$6=2,Prepagos!D234,IF(Catálogos!$N$6=3,Prepagos!E234,))))))</f>
        <v>5135.4044373158249</v>
      </c>
      <c r="H275" s="126">
        <f t="shared" si="32"/>
        <v>368.35460434679334</v>
      </c>
      <c r="I275" s="126">
        <f t="shared" si="33"/>
        <v>0</v>
      </c>
      <c r="J275" s="126">
        <f>IF(B275="","",IF(F275=0,0,F275*Catálogos!$R$1))</f>
        <v>28.603895074384297</v>
      </c>
      <c r="K275" s="126">
        <f>IF(B275="","",IF(Catálogos!$K$10=1,Carátula!$F$17*Catálogos!$R$4,0))</f>
        <v>199.92</v>
      </c>
      <c r="L275" s="126">
        <f>IF(B275="","",IF(F275=0,0,CAT!H238))</f>
        <v>299</v>
      </c>
      <c r="M275" s="115"/>
      <c r="N275" s="126">
        <f t="shared" si="35"/>
        <v>0</v>
      </c>
      <c r="O275" s="126">
        <f t="shared" si="34"/>
        <v>6031.2829367370023</v>
      </c>
      <c r="P275" s="126">
        <f t="shared" si="28"/>
        <v>42537.754019991342</v>
      </c>
      <c r="Q275" s="127">
        <f t="shared" si="29"/>
        <v>1</v>
      </c>
    </row>
    <row r="276" spans="2:17" x14ac:dyDescent="0.25">
      <c r="B276" s="122">
        <f t="shared" si="30"/>
        <v>233</v>
      </c>
      <c r="C276" s="123">
        <f>IF(B276="","",'Fecha Pago'!K236)</f>
        <v>53055</v>
      </c>
      <c r="D276" s="124">
        <f>IF(B276="","",'Fecha Pago'!L236)</f>
        <v>30.4</v>
      </c>
      <c r="E276" s="125">
        <f t="shared" si="27"/>
        <v>9.1499999999999998E-2</v>
      </c>
      <c r="F276" s="126">
        <f t="shared" si="31"/>
        <v>42537.754019991342</v>
      </c>
      <c r="G276" s="126">
        <f>IF(B276="","",IF(F276=0,0,MIN(F276,IF(Catálogos!$N$6=1,Prepagos!C235,IF(Catálogos!$N$6=2,Prepagos!D235,IF(Catálogos!$N$6=3,Prepagos!E235,))))))</f>
        <v>5175.0839956014843</v>
      </c>
      <c r="H276" s="126">
        <f t="shared" si="32"/>
        <v>328.67504606113306</v>
      </c>
      <c r="I276" s="126">
        <f t="shared" si="33"/>
        <v>0</v>
      </c>
      <c r="J276" s="126">
        <f>IF(B276="","",IF(F276=0,0,F276*Catálogos!$R$1))</f>
        <v>25.522652411994802</v>
      </c>
      <c r="K276" s="126">
        <f>IF(B276="","",IF(Catálogos!$K$10=1,Carátula!$F$17*Catálogos!$R$4,0))</f>
        <v>199.92</v>
      </c>
      <c r="L276" s="126">
        <f>IF(B276="","",IF(F276=0,0,CAT!H239))</f>
        <v>299</v>
      </c>
      <c r="M276" s="115"/>
      <c r="N276" s="126">
        <f t="shared" si="35"/>
        <v>0</v>
      </c>
      <c r="O276" s="126">
        <f t="shared" si="34"/>
        <v>6028.2016940746116</v>
      </c>
      <c r="P276" s="126">
        <f t="shared" si="28"/>
        <v>37362.670024389859</v>
      </c>
      <c r="Q276" s="127">
        <f t="shared" si="29"/>
        <v>1</v>
      </c>
    </row>
    <row r="277" spans="2:17" x14ac:dyDescent="0.25">
      <c r="B277" s="122">
        <f t="shared" si="30"/>
        <v>234</v>
      </c>
      <c r="C277" s="123">
        <f>IF(B277="","",'Fecha Pago'!K237)</f>
        <v>53085</v>
      </c>
      <c r="D277" s="124">
        <f>IF(B277="","",'Fecha Pago'!L237)</f>
        <v>30.4</v>
      </c>
      <c r="E277" s="125">
        <f t="shared" si="27"/>
        <v>9.1499999999999998E-2</v>
      </c>
      <c r="F277" s="126">
        <f t="shared" si="31"/>
        <v>37362.670024389859</v>
      </c>
      <c r="G277" s="126">
        <f>IF(B277="","",IF(F277=0,0,MIN(F277,IF(Catálogos!$N$6=1,Prepagos!C236,IF(Catálogos!$N$6=2,Prepagos!D236,IF(Catálogos!$N$6=3,Prepagos!E236,))))))</f>
        <v>5215.0701446074991</v>
      </c>
      <c r="H277" s="126">
        <f t="shared" si="32"/>
        <v>288.68889705511896</v>
      </c>
      <c r="I277" s="126">
        <f t="shared" si="33"/>
        <v>0</v>
      </c>
      <c r="J277" s="126">
        <f>IF(B277="","",IF(F277=0,0,F277*Catálogos!$R$1))</f>
        <v>22.417602014633914</v>
      </c>
      <c r="K277" s="126">
        <f>IF(B277="","",IF(Catálogos!$K$10=1,Carátula!$F$17*Catálogos!$R$4,0))</f>
        <v>199.92</v>
      </c>
      <c r="L277" s="126">
        <f>IF(B277="","",IF(F277=0,0,CAT!H240))</f>
        <v>299</v>
      </c>
      <c r="M277" s="115"/>
      <c r="N277" s="126">
        <f t="shared" si="35"/>
        <v>0</v>
      </c>
      <c r="O277" s="126">
        <f t="shared" si="34"/>
        <v>6025.0966436772524</v>
      </c>
      <c r="P277" s="126">
        <f t="shared" si="28"/>
        <v>32147.599879782359</v>
      </c>
      <c r="Q277" s="127">
        <f t="shared" si="29"/>
        <v>1</v>
      </c>
    </row>
    <row r="278" spans="2:17" x14ac:dyDescent="0.25">
      <c r="B278" s="122">
        <f t="shared" si="30"/>
        <v>235</v>
      </c>
      <c r="C278" s="123">
        <f>IF(B278="","",'Fecha Pago'!K238)</f>
        <v>53116</v>
      </c>
      <c r="D278" s="124">
        <f>IF(B278="","",'Fecha Pago'!L238)</f>
        <v>30.4</v>
      </c>
      <c r="E278" s="125">
        <f t="shared" si="27"/>
        <v>9.1499999999999998E-2</v>
      </c>
      <c r="F278" s="126">
        <f t="shared" si="31"/>
        <v>32147.599879782359</v>
      </c>
      <c r="G278" s="126">
        <f>IF(B278="","",IF(F278=0,0,MIN(F278,IF(Catálogos!$N$6=1,Prepagos!C237,IF(Catálogos!$N$6=2,Prepagos!D237,IF(Catálogos!$N$6=3,Prepagos!E237,))))))</f>
        <v>5255.3652532581655</v>
      </c>
      <c r="H278" s="126">
        <f t="shared" si="32"/>
        <v>248.39378840445167</v>
      </c>
      <c r="I278" s="126">
        <f t="shared" si="33"/>
        <v>0</v>
      </c>
      <c r="J278" s="126">
        <f>IF(B278="","",IF(F278=0,0,F278*Catálogos!$R$1))</f>
        <v>19.288559927869414</v>
      </c>
      <c r="K278" s="126">
        <f>IF(B278="","",IF(Catálogos!$K$10=1,Carátula!$F$17*Catálogos!$R$4,0))</f>
        <v>199.92</v>
      </c>
      <c r="L278" s="126">
        <f>IF(B278="","",IF(F278=0,0,CAT!H241))</f>
        <v>299</v>
      </c>
      <c r="M278" s="115"/>
      <c r="N278" s="126">
        <f t="shared" si="35"/>
        <v>0</v>
      </c>
      <c r="O278" s="126">
        <f t="shared" si="34"/>
        <v>6021.967601590487</v>
      </c>
      <c r="P278" s="126">
        <f t="shared" si="28"/>
        <v>26892.234626524194</v>
      </c>
      <c r="Q278" s="127">
        <f t="shared" si="29"/>
        <v>1</v>
      </c>
    </row>
    <row r="279" spans="2:17" x14ac:dyDescent="0.25">
      <c r="B279" s="122">
        <f t="shared" si="30"/>
        <v>236</v>
      </c>
      <c r="C279" s="123">
        <f>IF(B279="","",'Fecha Pago'!K239)</f>
        <v>53146</v>
      </c>
      <c r="D279" s="124">
        <f>IF(B279="","",'Fecha Pago'!L239)</f>
        <v>30.4</v>
      </c>
      <c r="E279" s="125">
        <f t="shared" si="27"/>
        <v>9.1499999999999998E-2</v>
      </c>
      <c r="F279" s="126">
        <f t="shared" si="31"/>
        <v>26892.234626524194</v>
      </c>
      <c r="G279" s="126">
        <f>IF(B279="","",IF(F279=0,0,MIN(F279,IF(Catálogos!$N$6=1,Prepagos!C238,IF(Catálogos!$N$6=2,Prepagos!D238,IF(Catálogos!$N$6=3,Prepagos!E238,))))))</f>
        <v>5295.9717087816734</v>
      </c>
      <c r="H279" s="126">
        <f t="shared" si="32"/>
        <v>207.78733288094358</v>
      </c>
      <c r="I279" s="126">
        <f t="shared" si="33"/>
        <v>0</v>
      </c>
      <c r="J279" s="126">
        <f>IF(B279="","",IF(F279=0,0,F279*Catálogos!$R$1))</f>
        <v>16.135340775914514</v>
      </c>
      <c r="K279" s="126">
        <f>IF(B279="","",IF(Catálogos!$K$10=1,Carátula!$F$17*Catálogos!$R$4,0))</f>
        <v>199.92</v>
      </c>
      <c r="L279" s="126">
        <f>IF(B279="","",IF(F279=0,0,CAT!H242))</f>
        <v>299</v>
      </c>
      <c r="M279" s="115"/>
      <c r="N279" s="126">
        <f t="shared" si="35"/>
        <v>0</v>
      </c>
      <c r="O279" s="126">
        <f t="shared" si="34"/>
        <v>6018.8143824385315</v>
      </c>
      <c r="P279" s="126">
        <f t="shared" si="28"/>
        <v>21596.262917742519</v>
      </c>
      <c r="Q279" s="127">
        <f t="shared" si="29"/>
        <v>1</v>
      </c>
    </row>
    <row r="280" spans="2:17" x14ac:dyDescent="0.25">
      <c r="B280" s="122">
        <f t="shared" si="30"/>
        <v>237</v>
      </c>
      <c r="C280" s="123">
        <f>IF(B280="","",'Fecha Pago'!K240)</f>
        <v>53177</v>
      </c>
      <c r="D280" s="124">
        <f>IF(B280="","",'Fecha Pago'!L240)</f>
        <v>30.4</v>
      </c>
      <c r="E280" s="125">
        <f t="shared" si="27"/>
        <v>9.1499999999999998E-2</v>
      </c>
      <c r="F280" s="126">
        <f t="shared" si="31"/>
        <v>21596.262917742519</v>
      </c>
      <c r="G280" s="126">
        <f>IF(B280="","",IF(F280=0,0,MIN(F280,IF(Catálogos!$N$6=1,Prepagos!C239,IF(Catálogos!$N$6=2,Prepagos!D239,IF(Catálogos!$N$6=3,Prepagos!E239,))))))</f>
        <v>5336.8919168515267</v>
      </c>
      <c r="H280" s="126">
        <f t="shared" si="32"/>
        <v>166.86712481109049</v>
      </c>
      <c r="I280" s="126">
        <f t="shared" si="33"/>
        <v>0</v>
      </c>
      <c r="J280" s="126">
        <f>IF(B280="","",IF(F280=0,0,F280*Catálogos!$R$1))</f>
        <v>12.957757750645509</v>
      </c>
      <c r="K280" s="126">
        <f>IF(B280="","",IF(Catálogos!$K$10=1,Carátula!$F$17*Catálogos!$R$4,0))</f>
        <v>199.92</v>
      </c>
      <c r="L280" s="126">
        <f>IF(B280="","",IF(F280=0,0,CAT!H243))</f>
        <v>299</v>
      </c>
      <c r="M280" s="115"/>
      <c r="N280" s="126">
        <f t="shared" si="35"/>
        <v>0</v>
      </c>
      <c r="O280" s="126">
        <f t="shared" si="34"/>
        <v>6015.6367994132625</v>
      </c>
      <c r="P280" s="126">
        <f t="shared" si="28"/>
        <v>16259.371000890991</v>
      </c>
      <c r="Q280" s="127">
        <f t="shared" si="29"/>
        <v>1</v>
      </c>
    </row>
    <row r="281" spans="2:17" x14ac:dyDescent="0.25">
      <c r="B281" s="122">
        <f t="shared" si="30"/>
        <v>238</v>
      </c>
      <c r="C281" s="123">
        <f>IF(B281="","",'Fecha Pago'!K241)</f>
        <v>53208</v>
      </c>
      <c r="D281" s="124">
        <f>IF(B281="","",'Fecha Pago'!L241)</f>
        <v>30.4</v>
      </c>
      <c r="E281" s="125">
        <f t="shared" si="27"/>
        <v>9.1499999999999998E-2</v>
      </c>
      <c r="F281" s="126">
        <f t="shared" si="31"/>
        <v>16259.371000890991</v>
      </c>
      <c r="G281" s="126">
        <f>IF(B281="","",IF(F281=0,0,MIN(F281,IF(Catálogos!$N$6=1,Prepagos!C240,IF(Catálogos!$N$6=2,Prepagos!D240,IF(Catálogos!$N$6=3,Prepagos!E240,))))))</f>
        <v>5378.1283017290671</v>
      </c>
      <c r="H281" s="126">
        <f t="shared" si="32"/>
        <v>125.63073993355104</v>
      </c>
      <c r="I281" s="126">
        <f t="shared" si="33"/>
        <v>0</v>
      </c>
      <c r="J281" s="126">
        <f>IF(B281="","",IF(F281=0,0,F281*Catálogos!$R$1))</f>
        <v>9.7556226005345934</v>
      </c>
      <c r="K281" s="126">
        <f>IF(B281="","",IF(Catálogos!$K$10=1,Carátula!$F$17*Catálogos!$R$4,0))</f>
        <v>199.92</v>
      </c>
      <c r="L281" s="126">
        <f>IF(B281="","",IF(F281=0,0,CAT!H244))</f>
        <v>299</v>
      </c>
      <c r="M281" s="115"/>
      <c r="N281" s="126">
        <f t="shared" si="35"/>
        <v>0</v>
      </c>
      <c r="O281" s="126">
        <f t="shared" si="34"/>
        <v>6012.4346642631526</v>
      </c>
      <c r="P281" s="126">
        <f t="shared" si="28"/>
        <v>10881.242699161925</v>
      </c>
      <c r="Q281" s="127">
        <f t="shared" si="29"/>
        <v>1</v>
      </c>
    </row>
    <row r="282" spans="2:17" x14ac:dyDescent="0.25">
      <c r="B282" s="122">
        <f t="shared" si="30"/>
        <v>239</v>
      </c>
      <c r="C282" s="123">
        <f>IF(B282="","",'Fecha Pago'!K242)</f>
        <v>53238</v>
      </c>
      <c r="D282" s="124">
        <f>IF(B282="","",'Fecha Pago'!L242)</f>
        <v>30.4</v>
      </c>
      <c r="E282" s="125">
        <f t="shared" si="27"/>
        <v>9.1499999999999998E-2</v>
      </c>
      <c r="F282" s="126">
        <f t="shared" si="31"/>
        <v>10881.242699161925</v>
      </c>
      <c r="G282" s="126">
        <f>IF(B282="","",IF(F282=0,0,MIN(F282,IF(Catálogos!$N$6=1,Prepagos!C241,IF(Catálogos!$N$6=2,Prepagos!D241,IF(Catálogos!$N$6=3,Prepagos!E241,))))))</f>
        <v>5419.6833064070934</v>
      </c>
      <c r="H282" s="126">
        <f t="shared" si="32"/>
        <v>84.075735255524464</v>
      </c>
      <c r="I282" s="126">
        <f t="shared" si="33"/>
        <v>0</v>
      </c>
      <c r="J282" s="126">
        <f>IF(B282="","",IF(F282=0,0,F282*Catálogos!$R$1))</f>
        <v>6.5287456194971547</v>
      </c>
      <c r="K282" s="126">
        <f>IF(B282="","",IF(Catálogos!$K$10=1,Carátula!$F$17*Catálogos!$R$4,0))</f>
        <v>199.92</v>
      </c>
      <c r="L282" s="126">
        <f>IF(B282="","",IF(F282=0,0,CAT!H245))</f>
        <v>299</v>
      </c>
      <c r="M282" s="115"/>
      <c r="N282" s="126">
        <f t="shared" si="35"/>
        <v>0</v>
      </c>
      <c r="O282" s="126">
        <f t="shared" si="34"/>
        <v>6009.2077872821155</v>
      </c>
      <c r="P282" s="126">
        <f t="shared" si="28"/>
        <v>5461.5593927548316</v>
      </c>
      <c r="Q282" s="127">
        <f t="shared" si="29"/>
        <v>1</v>
      </c>
    </row>
    <row r="283" spans="2:17" x14ac:dyDescent="0.25">
      <c r="B283" s="122">
        <f t="shared" si="30"/>
        <v>240</v>
      </c>
      <c r="C283" s="123">
        <f>IF(B283="","",'Fecha Pago'!K243)</f>
        <v>53269</v>
      </c>
      <c r="D283" s="124">
        <f>IF(B283="","",'Fecha Pago'!L243)</f>
        <v>30.4</v>
      </c>
      <c r="E283" s="125">
        <f t="shared" si="27"/>
        <v>9.1499999999999998E-2</v>
      </c>
      <c r="F283" s="126">
        <f t="shared" si="31"/>
        <v>5461.5593927548316</v>
      </c>
      <c r="G283" s="126">
        <f>IF(B283="","",IF(F283=0,0,MIN(F283,IF(Catálogos!$N$6=1,Prepagos!C242,IF(Catálogos!$N$6=2,Prepagos!D242,IF(Catálogos!$N$6=3,Prepagos!E242,))))))</f>
        <v>5461.5593927545988</v>
      </c>
      <c r="H283" s="126">
        <f t="shared" si="32"/>
        <v>42.199648908018993</v>
      </c>
      <c r="I283" s="126">
        <f t="shared" si="33"/>
        <v>0</v>
      </c>
      <c r="J283" s="126">
        <f>IF(B283="","",IF(F283=0,0,F283*Catálogos!$R$1))</f>
        <v>3.2769356356528987</v>
      </c>
      <c r="K283" s="126">
        <f>IF(B283="","",IF(Catálogos!$K$10=1,Carátula!$F$17*Catálogos!$R$4,0))</f>
        <v>199.92</v>
      </c>
      <c r="L283" s="126">
        <f>IF(B283="","",IF(F283=0,0,CAT!H246))</f>
        <v>299</v>
      </c>
      <c r="M283" s="115"/>
      <c r="N283" s="126">
        <f t="shared" si="35"/>
        <v>0</v>
      </c>
      <c r="O283" s="126">
        <f t="shared" si="34"/>
        <v>6005.9559772982711</v>
      </c>
      <c r="P283" s="126">
        <f t="shared" si="28"/>
        <v>2.3283064365386963E-10</v>
      </c>
      <c r="Q283" s="127">
        <f t="shared" si="29"/>
        <v>1</v>
      </c>
    </row>
    <row r="284" spans="2:17" ht="5.25" customHeight="1" x14ac:dyDescent="0.25">
      <c r="B284" s="91"/>
    </row>
    <row r="285" spans="2:17" ht="15.75" customHeight="1" thickBot="1" x14ac:dyDescent="0.3">
      <c r="B285" s="232" t="s">
        <v>132</v>
      </c>
      <c r="C285" s="232"/>
      <c r="D285" s="232"/>
      <c r="E285" s="232"/>
      <c r="F285" s="128"/>
      <c r="G285" s="129">
        <f>SUM(G44:G283)</f>
        <v>599999.99999999977</v>
      </c>
      <c r="H285" s="129">
        <f t="shared" ref="H285:L285" si="36">SUM(H44:H283)</f>
        <v>719621.16999902832</v>
      </c>
      <c r="I285" s="129">
        <f t="shared" si="36"/>
        <v>0</v>
      </c>
      <c r="J285" s="129">
        <f t="shared" si="36"/>
        <v>55884.32381355697</v>
      </c>
      <c r="K285" s="129">
        <f t="shared" si="36"/>
        <v>47927.487999999728</v>
      </c>
      <c r="L285" s="129">
        <f t="shared" si="36"/>
        <v>71760</v>
      </c>
      <c r="M285" s="128"/>
      <c r="N285" s="128"/>
      <c r="O285" s="129">
        <f t="shared" ref="O285" si="37">SUM(O44:O283)</f>
        <v>1495192.9818125844</v>
      </c>
      <c r="P285" s="128"/>
    </row>
    <row r="286" spans="2:17" ht="7.5" customHeight="1" thickTop="1" x14ac:dyDescent="0.25">
      <c r="B286" s="91"/>
    </row>
    <row r="287" spans="2:17" x14ac:dyDescent="0.25">
      <c r="B287" s="97" t="s">
        <v>157</v>
      </c>
    </row>
    <row r="288" spans="2:17" ht="6.75" customHeight="1" x14ac:dyDescent="0.25">
      <c r="B288" s="91"/>
    </row>
    <row r="289" spans="2:2" hidden="1" x14ac:dyDescent="0.25">
      <c r="B289" s="91"/>
    </row>
    <row r="290" spans="2:2" hidden="1" x14ac:dyDescent="0.25">
      <c r="B290" s="91"/>
    </row>
    <row r="291" spans="2:2" hidden="1" x14ac:dyDescent="0.25">
      <c r="B291" s="91"/>
    </row>
    <row r="292" spans="2:2" hidden="1" x14ac:dyDescent="0.25">
      <c r="B292" s="91"/>
    </row>
    <row r="293" spans="2:2" hidden="1" x14ac:dyDescent="0.25">
      <c r="B293" s="91"/>
    </row>
    <row r="294" spans="2:2" hidden="1" x14ac:dyDescent="0.25">
      <c r="B294" s="91"/>
    </row>
    <row r="295" spans="2:2" hidden="1" x14ac:dyDescent="0.25">
      <c r="B295" s="91"/>
    </row>
    <row r="296" spans="2:2" hidden="1" x14ac:dyDescent="0.25">
      <c r="B296" s="91"/>
    </row>
    <row r="297" spans="2:2" hidden="1" x14ac:dyDescent="0.25">
      <c r="B297" s="91"/>
    </row>
    <row r="298" spans="2:2" hidden="1" x14ac:dyDescent="0.25">
      <c r="B298" s="91"/>
    </row>
    <row r="299" spans="2:2" hidden="1" x14ac:dyDescent="0.25">
      <c r="B299" s="91"/>
    </row>
    <row r="300" spans="2:2" hidden="1" x14ac:dyDescent="0.25">
      <c r="B300" s="91"/>
    </row>
    <row r="301" spans="2:2" hidden="1" x14ac:dyDescent="0.25">
      <c r="B301" s="91"/>
    </row>
    <row r="302" spans="2:2" hidden="1" x14ac:dyDescent="0.25">
      <c r="B302" s="91"/>
    </row>
    <row r="303" spans="2:2" hidden="1" x14ac:dyDescent="0.25">
      <c r="B303" s="91"/>
    </row>
    <row r="304" spans="2:2" hidden="1" x14ac:dyDescent="0.25">
      <c r="B304" s="91"/>
    </row>
    <row r="305" spans="2:2" hidden="1" x14ac:dyDescent="0.25">
      <c r="B305" s="91"/>
    </row>
    <row r="306" spans="2:2" hidden="1" x14ac:dyDescent="0.25">
      <c r="B306" s="91"/>
    </row>
    <row r="307" spans="2:2" hidden="1" x14ac:dyDescent="0.25">
      <c r="B307" s="91"/>
    </row>
    <row r="308" spans="2:2" hidden="1" x14ac:dyDescent="0.25">
      <c r="B308" s="91"/>
    </row>
    <row r="309" spans="2:2" hidden="1" x14ac:dyDescent="0.25">
      <c r="B309" s="91"/>
    </row>
    <row r="310" spans="2:2" hidden="1" x14ac:dyDescent="0.25">
      <c r="B310" s="91"/>
    </row>
    <row r="311" spans="2:2" hidden="1" x14ac:dyDescent="0.25">
      <c r="B311" s="91"/>
    </row>
  </sheetData>
  <sheetProtection algorithmName="SHA-512" hashValue="dCE9N/NwT4mPxejufrSsjZLl5Wymh8qk8E7/15/XSDGpZeo8kvK/4SbQk9uTbnSxEs0wYoDQrYUXDQg3laY6YQ==" saltValue="hnCDkcuAW8S95VcWwt3zNA==" spinCount="100000" sheet="1" objects="1" scenarios="1"/>
  <mergeCells count="26">
    <mergeCell ref="L2:O2"/>
    <mergeCell ref="B41:C41"/>
    <mergeCell ref="E41:F41"/>
    <mergeCell ref="B24:P24"/>
    <mergeCell ref="B5:P5"/>
    <mergeCell ref="G32:H32"/>
    <mergeCell ref="B37:P37"/>
    <mergeCell ref="N39:O39"/>
    <mergeCell ref="F19:G19"/>
    <mergeCell ref="N9:O9"/>
    <mergeCell ref="N7:O7"/>
    <mergeCell ref="N11:O11"/>
    <mergeCell ref="N13:O13"/>
    <mergeCell ref="F7:G7"/>
    <mergeCell ref="B39:D39"/>
    <mergeCell ref="B4:P4"/>
    <mergeCell ref="B285:E285"/>
    <mergeCell ref="F13:G13"/>
    <mergeCell ref="F17:G17"/>
    <mergeCell ref="F15:G15"/>
    <mergeCell ref="I35:J35"/>
    <mergeCell ref="F9:G9"/>
    <mergeCell ref="F11:G11"/>
    <mergeCell ref="F21:G21"/>
    <mergeCell ref="B30:F32"/>
    <mergeCell ref="I34:J34"/>
  </mergeCells>
  <conditionalFormatting sqref="D41">
    <cfRule type="expression" dxfId="18" priority="16" stopIfTrue="1">
      <formula>#REF!&gt;0</formula>
    </cfRule>
  </conditionalFormatting>
  <conditionalFormatting sqref="E39">
    <cfRule type="expression" dxfId="17" priority="17">
      <formula>AND(#REF!&gt;"",#REF!&gt;"")</formula>
    </cfRule>
    <cfRule type="expression" dxfId="16" priority="18">
      <formula>$K$70&gt;""</formula>
    </cfRule>
  </conditionalFormatting>
  <conditionalFormatting sqref="F9:G9">
    <cfRule type="cellIs" dxfId="15" priority="33" operator="greaterThan">
      <formula>0</formula>
    </cfRule>
  </conditionalFormatting>
  <conditionalFormatting sqref="F11:G11">
    <cfRule type="cellIs" dxfId="14" priority="32" operator="greaterThan">
      <formula>0</formula>
    </cfRule>
  </conditionalFormatting>
  <conditionalFormatting sqref="F13:G13">
    <cfRule type="cellIs" dxfId="13" priority="31" operator="greaterThan">
      <formula>0</formula>
    </cfRule>
  </conditionalFormatting>
  <conditionalFormatting sqref="F15:G15">
    <cfRule type="cellIs" dxfId="12" priority="29" operator="greaterThan">
      <formula>0</formula>
    </cfRule>
  </conditionalFormatting>
  <conditionalFormatting sqref="F17:G17">
    <cfRule type="cellIs" dxfId="11" priority="30" operator="greaterThan">
      <formula>0</formula>
    </cfRule>
  </conditionalFormatting>
  <conditionalFormatting sqref="F19:G19">
    <cfRule type="cellIs" dxfId="10" priority="28" operator="greaterThan">
      <formula>0</formula>
    </cfRule>
  </conditionalFormatting>
  <conditionalFormatting sqref="F21:G22">
    <cfRule type="cellIs" dxfId="9" priority="2" operator="greaterThan">
      <formula>0</formula>
    </cfRule>
  </conditionalFormatting>
  <conditionalFormatting sqref="G43:O43">
    <cfRule type="containsBlanks" dxfId="8" priority="8">
      <formula>LEN(TRIM(G43))=0</formula>
    </cfRule>
  </conditionalFormatting>
  <conditionalFormatting sqref="N15">
    <cfRule type="cellIs" dxfId="7" priority="22" operator="greaterThan">
      <formula>0</formula>
    </cfRule>
  </conditionalFormatting>
  <conditionalFormatting sqref="N17">
    <cfRule type="cellIs" dxfId="6" priority="1" operator="greaterThan">
      <formula>0</formula>
    </cfRule>
  </conditionalFormatting>
  <conditionalFormatting sqref="N7:O7">
    <cfRule type="cellIs" dxfId="5" priority="26" operator="greaterThan">
      <formula>0</formula>
    </cfRule>
  </conditionalFormatting>
  <conditionalFormatting sqref="N9:O9">
    <cfRule type="cellIs" dxfId="4" priority="27" operator="greaterThan">
      <formula>0</formula>
    </cfRule>
  </conditionalFormatting>
  <conditionalFormatting sqref="N11:O11">
    <cfRule type="cellIs" dxfId="3" priority="23" operator="greaterThan">
      <formula>0</formula>
    </cfRule>
  </conditionalFormatting>
  <printOptions horizontalCentered="1"/>
  <pageMargins left="0.70866141732283472" right="0.70866141732283472" top="0.74803149606299213" bottom="0.74803149606299213" header="0.31496062992125984" footer="0.31496062992125984"/>
  <pageSetup scale="42" fitToHeight="0" orientation="portrait" r:id="rId1"/>
  <drawing r:id="rId2"/>
  <extLst>
    <ext xmlns:x14="http://schemas.microsoft.com/office/spreadsheetml/2009/9/main" uri="{CCE6A557-97BC-4b89-ADB6-D9C93CAAB3DF}">
      <x14:dataValidations xmlns:xm="http://schemas.microsoft.com/office/excel/2006/main" count="8">
        <x14:dataValidation type="list" allowBlank="1" showInputMessage="1" showErrorMessage="1" xr:uid="{A206ED02-19B6-41C4-96C9-22E41032FB60}">
          <x14:formula1>
            <xm:f>Catálogos!$D$2:$D$3</xm:f>
          </x14:formula1>
          <xm:sqref>N7:O7</xm:sqref>
        </x14:dataValidation>
        <x14:dataValidation type="list" allowBlank="1" showInputMessage="1" showErrorMessage="1" xr:uid="{8B344D1B-D2D5-49AF-84D2-06E55E2E68C2}">
          <x14:formula1>
            <xm:f>Catálogos!$B$2:$B$17</xm:f>
          </x14:formula1>
          <xm:sqref>N9:O9</xm:sqref>
        </x14:dataValidation>
        <x14:dataValidation type="list" allowBlank="1" showInputMessage="1" showErrorMessage="1" xr:uid="{2E0D40E9-0DDC-4E43-8C89-9AC4F339E439}">
          <x14:formula1>
            <xm:f>Catálogos!$F$2:$F$3</xm:f>
          </x14:formula1>
          <xm:sqref>N11:O11 I11</xm:sqref>
        </x14:dataValidation>
        <x14:dataValidation type="list" allowBlank="1" showInputMessage="1" showErrorMessage="1" xr:uid="{542B00BE-2253-42FD-8DED-FF9913BC7C02}">
          <x14:formula1>
            <xm:f>Catálogos!$H$2:$H$33</xm:f>
          </x14:formula1>
          <xm:sqref>N13:O13</xm:sqref>
        </x14:dataValidation>
        <x14:dataValidation type="list" allowBlank="1" showInputMessage="1" showErrorMessage="1" xr:uid="{44BB534D-0F39-494B-83EE-391F42CC7E11}">
          <x14:formula1>
            <xm:f>Catálogos!$J$2:$J$6</xm:f>
          </x14:formula1>
          <xm:sqref>E39</xm:sqref>
        </x14:dataValidation>
        <x14:dataValidation type="list" allowBlank="1" showInputMessage="1" showErrorMessage="1" xr:uid="{41FB5119-2F92-4FF4-9820-55526B6701FC}">
          <x14:formula1>
            <xm:f>Catálogos!$M$2:$M$4</xm:f>
          </x14:formula1>
          <xm:sqref>N39:O39</xm:sqref>
        </x14:dataValidation>
        <x14:dataValidation type="list" allowBlank="1" showInputMessage="1" showErrorMessage="1" xr:uid="{06701D50-D3E9-4C93-9FCF-23D0346F175D}">
          <x14:formula1>
            <xm:f>Catálogos!$Q$13:$Q$14</xm:f>
          </x14:formula1>
          <xm:sqref>I35</xm:sqref>
        </x14:dataValidation>
        <x14:dataValidation type="list" allowBlank="1" showInputMessage="1" showErrorMessage="1" xr:uid="{CE7CCC74-97D2-4CCA-B833-2AAEB4089B1E}">
          <x14:formula1>
            <xm:f>Catálogos!$J$16</xm:f>
          </x14:formula1>
          <xm:sqref>F9:G9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3807A-C725-4DD9-AFD7-DA79E1832F88}">
  <sheetPr codeName="Sheet2">
    <pageSetUpPr fitToPage="1"/>
  </sheetPr>
  <dimension ref="A1:O252"/>
  <sheetViews>
    <sheetView showGridLines="0" zoomScaleNormal="100" workbookViewId="0">
      <selection activeCell="C23" sqref="C23"/>
    </sheetView>
  </sheetViews>
  <sheetFormatPr baseColWidth="10" defaultColWidth="0" defaultRowHeight="11.65" customHeight="1" zeroHeight="1" x14ac:dyDescent="0.2"/>
  <cols>
    <col min="1" max="1" width="1.7109375" style="114" customWidth="1"/>
    <col min="2" max="2" width="24.140625" style="114" customWidth="1"/>
    <col min="3" max="3" width="17.7109375" style="114" customWidth="1"/>
    <col min="4" max="4" width="23.5703125" style="114" customWidth="1"/>
    <col min="5" max="5" width="26.85546875" style="114" customWidth="1"/>
    <col min="6" max="6" width="4.28515625" style="114" customWidth="1"/>
    <col min="7" max="13" width="25.5703125" style="114" hidden="1" customWidth="1"/>
    <col min="14" max="14" width="29" style="114" hidden="1" customWidth="1"/>
    <col min="15" max="16384" width="25.5703125" style="114" hidden="1"/>
  </cols>
  <sheetData>
    <row r="1" spans="2:15" ht="11.65" customHeight="1" x14ac:dyDescent="0.2"/>
    <row r="2" spans="2:15" ht="11.65" customHeight="1" x14ac:dyDescent="0.2"/>
    <row r="3" spans="2:15" ht="11.65" customHeight="1" x14ac:dyDescent="0.2">
      <c r="H3" s="94"/>
    </row>
    <row r="4" spans="2:15" ht="11.65" customHeight="1" x14ac:dyDescent="0.2">
      <c r="B4" s="92" t="s">
        <v>146</v>
      </c>
      <c r="C4" s="245">
        <f>Carátula!L2</f>
        <v>0</v>
      </c>
      <c r="D4" s="245"/>
      <c r="E4" s="245"/>
      <c r="O4" s="208"/>
    </row>
    <row r="5" spans="2:15" ht="11.65" customHeight="1" x14ac:dyDescent="0.2">
      <c r="B5" s="92" t="s">
        <v>147</v>
      </c>
      <c r="C5" s="99" t="s">
        <v>148</v>
      </c>
      <c r="D5" s="93" t="s">
        <v>150</v>
      </c>
      <c r="E5" s="94"/>
      <c r="M5" s="209"/>
      <c r="N5" s="209"/>
    </row>
    <row r="6" spans="2:15" ht="11.65" customHeight="1" x14ac:dyDescent="0.2">
      <c r="B6" s="92" t="s">
        <v>149</v>
      </c>
      <c r="C6" s="95">
        <f>Carátula!$E$39</f>
        <v>9.1499999999999998E-2</v>
      </c>
      <c r="D6" s="94"/>
      <c r="E6" s="94"/>
      <c r="M6" s="210"/>
    </row>
    <row r="7" spans="2:15" ht="11.65" customHeight="1" x14ac:dyDescent="0.2">
      <c r="B7" s="92" t="s">
        <v>151</v>
      </c>
      <c r="C7" s="96">
        <f>Carátula!$F$44</f>
        <v>600000</v>
      </c>
      <c r="D7" s="97"/>
      <c r="E7" s="97"/>
      <c r="M7" s="210"/>
    </row>
    <row r="8" spans="2:15" ht="11.65" customHeight="1" x14ac:dyDescent="0.2">
      <c r="B8" s="92" t="s">
        <v>152</v>
      </c>
      <c r="C8" s="99" t="str">
        <f>Carátula!I35</f>
        <v>Mejora de Hipoteca</v>
      </c>
      <c r="D8" s="93"/>
      <c r="E8" s="97"/>
      <c r="M8" s="210"/>
    </row>
    <row r="9" spans="2:15" ht="11.65" customHeight="1" x14ac:dyDescent="0.2">
      <c r="B9" s="1"/>
      <c r="C9" s="98"/>
      <c r="D9" s="99"/>
      <c r="E9" s="97"/>
      <c r="M9" s="210"/>
    </row>
    <row r="10" spans="2:15" ht="11.65" customHeight="1" x14ac:dyDescent="0.2">
      <c r="B10" s="246" t="s">
        <v>153</v>
      </c>
      <c r="C10" s="247"/>
      <c r="D10" s="247"/>
      <c r="E10" s="248"/>
      <c r="M10" s="210"/>
    </row>
    <row r="11" spans="2:15" ht="11.65" customHeight="1" x14ac:dyDescent="0.2">
      <c r="B11" s="100" t="s">
        <v>72</v>
      </c>
      <c r="C11" s="101" t="s">
        <v>139</v>
      </c>
      <c r="D11" s="101" t="s">
        <v>154</v>
      </c>
      <c r="E11" s="102" t="s">
        <v>155</v>
      </c>
      <c r="M11" s="210"/>
    </row>
    <row r="12" spans="2:15" ht="11.65" customHeight="1" x14ac:dyDescent="0.2">
      <c r="B12" s="103">
        <v>1</v>
      </c>
      <c r="C12" s="104">
        <f>CAT!B7</f>
        <v>600000</v>
      </c>
      <c r="D12" s="105">
        <f>CAT!C7</f>
        <v>867.75904166261716</v>
      </c>
      <c r="E12" s="106">
        <f>IF(B12="","",C12-D12)</f>
        <v>599132.24095833744</v>
      </c>
      <c r="M12" s="210"/>
    </row>
    <row r="13" spans="2:15" ht="11.65" customHeight="1" x14ac:dyDescent="0.2">
      <c r="B13" s="107">
        <f>CAT!A8</f>
        <v>2</v>
      </c>
      <c r="C13" s="108">
        <f>CAT!B8</f>
        <v>599132.24095833744</v>
      </c>
      <c r="D13" s="108">
        <f>CAT!C8</f>
        <v>874.4639265245296</v>
      </c>
      <c r="E13" s="109">
        <f t="shared" ref="E13:E76" si="0">IF(B13="","",C13-D13)</f>
        <v>598257.77703181293</v>
      </c>
      <c r="M13" s="210"/>
    </row>
    <row r="14" spans="2:15" ht="11.65" customHeight="1" x14ac:dyDescent="0.2">
      <c r="B14" s="107">
        <f>CAT!A9</f>
        <v>3</v>
      </c>
      <c r="C14" s="108">
        <f>CAT!B9</f>
        <v>598257.77703181293</v>
      </c>
      <c r="D14" s="108">
        <f>CAT!C9</f>
        <v>881.22061779680917</v>
      </c>
      <c r="E14" s="109">
        <f t="shared" si="0"/>
        <v>597376.55641401617</v>
      </c>
      <c r="M14" s="210"/>
    </row>
    <row r="15" spans="2:15" ht="11.65" customHeight="1" x14ac:dyDescent="0.2">
      <c r="B15" s="107">
        <f>CAT!A10</f>
        <v>4</v>
      </c>
      <c r="C15" s="108">
        <f>CAT!B10</f>
        <v>597376.55641401617</v>
      </c>
      <c r="D15" s="108">
        <f>CAT!C10</f>
        <v>888.02951577031854</v>
      </c>
      <c r="E15" s="109">
        <f t="shared" si="0"/>
        <v>596488.52689824591</v>
      </c>
      <c r="M15" s="210"/>
    </row>
    <row r="16" spans="2:15" ht="11.65" customHeight="1" x14ac:dyDescent="0.2">
      <c r="B16" s="107">
        <f>CAT!A11</f>
        <v>5</v>
      </c>
      <c r="C16" s="108">
        <f>CAT!B11</f>
        <v>596488.52689824591</v>
      </c>
      <c r="D16" s="108">
        <f>CAT!C11</f>
        <v>894.89102382883721</v>
      </c>
      <c r="E16" s="109">
        <f t="shared" si="0"/>
        <v>595593.63587441703</v>
      </c>
      <c r="M16" s="210"/>
    </row>
    <row r="17" spans="2:15" ht="11.65" customHeight="1" x14ac:dyDescent="0.2">
      <c r="B17" s="107">
        <f>CAT!A12</f>
        <v>6</v>
      </c>
      <c r="C17" s="108">
        <f>CAT!B12</f>
        <v>595593.63587441703</v>
      </c>
      <c r="D17" s="108">
        <f>CAT!C12</f>
        <v>901.8055484729548</v>
      </c>
      <c r="E17" s="109">
        <f t="shared" si="0"/>
        <v>594691.83032594412</v>
      </c>
      <c r="M17" s="210"/>
    </row>
    <row r="18" spans="2:15" ht="11.65" customHeight="1" x14ac:dyDescent="0.2">
      <c r="B18" s="107">
        <f>CAT!A13</f>
        <v>7</v>
      </c>
      <c r="C18" s="108">
        <f>CAT!B13</f>
        <v>594691.83032594412</v>
      </c>
      <c r="D18" s="108">
        <f>CAT!C13</f>
        <v>908.77349934415543</v>
      </c>
      <c r="E18" s="109">
        <f t="shared" si="0"/>
        <v>593783.05682659999</v>
      </c>
      <c r="M18" s="210"/>
    </row>
    <row r="19" spans="2:15" ht="11.65" customHeight="1" x14ac:dyDescent="0.2">
      <c r="B19" s="107">
        <f>CAT!A14</f>
        <v>8</v>
      </c>
      <c r="C19" s="108">
        <f>CAT!B14</f>
        <v>593783.05682659999</v>
      </c>
      <c r="D19" s="108">
        <f>CAT!C14</f>
        <v>915.79528924908755</v>
      </c>
      <c r="E19" s="109">
        <f t="shared" si="0"/>
        <v>592867.26153735095</v>
      </c>
      <c r="M19" s="210"/>
    </row>
    <row r="20" spans="2:15" ht="11.65" customHeight="1" x14ac:dyDescent="0.2">
      <c r="B20" s="107">
        <f>CAT!A15</f>
        <v>9</v>
      </c>
      <c r="C20" s="108">
        <f>CAT!B15</f>
        <v>592867.26153735095</v>
      </c>
      <c r="D20" s="108">
        <f>CAT!C15</f>
        <v>922.87133418401845</v>
      </c>
      <c r="E20" s="109">
        <f t="shared" si="0"/>
        <v>591944.39020316699</v>
      </c>
      <c r="M20" s="210"/>
    </row>
    <row r="21" spans="2:15" ht="11.65" customHeight="1" x14ac:dyDescent="0.2">
      <c r="B21" s="107">
        <f>CAT!A16</f>
        <v>10</v>
      </c>
      <c r="C21" s="108">
        <f>CAT!B16</f>
        <v>591944.39020316699</v>
      </c>
      <c r="D21" s="108">
        <f>CAT!C16</f>
        <v>930.00205335947976</v>
      </c>
      <c r="E21" s="109">
        <f t="shared" si="0"/>
        <v>591014.38814980746</v>
      </c>
      <c r="M21" s="210"/>
    </row>
    <row r="22" spans="2:15" ht="11.65" customHeight="1" x14ac:dyDescent="0.2">
      <c r="B22" s="107">
        <f>CAT!A17</f>
        <v>11</v>
      </c>
      <c r="C22" s="108">
        <f>CAT!B17</f>
        <v>591014.38814980746</v>
      </c>
      <c r="D22" s="108">
        <f>CAT!C17</f>
        <v>937.18786922510481</v>
      </c>
      <c r="E22" s="109">
        <f t="shared" si="0"/>
        <v>590077.2002805823</v>
      </c>
      <c r="M22" s="210"/>
    </row>
    <row r="23" spans="2:15" ht="11.65" customHeight="1" x14ac:dyDescent="0.2">
      <c r="B23" s="110">
        <f>CAT!A18</f>
        <v>12</v>
      </c>
      <c r="C23" s="111">
        <f>CAT!B18</f>
        <v>590077.2002805823</v>
      </c>
      <c r="D23" s="111">
        <f>CAT!C18</f>
        <v>944.42920749465065</v>
      </c>
      <c r="E23" s="112">
        <f t="shared" si="0"/>
        <v>589132.7710730877</v>
      </c>
      <c r="M23" s="210"/>
    </row>
    <row r="24" spans="2:15" ht="11.65" customHeight="1" x14ac:dyDescent="0.2">
      <c r="B24" s="103">
        <f>CAT!A19</f>
        <v>13</v>
      </c>
      <c r="C24" s="104">
        <f>CAT!B19</f>
        <v>589132.7710730877</v>
      </c>
      <c r="D24" s="105">
        <f>CAT!C19</f>
        <v>951.72649717122567</v>
      </c>
      <c r="E24" s="106">
        <f t="shared" si="0"/>
        <v>588181.04457591649</v>
      </c>
      <c r="M24" s="210"/>
    </row>
    <row r="25" spans="2:15" ht="11.65" customHeight="1" x14ac:dyDescent="0.2">
      <c r="B25" s="107">
        <f>CAT!A20</f>
        <v>14</v>
      </c>
      <c r="C25" s="108">
        <f>CAT!B20</f>
        <v>588181.04457591649</v>
      </c>
      <c r="D25" s="108">
        <f>CAT!C20</f>
        <v>959.08017057270263</v>
      </c>
      <c r="E25" s="109">
        <f t="shared" si="0"/>
        <v>587221.96440534375</v>
      </c>
      <c r="M25" s="210"/>
    </row>
    <row r="26" spans="2:15" ht="11.65" customHeight="1" x14ac:dyDescent="0.2">
      <c r="B26" s="107">
        <f>CAT!A21</f>
        <v>15</v>
      </c>
      <c r="C26" s="108">
        <f>CAT!B21</f>
        <v>587221.96440534375</v>
      </c>
      <c r="D26" s="108">
        <f>CAT!C21</f>
        <v>966.49066335732732</v>
      </c>
      <c r="E26" s="109">
        <f t="shared" si="0"/>
        <v>586255.47374198644</v>
      </c>
      <c r="M26" s="210"/>
    </row>
    <row r="27" spans="2:15" ht="11.65" customHeight="1" x14ac:dyDescent="0.2">
      <c r="B27" s="107">
        <f>CAT!A22</f>
        <v>16</v>
      </c>
      <c r="C27" s="108">
        <f>CAT!B22</f>
        <v>586255.47374198644</v>
      </c>
      <c r="D27" s="108">
        <f>CAT!C22</f>
        <v>973.95841454953461</v>
      </c>
      <c r="E27" s="109">
        <f t="shared" si="0"/>
        <v>585281.51532743685</v>
      </c>
      <c r="M27" s="210"/>
    </row>
    <row r="28" spans="2:15" ht="11.65" customHeight="1" x14ac:dyDescent="0.2">
      <c r="B28" s="107">
        <f>CAT!A23</f>
        <v>17</v>
      </c>
      <c r="C28" s="108">
        <f>CAT!B23</f>
        <v>585281.51532743685</v>
      </c>
      <c r="D28" s="108">
        <f>CAT!C23</f>
        <v>981.48386656595449</v>
      </c>
      <c r="E28" s="109">
        <f t="shared" si="0"/>
        <v>584300.03146087087</v>
      </c>
      <c r="M28" s="210"/>
    </row>
    <row r="29" spans="2:15" ht="11.65" customHeight="1" x14ac:dyDescent="0.2">
      <c r="B29" s="107">
        <f>CAT!A24</f>
        <v>18</v>
      </c>
      <c r="C29" s="108">
        <f>CAT!B24</f>
        <v>584300.03146087087</v>
      </c>
      <c r="D29" s="108">
        <f>CAT!C24</f>
        <v>989.06746524162099</v>
      </c>
      <c r="E29" s="109">
        <f t="shared" si="0"/>
        <v>583310.96399562922</v>
      </c>
    </row>
    <row r="30" spans="2:15" ht="11.65" customHeight="1" x14ac:dyDescent="0.2">
      <c r="B30" s="107">
        <f>CAT!A25</f>
        <v>19</v>
      </c>
      <c r="C30" s="108">
        <f>CAT!B25</f>
        <v>583310.96399562922</v>
      </c>
      <c r="D30" s="108">
        <f>CAT!C25</f>
        <v>996.7096598563885</v>
      </c>
      <c r="E30" s="109">
        <f t="shared" si="0"/>
        <v>582314.25433577283</v>
      </c>
      <c r="M30" s="210"/>
      <c r="O30" s="208"/>
    </row>
    <row r="31" spans="2:15" ht="11.65" customHeight="1" x14ac:dyDescent="0.2">
      <c r="B31" s="107">
        <f>CAT!A26</f>
        <v>20</v>
      </c>
      <c r="C31" s="108">
        <f>CAT!B26</f>
        <v>582314.25433577283</v>
      </c>
      <c r="D31" s="108">
        <f>CAT!C26</f>
        <v>1004.4109031615453</v>
      </c>
      <c r="E31" s="109">
        <f t="shared" si="0"/>
        <v>581309.84343261132</v>
      </c>
      <c r="M31" s="209"/>
      <c r="N31" s="209"/>
    </row>
    <row r="32" spans="2:15" ht="11.65" customHeight="1" x14ac:dyDescent="0.2">
      <c r="B32" s="107">
        <f>CAT!A27</f>
        <v>21</v>
      </c>
      <c r="C32" s="108">
        <f>CAT!B27</f>
        <v>581309.84343261132</v>
      </c>
      <c r="D32" s="108">
        <f>CAT!C27</f>
        <v>1012.1716514066402</v>
      </c>
      <c r="E32" s="109">
        <f t="shared" si="0"/>
        <v>580297.67178120464</v>
      </c>
      <c r="M32" s="210"/>
    </row>
    <row r="33" spans="2:13" ht="11.65" customHeight="1" x14ac:dyDescent="0.2">
      <c r="B33" s="107">
        <f>CAT!A28</f>
        <v>22</v>
      </c>
      <c r="C33" s="108">
        <f>CAT!B28</f>
        <v>580297.67178120464</v>
      </c>
      <c r="D33" s="108">
        <f>CAT!C28</f>
        <v>1019.9923643665088</v>
      </c>
      <c r="E33" s="109">
        <f t="shared" si="0"/>
        <v>579277.6794168381</v>
      </c>
      <c r="M33" s="210"/>
    </row>
    <row r="34" spans="2:13" ht="11.65" customHeight="1" x14ac:dyDescent="0.2">
      <c r="B34" s="107">
        <f>CAT!A29</f>
        <v>23</v>
      </c>
      <c r="C34" s="108">
        <f>CAT!B29</f>
        <v>579277.6794168381</v>
      </c>
      <c r="D34" s="108">
        <f>CAT!C29</f>
        <v>1027.8735053685141</v>
      </c>
      <c r="E34" s="109">
        <f t="shared" si="0"/>
        <v>578249.80591146962</v>
      </c>
      <c r="M34" s="210"/>
    </row>
    <row r="35" spans="2:13" ht="11.65" customHeight="1" x14ac:dyDescent="0.2">
      <c r="B35" s="110">
        <f>CAT!A30</f>
        <v>24</v>
      </c>
      <c r="C35" s="111">
        <f>CAT!B30</f>
        <v>578249.80591146962</v>
      </c>
      <c r="D35" s="111">
        <f>CAT!C30</f>
        <v>1035.8155413199947</v>
      </c>
      <c r="E35" s="112">
        <f t="shared" si="0"/>
        <v>577213.99037014961</v>
      </c>
      <c r="M35" s="210"/>
    </row>
    <row r="36" spans="2:13" ht="11.65" customHeight="1" x14ac:dyDescent="0.2">
      <c r="B36" s="103">
        <f>CAT!A31</f>
        <v>25</v>
      </c>
      <c r="C36" s="104">
        <f>CAT!B31</f>
        <v>577213.99037014961</v>
      </c>
      <c r="D36" s="105">
        <f>CAT!C31</f>
        <v>1043.8189427359275</v>
      </c>
      <c r="E36" s="106">
        <f t="shared" si="0"/>
        <v>576170.1714274137</v>
      </c>
      <c r="M36" s="210"/>
    </row>
    <row r="37" spans="2:13" ht="11.65" customHeight="1" x14ac:dyDescent="0.2">
      <c r="B37" s="107">
        <f>CAT!A32</f>
        <v>26</v>
      </c>
      <c r="C37" s="108">
        <f>CAT!B32</f>
        <v>576170.1714274137</v>
      </c>
      <c r="D37" s="108">
        <f>CAT!C32</f>
        <v>1051.8841837668006</v>
      </c>
      <c r="E37" s="109">
        <f t="shared" si="0"/>
        <v>575118.28724364692</v>
      </c>
      <c r="M37" s="210"/>
    </row>
    <row r="38" spans="2:13" ht="11.65" customHeight="1" x14ac:dyDescent="0.2">
      <c r="B38" s="107">
        <f>CAT!A33</f>
        <v>27</v>
      </c>
      <c r="C38" s="108">
        <f>CAT!B33</f>
        <v>575118.28724364692</v>
      </c>
      <c r="D38" s="108">
        <f>CAT!C33</f>
        <v>1060.0117422267049</v>
      </c>
      <c r="E38" s="109">
        <f t="shared" si="0"/>
        <v>574058.27550142026</v>
      </c>
      <c r="M38" s="210"/>
    </row>
    <row r="39" spans="2:13" ht="11.65" customHeight="1" x14ac:dyDescent="0.2">
      <c r="B39" s="107">
        <f>CAT!A34</f>
        <v>28</v>
      </c>
      <c r="C39" s="108">
        <f>CAT!B34</f>
        <v>574058.27550142026</v>
      </c>
      <c r="D39" s="108">
        <f>CAT!C34</f>
        <v>1068.2020996216434</v>
      </c>
      <c r="E39" s="109">
        <f t="shared" si="0"/>
        <v>572990.07340179861</v>
      </c>
      <c r="M39" s="210"/>
    </row>
    <row r="40" spans="2:13" ht="11.65" customHeight="1" x14ac:dyDescent="0.2">
      <c r="B40" s="107">
        <f>CAT!A35</f>
        <v>29</v>
      </c>
      <c r="C40" s="108">
        <f>CAT!B35</f>
        <v>572990.07340179861</v>
      </c>
      <c r="D40" s="108">
        <f>CAT!C35</f>
        <v>1076.4557411780534</v>
      </c>
      <c r="E40" s="109">
        <f t="shared" si="0"/>
        <v>571913.6176606206</v>
      </c>
      <c r="M40" s="210"/>
    </row>
    <row r="41" spans="2:13" ht="11.65" customHeight="1" x14ac:dyDescent="0.2">
      <c r="B41" s="107">
        <f>CAT!A36</f>
        <v>30</v>
      </c>
      <c r="C41" s="108">
        <f>CAT!B36</f>
        <v>571913.6176606206</v>
      </c>
      <c r="D41" s="108">
        <f>CAT!C36</f>
        <v>1084.773155871555</v>
      </c>
      <c r="E41" s="109">
        <f t="shared" si="0"/>
        <v>570828.84450474905</v>
      </c>
      <c r="M41" s="210"/>
    </row>
    <row r="42" spans="2:13" ht="11.65" customHeight="1" x14ac:dyDescent="0.2">
      <c r="B42" s="107">
        <f>CAT!A37</f>
        <v>31</v>
      </c>
      <c r="C42" s="108">
        <f>CAT!B37</f>
        <v>570828.84450474905</v>
      </c>
      <c r="D42" s="108">
        <f>CAT!C37</f>
        <v>1093.1548364559221</v>
      </c>
      <c r="E42" s="109">
        <f t="shared" si="0"/>
        <v>569735.68966829311</v>
      </c>
      <c r="M42" s="210"/>
    </row>
    <row r="43" spans="2:13" ht="11.65" customHeight="1" x14ac:dyDescent="0.2">
      <c r="B43" s="107">
        <f>CAT!A38</f>
        <v>32</v>
      </c>
      <c r="C43" s="108">
        <f>CAT!B38</f>
        <v>569735.68966829311</v>
      </c>
      <c r="D43" s="108">
        <f>CAT!C38</f>
        <v>1101.6012794922717</v>
      </c>
      <c r="E43" s="109">
        <f t="shared" si="0"/>
        <v>568634.08838880085</v>
      </c>
      <c r="M43" s="210"/>
    </row>
    <row r="44" spans="2:13" ht="11.65" customHeight="1" x14ac:dyDescent="0.2">
      <c r="B44" s="107">
        <f>CAT!A39</f>
        <v>33</v>
      </c>
      <c r="C44" s="108">
        <f>CAT!B39</f>
        <v>568634.08838880085</v>
      </c>
      <c r="D44" s="108">
        <f>CAT!C39</f>
        <v>1110.1129853784823</v>
      </c>
      <c r="E44" s="109">
        <f t="shared" si="0"/>
        <v>567523.97540342237</v>
      </c>
      <c r="M44" s="210"/>
    </row>
    <row r="45" spans="2:13" ht="11.65" customHeight="1" x14ac:dyDescent="0.2">
      <c r="B45" s="107">
        <f>CAT!A40</f>
        <v>34</v>
      </c>
      <c r="C45" s="108">
        <f>CAT!B40</f>
        <v>567523.97540342237</v>
      </c>
      <c r="D45" s="108">
        <f>CAT!C40</f>
        <v>1118.69045837884</v>
      </c>
      <c r="E45" s="109">
        <f t="shared" si="0"/>
        <v>566405.2849450435</v>
      </c>
      <c r="M45" s="210"/>
    </row>
    <row r="46" spans="2:13" ht="11.65" customHeight="1" x14ac:dyDescent="0.2">
      <c r="B46" s="107">
        <f>CAT!A41</f>
        <v>35</v>
      </c>
      <c r="C46" s="108">
        <f>CAT!B41</f>
        <v>566405.2849450435</v>
      </c>
      <c r="D46" s="108">
        <f>CAT!C41</f>
        <v>1127.3342066539144</v>
      </c>
      <c r="E46" s="109">
        <f t="shared" si="0"/>
        <v>565277.95073838963</v>
      </c>
      <c r="M46" s="210"/>
    </row>
    <row r="47" spans="2:13" ht="11.65" customHeight="1" x14ac:dyDescent="0.2">
      <c r="B47" s="110">
        <f>CAT!A42</f>
        <v>36</v>
      </c>
      <c r="C47" s="111">
        <f>CAT!B42</f>
        <v>565277.95073838963</v>
      </c>
      <c r="D47" s="111">
        <f>CAT!C42</f>
        <v>1136.04474229066</v>
      </c>
      <c r="E47" s="112">
        <f t="shared" si="0"/>
        <v>564141.905996099</v>
      </c>
      <c r="M47" s="210"/>
    </row>
    <row r="48" spans="2:13" ht="11.65" customHeight="1" x14ac:dyDescent="0.2">
      <c r="B48" s="103">
        <f>CAT!A43</f>
        <v>37</v>
      </c>
      <c r="C48" s="104">
        <f>CAT!B43</f>
        <v>564141.905996099</v>
      </c>
      <c r="D48" s="105">
        <f>CAT!C43</f>
        <v>1144.822581332759</v>
      </c>
      <c r="E48" s="106">
        <f t="shared" si="0"/>
        <v>562997.08341476624</v>
      </c>
      <c r="M48" s="210"/>
    </row>
    <row r="49" spans="2:13" ht="11.65" customHeight="1" x14ac:dyDescent="0.2">
      <c r="B49" s="107">
        <f>CAT!A44</f>
        <v>38</v>
      </c>
      <c r="C49" s="108">
        <f>CAT!B44</f>
        <v>562997.08341476624</v>
      </c>
      <c r="D49" s="108">
        <f>CAT!C44</f>
        <v>1153.6682438111893</v>
      </c>
      <c r="E49" s="109">
        <f t="shared" si="0"/>
        <v>561843.41517095501</v>
      </c>
      <c r="M49" s="210"/>
    </row>
    <row r="50" spans="2:13" ht="11.65" customHeight="1" x14ac:dyDescent="0.2">
      <c r="B50" s="107">
        <f>CAT!A45</f>
        <v>39</v>
      </c>
      <c r="C50" s="108">
        <f>CAT!B45</f>
        <v>561843.41517095501</v>
      </c>
      <c r="D50" s="108">
        <f>CAT!C45</f>
        <v>1162.5822537750382</v>
      </c>
      <c r="E50" s="109">
        <f t="shared" si="0"/>
        <v>560680.83291717991</v>
      </c>
      <c r="M50" s="210"/>
    </row>
    <row r="51" spans="2:13" ht="11.65" customHeight="1" x14ac:dyDescent="0.2">
      <c r="B51" s="107">
        <f>CAT!A46</f>
        <v>40</v>
      </c>
      <c r="C51" s="108">
        <f>CAT!B46</f>
        <v>560680.83291717991</v>
      </c>
      <c r="D51" s="108">
        <f>CAT!C46</f>
        <v>1171.5651393225398</v>
      </c>
      <c r="E51" s="109">
        <f t="shared" si="0"/>
        <v>559509.26777785737</v>
      </c>
      <c r="M51" s="210"/>
    </row>
    <row r="52" spans="2:13" ht="11.65" customHeight="1" x14ac:dyDescent="0.2">
      <c r="B52" s="107">
        <f>CAT!A47</f>
        <v>41</v>
      </c>
      <c r="C52" s="108">
        <f>CAT!B47</f>
        <v>559509.26777785737</v>
      </c>
      <c r="D52" s="108">
        <f>CAT!C47</f>
        <v>1180.6174326323726</v>
      </c>
      <c r="E52" s="109">
        <f t="shared" si="0"/>
        <v>558328.650345225</v>
      </c>
      <c r="M52" s="210"/>
    </row>
    <row r="53" spans="2:13" ht="11.65" customHeight="1" x14ac:dyDescent="0.2">
      <c r="B53" s="107">
        <f>CAT!A48</f>
        <v>42</v>
      </c>
      <c r="C53" s="108">
        <f>CAT!B48</f>
        <v>558328.650345225</v>
      </c>
      <c r="D53" s="108">
        <f>CAT!C48</f>
        <v>1189.7396699951787</v>
      </c>
      <c r="E53" s="109">
        <f t="shared" si="0"/>
        <v>557138.91067522985</v>
      </c>
    </row>
    <row r="54" spans="2:13" ht="11.65" customHeight="1" x14ac:dyDescent="0.2">
      <c r="B54" s="107">
        <f>CAT!A49</f>
        <v>43</v>
      </c>
      <c r="C54" s="108">
        <f>CAT!B49</f>
        <v>557138.91067522985</v>
      </c>
      <c r="D54" s="108">
        <f>CAT!C49</f>
        <v>1198.932391845341</v>
      </c>
      <c r="E54" s="109">
        <f t="shared" si="0"/>
        <v>555939.97828338447</v>
      </c>
    </row>
    <row r="55" spans="2:13" ht="11.65" customHeight="1" x14ac:dyDescent="0.2">
      <c r="B55" s="107">
        <f>CAT!A50</f>
        <v>44</v>
      </c>
      <c r="C55" s="108">
        <f>CAT!B50</f>
        <v>555939.97828338447</v>
      </c>
      <c r="D55" s="108">
        <f>CAT!C50</f>
        <v>1208.1961427929991</v>
      </c>
      <c r="E55" s="109">
        <f t="shared" si="0"/>
        <v>554731.78214059141</v>
      </c>
    </row>
    <row r="56" spans="2:13" ht="11.65" customHeight="1" x14ac:dyDescent="0.2">
      <c r="B56" s="107">
        <f>CAT!A51</f>
        <v>45</v>
      </c>
      <c r="C56" s="108">
        <f>CAT!B51</f>
        <v>554731.78214059141</v>
      </c>
      <c r="D56" s="108">
        <f>CAT!C51</f>
        <v>1217.5314716563134</v>
      </c>
      <c r="E56" s="109">
        <f t="shared" si="0"/>
        <v>553514.25066893513</v>
      </c>
    </row>
    <row r="57" spans="2:13" ht="11.65" customHeight="1" x14ac:dyDescent="0.2">
      <c r="B57" s="107">
        <f>CAT!A52</f>
        <v>46</v>
      </c>
      <c r="C57" s="108">
        <f>CAT!B52</f>
        <v>553514.25066893513</v>
      </c>
      <c r="D57" s="108">
        <f>CAT!C52</f>
        <v>1226.9389314939781</v>
      </c>
      <c r="E57" s="109">
        <f t="shared" si="0"/>
        <v>552287.31173744111</v>
      </c>
    </row>
    <row r="58" spans="2:13" ht="11.65" customHeight="1" x14ac:dyDescent="0.2">
      <c r="B58" s="107">
        <f>CAT!A53</f>
        <v>47</v>
      </c>
      <c r="C58" s="108">
        <f>CAT!B53</f>
        <v>552287.31173744111</v>
      </c>
      <c r="D58" s="108">
        <f>CAT!C53</f>
        <v>1236.4190796379889</v>
      </c>
      <c r="E58" s="109">
        <f t="shared" si="0"/>
        <v>551050.89265780314</v>
      </c>
    </row>
    <row r="59" spans="2:13" ht="11.65" customHeight="1" x14ac:dyDescent="0.2">
      <c r="B59" s="110">
        <f>CAT!A54</f>
        <v>48</v>
      </c>
      <c r="C59" s="111">
        <f>CAT!B54</f>
        <v>551050.89265780314</v>
      </c>
      <c r="D59" s="111">
        <f>CAT!C54</f>
        <v>1245.9724777266583</v>
      </c>
      <c r="E59" s="112">
        <f t="shared" si="0"/>
        <v>549804.9201800765</v>
      </c>
    </row>
    <row r="60" spans="2:13" ht="11.65" customHeight="1" x14ac:dyDescent="0.2">
      <c r="B60" s="103">
        <f>CAT!A55</f>
        <v>49</v>
      </c>
      <c r="C60" s="104">
        <f>CAT!B55</f>
        <v>549804.9201800765</v>
      </c>
      <c r="D60" s="105">
        <f>CAT!C55</f>
        <v>1255.5996917378925</v>
      </c>
      <c r="E60" s="106">
        <f t="shared" si="0"/>
        <v>548549.32048833859</v>
      </c>
    </row>
    <row r="61" spans="2:13" ht="11.65" customHeight="1" x14ac:dyDescent="0.2">
      <c r="B61" s="107">
        <f>CAT!A56</f>
        <v>50</v>
      </c>
      <c r="C61" s="108">
        <f>CAT!B56</f>
        <v>548549.32048833859</v>
      </c>
      <c r="D61" s="108">
        <f>CAT!C56</f>
        <v>1265.3012920227211</v>
      </c>
      <c r="E61" s="109">
        <f t="shared" si="0"/>
        <v>547284.0191963159</v>
      </c>
    </row>
    <row r="62" spans="2:13" ht="11.65" customHeight="1" x14ac:dyDescent="0.2">
      <c r="B62" s="107">
        <f>CAT!A57</f>
        <v>51</v>
      </c>
      <c r="C62" s="108">
        <f>CAT!B57</f>
        <v>547284.0191963159</v>
      </c>
      <c r="D62" s="108">
        <f>CAT!C57</f>
        <v>1275.077853339083</v>
      </c>
      <c r="E62" s="109">
        <f t="shared" si="0"/>
        <v>546008.94134297688</v>
      </c>
    </row>
    <row r="63" spans="2:13" ht="11.65" customHeight="1" x14ac:dyDescent="0.2">
      <c r="B63" s="107">
        <f>CAT!A58</f>
        <v>52</v>
      </c>
      <c r="C63" s="108">
        <f>CAT!B58</f>
        <v>546008.94134297688</v>
      </c>
      <c r="D63" s="108">
        <f>CAT!C58</f>
        <v>1284.9299548858826</v>
      </c>
      <c r="E63" s="109">
        <f t="shared" si="0"/>
        <v>544724.01138809102</v>
      </c>
    </row>
    <row r="64" spans="2:13" ht="11.65" customHeight="1" x14ac:dyDescent="0.2">
      <c r="B64" s="107">
        <f>CAT!A59</f>
        <v>53</v>
      </c>
      <c r="C64" s="108">
        <f>CAT!B59</f>
        <v>544724.01138809102</v>
      </c>
      <c r="D64" s="108">
        <f>CAT!C59</f>
        <v>1294.8581803372999</v>
      </c>
      <c r="E64" s="109">
        <f t="shared" si="0"/>
        <v>543429.15320775367</v>
      </c>
    </row>
    <row r="65" spans="2:5" ht="11.65" customHeight="1" x14ac:dyDescent="0.2">
      <c r="B65" s="107">
        <f>CAT!A60</f>
        <v>54</v>
      </c>
      <c r="C65" s="108">
        <f>CAT!B60</f>
        <v>543429.15320775367</v>
      </c>
      <c r="D65" s="108">
        <f>CAT!C60</f>
        <v>1304.863117877374</v>
      </c>
      <c r="E65" s="109">
        <f t="shared" si="0"/>
        <v>542124.29008987627</v>
      </c>
    </row>
    <row r="66" spans="2:5" ht="11.65" customHeight="1" x14ac:dyDescent="0.2">
      <c r="B66" s="107">
        <f>CAT!A61</f>
        <v>55</v>
      </c>
      <c r="C66" s="108">
        <f>CAT!B61</f>
        <v>542124.29008987627</v>
      </c>
      <c r="D66" s="108">
        <f>CAT!C61</f>
        <v>1314.9453602348394</v>
      </c>
      <c r="E66" s="109">
        <f t="shared" si="0"/>
        <v>540809.34472964145</v>
      </c>
    </row>
    <row r="67" spans="2:5" ht="11.65" customHeight="1" x14ac:dyDescent="0.2">
      <c r="B67" s="107">
        <f>CAT!A62</f>
        <v>56</v>
      </c>
      <c r="C67" s="108">
        <f>CAT!B62</f>
        <v>540809.34472964145</v>
      </c>
      <c r="D67" s="108">
        <f>CAT!C62</f>
        <v>1325.1055047182535</v>
      </c>
      <c r="E67" s="109">
        <f t="shared" si="0"/>
        <v>539484.23922492319</v>
      </c>
    </row>
    <row r="68" spans="2:5" ht="11.65" customHeight="1" x14ac:dyDescent="0.2">
      <c r="B68" s="107">
        <f>CAT!A63</f>
        <v>57</v>
      </c>
      <c r="C68" s="108">
        <f>CAT!B63</f>
        <v>539484.23922492319</v>
      </c>
      <c r="D68" s="108">
        <f>CAT!C63</f>
        <v>1335.3441532513771</v>
      </c>
      <c r="E68" s="109">
        <f t="shared" si="0"/>
        <v>538148.89507167181</v>
      </c>
    </row>
    <row r="69" spans="2:5" ht="11.65" customHeight="1" x14ac:dyDescent="0.2">
      <c r="B69" s="107">
        <f>CAT!A64</f>
        <v>58</v>
      </c>
      <c r="C69" s="108">
        <f>CAT!B64</f>
        <v>538148.89507167181</v>
      </c>
      <c r="D69" s="108">
        <f>CAT!C64</f>
        <v>1345.6619124088329</v>
      </c>
      <c r="E69" s="109">
        <f t="shared" si="0"/>
        <v>536803.23315926292</v>
      </c>
    </row>
    <row r="70" spans="2:5" ht="11.65" customHeight="1" x14ac:dyDescent="0.2">
      <c r="B70" s="107">
        <f>CAT!A65</f>
        <v>59</v>
      </c>
      <c r="C70" s="108">
        <f>CAT!B65</f>
        <v>536803.23315926292</v>
      </c>
      <c r="D70" s="108">
        <f>CAT!C65</f>
        <v>1356.0593934520457</v>
      </c>
      <c r="E70" s="109">
        <f t="shared" si="0"/>
        <v>535447.17376581091</v>
      </c>
    </row>
    <row r="71" spans="2:5" ht="11.65" customHeight="1" x14ac:dyDescent="0.2">
      <c r="B71" s="110">
        <f>CAT!A66</f>
        <v>60</v>
      </c>
      <c r="C71" s="111">
        <f>CAT!B66</f>
        <v>535447.17376581091</v>
      </c>
      <c r="D71" s="111">
        <f>CAT!C66</f>
        <v>1366.5372123654515</v>
      </c>
      <c r="E71" s="112">
        <f t="shared" si="0"/>
        <v>534080.63655344548</v>
      </c>
    </row>
    <row r="72" spans="2:5" ht="11.65" customHeight="1" x14ac:dyDescent="0.2">
      <c r="B72" s="103">
        <f>CAT!A67</f>
        <v>61</v>
      </c>
      <c r="C72" s="104">
        <f>CAT!B67</f>
        <v>534080.63655344548</v>
      </c>
      <c r="D72" s="105">
        <f>CAT!C67</f>
        <v>1377.095989892995</v>
      </c>
      <c r="E72" s="106">
        <f t="shared" si="0"/>
        <v>532703.54056355252</v>
      </c>
    </row>
    <row r="73" spans="2:5" ht="11.65" customHeight="1" x14ac:dyDescent="0.2">
      <c r="B73" s="107">
        <f>CAT!A68</f>
        <v>62</v>
      </c>
      <c r="C73" s="108">
        <f>CAT!B68</f>
        <v>532703.54056355252</v>
      </c>
      <c r="D73" s="108">
        <f>CAT!C68</f>
        <v>1387.7363515749012</v>
      </c>
      <c r="E73" s="109">
        <f t="shared" si="0"/>
        <v>531315.80421197764</v>
      </c>
    </row>
    <row r="74" spans="2:5" ht="11.65" customHeight="1" x14ac:dyDescent="0.2">
      <c r="B74" s="107">
        <f>CAT!A69</f>
        <v>63</v>
      </c>
      <c r="C74" s="108">
        <f>CAT!B69</f>
        <v>531315.80421197764</v>
      </c>
      <c r="D74" s="108">
        <f>CAT!C69</f>
        <v>1398.4589277847363</v>
      </c>
      <c r="E74" s="109">
        <f t="shared" si="0"/>
        <v>529917.34528419294</v>
      </c>
    </row>
    <row r="75" spans="2:5" ht="11.65" customHeight="1" x14ac:dyDescent="0.2">
      <c r="B75" s="107">
        <f>CAT!A70</f>
        <v>64</v>
      </c>
      <c r="C75" s="108">
        <f>CAT!B70</f>
        <v>529917.34528419294</v>
      </c>
      <c r="D75" s="108">
        <f>CAT!C70</f>
        <v>1409.2643537667527</v>
      </c>
      <c r="E75" s="109">
        <f t="shared" si="0"/>
        <v>528508.08093042613</v>
      </c>
    </row>
    <row r="76" spans="2:5" ht="11.65" customHeight="1" x14ac:dyDescent="0.2">
      <c r="B76" s="107">
        <f>CAT!A71</f>
        <v>65</v>
      </c>
      <c r="C76" s="108">
        <f>CAT!B71</f>
        <v>528508.08093042613</v>
      </c>
      <c r="D76" s="108">
        <f>CAT!C71</f>
        <v>1420.1532696735244</v>
      </c>
      <c r="E76" s="109">
        <f t="shared" si="0"/>
        <v>527087.92766075255</v>
      </c>
    </row>
    <row r="77" spans="2:5" ht="11.65" customHeight="1" x14ac:dyDescent="0.2">
      <c r="B77" s="107">
        <f>CAT!A72</f>
        <v>66</v>
      </c>
      <c r="C77" s="108">
        <f>CAT!B72</f>
        <v>527087.92766075255</v>
      </c>
      <c r="D77" s="108">
        <f>CAT!C72</f>
        <v>1431.1263206038689</v>
      </c>
      <c r="E77" s="109">
        <f t="shared" ref="E77:E140" si="1">IF(B77="","",C77-D77)</f>
        <v>525656.80134014867</v>
      </c>
    </row>
    <row r="78" spans="2:5" ht="11.65" customHeight="1" x14ac:dyDescent="0.2">
      <c r="B78" s="107">
        <f>CAT!A73</f>
        <v>67</v>
      </c>
      <c r="C78" s="108">
        <f>CAT!B73</f>
        <v>525656.80134014867</v>
      </c>
      <c r="D78" s="108">
        <f>CAT!C73</f>
        <v>1442.1841566410681</v>
      </c>
      <c r="E78" s="109">
        <f t="shared" si="1"/>
        <v>524214.61718350759</v>
      </c>
    </row>
    <row r="79" spans="2:5" ht="11.65" customHeight="1" x14ac:dyDescent="0.2">
      <c r="B79" s="107">
        <f>CAT!A74</f>
        <v>68</v>
      </c>
      <c r="C79" s="108">
        <f>CAT!B74</f>
        <v>524214.61718350759</v>
      </c>
      <c r="D79" s="108">
        <f>CAT!C74</f>
        <v>1453.3274328913817</v>
      </c>
      <c r="E79" s="109">
        <f t="shared" si="1"/>
        <v>522761.28975061624</v>
      </c>
    </row>
    <row r="80" spans="2:5" ht="11.65" customHeight="1" x14ac:dyDescent="0.2">
      <c r="B80" s="107">
        <f>CAT!A75</f>
        <v>69</v>
      </c>
      <c r="C80" s="108">
        <f>CAT!B75</f>
        <v>522761.28975061624</v>
      </c>
      <c r="D80" s="108">
        <f>CAT!C75</f>
        <v>1464.5568095228555</v>
      </c>
      <c r="E80" s="109">
        <f t="shared" si="1"/>
        <v>521296.73294109339</v>
      </c>
    </row>
    <row r="81" spans="2:5" ht="11.65" customHeight="1" x14ac:dyDescent="0.2">
      <c r="B81" s="107">
        <f>CAT!A76</f>
        <v>70</v>
      </c>
      <c r="C81" s="108">
        <f>CAT!B76</f>
        <v>521296.73294109339</v>
      </c>
      <c r="D81" s="108">
        <f>CAT!C76</f>
        <v>1475.8729518044352</v>
      </c>
      <c r="E81" s="109">
        <f t="shared" si="1"/>
        <v>519820.85998928896</v>
      </c>
    </row>
    <row r="82" spans="2:5" ht="11.65" customHeight="1" x14ac:dyDescent="0.2">
      <c r="B82" s="107">
        <f>CAT!A77</f>
        <v>71</v>
      </c>
      <c r="C82" s="108">
        <f>CAT!B77</f>
        <v>519820.85998928896</v>
      </c>
      <c r="D82" s="108">
        <f>CAT!C77</f>
        <v>1487.2765301453774</v>
      </c>
      <c r="E82" s="109">
        <f t="shared" si="1"/>
        <v>518333.58345914359</v>
      </c>
    </row>
    <row r="83" spans="2:5" ht="11.65" customHeight="1" x14ac:dyDescent="0.2">
      <c r="B83" s="110">
        <f>CAT!A78</f>
        <v>72</v>
      </c>
      <c r="C83" s="111">
        <f>CAT!B78</f>
        <v>518333.58345914359</v>
      </c>
      <c r="D83" s="111">
        <f>CAT!C78</f>
        <v>1498.7682201349676</v>
      </c>
      <c r="E83" s="112">
        <f t="shared" si="1"/>
        <v>516834.81523900863</v>
      </c>
    </row>
    <row r="84" spans="2:5" ht="11.65" customHeight="1" x14ac:dyDescent="0.2">
      <c r="B84" s="103">
        <f>CAT!A79</f>
        <v>73</v>
      </c>
      <c r="C84" s="104">
        <f>CAT!B79</f>
        <v>516834.81523900863</v>
      </c>
      <c r="D84" s="105">
        <f>CAT!C79</f>
        <v>1510.3487025825434</v>
      </c>
      <c r="E84" s="106">
        <f t="shared" si="1"/>
        <v>515324.4665364261</v>
      </c>
    </row>
    <row r="85" spans="2:5" ht="11.65" customHeight="1" x14ac:dyDescent="0.2">
      <c r="B85" s="107">
        <f>CAT!A80</f>
        <v>74</v>
      </c>
      <c r="C85" s="108">
        <f>CAT!B80</f>
        <v>515324.4665364261</v>
      </c>
      <c r="D85" s="108">
        <f>CAT!C80</f>
        <v>1522.0186635578311</v>
      </c>
      <c r="E85" s="109">
        <f t="shared" si="1"/>
        <v>513802.44787286827</v>
      </c>
    </row>
    <row r="86" spans="2:5" ht="11.65" customHeight="1" x14ac:dyDescent="0.2">
      <c r="B86" s="107">
        <f>CAT!A81</f>
        <v>75</v>
      </c>
      <c r="C86" s="108">
        <f>CAT!B81</f>
        <v>513802.44787286827</v>
      </c>
      <c r="D86" s="108">
        <f>CAT!C81</f>
        <v>1533.7787944315878</v>
      </c>
      <c r="E86" s="109">
        <f t="shared" si="1"/>
        <v>512268.66907843668</v>
      </c>
    </row>
    <row r="87" spans="2:5" ht="11.65" customHeight="1" x14ac:dyDescent="0.2">
      <c r="B87" s="107">
        <f>CAT!A82</f>
        <v>76</v>
      </c>
      <c r="C87" s="108">
        <f>CAT!B82</f>
        <v>512268.66907843668</v>
      </c>
      <c r="D87" s="108">
        <f>CAT!C82</f>
        <v>1545.6297919165627</v>
      </c>
      <c r="E87" s="109">
        <f t="shared" si="1"/>
        <v>510723.0392865201</v>
      </c>
    </row>
    <row r="88" spans="2:5" ht="11.65" customHeight="1" x14ac:dyDescent="0.2">
      <c r="B88" s="107">
        <f>CAT!A83</f>
        <v>77</v>
      </c>
      <c r="C88" s="108">
        <f>CAT!B83</f>
        <v>510723.0392865201</v>
      </c>
      <c r="D88" s="108">
        <f>CAT!C83</f>
        <v>1557.5723581087714</v>
      </c>
      <c r="E88" s="109">
        <f t="shared" si="1"/>
        <v>509165.46692841133</v>
      </c>
    </row>
    <row r="89" spans="2:5" ht="11.65" customHeight="1" x14ac:dyDescent="0.2">
      <c r="B89" s="107">
        <f>CAT!A84</f>
        <v>78</v>
      </c>
      <c r="C89" s="108">
        <f>CAT!B84</f>
        <v>509165.46692841133</v>
      </c>
      <c r="D89" s="108">
        <f>CAT!C84</f>
        <v>1569.6072005290921</v>
      </c>
      <c r="E89" s="109">
        <f t="shared" si="1"/>
        <v>507595.85972788226</v>
      </c>
    </row>
    <row r="90" spans="2:5" ht="11.65" customHeight="1" x14ac:dyDescent="0.2">
      <c r="B90" s="107">
        <f>CAT!A85</f>
        <v>79</v>
      </c>
      <c r="C90" s="108">
        <f>CAT!B85</f>
        <v>507595.85972788226</v>
      </c>
      <c r="D90" s="108">
        <f>CAT!C85</f>
        <v>1581.7350321651797</v>
      </c>
      <c r="E90" s="109">
        <f t="shared" si="1"/>
        <v>506014.12469571707</v>
      </c>
    </row>
    <row r="91" spans="2:5" ht="11.65" customHeight="1" x14ac:dyDescent="0.2">
      <c r="B91" s="107">
        <f>CAT!A86</f>
        <v>80</v>
      </c>
      <c r="C91" s="108">
        <f>CAT!B86</f>
        <v>506014.12469571707</v>
      </c>
      <c r="D91" s="108">
        <f>CAT!C86</f>
        <v>1593.9565715137096</v>
      </c>
      <c r="E91" s="109">
        <f t="shared" si="1"/>
        <v>504420.16812420334</v>
      </c>
    </row>
    <row r="92" spans="2:5" ht="11.65" customHeight="1" x14ac:dyDescent="0.2">
      <c r="B92" s="107">
        <f>CAT!A87</f>
        <v>81</v>
      </c>
      <c r="C92" s="108">
        <f>CAT!B87</f>
        <v>504420.16812420334</v>
      </c>
      <c r="D92" s="108">
        <f>CAT!C87</f>
        <v>1606.272542622939</v>
      </c>
      <c r="E92" s="109">
        <f t="shared" si="1"/>
        <v>502813.89558158041</v>
      </c>
    </row>
    <row r="93" spans="2:5" ht="11.65" customHeight="1" x14ac:dyDescent="0.2">
      <c r="B93" s="107">
        <f>CAT!A88</f>
        <v>82</v>
      </c>
      <c r="C93" s="108">
        <f>CAT!B88</f>
        <v>502813.89558158041</v>
      </c>
      <c r="D93" s="108">
        <f>CAT!C88</f>
        <v>1618.6836751356054</v>
      </c>
      <c r="E93" s="109">
        <f t="shared" si="1"/>
        <v>501195.21190644481</v>
      </c>
    </row>
    <row r="94" spans="2:5" ht="11.65" customHeight="1" x14ac:dyDescent="0.2">
      <c r="B94" s="107">
        <f>CAT!A89</f>
        <v>83</v>
      </c>
      <c r="C94" s="108">
        <f>CAT!B89</f>
        <v>501195.21190644481</v>
      </c>
      <c r="D94" s="108">
        <f>CAT!C89</f>
        <v>1631.1907043321535</v>
      </c>
      <c r="E94" s="109">
        <f t="shared" si="1"/>
        <v>499564.02120211266</v>
      </c>
    </row>
    <row r="95" spans="2:5" ht="11.65" customHeight="1" x14ac:dyDescent="0.2">
      <c r="B95" s="110">
        <f>CAT!A90</f>
        <v>84</v>
      </c>
      <c r="C95" s="111">
        <f>CAT!B90</f>
        <v>499564.02120211266</v>
      </c>
      <c r="D95" s="111">
        <f>CAT!C90</f>
        <v>1643.7943711742928</v>
      </c>
      <c r="E95" s="112">
        <f t="shared" si="1"/>
        <v>497920.22683093837</v>
      </c>
    </row>
    <row r="96" spans="2:5" ht="11.65" customHeight="1" x14ac:dyDescent="0.2">
      <c r="B96" s="103">
        <f>CAT!A91</f>
        <v>85</v>
      </c>
      <c r="C96" s="104">
        <f>CAT!B91</f>
        <v>497920.22683093837</v>
      </c>
      <c r="D96" s="105">
        <f>CAT!C91</f>
        <v>1656.4954223488999</v>
      </c>
      <c r="E96" s="106">
        <f t="shared" si="1"/>
        <v>496263.73140858946</v>
      </c>
    </row>
    <row r="97" spans="2:5" ht="11.65" customHeight="1" x14ac:dyDescent="0.2">
      <c r="B97" s="107">
        <f>CAT!A92</f>
        <v>86</v>
      </c>
      <c r="C97" s="108">
        <f>CAT!B92</f>
        <v>496263.73140858946</v>
      </c>
      <c r="D97" s="108">
        <f>CAT!C92</f>
        <v>1669.294610312249</v>
      </c>
      <c r="E97" s="109">
        <f t="shared" si="1"/>
        <v>494594.43679827719</v>
      </c>
    </row>
    <row r="98" spans="2:5" ht="11.65" customHeight="1" x14ac:dyDescent="0.2">
      <c r="B98" s="107">
        <f>CAT!A93</f>
        <v>87</v>
      </c>
      <c r="C98" s="108">
        <f>CAT!B93</f>
        <v>494594.43679827719</v>
      </c>
      <c r="D98" s="108">
        <f>CAT!C93</f>
        <v>1682.1926933345949</v>
      </c>
      <c r="E98" s="109">
        <f t="shared" si="1"/>
        <v>492912.2441049426</v>
      </c>
    </row>
    <row r="99" spans="2:5" ht="11.65" customHeight="1" x14ac:dyDescent="0.2">
      <c r="B99" s="107">
        <f>CAT!A94</f>
        <v>88</v>
      </c>
      <c r="C99" s="108">
        <f>CAT!B94</f>
        <v>492912.2441049426</v>
      </c>
      <c r="D99" s="108">
        <f>CAT!C94</f>
        <v>1695.1904355450938</v>
      </c>
      <c r="E99" s="109">
        <f t="shared" si="1"/>
        <v>491217.05366939749</v>
      </c>
    </row>
    <row r="100" spans="2:5" ht="11.65" customHeight="1" x14ac:dyDescent="0.2">
      <c r="B100" s="107">
        <f>CAT!A95</f>
        <v>89</v>
      </c>
      <c r="C100" s="108">
        <f>CAT!B95</f>
        <v>491217.05366939749</v>
      </c>
      <c r="D100" s="108">
        <f>CAT!C95</f>
        <v>1708.288606977072</v>
      </c>
      <c r="E100" s="109">
        <f t="shared" si="1"/>
        <v>489508.7650624204</v>
      </c>
    </row>
    <row r="101" spans="2:5" ht="11.65" customHeight="1" x14ac:dyDescent="0.2">
      <c r="B101" s="107">
        <f>CAT!A96</f>
        <v>90</v>
      </c>
      <c r="C101" s="108">
        <f>CAT!B96</f>
        <v>489508.7650624204</v>
      </c>
      <c r="D101" s="108">
        <f>CAT!C96</f>
        <v>1721.4879836136483</v>
      </c>
      <c r="E101" s="109">
        <f t="shared" si="1"/>
        <v>487787.27707880677</v>
      </c>
    </row>
    <row r="102" spans="2:5" ht="11.65" customHeight="1" x14ac:dyDescent="0.2">
      <c r="B102" s="107">
        <f>CAT!A97</f>
        <v>91</v>
      </c>
      <c r="C102" s="108">
        <f>CAT!B97</f>
        <v>487787.27707880677</v>
      </c>
      <c r="D102" s="108">
        <f>CAT!C97</f>
        <v>1734.7893474337034</v>
      </c>
      <c r="E102" s="109">
        <f t="shared" si="1"/>
        <v>486052.48773137305</v>
      </c>
    </row>
    <row r="103" spans="2:5" ht="11.65" customHeight="1" x14ac:dyDescent="0.2">
      <c r="B103" s="107">
        <f>CAT!A98</f>
        <v>92</v>
      </c>
      <c r="C103" s="108">
        <f>CAT!B98</f>
        <v>486052.48773137305</v>
      </c>
      <c r="D103" s="108">
        <f>CAT!C98</f>
        <v>1748.1934864582076</v>
      </c>
      <c r="E103" s="109">
        <f t="shared" si="1"/>
        <v>484304.29424491484</v>
      </c>
    </row>
    <row r="104" spans="2:5" ht="11.65" customHeight="1" x14ac:dyDescent="0.2">
      <c r="B104" s="107">
        <f>CAT!A99</f>
        <v>93</v>
      </c>
      <c r="C104" s="108">
        <f>CAT!B99</f>
        <v>484304.29424491484</v>
      </c>
      <c r="D104" s="108">
        <f>CAT!C99</f>
        <v>1761.7011947969081</v>
      </c>
      <c r="E104" s="109">
        <f t="shared" si="1"/>
        <v>482542.59305011795</v>
      </c>
    </row>
    <row r="105" spans="2:5" ht="11.65" customHeight="1" x14ac:dyDescent="0.2">
      <c r="B105" s="107">
        <f>CAT!A100</f>
        <v>94</v>
      </c>
      <c r="C105" s="108">
        <f>CAT!B100</f>
        <v>482542.59305011795</v>
      </c>
      <c r="D105" s="108">
        <f>CAT!C100</f>
        <v>1775.3132726953722</v>
      </c>
      <c r="E105" s="109">
        <f t="shared" si="1"/>
        <v>480767.27977742261</v>
      </c>
    </row>
    <row r="106" spans="2:5" ht="11.65" customHeight="1" x14ac:dyDescent="0.2">
      <c r="B106" s="107">
        <f>CAT!A101</f>
        <v>95</v>
      </c>
      <c r="C106" s="108">
        <f>CAT!B101</f>
        <v>480767.27977742261</v>
      </c>
      <c r="D106" s="108">
        <f>CAT!C101</f>
        <v>1789.0305265823981</v>
      </c>
      <c r="E106" s="109">
        <f t="shared" si="1"/>
        <v>478978.24925084022</v>
      </c>
    </row>
    <row r="107" spans="2:5" ht="11.65" customHeight="1" x14ac:dyDescent="0.2">
      <c r="B107" s="110">
        <f>CAT!A102</f>
        <v>96</v>
      </c>
      <c r="C107" s="111">
        <f>CAT!B102</f>
        <v>478978.24925084022</v>
      </c>
      <c r="D107" s="111">
        <f>CAT!C102</f>
        <v>1802.8537691177912</v>
      </c>
      <c r="E107" s="112">
        <f t="shared" si="1"/>
        <v>477175.39548172243</v>
      </c>
    </row>
    <row r="108" spans="2:5" ht="11.65" customHeight="1" x14ac:dyDescent="0.2">
      <c r="B108" s="103">
        <f>CAT!A103</f>
        <v>97</v>
      </c>
      <c r="C108" s="104">
        <f>CAT!B103</f>
        <v>477175.39548172243</v>
      </c>
      <c r="D108" s="105">
        <f>CAT!C103</f>
        <v>1816.7838192405084</v>
      </c>
      <c r="E108" s="106">
        <f t="shared" si="1"/>
        <v>475358.61166248191</v>
      </c>
    </row>
    <row r="109" spans="2:5" ht="11.65" customHeight="1" x14ac:dyDescent="0.2">
      <c r="B109" s="107">
        <f>CAT!A104</f>
        <v>98</v>
      </c>
      <c r="C109" s="108">
        <f>CAT!B104</f>
        <v>475358.61166248191</v>
      </c>
      <c r="D109" s="108">
        <f>CAT!C104</f>
        <v>1830.821502217173</v>
      </c>
      <c r="E109" s="109">
        <f t="shared" si="1"/>
        <v>473527.79016026476</v>
      </c>
    </row>
    <row r="110" spans="2:5" ht="11.65" customHeight="1" x14ac:dyDescent="0.2">
      <c r="B110" s="107">
        <f>CAT!A105</f>
        <v>99</v>
      </c>
      <c r="C110" s="108">
        <f>CAT!B105</f>
        <v>473527.79016026476</v>
      </c>
      <c r="D110" s="108">
        <f>CAT!C105</f>
        <v>1844.967649690971</v>
      </c>
      <c r="E110" s="109">
        <f t="shared" si="1"/>
        <v>471682.82251057378</v>
      </c>
    </row>
    <row r="111" spans="2:5" ht="11.65" customHeight="1" x14ac:dyDescent="0.2">
      <c r="B111" s="107">
        <f>CAT!A106</f>
        <v>100</v>
      </c>
      <c r="C111" s="108">
        <f>CAT!B106</f>
        <v>471682.82251057378</v>
      </c>
      <c r="D111" s="108">
        <f>CAT!C106</f>
        <v>1859.2230997309166</v>
      </c>
      <c r="E111" s="109">
        <f t="shared" si="1"/>
        <v>469823.59941084287</v>
      </c>
    </row>
    <row r="112" spans="2:5" ht="11.65" customHeight="1" x14ac:dyDescent="0.2">
      <c r="B112" s="107">
        <f>CAT!A107</f>
        <v>101</v>
      </c>
      <c r="C112" s="108">
        <f>CAT!B107</f>
        <v>469823.59941084287</v>
      </c>
      <c r="D112" s="108">
        <f>CAT!C107</f>
        <v>1873.5886968815043</v>
      </c>
      <c r="E112" s="109">
        <f t="shared" si="1"/>
        <v>467950.01071396138</v>
      </c>
    </row>
    <row r="113" spans="2:5" ht="11.65" customHeight="1" x14ac:dyDescent="0.2">
      <c r="B113" s="107">
        <f>CAT!A108</f>
        <v>102</v>
      </c>
      <c r="C113" s="108">
        <f>CAT!B108</f>
        <v>467950.01071396138</v>
      </c>
      <c r="D113" s="108">
        <f>CAT!C108</f>
        <v>1888.065292212742</v>
      </c>
      <c r="E113" s="109">
        <f t="shared" si="1"/>
        <v>466061.94542174862</v>
      </c>
    </row>
    <row r="114" spans="2:5" ht="11.65" customHeight="1" x14ac:dyDescent="0.2">
      <c r="B114" s="107">
        <f>CAT!A109</f>
        <v>103</v>
      </c>
      <c r="C114" s="108">
        <f>CAT!B109</f>
        <v>466061.94542174862</v>
      </c>
      <c r="D114" s="108">
        <f>CAT!C109</f>
        <v>1902.6537433705726</v>
      </c>
      <c r="E114" s="109">
        <f t="shared" si="1"/>
        <v>464159.29167837807</v>
      </c>
    </row>
    <row r="115" spans="2:5" ht="11.65" customHeight="1" x14ac:dyDescent="0.2">
      <c r="B115" s="107">
        <f>CAT!A110</f>
        <v>104</v>
      </c>
      <c r="C115" s="108">
        <f>CAT!B110</f>
        <v>464159.29167837807</v>
      </c>
      <c r="D115" s="108">
        <f>CAT!C110</f>
        <v>1917.3549146276823</v>
      </c>
      <c r="E115" s="109">
        <f t="shared" si="1"/>
        <v>462241.93676375039</v>
      </c>
    </row>
    <row r="116" spans="2:5" ht="11.65" customHeight="1" x14ac:dyDescent="0.2">
      <c r="B116" s="107">
        <f>CAT!A111</f>
        <v>105</v>
      </c>
      <c r="C116" s="108">
        <f>CAT!B111</f>
        <v>462241.93676375039</v>
      </c>
      <c r="D116" s="108">
        <f>CAT!C111</f>
        <v>1932.1696769347054</v>
      </c>
      <c r="E116" s="109">
        <f t="shared" si="1"/>
        <v>460309.76708681567</v>
      </c>
    </row>
    <row r="117" spans="2:5" ht="11.65" customHeight="1" x14ac:dyDescent="0.2">
      <c r="B117" s="107">
        <f>CAT!A112</f>
        <v>106</v>
      </c>
      <c r="C117" s="108">
        <f>CAT!B112</f>
        <v>460309.76708681567</v>
      </c>
      <c r="D117" s="108">
        <f>CAT!C112</f>
        <v>1947.0989079718211</v>
      </c>
      <c r="E117" s="109">
        <f t="shared" si="1"/>
        <v>458362.66817884386</v>
      </c>
    </row>
    <row r="118" spans="2:5" ht="11.65" customHeight="1" x14ac:dyDescent="0.2">
      <c r="B118" s="107">
        <f>CAT!A113</f>
        <v>107</v>
      </c>
      <c r="C118" s="108">
        <f>CAT!B113</f>
        <v>458362.66817884386</v>
      </c>
      <c r="D118" s="108">
        <f>CAT!C113</f>
        <v>1962.1434922007497</v>
      </c>
      <c r="E118" s="109">
        <f t="shared" si="1"/>
        <v>456400.5246866431</v>
      </c>
    </row>
    <row r="119" spans="2:5" ht="11.65" customHeight="1" x14ac:dyDescent="0.2">
      <c r="B119" s="110">
        <f>CAT!A114</f>
        <v>108</v>
      </c>
      <c r="C119" s="111">
        <f>CAT!B114</f>
        <v>456400.5246866431</v>
      </c>
      <c r="D119" s="111">
        <f>CAT!C114</f>
        <v>1977.3043209171547</v>
      </c>
      <c r="E119" s="112">
        <f t="shared" si="1"/>
        <v>454423.22036572592</v>
      </c>
    </row>
    <row r="120" spans="2:5" ht="11.65" customHeight="1" x14ac:dyDescent="0.2">
      <c r="B120" s="103">
        <f>CAT!A115</f>
        <v>109</v>
      </c>
      <c r="C120" s="104">
        <f>CAT!B115</f>
        <v>454423.22036572592</v>
      </c>
      <c r="D120" s="105">
        <f>CAT!C115</f>
        <v>1992.5822923034411</v>
      </c>
      <c r="E120" s="106">
        <f t="shared" si="1"/>
        <v>452430.63807342248</v>
      </c>
    </row>
    <row r="121" spans="2:5" ht="11.65" customHeight="1" x14ac:dyDescent="0.2">
      <c r="B121" s="107">
        <f>CAT!A116</f>
        <v>110</v>
      </c>
      <c r="C121" s="108">
        <f>CAT!B116</f>
        <v>452430.63807342248</v>
      </c>
      <c r="D121" s="108">
        <f>CAT!C116</f>
        <v>2007.9783114819725</v>
      </c>
      <c r="E121" s="109">
        <f t="shared" si="1"/>
        <v>450422.65976194054</v>
      </c>
    </row>
    <row r="122" spans="2:5" ht="11.65" customHeight="1" x14ac:dyDescent="0.2">
      <c r="B122" s="107">
        <f>CAT!A117</f>
        <v>111</v>
      </c>
      <c r="C122" s="108">
        <f>CAT!B117</f>
        <v>450422.65976194054</v>
      </c>
      <c r="D122" s="108">
        <f>CAT!C117</f>
        <v>2023.4932905686896</v>
      </c>
      <c r="E122" s="109">
        <f t="shared" si="1"/>
        <v>448399.16647137183</v>
      </c>
    </row>
    <row r="123" spans="2:5" ht="11.65" customHeight="1" x14ac:dyDescent="0.2">
      <c r="B123" s="107">
        <f>CAT!A118</f>
        <v>112</v>
      </c>
      <c r="C123" s="108">
        <f>CAT!B118</f>
        <v>448399.16647137183</v>
      </c>
      <c r="D123" s="108">
        <f>CAT!C118</f>
        <v>2039.1281487271503</v>
      </c>
      <c r="E123" s="109">
        <f t="shared" si="1"/>
        <v>446360.03832264466</v>
      </c>
    </row>
    <row r="124" spans="2:5" ht="11.65" customHeight="1" x14ac:dyDescent="0.2">
      <c r="B124" s="107">
        <f>CAT!A119</f>
        <v>113</v>
      </c>
      <c r="C124" s="108">
        <f>CAT!B119</f>
        <v>446360.03832264466</v>
      </c>
      <c r="D124" s="108">
        <f>CAT!C119</f>
        <v>2054.8838122229822</v>
      </c>
      <c r="E124" s="109">
        <f t="shared" si="1"/>
        <v>444305.15451042168</v>
      </c>
    </row>
    <row r="125" spans="2:5" ht="11.65" customHeight="1" x14ac:dyDescent="0.2">
      <c r="B125" s="107">
        <f>CAT!A120</f>
        <v>114</v>
      </c>
      <c r="C125" s="108">
        <f>CAT!B120</f>
        <v>444305.15451042168</v>
      </c>
      <c r="D125" s="108">
        <f>CAT!C120</f>
        <v>2070.7612144787586</v>
      </c>
      <c r="E125" s="109">
        <f t="shared" si="1"/>
        <v>442234.39329594292</v>
      </c>
    </row>
    <row r="126" spans="2:5" ht="11.65" customHeight="1" x14ac:dyDescent="0.2">
      <c r="B126" s="107">
        <f>CAT!A121</f>
        <v>115</v>
      </c>
      <c r="C126" s="108">
        <f>CAT!B121</f>
        <v>442234.39329594292</v>
      </c>
      <c r="D126" s="108">
        <f>CAT!C121</f>
        <v>2086.761296129298</v>
      </c>
      <c r="E126" s="109">
        <f t="shared" si="1"/>
        <v>440147.6319998136</v>
      </c>
    </row>
    <row r="127" spans="2:5" ht="11.65" customHeight="1" x14ac:dyDescent="0.2">
      <c r="B127" s="107">
        <f>CAT!A122</f>
        <v>116</v>
      </c>
      <c r="C127" s="108">
        <f>CAT!B122</f>
        <v>440147.6319998136</v>
      </c>
      <c r="D127" s="108">
        <f>CAT!C122</f>
        <v>2102.8850050773904</v>
      </c>
      <c r="E127" s="109">
        <f t="shared" si="1"/>
        <v>438044.7469947362</v>
      </c>
    </row>
    <row r="128" spans="2:5" ht="11.65" customHeight="1" x14ac:dyDescent="0.2">
      <c r="B128" s="107">
        <f>CAT!A123</f>
        <v>117</v>
      </c>
      <c r="C128" s="108">
        <f>CAT!B123</f>
        <v>438044.7469947362</v>
      </c>
      <c r="D128" s="108">
        <f>CAT!C123</f>
        <v>2119.133296549955</v>
      </c>
      <c r="E128" s="109">
        <f t="shared" si="1"/>
        <v>435925.61369818624</v>
      </c>
    </row>
    <row r="129" spans="2:5" ht="11.65" customHeight="1" x14ac:dyDescent="0.2">
      <c r="B129" s="107">
        <f>CAT!A124</f>
        <v>118</v>
      </c>
      <c r="C129" s="108">
        <f>CAT!B124</f>
        <v>435925.61369818624</v>
      </c>
      <c r="D129" s="108">
        <f>CAT!C124</f>
        <v>2135.507133154631</v>
      </c>
      <c r="E129" s="109">
        <f t="shared" si="1"/>
        <v>433790.10656503163</v>
      </c>
    </row>
    <row r="130" spans="2:5" ht="11.65" customHeight="1" x14ac:dyDescent="0.2">
      <c r="B130" s="107">
        <f>CAT!A125</f>
        <v>119</v>
      </c>
      <c r="C130" s="108">
        <f>CAT!B125</f>
        <v>433790.10656503163</v>
      </c>
      <c r="D130" s="108">
        <f>CAT!C125</f>
        <v>2152.0074849368057</v>
      </c>
      <c r="E130" s="109">
        <f t="shared" si="1"/>
        <v>431638.09908009483</v>
      </c>
    </row>
    <row r="131" spans="2:5" ht="11.65" customHeight="1" x14ac:dyDescent="0.2">
      <c r="B131" s="110">
        <f>CAT!A126</f>
        <v>120</v>
      </c>
      <c r="C131" s="111">
        <f>CAT!B126</f>
        <v>431638.09908009483</v>
      </c>
      <c r="D131" s="111">
        <f>CAT!C126</f>
        <v>2168.6353294370838</v>
      </c>
      <c r="E131" s="112">
        <f t="shared" si="1"/>
        <v>429469.46375065774</v>
      </c>
    </row>
    <row r="132" spans="2:5" ht="11.65" customHeight="1" x14ac:dyDescent="0.2">
      <c r="B132" s="103">
        <f>CAT!A127</f>
        <v>121</v>
      </c>
      <c r="C132" s="104">
        <f>CAT!B127</f>
        <v>429469.46375065774</v>
      </c>
      <c r="D132" s="105">
        <f>CAT!C127</f>
        <v>2185.3916517492012</v>
      </c>
      <c r="E132" s="106">
        <f t="shared" si="1"/>
        <v>427284.07209890854</v>
      </c>
    </row>
    <row r="133" spans="2:5" ht="11.65" customHeight="1" x14ac:dyDescent="0.2">
      <c r="B133" s="107">
        <f>CAT!A128</f>
        <v>122</v>
      </c>
      <c r="C133" s="108">
        <f>CAT!B128</f>
        <v>427284.07209890854</v>
      </c>
      <c r="D133" s="108">
        <f>CAT!C128</f>
        <v>2202.2774445783834</v>
      </c>
      <c r="E133" s="109">
        <f t="shared" si="1"/>
        <v>425081.79465433018</v>
      </c>
    </row>
    <row r="134" spans="2:5" ht="11.65" customHeight="1" x14ac:dyDescent="0.2">
      <c r="B134" s="107">
        <f>CAT!A129</f>
        <v>123</v>
      </c>
      <c r="C134" s="108">
        <f>CAT!B129</f>
        <v>425081.79465433018</v>
      </c>
      <c r="D134" s="108">
        <f>CAT!C129</f>
        <v>2219.2937083001589</v>
      </c>
      <c r="E134" s="109">
        <f t="shared" si="1"/>
        <v>422862.50094603002</v>
      </c>
    </row>
    <row r="135" spans="2:5" ht="11.65" customHeight="1" x14ac:dyDescent="0.2">
      <c r="B135" s="107">
        <f>CAT!A130</f>
        <v>124</v>
      </c>
      <c r="C135" s="108">
        <f>CAT!B130</f>
        <v>422862.50094603002</v>
      </c>
      <c r="D135" s="108">
        <f>CAT!C130</f>
        <v>2236.4414510196248</v>
      </c>
      <c r="E135" s="109">
        <f t="shared" si="1"/>
        <v>420626.05949501041</v>
      </c>
    </row>
    <row r="136" spans="2:5" ht="11.65" customHeight="1" x14ac:dyDescent="0.2">
      <c r="B136" s="107">
        <f>CAT!A131</f>
        <v>125</v>
      </c>
      <c r="C136" s="108">
        <f>CAT!B131</f>
        <v>420626.05949501041</v>
      </c>
      <c r="D136" s="108">
        <f>CAT!C131</f>
        <v>2253.7216886311694</v>
      </c>
      <c r="E136" s="109">
        <f t="shared" si="1"/>
        <v>418372.33780637925</v>
      </c>
    </row>
    <row r="137" spans="2:5" ht="11.65" customHeight="1" x14ac:dyDescent="0.2">
      <c r="B137" s="107">
        <f>CAT!A132</f>
        <v>126</v>
      </c>
      <c r="C137" s="108">
        <f>CAT!B132</f>
        <v>418372.33780637925</v>
      </c>
      <c r="D137" s="108">
        <f>CAT!C132</f>
        <v>2271.1354448786597</v>
      </c>
      <c r="E137" s="109">
        <f t="shared" si="1"/>
        <v>416101.20236150059</v>
      </c>
    </row>
    <row r="138" spans="2:5" ht="11.65" customHeight="1" x14ac:dyDescent="0.2">
      <c r="B138" s="107">
        <f>CAT!A133</f>
        <v>127</v>
      </c>
      <c r="C138" s="108">
        <f>CAT!B133</f>
        <v>416101.20236150059</v>
      </c>
      <c r="D138" s="108">
        <f>CAT!C133</f>
        <v>2288.6837514160889</v>
      </c>
      <c r="E138" s="109">
        <f t="shared" si="1"/>
        <v>413812.51861008449</v>
      </c>
    </row>
    <row r="139" spans="2:5" ht="11.65" customHeight="1" x14ac:dyDescent="0.2">
      <c r="B139" s="107">
        <f>CAT!A134</f>
        <v>128</v>
      </c>
      <c r="C139" s="108">
        <f>CAT!B134</f>
        <v>413812.51861008449</v>
      </c>
      <c r="D139" s="108">
        <f>CAT!C134</f>
        <v>2306.3676478686971</v>
      </c>
      <c r="E139" s="109">
        <f t="shared" si="1"/>
        <v>411506.15096221579</v>
      </c>
    </row>
    <row r="140" spans="2:5" ht="11.65" customHeight="1" x14ac:dyDescent="0.2">
      <c r="B140" s="107">
        <f>CAT!A135</f>
        <v>129</v>
      </c>
      <c r="C140" s="108">
        <f>CAT!B135</f>
        <v>411506.15096221579</v>
      </c>
      <c r="D140" s="108">
        <f>CAT!C135</f>
        <v>2324.1881818945626</v>
      </c>
      <c r="E140" s="109">
        <f t="shared" si="1"/>
        <v>409181.96278032125</v>
      </c>
    </row>
    <row r="141" spans="2:5" ht="11.65" customHeight="1" x14ac:dyDescent="0.2">
      <c r="B141" s="107">
        <f>CAT!A136</f>
        <v>130</v>
      </c>
      <c r="C141" s="108">
        <f>CAT!B136</f>
        <v>409181.96278032125</v>
      </c>
      <c r="D141" s="108">
        <f>CAT!C136</f>
        <v>2342.1464092466676</v>
      </c>
      <c r="E141" s="109">
        <f t="shared" ref="E141:E204" si="2">IF(B141="","",C141-D141)</f>
        <v>406839.81637107459</v>
      </c>
    </row>
    <row r="142" spans="2:5" ht="11.65" customHeight="1" x14ac:dyDescent="0.2">
      <c r="B142" s="107">
        <f>CAT!A137</f>
        <v>131</v>
      </c>
      <c r="C142" s="108">
        <f>CAT!B137</f>
        <v>406839.81637107459</v>
      </c>
      <c r="D142" s="108">
        <f>CAT!C137</f>
        <v>2360.243393835447</v>
      </c>
      <c r="E142" s="109">
        <f t="shared" si="2"/>
        <v>404479.57297723915</v>
      </c>
    </row>
    <row r="143" spans="2:5" ht="11.65" customHeight="1" x14ac:dyDescent="0.2">
      <c r="B143" s="110">
        <f>CAT!A138</f>
        <v>132</v>
      </c>
      <c r="C143" s="111">
        <f>CAT!B138</f>
        <v>404479.57297723915</v>
      </c>
      <c r="D143" s="111">
        <f>CAT!C138</f>
        <v>2378.4802077918157</v>
      </c>
      <c r="E143" s="112">
        <f t="shared" si="2"/>
        <v>402101.09276944731</v>
      </c>
    </row>
    <row r="144" spans="2:5" ht="11.65" customHeight="1" x14ac:dyDescent="0.2">
      <c r="B144" s="103">
        <f>CAT!A139</f>
        <v>133</v>
      </c>
      <c r="C144" s="104">
        <f>CAT!B139</f>
        <v>402101.09276944731</v>
      </c>
      <c r="D144" s="105">
        <f>CAT!C139</f>
        <v>2396.857931530687</v>
      </c>
      <c r="E144" s="106">
        <f t="shared" si="2"/>
        <v>399704.23483791662</v>
      </c>
    </row>
    <row r="145" spans="2:5" ht="11.65" customHeight="1" x14ac:dyDescent="0.2">
      <c r="B145" s="107">
        <f>CAT!A140</f>
        <v>134</v>
      </c>
      <c r="C145" s="108">
        <f>CAT!B140</f>
        <v>399704.23483791662</v>
      </c>
      <c r="D145" s="108">
        <f>CAT!C140</f>
        <v>2415.3776538149809</v>
      </c>
      <c r="E145" s="109">
        <f t="shared" si="2"/>
        <v>397288.85718410165</v>
      </c>
    </row>
    <row r="146" spans="2:5" ht="11.65" customHeight="1" x14ac:dyDescent="0.2">
      <c r="B146" s="107">
        <f>CAT!A141</f>
        <v>135</v>
      </c>
      <c r="C146" s="108">
        <f>CAT!B141</f>
        <v>397288.85718410165</v>
      </c>
      <c r="D146" s="108">
        <f>CAT!C141</f>
        <v>2434.0404718201248</v>
      </c>
      <c r="E146" s="109">
        <f t="shared" si="2"/>
        <v>394854.81671228155</v>
      </c>
    </row>
    <row r="147" spans="2:5" ht="11.65" customHeight="1" x14ac:dyDescent="0.2">
      <c r="B147" s="107">
        <f>CAT!A142</f>
        <v>136</v>
      </c>
      <c r="C147" s="108">
        <f>CAT!B142</f>
        <v>394854.81671228155</v>
      </c>
      <c r="D147" s="108">
        <f>CAT!C142</f>
        <v>2452.8474911990547</v>
      </c>
      <c r="E147" s="109">
        <f t="shared" si="2"/>
        <v>392401.96922108252</v>
      </c>
    </row>
    <row r="148" spans="2:5" ht="11.65" customHeight="1" x14ac:dyDescent="0.2">
      <c r="B148" s="107">
        <f>CAT!A143</f>
        <v>137</v>
      </c>
      <c r="C148" s="108">
        <f>CAT!B143</f>
        <v>392401.96922108252</v>
      </c>
      <c r="D148" s="108">
        <f>CAT!C143</f>
        <v>2471.7998261477192</v>
      </c>
      <c r="E148" s="109">
        <f t="shared" si="2"/>
        <v>389930.16939493478</v>
      </c>
    </row>
    <row r="149" spans="2:5" ht="11.65" customHeight="1" x14ac:dyDescent="0.2">
      <c r="B149" s="107">
        <f>CAT!A144</f>
        <v>138</v>
      </c>
      <c r="C149" s="108">
        <f>CAT!B144</f>
        <v>389930.16939493478</v>
      </c>
      <c r="D149" s="108">
        <f>CAT!C144</f>
        <v>2490.8985994710874</v>
      </c>
      <c r="E149" s="109">
        <f t="shared" si="2"/>
        <v>387439.2707954637</v>
      </c>
    </row>
    <row r="150" spans="2:5" ht="11.65" customHeight="1" x14ac:dyDescent="0.2">
      <c r="B150" s="107">
        <f>CAT!A145</f>
        <v>139</v>
      </c>
      <c r="C150" s="108">
        <f>CAT!B145</f>
        <v>387439.2707954637</v>
      </c>
      <c r="D150" s="108">
        <f>CAT!C145</f>
        <v>2510.144942649667</v>
      </c>
      <c r="E150" s="109">
        <f t="shared" si="2"/>
        <v>384929.12585281406</v>
      </c>
    </row>
    <row r="151" spans="2:5" ht="11.65" customHeight="1" x14ac:dyDescent="0.2">
      <c r="B151" s="107">
        <f>CAT!A146</f>
        <v>140</v>
      </c>
      <c r="C151" s="108">
        <f>CAT!B146</f>
        <v>384929.12585281406</v>
      </c>
      <c r="D151" s="108">
        <f>CAT!C146</f>
        <v>2529.5399959065398</v>
      </c>
      <c r="E151" s="109">
        <f t="shared" si="2"/>
        <v>382399.58585690754</v>
      </c>
    </row>
    <row r="152" spans="2:5" ht="11.65" customHeight="1" x14ac:dyDescent="0.2">
      <c r="B152" s="107">
        <f>CAT!A147</f>
        <v>141</v>
      </c>
      <c r="C152" s="108">
        <f>CAT!B147</f>
        <v>382399.58585690754</v>
      </c>
      <c r="D152" s="108">
        <f>CAT!C147</f>
        <v>2549.084908274911</v>
      </c>
      <c r="E152" s="109">
        <f t="shared" si="2"/>
        <v>379850.5009486326</v>
      </c>
    </row>
    <row r="153" spans="2:5" ht="11.65" customHeight="1" x14ac:dyDescent="0.2">
      <c r="B153" s="107">
        <f>CAT!A148</f>
        <v>142</v>
      </c>
      <c r="C153" s="108">
        <f>CAT!B148</f>
        <v>379850.5009486326</v>
      </c>
      <c r="D153" s="108">
        <f>CAT!C148</f>
        <v>2568.7808376661819</v>
      </c>
      <c r="E153" s="109">
        <f t="shared" si="2"/>
        <v>377281.72011096642</v>
      </c>
    </row>
    <row r="154" spans="2:5" ht="11.65" customHeight="1" x14ac:dyDescent="0.2">
      <c r="B154" s="107">
        <f>CAT!A149</f>
        <v>143</v>
      </c>
      <c r="C154" s="108">
        <f>CAT!B149</f>
        <v>377281.72011096642</v>
      </c>
      <c r="D154" s="108">
        <f>CAT!C149</f>
        <v>2588.6289509385497</v>
      </c>
      <c r="E154" s="109">
        <f t="shared" si="2"/>
        <v>374693.09116002789</v>
      </c>
    </row>
    <row r="155" spans="2:5" ht="11.65" customHeight="1" x14ac:dyDescent="0.2">
      <c r="B155" s="110">
        <f>CAT!A150</f>
        <v>144</v>
      </c>
      <c r="C155" s="111">
        <f>CAT!B150</f>
        <v>374693.09116002789</v>
      </c>
      <c r="D155" s="111">
        <f>CAT!C150</f>
        <v>2608.6304239661345</v>
      </c>
      <c r="E155" s="112">
        <f t="shared" si="2"/>
        <v>372084.46073606174</v>
      </c>
    </row>
    <row r="156" spans="2:5" ht="11.65" customHeight="1" x14ac:dyDescent="0.2">
      <c r="B156" s="103">
        <f>CAT!A151</f>
        <v>145</v>
      </c>
      <c r="C156" s="104">
        <f>CAT!B151</f>
        <v>372084.46073606174</v>
      </c>
      <c r="D156" s="105">
        <f>CAT!C151</f>
        <v>2628.7864417086462</v>
      </c>
      <c r="E156" s="106">
        <f t="shared" si="2"/>
        <v>369455.67429435311</v>
      </c>
    </row>
    <row r="157" spans="2:5" ht="11.65" customHeight="1" x14ac:dyDescent="0.2">
      <c r="B157" s="107">
        <f>CAT!A152</f>
        <v>146</v>
      </c>
      <c r="C157" s="108">
        <f>CAT!B152</f>
        <v>369455.67429435311</v>
      </c>
      <c r="D157" s="108">
        <f>CAT!C152</f>
        <v>2649.0981982815815</v>
      </c>
      <c r="E157" s="109">
        <f t="shared" si="2"/>
        <v>366806.57609607151</v>
      </c>
    </row>
    <row r="158" spans="2:5" ht="11.65" customHeight="1" x14ac:dyDescent="0.2">
      <c r="B158" s="107">
        <f>CAT!A153</f>
        <v>147</v>
      </c>
      <c r="C158" s="108">
        <f>CAT!B153</f>
        <v>366806.57609607151</v>
      </c>
      <c r="D158" s="108">
        <f>CAT!C153</f>
        <v>2669.5668970269708</v>
      </c>
      <c r="E158" s="109">
        <f t="shared" si="2"/>
        <v>364137.00919904455</v>
      </c>
    </row>
    <row r="159" spans="2:5" ht="11.65" customHeight="1" x14ac:dyDescent="0.2">
      <c r="B159" s="107">
        <f>CAT!A154</f>
        <v>148</v>
      </c>
      <c r="C159" s="108">
        <f>CAT!B154</f>
        <v>364137.00919904455</v>
      </c>
      <c r="D159" s="108">
        <f>CAT!C154</f>
        <v>2690.1937505846658</v>
      </c>
      <c r="E159" s="109">
        <f t="shared" si="2"/>
        <v>361446.81544845988</v>
      </c>
    </row>
    <row r="160" spans="2:5" ht="11.65" customHeight="1" x14ac:dyDescent="0.2">
      <c r="B160" s="107">
        <f>CAT!A155</f>
        <v>149</v>
      </c>
      <c r="C160" s="108">
        <f>CAT!B155</f>
        <v>361446.81544845988</v>
      </c>
      <c r="D160" s="108">
        <f>CAT!C155</f>
        <v>2710.9799809641831</v>
      </c>
      <c r="E160" s="109">
        <f t="shared" si="2"/>
        <v>358735.83546749572</v>
      </c>
    </row>
    <row r="161" spans="2:5" ht="11.65" customHeight="1" x14ac:dyDescent="0.2">
      <c r="B161" s="107">
        <f>CAT!A156</f>
        <v>150</v>
      </c>
      <c r="C161" s="108">
        <f>CAT!B156</f>
        <v>358735.83546749572</v>
      </c>
      <c r="D161" s="108">
        <f>CAT!C156</f>
        <v>2731.9268196170997</v>
      </c>
      <c r="E161" s="109">
        <f t="shared" si="2"/>
        <v>356003.90864787862</v>
      </c>
    </row>
    <row r="162" spans="2:5" ht="11.65" customHeight="1" x14ac:dyDescent="0.2">
      <c r="B162" s="107">
        <f>CAT!A157</f>
        <v>151</v>
      </c>
      <c r="C162" s="108">
        <f>CAT!B157</f>
        <v>356003.90864787862</v>
      </c>
      <c r="D162" s="108">
        <f>CAT!C157</f>
        <v>2753.0355075100078</v>
      </c>
      <c r="E162" s="109">
        <f t="shared" si="2"/>
        <v>353250.87314036861</v>
      </c>
    </row>
    <row r="163" spans="2:5" ht="11.65" customHeight="1" x14ac:dyDescent="0.2">
      <c r="B163" s="107">
        <f>CAT!A158</f>
        <v>152</v>
      </c>
      <c r="C163" s="108">
        <f>CAT!B158</f>
        <v>353250.87314036861</v>
      </c>
      <c r="D163" s="108">
        <f>CAT!C158</f>
        <v>2774.3072951980353</v>
      </c>
      <c r="E163" s="109">
        <f t="shared" si="2"/>
        <v>350476.56584517058</v>
      </c>
    </row>
    <row r="164" spans="2:5" ht="11.65" customHeight="1" x14ac:dyDescent="0.2">
      <c r="B164" s="107">
        <f>CAT!A159</f>
        <v>153</v>
      </c>
      <c r="C164" s="108">
        <f>CAT!B159</f>
        <v>350476.56584517058</v>
      </c>
      <c r="D164" s="108">
        <f>CAT!C159</f>
        <v>2795.7434428989318</v>
      </c>
      <c r="E164" s="109">
        <f t="shared" si="2"/>
        <v>347680.82240227167</v>
      </c>
    </row>
    <row r="165" spans="2:5" ht="11.65" customHeight="1" x14ac:dyDescent="0.2">
      <c r="B165" s="107">
        <f>CAT!A160</f>
        <v>154</v>
      </c>
      <c r="C165" s="108">
        <f>CAT!B160</f>
        <v>347680.82240227167</v>
      </c>
      <c r="D165" s="108">
        <f>CAT!C160</f>
        <v>2817.3452205677308</v>
      </c>
      <c r="E165" s="109">
        <f t="shared" si="2"/>
        <v>344863.47718170396</v>
      </c>
    </row>
    <row r="166" spans="2:5" ht="11.65" customHeight="1" x14ac:dyDescent="0.2">
      <c r="B166" s="107">
        <f>CAT!A161</f>
        <v>155</v>
      </c>
      <c r="C166" s="108">
        <f>CAT!B161</f>
        <v>344863.47718170396</v>
      </c>
      <c r="D166" s="108">
        <f>CAT!C161</f>
        <v>2839.1139079719842</v>
      </c>
      <c r="E166" s="109">
        <f t="shared" si="2"/>
        <v>342024.36327373196</v>
      </c>
    </row>
    <row r="167" spans="2:5" ht="11.65" customHeight="1" x14ac:dyDescent="0.2">
      <c r="B167" s="110">
        <f>CAT!A162</f>
        <v>156</v>
      </c>
      <c r="C167" s="111">
        <f>CAT!B162</f>
        <v>342024.36327373196</v>
      </c>
      <c r="D167" s="111">
        <f>CAT!C162</f>
        <v>2861.050794767581</v>
      </c>
      <c r="E167" s="112">
        <f t="shared" si="2"/>
        <v>339163.31247896439</v>
      </c>
    </row>
    <row r="168" spans="2:5" ht="11.65" customHeight="1" x14ac:dyDescent="0.2">
      <c r="B168" s="103">
        <f>CAT!A163</f>
        <v>157</v>
      </c>
      <c r="C168" s="104">
        <f>CAT!B163</f>
        <v>339163.31247896439</v>
      </c>
      <c r="D168" s="105">
        <f>CAT!C163</f>
        <v>2883.1571805751519</v>
      </c>
      <c r="E168" s="106">
        <f t="shared" si="2"/>
        <v>336280.15529838926</v>
      </c>
    </row>
    <row r="169" spans="2:5" ht="11.65" customHeight="1" x14ac:dyDescent="0.2">
      <c r="B169" s="107">
        <f>CAT!A164</f>
        <v>158</v>
      </c>
      <c r="C169" s="108">
        <f>CAT!B164</f>
        <v>336280.15529838926</v>
      </c>
      <c r="D169" s="108">
        <f>CAT!C164</f>
        <v>2905.4343750570624</v>
      </c>
      <c r="E169" s="109">
        <f t="shared" si="2"/>
        <v>333374.72092333221</v>
      </c>
    </row>
    <row r="170" spans="2:5" ht="11.65" customHeight="1" x14ac:dyDescent="0.2">
      <c r="B170" s="107">
        <f>CAT!A165</f>
        <v>159</v>
      </c>
      <c r="C170" s="108">
        <f>CAT!B165</f>
        <v>333374.72092333221</v>
      </c>
      <c r="D170" s="108">
        <f>CAT!C165</f>
        <v>2927.8836979950033</v>
      </c>
      <c r="E170" s="109">
        <f t="shared" si="2"/>
        <v>330446.83722533722</v>
      </c>
    </row>
    <row r="171" spans="2:5" ht="11.65" customHeight="1" x14ac:dyDescent="0.2">
      <c r="B171" s="107">
        <f>CAT!A166</f>
        <v>160</v>
      </c>
      <c r="C171" s="108">
        <f>CAT!B166</f>
        <v>330446.83722533722</v>
      </c>
      <c r="D171" s="108">
        <f>CAT!C166</f>
        <v>2950.5064793681777</v>
      </c>
      <c r="E171" s="109">
        <f t="shared" si="2"/>
        <v>327496.33074596903</v>
      </c>
    </row>
    <row r="172" spans="2:5" ht="11.65" customHeight="1" x14ac:dyDescent="0.2">
      <c r="B172" s="107">
        <f>CAT!A167</f>
        <v>161</v>
      </c>
      <c r="C172" s="108">
        <f>CAT!B167</f>
        <v>327496.33074596903</v>
      </c>
      <c r="D172" s="108">
        <f>CAT!C167</f>
        <v>2973.304059432096</v>
      </c>
      <c r="E172" s="109">
        <f t="shared" si="2"/>
        <v>324523.0266865369</v>
      </c>
    </row>
    <row r="173" spans="2:5" ht="11.65" customHeight="1" x14ac:dyDescent="0.2">
      <c r="B173" s="107">
        <f>CAT!A168</f>
        <v>162</v>
      </c>
      <c r="C173" s="108">
        <f>CAT!B168</f>
        <v>324523.0266865369</v>
      </c>
      <c r="D173" s="108">
        <f>CAT!C168</f>
        <v>2996.2777887979746</v>
      </c>
      <c r="E173" s="109">
        <f t="shared" si="2"/>
        <v>321526.74889773893</v>
      </c>
    </row>
    <row r="174" spans="2:5" ht="11.65" customHeight="1" x14ac:dyDescent="0.2">
      <c r="B174" s="107">
        <f>CAT!A169</f>
        <v>163</v>
      </c>
      <c r="C174" s="108">
        <f>CAT!B169</f>
        <v>321526.74889773893</v>
      </c>
      <c r="D174" s="108">
        <f>CAT!C169</f>
        <v>3019.429028512754</v>
      </c>
      <c r="E174" s="109">
        <f t="shared" si="2"/>
        <v>318507.31986922619</v>
      </c>
    </row>
    <row r="175" spans="2:5" ht="11.65" customHeight="1" x14ac:dyDescent="0.2">
      <c r="B175" s="107">
        <f>CAT!A170</f>
        <v>164</v>
      </c>
      <c r="C175" s="108">
        <f>CAT!B170</f>
        <v>318507.31986922619</v>
      </c>
      <c r="D175" s="108">
        <f>CAT!C170</f>
        <v>3042.7591501397287</v>
      </c>
      <c r="E175" s="109">
        <f t="shared" si="2"/>
        <v>315464.56071908644</v>
      </c>
    </row>
    <row r="176" spans="2:5" ht="11.65" customHeight="1" x14ac:dyDescent="0.2">
      <c r="B176" s="107">
        <f>CAT!A171</f>
        <v>165</v>
      </c>
      <c r="C176" s="108">
        <f>CAT!B171</f>
        <v>315464.56071908644</v>
      </c>
      <c r="D176" s="108">
        <f>CAT!C171</f>
        <v>3066.2695358398087</v>
      </c>
      <c r="E176" s="109">
        <f t="shared" si="2"/>
        <v>312398.29118324665</v>
      </c>
    </row>
    <row r="177" spans="2:5" ht="11.65" customHeight="1" x14ac:dyDescent="0.2">
      <c r="B177" s="107">
        <f>CAT!A172</f>
        <v>166</v>
      </c>
      <c r="C177" s="108">
        <f>CAT!B172</f>
        <v>312398.29118324665</v>
      </c>
      <c r="D177" s="108">
        <f>CAT!C172</f>
        <v>3089.9615784533976</v>
      </c>
      <c r="E177" s="109">
        <f t="shared" si="2"/>
        <v>309308.32960479322</v>
      </c>
    </row>
    <row r="178" spans="2:5" ht="11.65" customHeight="1" x14ac:dyDescent="0.2">
      <c r="B178" s="107">
        <f>CAT!A173</f>
        <v>167</v>
      </c>
      <c r="C178" s="108">
        <f>CAT!B173</f>
        <v>309308.32960479322</v>
      </c>
      <c r="D178" s="108">
        <f>CAT!C173</f>
        <v>3113.8366815829145</v>
      </c>
      <c r="E178" s="109">
        <f t="shared" si="2"/>
        <v>306194.49292321032</v>
      </c>
    </row>
    <row r="179" spans="2:5" ht="11.65" customHeight="1" x14ac:dyDescent="0.2">
      <c r="B179" s="110">
        <f>CAT!A174</f>
        <v>168</v>
      </c>
      <c r="C179" s="111">
        <f>CAT!B174</f>
        <v>306194.49292321032</v>
      </c>
      <c r="D179" s="111">
        <f>CAT!C174</f>
        <v>3137.8962596759447</v>
      </c>
      <c r="E179" s="112">
        <f t="shared" si="2"/>
        <v>303056.59666353435</v>
      </c>
    </row>
    <row r="180" spans="2:5" ht="11.65" customHeight="1" x14ac:dyDescent="0.2">
      <c r="B180" s="103">
        <f>CAT!A175</f>
        <v>169</v>
      </c>
      <c r="C180" s="104">
        <f>CAT!B175</f>
        <v>303056.59666353435</v>
      </c>
      <c r="D180" s="105">
        <f>CAT!C175</f>
        <v>3162.1417381090414</v>
      </c>
      <c r="E180" s="106">
        <f t="shared" si="2"/>
        <v>299894.45492542529</v>
      </c>
    </row>
    <row r="181" spans="2:5" ht="11.65" customHeight="1" x14ac:dyDescent="0.2">
      <c r="B181" s="107">
        <f>CAT!A176</f>
        <v>170</v>
      </c>
      <c r="C181" s="108">
        <f>CAT!B176</f>
        <v>299894.45492542529</v>
      </c>
      <c r="D181" s="108">
        <f>CAT!C176</f>
        <v>3186.5745532721639</v>
      </c>
      <c r="E181" s="109">
        <f t="shared" si="2"/>
        <v>296707.88037215313</v>
      </c>
    </row>
    <row r="182" spans="2:5" ht="11.65" customHeight="1" x14ac:dyDescent="0.2">
      <c r="B182" s="107">
        <f>CAT!A177</f>
        <v>171</v>
      </c>
      <c r="C182" s="108">
        <f>CAT!B177</f>
        <v>296707.88037215313</v>
      </c>
      <c r="D182" s="108">
        <f>CAT!C177</f>
        <v>3211.1961526537802</v>
      </c>
      <c r="E182" s="109">
        <f t="shared" si="2"/>
        <v>293496.68421949935</v>
      </c>
    </row>
    <row r="183" spans="2:5" ht="11.65" customHeight="1" x14ac:dyDescent="0.2">
      <c r="B183" s="107">
        <f>CAT!A178</f>
        <v>172</v>
      </c>
      <c r="C183" s="108">
        <f>CAT!B178</f>
        <v>293496.68421949935</v>
      </c>
      <c r="D183" s="108">
        <f>CAT!C178</f>
        <v>3236.0079949266183</v>
      </c>
      <c r="E183" s="109">
        <f t="shared" si="2"/>
        <v>290260.67622457276</v>
      </c>
    </row>
    <row r="184" spans="2:5" ht="11.65" customHeight="1" x14ac:dyDescent="0.2">
      <c r="B184" s="107">
        <f>CAT!A179</f>
        <v>173</v>
      </c>
      <c r="C184" s="108">
        <f>CAT!B179</f>
        <v>290260.67622457276</v>
      </c>
      <c r="D184" s="108">
        <f>CAT!C179</f>
        <v>3261.0115500340844</v>
      </c>
      <c r="E184" s="109">
        <f t="shared" si="2"/>
        <v>286999.66467453865</v>
      </c>
    </row>
    <row r="185" spans="2:5" ht="11.65" customHeight="1" x14ac:dyDescent="0.2">
      <c r="B185" s="107">
        <f>CAT!A180</f>
        <v>174</v>
      </c>
      <c r="C185" s="108">
        <f>CAT!B180</f>
        <v>286999.66467453865</v>
      </c>
      <c r="D185" s="108">
        <f>CAT!C180</f>
        <v>3286.208299277348</v>
      </c>
      <c r="E185" s="109">
        <f t="shared" si="2"/>
        <v>283713.4563752613</v>
      </c>
    </row>
    <row r="186" spans="2:5" ht="11.65" customHeight="1" x14ac:dyDescent="0.2">
      <c r="B186" s="107">
        <f>CAT!A181</f>
        <v>175</v>
      </c>
      <c r="C186" s="108">
        <f>CAT!B181</f>
        <v>283713.4563752613</v>
      </c>
      <c r="D186" s="108">
        <f>CAT!C181</f>
        <v>3311.5997354030974</v>
      </c>
      <c r="E186" s="109">
        <f t="shared" si="2"/>
        <v>280401.85663985822</v>
      </c>
    </row>
    <row r="187" spans="2:5" ht="11.65" customHeight="1" x14ac:dyDescent="0.2">
      <c r="B187" s="107">
        <f>CAT!A182</f>
        <v>176</v>
      </c>
      <c r="C187" s="108">
        <f>CAT!B182</f>
        <v>280401.85663985822</v>
      </c>
      <c r="D187" s="108">
        <f>CAT!C182</f>
        <v>3337.1873626919787</v>
      </c>
      <c r="E187" s="109">
        <f t="shared" si="2"/>
        <v>277064.66927716625</v>
      </c>
    </row>
    <row r="188" spans="2:5" ht="11.65" customHeight="1" x14ac:dyDescent="0.2">
      <c r="B188" s="107">
        <f>CAT!A183</f>
        <v>177</v>
      </c>
      <c r="C188" s="108">
        <f>CAT!B183</f>
        <v>277064.66927716625</v>
      </c>
      <c r="D188" s="108">
        <f>CAT!C183</f>
        <v>3362.9726970477118</v>
      </c>
      <c r="E188" s="109">
        <f t="shared" si="2"/>
        <v>273701.69658011856</v>
      </c>
    </row>
    <row r="189" spans="2:5" ht="11.65" customHeight="1" x14ac:dyDescent="0.2">
      <c r="B189" s="107">
        <f>CAT!A184</f>
        <v>178</v>
      </c>
      <c r="C189" s="108">
        <f>CAT!B184</f>
        <v>273701.69658011856</v>
      </c>
      <c r="D189" s="108">
        <f>CAT!C184</f>
        <v>3388.9572660869003</v>
      </c>
      <c r="E189" s="109">
        <f t="shared" si="2"/>
        <v>270312.73931403167</v>
      </c>
    </row>
    <row r="190" spans="2:5" ht="11.65" customHeight="1" x14ac:dyDescent="0.2">
      <c r="B190" s="107">
        <f>CAT!A185</f>
        <v>179</v>
      </c>
      <c r="C190" s="108">
        <f>CAT!B185</f>
        <v>270312.73931403167</v>
      </c>
      <c r="D190" s="108">
        <f>CAT!C185</f>
        <v>3415.1426092295319</v>
      </c>
      <c r="E190" s="109">
        <f t="shared" si="2"/>
        <v>266897.59670480213</v>
      </c>
    </row>
    <row r="191" spans="2:5" ht="11.65" customHeight="1" x14ac:dyDescent="0.2">
      <c r="B191" s="110">
        <f>CAT!A186</f>
        <v>180</v>
      </c>
      <c r="C191" s="111">
        <f>CAT!B186</f>
        <v>266897.59670480213</v>
      </c>
      <c r="D191" s="111">
        <f>CAT!C186</f>
        <v>3441.5302777901788</v>
      </c>
      <c r="E191" s="112">
        <f t="shared" si="2"/>
        <v>263456.06642701197</v>
      </c>
    </row>
    <row r="192" spans="2:5" ht="11.65" customHeight="1" x14ac:dyDescent="0.2">
      <c r="B192" s="103">
        <f>CAT!A187</f>
        <v>181</v>
      </c>
      <c r="C192" s="104">
        <f>CAT!B187</f>
        <v>263456.06642701197</v>
      </c>
      <c r="D192" s="105">
        <f>CAT!C187</f>
        <v>3468.1218350699041</v>
      </c>
      <c r="E192" s="106">
        <f t="shared" si="2"/>
        <v>259987.94459194207</v>
      </c>
    </row>
    <row r="193" spans="2:5" ht="11.65" customHeight="1" x14ac:dyDescent="0.2">
      <c r="B193" s="107">
        <f>CAT!A188</f>
        <v>182</v>
      </c>
      <c r="C193" s="108">
        <f>CAT!B188</f>
        <v>259987.94459194207</v>
      </c>
      <c r="D193" s="108">
        <f>CAT!C188</f>
        <v>3494.9188564488777</v>
      </c>
      <c r="E193" s="109">
        <f t="shared" si="2"/>
        <v>256493.0257354932</v>
      </c>
    </row>
    <row r="194" spans="2:5" ht="11.65" customHeight="1" x14ac:dyDescent="0.2">
      <c r="B194" s="107">
        <f>CAT!A189</f>
        <v>183</v>
      </c>
      <c r="C194" s="108">
        <f>CAT!B189</f>
        <v>256493.0257354932</v>
      </c>
      <c r="D194" s="108">
        <f>CAT!C189</f>
        <v>3521.922929479706</v>
      </c>
      <c r="E194" s="109">
        <f t="shared" si="2"/>
        <v>252971.10280601348</v>
      </c>
    </row>
    <row r="195" spans="2:5" ht="11.65" customHeight="1" x14ac:dyDescent="0.2">
      <c r="B195" s="107">
        <f>CAT!A190</f>
        <v>184</v>
      </c>
      <c r="C195" s="108">
        <f>CAT!B190</f>
        <v>252971.10280601348</v>
      </c>
      <c r="D195" s="108">
        <f>CAT!C190</f>
        <v>3549.1356539814856</v>
      </c>
      <c r="E195" s="109">
        <f t="shared" si="2"/>
        <v>249421.96715203201</v>
      </c>
    </row>
    <row r="196" spans="2:5" ht="11.65" customHeight="1" x14ac:dyDescent="0.2">
      <c r="B196" s="107">
        <f>CAT!A191</f>
        <v>185</v>
      </c>
      <c r="C196" s="108">
        <f>CAT!B191</f>
        <v>249421.96715203201</v>
      </c>
      <c r="D196" s="108">
        <f>CAT!C191</f>
        <v>3576.5586421345824</v>
      </c>
      <c r="E196" s="109">
        <f t="shared" si="2"/>
        <v>245845.40850989742</v>
      </c>
    </row>
    <row r="197" spans="2:5" ht="11.65" customHeight="1" x14ac:dyDescent="0.2">
      <c r="B197" s="107">
        <f>CAT!A192</f>
        <v>186</v>
      </c>
      <c r="C197" s="108">
        <f>CAT!B192</f>
        <v>245845.40850989742</v>
      </c>
      <c r="D197" s="108">
        <f>CAT!C192</f>
        <v>3604.1935185761422</v>
      </c>
      <c r="E197" s="109">
        <f t="shared" si="2"/>
        <v>242241.21499132126</v>
      </c>
    </row>
    <row r="198" spans="2:5" ht="11.65" customHeight="1" x14ac:dyDescent="0.2">
      <c r="B198" s="107">
        <f>CAT!A193</f>
        <v>187</v>
      </c>
      <c r="C198" s="108">
        <f>CAT!B193</f>
        <v>242241.21499132126</v>
      </c>
      <c r="D198" s="108">
        <f>CAT!C193</f>
        <v>3632.0419204963409</v>
      </c>
      <c r="E198" s="109">
        <f t="shared" si="2"/>
        <v>238609.17307082491</v>
      </c>
    </row>
    <row r="199" spans="2:5" ht="11.65" customHeight="1" x14ac:dyDescent="0.2">
      <c r="B199" s="107">
        <f>CAT!A194</f>
        <v>188</v>
      </c>
      <c r="C199" s="108">
        <f>CAT!B194</f>
        <v>238609.17307082491</v>
      </c>
      <c r="D199" s="108">
        <f>CAT!C194</f>
        <v>3660.105497735376</v>
      </c>
      <c r="E199" s="109">
        <f t="shared" si="2"/>
        <v>234949.06757308953</v>
      </c>
    </row>
    <row r="200" spans="2:5" ht="11.65" customHeight="1" x14ac:dyDescent="0.2">
      <c r="B200" s="107">
        <f>CAT!A195</f>
        <v>189</v>
      </c>
      <c r="C200" s="108">
        <f>CAT!B195</f>
        <v>234949.06757308953</v>
      </c>
      <c r="D200" s="108">
        <f>CAT!C195</f>
        <v>3688.3859128812114</v>
      </c>
      <c r="E200" s="109">
        <f t="shared" si="2"/>
        <v>231260.68166020833</v>
      </c>
    </row>
    <row r="201" spans="2:5" ht="11.65" customHeight="1" x14ac:dyDescent="0.2">
      <c r="B201" s="107">
        <f>CAT!A196</f>
        <v>190</v>
      </c>
      <c r="C201" s="108">
        <f>CAT!B196</f>
        <v>231260.68166020833</v>
      </c>
      <c r="D201" s="108">
        <f>CAT!C196</f>
        <v>3716.8848413680735</v>
      </c>
      <c r="E201" s="109">
        <f t="shared" si="2"/>
        <v>227543.79681884026</v>
      </c>
    </row>
    <row r="202" spans="2:5" ht="11.65" customHeight="1" x14ac:dyDescent="0.2">
      <c r="B202" s="107">
        <f>CAT!A197</f>
        <v>191</v>
      </c>
      <c r="C202" s="108">
        <f>CAT!B197</f>
        <v>227543.79681884026</v>
      </c>
      <c r="D202" s="108">
        <f>CAT!C197</f>
        <v>3745.6039715757106</v>
      </c>
      <c r="E202" s="109">
        <f t="shared" si="2"/>
        <v>223798.19284726455</v>
      </c>
    </row>
    <row r="203" spans="2:5" ht="11.65" customHeight="1" x14ac:dyDescent="0.2">
      <c r="B203" s="110">
        <f>CAT!A198</f>
        <v>192</v>
      </c>
      <c r="C203" s="111">
        <f>CAT!B198</f>
        <v>223798.19284726455</v>
      </c>
      <c r="D203" s="111">
        <f>CAT!C198</f>
        <v>3774.5450049294191</v>
      </c>
      <c r="E203" s="112">
        <f t="shared" si="2"/>
        <v>220023.64784233514</v>
      </c>
    </row>
    <row r="204" spans="2:5" ht="11.65" customHeight="1" x14ac:dyDescent="0.2">
      <c r="B204" s="103">
        <f>CAT!A199</f>
        <v>193</v>
      </c>
      <c r="C204" s="104">
        <f>CAT!B199</f>
        <v>220023.64784233514</v>
      </c>
      <c r="D204" s="105">
        <f>CAT!C199</f>
        <v>3803.7096560008404</v>
      </c>
      <c r="E204" s="106">
        <f t="shared" si="2"/>
        <v>216219.9381863343</v>
      </c>
    </row>
    <row r="205" spans="2:5" ht="11.65" customHeight="1" x14ac:dyDescent="0.2">
      <c r="B205" s="107">
        <f>CAT!A200</f>
        <v>194</v>
      </c>
      <c r="C205" s="108">
        <f>CAT!B200</f>
        <v>216219.9381863343</v>
      </c>
      <c r="D205" s="108">
        <f>CAT!C200</f>
        <v>3833.09965260954</v>
      </c>
      <c r="E205" s="109">
        <f t="shared" ref="E205:E251" si="3">IF(B205="","",C205-D205)</f>
        <v>212386.83853372477</v>
      </c>
    </row>
    <row r="206" spans="2:5" ht="11.65" customHeight="1" x14ac:dyDescent="0.2">
      <c r="B206" s="107">
        <f>CAT!A201</f>
        <v>195</v>
      </c>
      <c r="C206" s="108">
        <f>CAT!B201</f>
        <v>212386.83853372477</v>
      </c>
      <c r="D206" s="108">
        <f>CAT!C201</f>
        <v>3862.7167359253699</v>
      </c>
      <c r="E206" s="109">
        <f t="shared" si="3"/>
        <v>208524.12179779939</v>
      </c>
    </row>
    <row r="207" spans="2:5" ht="11.65" customHeight="1" x14ac:dyDescent="0.2">
      <c r="B207" s="107">
        <f>CAT!A202</f>
        <v>196</v>
      </c>
      <c r="C207" s="108">
        <f>CAT!B202</f>
        <v>208524.12179779939</v>
      </c>
      <c r="D207" s="108">
        <f>CAT!C202</f>
        <v>3892.5626605716197</v>
      </c>
      <c r="E207" s="109">
        <f t="shared" si="3"/>
        <v>204631.55913722777</v>
      </c>
    </row>
    <row r="208" spans="2:5" ht="11.65" customHeight="1" x14ac:dyDescent="0.2">
      <c r="B208" s="107">
        <f>CAT!A203</f>
        <v>197</v>
      </c>
      <c r="C208" s="108">
        <f>CAT!B203</f>
        <v>204631.55913722777</v>
      </c>
      <c r="D208" s="108">
        <f>CAT!C203</f>
        <v>3922.6391947289699</v>
      </c>
      <c r="E208" s="109">
        <f t="shared" si="3"/>
        <v>200708.91994249879</v>
      </c>
    </row>
    <row r="209" spans="2:5" ht="11.65" customHeight="1" x14ac:dyDescent="0.2">
      <c r="B209" s="107">
        <f>CAT!A204</f>
        <v>198</v>
      </c>
      <c r="C209" s="108">
        <f>CAT!B204</f>
        <v>200708.91994249879</v>
      </c>
      <c r="D209" s="108">
        <f>CAT!C204</f>
        <v>3952.9481202402426</v>
      </c>
      <c r="E209" s="109">
        <f t="shared" si="3"/>
        <v>196755.97182225855</v>
      </c>
    </row>
    <row r="210" spans="2:5" ht="11.65" customHeight="1" x14ac:dyDescent="0.2">
      <c r="B210" s="107">
        <f>CAT!A205</f>
        <v>199</v>
      </c>
      <c r="C210" s="108">
        <f>CAT!B205</f>
        <v>196755.97182225855</v>
      </c>
      <c r="D210" s="108">
        <f>CAT!C205</f>
        <v>3983.4912327159655</v>
      </c>
      <c r="E210" s="109">
        <f t="shared" si="3"/>
        <v>192772.4805895426</v>
      </c>
    </row>
    <row r="211" spans="2:5" ht="11.65" customHeight="1" x14ac:dyDescent="0.2">
      <c r="B211" s="107">
        <f>CAT!A206</f>
        <v>200</v>
      </c>
      <c r="C211" s="108">
        <f>CAT!B206</f>
        <v>192772.4805895426</v>
      </c>
      <c r="D211" s="108">
        <f>CAT!C206</f>
        <v>4014.2703416407508</v>
      </c>
      <c r="E211" s="109">
        <f t="shared" si="3"/>
        <v>188758.21024790185</v>
      </c>
    </row>
    <row r="212" spans="2:5" ht="11.65" customHeight="1" x14ac:dyDescent="0.2">
      <c r="B212" s="107">
        <f>CAT!A207</f>
        <v>201</v>
      </c>
      <c r="C212" s="108">
        <f>CAT!B207</f>
        <v>188758.21024790185</v>
      </c>
      <c r="D212" s="108">
        <f>CAT!C207</f>
        <v>4045.287270480495</v>
      </c>
      <c r="E212" s="109">
        <f t="shared" si="3"/>
        <v>184712.92297742135</v>
      </c>
    </row>
    <row r="213" spans="2:5" ht="11.65" customHeight="1" x14ac:dyDescent="0.2">
      <c r="B213" s="107">
        <f>CAT!A208</f>
        <v>202</v>
      </c>
      <c r="C213" s="108">
        <f>CAT!B208</f>
        <v>184712.92297742135</v>
      </c>
      <c r="D213" s="108">
        <f>CAT!C208</f>
        <v>4076.5438567904075</v>
      </c>
      <c r="E213" s="109">
        <f t="shared" si="3"/>
        <v>180636.37912063094</v>
      </c>
    </row>
    <row r="214" spans="2:5" ht="11.65" customHeight="1" x14ac:dyDescent="0.2">
      <c r="B214" s="107">
        <f>CAT!A209</f>
        <v>203</v>
      </c>
      <c r="C214" s="108">
        <f>CAT!B209</f>
        <v>180636.37912063094</v>
      </c>
      <c r="D214" s="108">
        <f>CAT!C209</f>
        <v>4108.0419523238743</v>
      </c>
      <c r="E214" s="109">
        <f t="shared" si="3"/>
        <v>176528.33716830707</v>
      </c>
    </row>
    <row r="215" spans="2:5" ht="11.65" customHeight="1" x14ac:dyDescent="0.2">
      <c r="B215" s="110">
        <f>CAT!A210</f>
        <v>204</v>
      </c>
      <c r="C215" s="111">
        <f>CAT!B210</f>
        <v>176528.33716830707</v>
      </c>
      <c r="D215" s="111">
        <f>CAT!C210</f>
        <v>4139.7834231421639</v>
      </c>
      <c r="E215" s="112">
        <f t="shared" si="3"/>
        <v>172388.55374516491</v>
      </c>
    </row>
    <row r="216" spans="2:5" ht="11.65" customHeight="1" x14ac:dyDescent="0.2">
      <c r="B216" s="103">
        <f>CAT!A211</f>
        <v>205</v>
      </c>
      <c r="C216" s="104">
        <f>CAT!B211</f>
        <v>172388.55374516491</v>
      </c>
      <c r="D216" s="105">
        <f>CAT!C211</f>
        <v>4171.7701497249755</v>
      </c>
      <c r="E216" s="106">
        <f t="shared" si="3"/>
        <v>168216.78359543995</v>
      </c>
    </row>
    <row r="217" spans="2:5" ht="11.65" customHeight="1" x14ac:dyDescent="0.2">
      <c r="B217" s="107">
        <f>CAT!A212</f>
        <v>206</v>
      </c>
      <c r="C217" s="108">
        <f>CAT!B212</f>
        <v>168216.78359543995</v>
      </c>
      <c r="D217" s="108">
        <f>CAT!C212</f>
        <v>4204.0040270818499</v>
      </c>
      <c r="E217" s="109">
        <f t="shared" si="3"/>
        <v>164012.77956835809</v>
      </c>
    </row>
    <row r="218" spans="2:5" ht="11.65" customHeight="1" x14ac:dyDescent="0.2">
      <c r="B218" s="107">
        <f>CAT!A213</f>
        <v>207</v>
      </c>
      <c r="C218" s="108">
        <f>CAT!B213</f>
        <v>164012.77956835809</v>
      </c>
      <c r="D218" s="108">
        <f>CAT!C213</f>
        <v>4236.4869648644362</v>
      </c>
      <c r="E218" s="109">
        <f t="shared" si="3"/>
        <v>159776.29260349367</v>
      </c>
    </row>
    <row r="219" spans="2:5" ht="11.65" customHeight="1" x14ac:dyDescent="0.2">
      <c r="B219" s="107">
        <f>CAT!A214</f>
        <v>208</v>
      </c>
      <c r="C219" s="108">
        <f>CAT!B214</f>
        <v>159776.29260349367</v>
      </c>
      <c r="D219" s="108">
        <f>CAT!C214</f>
        <v>4269.2208874796215</v>
      </c>
      <c r="E219" s="109">
        <f t="shared" si="3"/>
        <v>155507.07171601403</v>
      </c>
    </row>
    <row r="220" spans="2:5" ht="11.65" customHeight="1" x14ac:dyDescent="0.2">
      <c r="B220" s="107">
        <f>CAT!A215</f>
        <v>209</v>
      </c>
      <c r="C220" s="108">
        <f>CAT!B215</f>
        <v>155507.07171601403</v>
      </c>
      <c r="D220" s="108">
        <f>CAT!C215</f>
        <v>4302.2077342035482</v>
      </c>
      <c r="E220" s="109">
        <f t="shared" si="3"/>
        <v>151204.86398181049</v>
      </c>
    </row>
    <row r="221" spans="2:5" ht="11.65" customHeight="1" x14ac:dyDescent="0.2">
      <c r="B221" s="107">
        <f>CAT!A216</f>
        <v>210</v>
      </c>
      <c r="C221" s="108">
        <f>CAT!B216</f>
        <v>151204.86398181049</v>
      </c>
      <c r="D221" s="108">
        <f>CAT!C216</f>
        <v>4335.4494592964938</v>
      </c>
      <c r="E221" s="109">
        <f t="shared" si="3"/>
        <v>146869.41452251398</v>
      </c>
    </row>
    <row r="222" spans="2:5" ht="11.65" customHeight="1" x14ac:dyDescent="0.2">
      <c r="B222" s="107">
        <f>CAT!A217</f>
        <v>211</v>
      </c>
      <c r="C222" s="108">
        <f>CAT!B217</f>
        <v>146869.41452251398</v>
      </c>
      <c r="D222" s="108">
        <f>CAT!C217</f>
        <v>4368.9480321186584</v>
      </c>
      <c r="E222" s="109">
        <f t="shared" si="3"/>
        <v>142500.46649039531</v>
      </c>
    </row>
    <row r="223" spans="2:5" ht="11.65" customHeight="1" x14ac:dyDescent="0.2">
      <c r="B223" s="107">
        <f>CAT!A218</f>
        <v>212</v>
      </c>
      <c r="C223" s="108">
        <f>CAT!B218</f>
        <v>142500.46649039531</v>
      </c>
      <c r="D223" s="108">
        <f>CAT!C218</f>
        <v>4402.7054372468283</v>
      </c>
      <c r="E223" s="109">
        <f t="shared" si="3"/>
        <v>138097.76105314848</v>
      </c>
    </row>
    <row r="224" spans="2:5" ht="11.65" customHeight="1" x14ac:dyDescent="0.2">
      <c r="B224" s="107">
        <f>CAT!A219</f>
        <v>213</v>
      </c>
      <c r="C224" s="108">
        <f>CAT!B219</f>
        <v>138097.76105314848</v>
      </c>
      <c r="D224" s="108">
        <f>CAT!C219</f>
        <v>4436.7236745919563</v>
      </c>
      <c r="E224" s="109">
        <f t="shared" si="3"/>
        <v>133661.03737855653</v>
      </c>
    </row>
    <row r="225" spans="2:5" ht="11.65" customHeight="1" x14ac:dyDescent="0.2">
      <c r="B225" s="107">
        <f>CAT!A220</f>
        <v>214</v>
      </c>
      <c r="C225" s="108">
        <f>CAT!B220</f>
        <v>133661.03737855653</v>
      </c>
      <c r="D225" s="108">
        <f>CAT!C220</f>
        <v>4471.0047595176366</v>
      </c>
      <c r="E225" s="109">
        <f t="shared" si="3"/>
        <v>129190.03261903889</v>
      </c>
    </row>
    <row r="226" spans="2:5" ht="11.65" customHeight="1" x14ac:dyDescent="0.2">
      <c r="B226" s="107">
        <f>CAT!A221</f>
        <v>215</v>
      </c>
      <c r="C226" s="108">
        <f>CAT!B221</f>
        <v>129190.03261903889</v>
      </c>
      <c r="D226" s="108">
        <f>CAT!C221</f>
        <v>4505.5507229595096</v>
      </c>
      <c r="E226" s="109">
        <f t="shared" si="3"/>
        <v>124684.48189607938</v>
      </c>
    </row>
    <row r="227" spans="2:5" ht="11.65" customHeight="1" x14ac:dyDescent="0.2">
      <c r="B227" s="110">
        <f>CAT!A222</f>
        <v>216</v>
      </c>
      <c r="C227" s="111">
        <f>CAT!B222</f>
        <v>124684.48189607938</v>
      </c>
      <c r="D227" s="111">
        <f>CAT!C222</f>
        <v>4540.3636115455765</v>
      </c>
      <c r="E227" s="112">
        <f t="shared" si="3"/>
        <v>120144.1182845338</v>
      </c>
    </row>
    <row r="228" spans="2:5" ht="11.65" customHeight="1" x14ac:dyDescent="0.2">
      <c r="B228" s="103">
        <f>CAT!A223</f>
        <v>217</v>
      </c>
      <c r="C228" s="104">
        <f>CAT!B223</f>
        <v>120144.1182845338</v>
      </c>
      <c r="D228" s="105">
        <f>CAT!C223</f>
        <v>4575.4454877174521</v>
      </c>
      <c r="E228" s="106">
        <f t="shared" si="3"/>
        <v>115568.67279681635</v>
      </c>
    </row>
    <row r="229" spans="2:5" ht="11.65" customHeight="1" x14ac:dyDescent="0.2">
      <c r="B229" s="107">
        <f>CAT!A224</f>
        <v>218</v>
      </c>
      <c r="C229" s="108">
        <f>CAT!B224</f>
        <v>115568.67279681635</v>
      </c>
      <c r="D229" s="108">
        <f>CAT!C224</f>
        <v>4610.7984298525489</v>
      </c>
      <c r="E229" s="109">
        <f t="shared" si="3"/>
        <v>110957.87436696379</v>
      </c>
    </row>
    <row r="230" spans="2:5" ht="11.65" customHeight="1" x14ac:dyDescent="0.2">
      <c r="B230" s="107">
        <f>CAT!A225</f>
        <v>219</v>
      </c>
      <c r="C230" s="108">
        <f>CAT!B225</f>
        <v>110957.87436696379</v>
      </c>
      <c r="D230" s="108">
        <f>CAT!C225</f>
        <v>4646.4245323872092</v>
      </c>
      <c r="E230" s="109">
        <f t="shared" si="3"/>
        <v>106311.44983457658</v>
      </c>
    </row>
    <row r="231" spans="2:5" ht="11.65" customHeight="1" x14ac:dyDescent="0.2">
      <c r="B231" s="107">
        <f>CAT!A226</f>
        <v>220</v>
      </c>
      <c r="C231" s="108">
        <f>CAT!B226</f>
        <v>106311.44983457658</v>
      </c>
      <c r="D231" s="108">
        <f>CAT!C226</f>
        <v>4682.3259059407883</v>
      </c>
      <c r="E231" s="109">
        <f t="shared" si="3"/>
        <v>101629.12392863579</v>
      </c>
    </row>
    <row r="232" spans="2:5" ht="11.65" customHeight="1" x14ac:dyDescent="0.2">
      <c r="B232" s="107">
        <f>CAT!A227</f>
        <v>221</v>
      </c>
      <c r="C232" s="108">
        <f>CAT!B227</f>
        <v>101629.12392863579</v>
      </c>
      <c r="D232" s="108">
        <f>CAT!C227</f>
        <v>4718.504677440691</v>
      </c>
      <c r="E232" s="109">
        <f t="shared" si="3"/>
        <v>96910.619251195094</v>
      </c>
    </row>
    <row r="233" spans="2:5" ht="11.65" customHeight="1" x14ac:dyDescent="0.2">
      <c r="B233" s="107">
        <f>CAT!A228</f>
        <v>222</v>
      </c>
      <c r="C233" s="108">
        <f>CAT!B228</f>
        <v>96910.619251195094</v>
      </c>
      <c r="D233" s="108">
        <f>CAT!C228</f>
        <v>4754.9629902483821</v>
      </c>
      <c r="E233" s="109">
        <f t="shared" si="3"/>
        <v>92155.656260946707</v>
      </c>
    </row>
    <row r="234" spans="2:5" ht="11.65" customHeight="1" x14ac:dyDescent="0.2">
      <c r="B234" s="107">
        <f>CAT!A229</f>
        <v>223</v>
      </c>
      <c r="C234" s="108">
        <f>CAT!B229</f>
        <v>92155.656260946707</v>
      </c>
      <c r="D234" s="108">
        <f>CAT!C229</f>
        <v>4791.703004286368</v>
      </c>
      <c r="E234" s="109">
        <f t="shared" si="3"/>
        <v>87363.953256660345</v>
      </c>
    </row>
    <row r="235" spans="2:5" ht="11.65" customHeight="1" x14ac:dyDescent="0.2">
      <c r="B235" s="107">
        <f>CAT!A230</f>
        <v>224</v>
      </c>
      <c r="C235" s="108">
        <f>CAT!B230</f>
        <v>87363.953256660345</v>
      </c>
      <c r="D235" s="108">
        <f>CAT!C230</f>
        <v>4828.7268961661539</v>
      </c>
      <c r="E235" s="109">
        <f t="shared" si="3"/>
        <v>82535.226360494184</v>
      </c>
    </row>
    <row r="236" spans="2:5" ht="11.65" customHeight="1" x14ac:dyDescent="0.2">
      <c r="B236" s="107">
        <f>CAT!A231</f>
        <v>225</v>
      </c>
      <c r="C236" s="108">
        <f>CAT!B231</f>
        <v>82535.226360494184</v>
      </c>
      <c r="D236" s="108">
        <f>CAT!C231</f>
        <v>4866.0368593171979</v>
      </c>
      <c r="E236" s="109">
        <f t="shared" si="3"/>
        <v>77669.189501176981</v>
      </c>
    </row>
    <row r="237" spans="2:5" ht="11.65" customHeight="1" x14ac:dyDescent="0.2">
      <c r="B237" s="107">
        <f>CAT!A232</f>
        <v>226</v>
      </c>
      <c r="C237" s="108">
        <f>CAT!B232</f>
        <v>77669.189501176981</v>
      </c>
      <c r="D237" s="108">
        <f>CAT!C232</f>
        <v>4903.6351041168555</v>
      </c>
      <c r="E237" s="109">
        <f t="shared" si="3"/>
        <v>72765.554397060128</v>
      </c>
    </row>
    <row r="238" spans="2:5" ht="11.65" customHeight="1" x14ac:dyDescent="0.2">
      <c r="B238" s="107">
        <f>CAT!A233</f>
        <v>227</v>
      </c>
      <c r="C238" s="108">
        <f>CAT!B233</f>
        <v>72765.554397060128</v>
      </c>
      <c r="D238" s="108">
        <f>CAT!C233</f>
        <v>4941.5238580213318</v>
      </c>
      <c r="E238" s="109">
        <f t="shared" si="3"/>
        <v>67824.030539038795</v>
      </c>
    </row>
    <row r="239" spans="2:5" ht="11.65" customHeight="1" x14ac:dyDescent="0.2">
      <c r="B239" s="110">
        <f>CAT!A234</f>
        <v>228</v>
      </c>
      <c r="C239" s="111">
        <f>CAT!B234</f>
        <v>67824.030539038795</v>
      </c>
      <c r="D239" s="111">
        <f>CAT!C234</f>
        <v>4979.7053656976432</v>
      </c>
      <c r="E239" s="112">
        <f t="shared" si="3"/>
        <v>62844.325173341153</v>
      </c>
    </row>
    <row r="240" spans="2:5" ht="11.65" customHeight="1" x14ac:dyDescent="0.2">
      <c r="B240" s="103">
        <f>CAT!A235</f>
        <v>229</v>
      </c>
      <c r="C240" s="104">
        <f>CAT!B235</f>
        <v>62844.325173341153</v>
      </c>
      <c r="D240" s="105">
        <f>CAT!C235</f>
        <v>5018.1818891565999</v>
      </c>
      <c r="E240" s="106">
        <f t="shared" si="3"/>
        <v>57826.143284184553</v>
      </c>
    </row>
    <row r="241" spans="2:5" ht="11.65" customHeight="1" x14ac:dyDescent="0.2">
      <c r="B241" s="107">
        <f>CAT!A236</f>
        <v>230</v>
      </c>
      <c r="C241" s="108">
        <f>CAT!B236</f>
        <v>57826.143284184553</v>
      </c>
      <c r="D241" s="108">
        <f>CAT!C236</f>
        <v>5056.9557078868174</v>
      </c>
      <c r="E241" s="109">
        <f t="shared" si="3"/>
        <v>52769.187576297736</v>
      </c>
    </row>
    <row r="242" spans="2:5" ht="11.65" customHeight="1" x14ac:dyDescent="0.2">
      <c r="B242" s="107">
        <f>CAT!A237</f>
        <v>231</v>
      </c>
      <c r="C242" s="108">
        <f>CAT!B237</f>
        <v>52769.187576297736</v>
      </c>
      <c r="D242" s="108">
        <f>CAT!C237</f>
        <v>5096.0291189897562</v>
      </c>
      <c r="E242" s="109">
        <f t="shared" si="3"/>
        <v>47673.158457307982</v>
      </c>
    </row>
    <row r="243" spans="2:5" ht="11.65" customHeight="1" x14ac:dyDescent="0.2">
      <c r="B243" s="107">
        <f>CAT!A238</f>
        <v>232</v>
      </c>
      <c r="C243" s="108">
        <f>CAT!B238</f>
        <v>47673.158457307982</v>
      </c>
      <c r="D243" s="108">
        <f>CAT!C238</f>
        <v>5135.4044373158167</v>
      </c>
      <c r="E243" s="109">
        <f t="shared" si="3"/>
        <v>42537.754019992164</v>
      </c>
    </row>
    <row r="244" spans="2:5" ht="11.65" customHeight="1" x14ac:dyDescent="0.2">
      <c r="B244" s="107">
        <f>CAT!A239</f>
        <v>233</v>
      </c>
      <c r="C244" s="108">
        <f>CAT!B239</f>
        <v>42537.754019992164</v>
      </c>
      <c r="D244" s="108">
        <f>CAT!C239</f>
        <v>5175.083995601477</v>
      </c>
      <c r="E244" s="109">
        <f t="shared" si="3"/>
        <v>37362.670024390689</v>
      </c>
    </row>
    <row r="245" spans="2:5" ht="11.65" customHeight="1" x14ac:dyDescent="0.2">
      <c r="B245" s="107">
        <f>CAT!A240</f>
        <v>234</v>
      </c>
      <c r="C245" s="108">
        <f>CAT!B240</f>
        <v>37362.670024390689</v>
      </c>
      <c r="D245" s="108">
        <f>CAT!C240</f>
        <v>5215.0701446074909</v>
      </c>
      <c r="E245" s="109">
        <f t="shared" si="3"/>
        <v>32147.5998797832</v>
      </c>
    </row>
    <row r="246" spans="2:5" ht="11.65" customHeight="1" x14ac:dyDescent="0.2">
      <c r="B246" s="107">
        <f>CAT!A241</f>
        <v>235</v>
      </c>
      <c r="C246" s="108">
        <f>CAT!B241</f>
        <v>32147.5998797832</v>
      </c>
      <c r="D246" s="108">
        <f>CAT!C241</f>
        <v>5255.3652532581582</v>
      </c>
      <c r="E246" s="109">
        <f t="shared" si="3"/>
        <v>26892.234626525042</v>
      </c>
    </row>
    <row r="247" spans="2:5" ht="11.65" customHeight="1" x14ac:dyDescent="0.2">
      <c r="B247" s="107">
        <f>CAT!A242</f>
        <v>236</v>
      </c>
      <c r="C247" s="108">
        <f>CAT!B242</f>
        <v>26892.234626525042</v>
      </c>
      <c r="D247" s="108">
        <f>CAT!C242</f>
        <v>5295.9717087816662</v>
      </c>
      <c r="E247" s="109">
        <f t="shared" si="3"/>
        <v>21596.262917743377</v>
      </c>
    </row>
    <row r="248" spans="2:5" ht="11.65" customHeight="1" x14ac:dyDescent="0.2">
      <c r="B248" s="107">
        <f>CAT!A243</f>
        <v>237</v>
      </c>
      <c r="C248" s="108">
        <f>CAT!B243</f>
        <v>21596.262917743377</v>
      </c>
      <c r="D248" s="108">
        <f>CAT!C243</f>
        <v>5336.8919168515195</v>
      </c>
      <c r="E248" s="109">
        <f t="shared" si="3"/>
        <v>16259.371000891857</v>
      </c>
    </row>
    <row r="249" spans="2:5" ht="11.65" customHeight="1" x14ac:dyDescent="0.2">
      <c r="B249" s="107">
        <f>CAT!A244</f>
        <v>238</v>
      </c>
      <c r="C249" s="108">
        <f>CAT!B244</f>
        <v>16259.371000891857</v>
      </c>
      <c r="D249" s="108">
        <f>CAT!C244</f>
        <v>5378.1283017290589</v>
      </c>
      <c r="E249" s="109">
        <f t="shared" si="3"/>
        <v>10881.242699162798</v>
      </c>
    </row>
    <row r="250" spans="2:5" ht="11.65" customHeight="1" x14ac:dyDescent="0.2">
      <c r="B250" s="107">
        <f>CAT!A245</f>
        <v>239</v>
      </c>
      <c r="C250" s="108">
        <f>CAT!B245</f>
        <v>10881.242699162798</v>
      </c>
      <c r="D250" s="108">
        <f>CAT!C245</f>
        <v>5419.6833064070852</v>
      </c>
      <c r="E250" s="109">
        <f t="shared" si="3"/>
        <v>5461.5593927557129</v>
      </c>
    </row>
    <row r="251" spans="2:5" ht="11.65" customHeight="1" x14ac:dyDescent="0.2">
      <c r="B251" s="110">
        <f>CAT!A246</f>
        <v>240</v>
      </c>
      <c r="C251" s="111">
        <f>CAT!B246</f>
        <v>5461.5593927557129</v>
      </c>
      <c r="D251" s="111">
        <f>CAT!C246</f>
        <v>5461.5593927545906</v>
      </c>
      <c r="E251" s="112">
        <f t="shared" si="3"/>
        <v>1.1223164619877934E-9</v>
      </c>
    </row>
    <row r="252" spans="2:5" ht="11.65" customHeight="1" x14ac:dyDescent="0.2">
      <c r="B252" s="249"/>
      <c r="C252" s="249"/>
      <c r="D252" s="249"/>
      <c r="E252" s="249"/>
    </row>
  </sheetData>
  <sheetProtection algorithmName="SHA-512" hashValue="s6hkniGbTDS9IIavkcaKkiaXvzkt2pV5ToauK8waKsQppMFT95peIUHJXcN0Dr7OxGEuWPkQG5pKha6RfAN9ew==" saltValue="C7Hb4PskDlkCx4nBsAKoFg==" spinCount="100000" sheet="1"/>
  <mergeCells count="3">
    <mergeCell ref="C4:E4"/>
    <mergeCell ref="B10:E10"/>
    <mergeCell ref="B252:E252"/>
  </mergeCells>
  <printOptions horizontalCentered="1" verticalCentered="1"/>
  <pageMargins left="0.70866141732283472" right="0.70866141732283472" top="0.74803149606299213" bottom="0.74803149606299213" header="0.31496062992125984" footer="0.31496062992125984"/>
  <pageSetup paperSize="9" scale="88"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A4DD6-D4B9-403F-B1A9-38641F8A17A4}">
  <sheetPr codeName="Hoja17">
    <pageSetUpPr fitToPage="1"/>
  </sheetPr>
  <dimension ref="A1:M176"/>
  <sheetViews>
    <sheetView showGridLines="0" topLeftCell="A29" zoomScale="120" zoomScaleNormal="120" workbookViewId="0">
      <selection activeCell="C16" sqref="C16"/>
    </sheetView>
  </sheetViews>
  <sheetFormatPr baseColWidth="10" defaultColWidth="0" defaultRowHeight="15" zeroHeight="1" x14ac:dyDescent="0.25"/>
  <cols>
    <col min="1" max="1" width="26.85546875" style="117" customWidth="1"/>
    <col min="2" max="2" width="30.42578125" style="117" customWidth="1"/>
    <col min="3" max="3" width="13.42578125" style="117" customWidth="1"/>
    <col min="4" max="4" width="13" style="117" customWidth="1"/>
    <col min="5" max="5" width="28.140625" style="117" customWidth="1"/>
    <col min="6" max="6" width="1.140625" style="117" customWidth="1"/>
    <col min="7" max="7" width="11.42578125" style="117" hidden="1" customWidth="1"/>
    <col min="8" max="8" width="12.5703125" style="117" hidden="1" customWidth="1"/>
    <col min="9" max="10" width="11.42578125" style="117" hidden="1" customWidth="1"/>
    <col min="11" max="11" width="21.5703125" style="117" hidden="1" customWidth="1"/>
    <col min="12" max="16384" width="11.42578125" style="117" hidden="1"/>
  </cols>
  <sheetData>
    <row r="1" spans="1:8" ht="15.75" thickBot="1" x14ac:dyDescent="0.3"/>
    <row r="2" spans="1:8" x14ac:dyDescent="0.25">
      <c r="A2" s="250" t="s">
        <v>188</v>
      </c>
      <c r="B2" s="251"/>
      <c r="C2" s="251"/>
      <c r="D2" s="251"/>
      <c r="E2" s="252"/>
    </row>
    <row r="3" spans="1:8" x14ac:dyDescent="0.25">
      <c r="A3" s="253" t="s">
        <v>189</v>
      </c>
      <c r="B3" s="254"/>
      <c r="C3" s="146"/>
      <c r="D3" s="211" t="s">
        <v>190</v>
      </c>
      <c r="E3" s="147">
        <f>Carátula!F7</f>
        <v>45973</v>
      </c>
    </row>
    <row r="4" spans="1:8" x14ac:dyDescent="0.25">
      <c r="A4" s="148"/>
      <c r="B4" s="149"/>
      <c r="C4" s="149"/>
      <c r="D4" s="149"/>
      <c r="E4" s="150"/>
    </row>
    <row r="5" spans="1:8" x14ac:dyDescent="0.25">
      <c r="A5" s="255" t="s">
        <v>191</v>
      </c>
      <c r="B5" s="256"/>
      <c r="C5" s="256"/>
      <c r="D5" s="256"/>
      <c r="E5" s="257"/>
    </row>
    <row r="6" spans="1:8" x14ac:dyDescent="0.25">
      <c r="A6" s="258" t="s">
        <v>192</v>
      </c>
      <c r="B6" s="259"/>
      <c r="C6" s="259"/>
      <c r="D6" s="153" t="s">
        <v>193</v>
      </c>
      <c r="E6" s="212" t="s">
        <v>194</v>
      </c>
    </row>
    <row r="7" spans="1:8" x14ac:dyDescent="0.25">
      <c r="A7" s="154" t="s">
        <v>195</v>
      </c>
      <c r="B7" s="260" t="s">
        <v>196</v>
      </c>
      <c r="C7" s="260"/>
      <c r="D7" s="260"/>
      <c r="E7" s="261"/>
    </row>
    <row r="8" spans="1:8" x14ac:dyDescent="0.25">
      <c r="A8" s="262" t="s">
        <v>197</v>
      </c>
      <c r="B8" s="263"/>
      <c r="C8" s="263"/>
      <c r="D8" s="263"/>
      <c r="E8" s="264"/>
    </row>
    <row r="9" spans="1:8" x14ac:dyDescent="0.25">
      <c r="A9" s="262"/>
      <c r="B9" s="263"/>
      <c r="C9" s="263"/>
      <c r="D9" s="263"/>
      <c r="E9" s="264"/>
    </row>
    <row r="10" spans="1:8" x14ac:dyDescent="0.25">
      <c r="A10" s="262"/>
      <c r="B10" s="263"/>
      <c r="C10" s="263"/>
      <c r="D10" s="263"/>
      <c r="E10" s="264"/>
    </row>
    <row r="11" spans="1:8" x14ac:dyDescent="0.25">
      <c r="A11" s="262"/>
      <c r="B11" s="263"/>
      <c r="C11" s="263"/>
      <c r="D11" s="263"/>
      <c r="E11" s="264"/>
    </row>
    <row r="12" spans="1:8" x14ac:dyDescent="0.25">
      <c r="A12" s="262"/>
      <c r="B12" s="263"/>
      <c r="C12" s="263"/>
      <c r="D12" s="263"/>
      <c r="E12" s="264"/>
    </row>
    <row r="13" spans="1:8" x14ac:dyDescent="0.25">
      <c r="A13" s="262" t="s">
        <v>198</v>
      </c>
      <c r="B13" s="263"/>
      <c r="C13" s="263"/>
      <c r="D13" s="263"/>
      <c r="E13" s="264"/>
    </row>
    <row r="14" spans="1:8" x14ac:dyDescent="0.25">
      <c r="A14" s="262"/>
      <c r="B14" s="263"/>
      <c r="C14" s="263"/>
      <c r="D14" s="263"/>
      <c r="E14" s="264"/>
    </row>
    <row r="15" spans="1:8" x14ac:dyDescent="0.25">
      <c r="A15" s="271" t="s">
        <v>199</v>
      </c>
      <c r="B15" s="272"/>
      <c r="C15" s="152"/>
      <c r="D15" s="273" t="s">
        <v>200</v>
      </c>
      <c r="E15" s="274"/>
    </row>
    <row r="16" spans="1:8" ht="15" customHeight="1" x14ac:dyDescent="0.25">
      <c r="A16" s="157" t="s">
        <v>201</v>
      </c>
      <c r="B16" s="158" t="str">
        <f>Carátula!F13</f>
        <v>Tradicional</v>
      </c>
      <c r="C16" s="152"/>
      <c r="D16" s="275">
        <f>Carátula!D41</f>
        <v>0.11779231560064995</v>
      </c>
      <c r="E16" s="278" t="s">
        <v>202</v>
      </c>
      <c r="H16" s="117" t="str">
        <f>IF([1]Simulador!$F$9="Liquidez",[1]Simulador!$F$9,IF([1]Simulador!$F$9='[1]Tabla Parámetros'!$J$11,[1]Simulador!$F$9,'Oferta Vinculante'!$H$18))</f>
        <v>Adquisición Hipoteca (Hipoteca Fuerte)</v>
      </c>
    </row>
    <row r="17" spans="1:13" ht="27" customHeight="1" x14ac:dyDescent="0.25">
      <c r="A17" s="159" t="s">
        <v>1</v>
      </c>
      <c r="B17" s="160" t="str">
        <f>Carátula!I35</f>
        <v>Mejora de Hipoteca</v>
      </c>
      <c r="C17" s="152"/>
      <c r="D17" s="276"/>
      <c r="E17" s="279"/>
      <c r="H17" s="117" t="str">
        <f>[1]Simulador!$F$9</f>
        <v>Adquisición</v>
      </c>
      <c r="I17" s="117" t="s">
        <v>203</v>
      </c>
      <c r="J17" s="117" t="str">
        <f>[1]Simulador!$F$11</f>
        <v>Hipoteca Fuerte</v>
      </c>
    </row>
    <row r="18" spans="1:13" ht="15" customHeight="1" x14ac:dyDescent="0.25">
      <c r="A18" s="161" t="s">
        <v>204</v>
      </c>
      <c r="B18" s="162">
        <f>Carátula!F44</f>
        <v>600000</v>
      </c>
      <c r="C18" s="152"/>
      <c r="D18" s="276"/>
      <c r="E18" s="279"/>
      <c r="H18" s="117" t="str">
        <f>H17&amp;" "&amp;I17&amp;"("&amp;J17&amp;")"</f>
        <v>Adquisición Hipoteca (Hipoteca Fuerte)</v>
      </c>
    </row>
    <row r="19" spans="1:13" ht="15" customHeight="1" x14ac:dyDescent="0.25">
      <c r="A19" s="157" t="s">
        <v>205</v>
      </c>
      <c r="B19" s="163" t="s">
        <v>206</v>
      </c>
      <c r="C19" s="152"/>
      <c r="D19" s="276"/>
      <c r="E19" s="279"/>
    </row>
    <row r="20" spans="1:13" ht="15" customHeight="1" x14ac:dyDescent="0.25">
      <c r="A20" s="157" t="s">
        <v>207</v>
      </c>
      <c r="B20" s="163" t="s">
        <v>208</v>
      </c>
      <c r="C20" s="152"/>
      <c r="D20" s="276"/>
      <c r="E20" s="279"/>
    </row>
    <row r="21" spans="1:13" ht="15" customHeight="1" x14ac:dyDescent="0.25">
      <c r="A21" s="157" t="s">
        <v>209</v>
      </c>
      <c r="B21" s="164">
        <f>Carátula!F15</f>
        <v>1020000</v>
      </c>
      <c r="C21" s="152"/>
      <c r="D21" s="276"/>
      <c r="E21" s="279"/>
    </row>
    <row r="22" spans="1:13" ht="15" customHeight="1" x14ac:dyDescent="0.25">
      <c r="A22" s="157" t="s">
        <v>210</v>
      </c>
      <c r="B22" s="165">
        <f>IF(Carátula!I35="Liquidez",Carátula!N17,Carátula!N15)</f>
        <v>0.58823529411764708</v>
      </c>
      <c r="C22" s="152"/>
      <c r="D22" s="277"/>
      <c r="E22" s="280"/>
    </row>
    <row r="23" spans="1:13" ht="8.25" customHeight="1" x14ac:dyDescent="0.25">
      <c r="A23" s="166"/>
      <c r="B23" s="152"/>
      <c r="C23" s="152"/>
      <c r="D23" s="167"/>
      <c r="E23" s="168"/>
      <c r="H23" s="117" t="s">
        <v>211</v>
      </c>
    </row>
    <row r="24" spans="1:13" x14ac:dyDescent="0.25">
      <c r="A24" s="265" t="str">
        <f>H23&amp;I24</f>
        <v xml:space="preserve">Tasa de Interés Anual Fija </v>
      </c>
      <c r="B24" s="266"/>
      <c r="C24" s="152"/>
      <c r="D24" s="281" t="s">
        <v>212</v>
      </c>
      <c r="E24" s="282"/>
      <c r="I24" s="117" t="str">
        <f>IF([1]Simulador!$F$11='[1]Tabla Parámetros'!$O$4,"*"," ")</f>
        <v xml:space="preserve"> </v>
      </c>
    </row>
    <row r="25" spans="1:13" ht="22.5" x14ac:dyDescent="0.25">
      <c r="A25" s="157" t="s">
        <v>213</v>
      </c>
      <c r="B25" s="163" t="s">
        <v>214</v>
      </c>
      <c r="C25" s="152"/>
      <c r="D25" s="163" t="s">
        <v>215</v>
      </c>
      <c r="E25" s="170" t="s">
        <v>216</v>
      </c>
      <c r="K25" s="213" t="s">
        <v>217</v>
      </c>
    </row>
    <row r="26" spans="1:13" x14ac:dyDescent="0.25">
      <c r="A26" s="157" t="s">
        <v>218</v>
      </c>
      <c r="B26" s="165">
        <f>Carátula!E39</f>
        <v>9.1499999999999998E-2</v>
      </c>
      <c r="C26" s="152"/>
      <c r="E26" s="214"/>
      <c r="K26" s="117" t="str">
        <f>IF([1]Simulador!$F$9='[1]Tabla Parámetros'!$J$7,'Oferta Vinculante'!$K$25,IF([1]Simulador!$F$9='[1]Tabla Parámetros'!$J$8,'Oferta Vinculante'!$K$25,IF([1]Simulador!$F$9='[1]Tabla Parámetros'!$J$9,'Oferta Vinculante'!$K$25,"No Aplica")))</f>
        <v>No Aplica</v>
      </c>
    </row>
    <row r="27" spans="1:13" x14ac:dyDescent="0.25">
      <c r="A27" s="157" t="s">
        <v>219</v>
      </c>
      <c r="B27" s="165">
        <f>$B$26*2</f>
        <v>0.183</v>
      </c>
      <c r="C27" s="152"/>
      <c r="E27" s="214"/>
    </row>
    <row r="28" spans="1:13" ht="6.75" customHeight="1" x14ac:dyDescent="0.25">
      <c r="A28" s="151"/>
      <c r="B28" s="152"/>
      <c r="C28" s="152"/>
      <c r="E28" s="214"/>
      <c r="K28" s="117" t="s">
        <v>217</v>
      </c>
    </row>
    <row r="29" spans="1:13" x14ac:dyDescent="0.25">
      <c r="A29" s="169" t="s">
        <v>220</v>
      </c>
      <c r="B29" s="171">
        <f>Carátula!H29/12</f>
        <v>20</v>
      </c>
      <c r="C29" s="152"/>
      <c r="E29" s="214"/>
      <c r="K29" s="215">
        <f>[1]Simulador!$N$15</f>
        <v>0.01</v>
      </c>
    </row>
    <row r="30" spans="1:13" ht="6.75" customHeight="1" x14ac:dyDescent="0.25">
      <c r="A30" s="151"/>
      <c r="B30" s="152"/>
      <c r="C30" s="152"/>
      <c r="D30" s="152"/>
      <c r="E30" s="150"/>
    </row>
    <row r="31" spans="1:13" ht="15" customHeight="1" x14ac:dyDescent="0.25">
      <c r="A31" s="265" t="s">
        <v>221</v>
      </c>
      <c r="B31" s="266"/>
      <c r="C31" s="152"/>
      <c r="D31" s="267" t="e">
        <f>"Componentes y valores " &amp; VLOOKUP(2,NN.Catalogo,6) &amp; " del CAT"</f>
        <v>#REF!</v>
      </c>
      <c r="E31" s="268"/>
      <c r="K31" s="269" t="s">
        <v>222</v>
      </c>
      <c r="L31" s="270"/>
      <c r="M31" s="117" t="str">
        <f>IF([1]Simulador!$N$17="SI","Financiada",IF([1]Simulador!$N$17="NO","Contado",))</f>
        <v>Contado</v>
      </c>
    </row>
    <row r="32" spans="1:13" x14ac:dyDescent="0.25">
      <c r="A32" s="157" t="s">
        <v>223</v>
      </c>
      <c r="B32" s="172" t="s">
        <v>224</v>
      </c>
      <c r="C32" s="152"/>
      <c r="D32" s="269" t="str">
        <f>$K$31&amp;$M$31</f>
        <v>Contratación - crédito Contado</v>
      </c>
      <c r="E32" s="270"/>
      <c r="K32" s="269" t="s">
        <v>225</v>
      </c>
      <c r="L32" s="270"/>
      <c r="M32" s="216"/>
    </row>
    <row r="33" spans="1:12" x14ac:dyDescent="0.25">
      <c r="A33" s="157" t="s">
        <v>226</v>
      </c>
      <c r="B33" s="173" t="s">
        <v>208</v>
      </c>
      <c r="C33" s="152"/>
      <c r="D33" s="269" t="str">
        <f>K32&amp;" "&amp;M32</f>
        <v xml:space="preserve">Gastos de Preoriginación - avalúo hipotecario  </v>
      </c>
      <c r="E33" s="270"/>
      <c r="K33" s="269" t="s">
        <v>227</v>
      </c>
      <c r="L33" s="270"/>
    </row>
    <row r="34" spans="1:12" x14ac:dyDescent="0.25">
      <c r="A34" s="151"/>
      <c r="B34" s="152"/>
      <c r="C34" s="152"/>
      <c r="D34" s="269" t="s">
        <v>227</v>
      </c>
      <c r="E34" s="270"/>
      <c r="K34" s="269" t="s">
        <v>228</v>
      </c>
      <c r="L34" s="270"/>
    </row>
    <row r="35" spans="1:12" x14ac:dyDescent="0.25">
      <c r="A35" s="155" t="s">
        <v>229</v>
      </c>
      <c r="B35" s="156"/>
      <c r="C35" s="152"/>
      <c r="D35" s="269" t="s">
        <v>228</v>
      </c>
      <c r="E35" s="270"/>
      <c r="K35" s="292" t="s">
        <v>230</v>
      </c>
      <c r="L35" s="293"/>
    </row>
    <row r="36" spans="1:12" x14ac:dyDescent="0.25">
      <c r="A36" s="157" t="str">
        <f>K31</f>
        <v xml:space="preserve">Contratación - crédito </v>
      </c>
      <c r="B36" s="165">
        <v>0</v>
      </c>
      <c r="C36" s="152"/>
      <c r="D36" s="292" t="s">
        <v>230</v>
      </c>
      <c r="E36" s="293"/>
      <c r="K36" s="269" t="s">
        <v>231</v>
      </c>
      <c r="L36" s="270"/>
    </row>
    <row r="37" spans="1:12" ht="22.5" x14ac:dyDescent="0.25">
      <c r="A37" s="157" t="s">
        <v>232</v>
      </c>
      <c r="B37" s="174" t="s">
        <v>208</v>
      </c>
      <c r="C37" s="152"/>
      <c r="D37" s="269" t="s">
        <v>231</v>
      </c>
      <c r="E37" s="270"/>
      <c r="K37" s="269" t="s">
        <v>80</v>
      </c>
      <c r="L37" s="270"/>
    </row>
    <row r="38" spans="1:12" ht="22.5" x14ac:dyDescent="0.25">
      <c r="A38" s="175" t="s">
        <v>233</v>
      </c>
      <c r="B38" s="165" t="str">
        <f>K26</f>
        <v>No Aplica</v>
      </c>
      <c r="C38" s="152"/>
      <c r="D38" s="269" t="str">
        <f>K37</f>
        <v>Administración - autorización de crédito diferido</v>
      </c>
      <c r="E38" s="270"/>
    </row>
    <row r="39" spans="1:12" ht="22.5" x14ac:dyDescent="0.25">
      <c r="A39" s="157" t="s">
        <v>227</v>
      </c>
      <c r="B39" s="176">
        <f>Carátula!L30</f>
        <v>750</v>
      </c>
      <c r="C39" s="152"/>
      <c r="D39" s="283" t="e">
        <f>[2]Cotización!$B$89 &amp; VLOOKUP(3,NN.Catalogo,6)</f>
        <v>#REF!</v>
      </c>
      <c r="E39" s="284" t="e">
        <f>Monto_Devolución</f>
        <v>#REF!</v>
      </c>
    </row>
    <row r="40" spans="1:12" x14ac:dyDescent="0.25">
      <c r="A40" s="286" t="s">
        <v>234</v>
      </c>
      <c r="B40" s="288">
        <f>Carátula!L44</f>
        <v>299</v>
      </c>
      <c r="C40" s="152"/>
      <c r="D40" s="283"/>
      <c r="E40" s="285"/>
    </row>
    <row r="41" spans="1:12" x14ac:dyDescent="0.25">
      <c r="A41" s="287"/>
      <c r="B41" s="289"/>
      <c r="C41" s="152"/>
      <c r="D41" s="290" t="e">
        <f>IF(Mujer_Banorte="Sí","Servicio de Asistencias","")</f>
        <v>#REF!</v>
      </c>
      <c r="E41" s="291"/>
      <c r="L41" s="117" t="s">
        <v>235</v>
      </c>
    </row>
    <row r="42" spans="1:12" x14ac:dyDescent="0.25">
      <c r="A42" s="157" t="s">
        <v>236</v>
      </c>
      <c r="B42" s="177" t="s">
        <v>237</v>
      </c>
      <c r="C42" s="152"/>
      <c r="D42" s="290" t="e">
        <f>IF(Mujer_Banorte="Sí","Seguro de Enfermedades Graves y Momentos de Vida","")</f>
        <v>#REF!</v>
      </c>
      <c r="E42" s="291"/>
    </row>
    <row r="43" spans="1:12" ht="33.75" x14ac:dyDescent="0.25">
      <c r="A43" s="157" t="s">
        <v>238</v>
      </c>
      <c r="B43" s="174" t="s">
        <v>239</v>
      </c>
      <c r="C43" s="152"/>
      <c r="D43" s="290" t="e">
        <f>IF(Destino=Construcción,"Comisión por supervisión de obra contado","")</f>
        <v>#REF!</v>
      </c>
      <c r="E43" s="291"/>
    </row>
    <row r="44" spans="1:12" ht="7.5" customHeight="1" x14ac:dyDescent="0.25">
      <c r="A44" s="151"/>
      <c r="B44" s="152"/>
      <c r="C44" s="152"/>
      <c r="D44" s="152"/>
      <c r="E44" s="150"/>
    </row>
    <row r="45" spans="1:12" x14ac:dyDescent="0.25">
      <c r="A45" s="155" t="e">
        <f>"Seguros " &amp; VLOOKUP(4,NN.Catalogo,6)</f>
        <v>#REF!</v>
      </c>
      <c r="B45" s="156"/>
      <c r="C45" s="152"/>
      <c r="D45" s="281" t="s">
        <v>240</v>
      </c>
      <c r="E45" s="282"/>
      <c r="K45" s="117" t="s">
        <v>241</v>
      </c>
    </row>
    <row r="46" spans="1:12" ht="22.5" x14ac:dyDescent="0.25">
      <c r="A46" s="294" t="str">
        <f>[2]Tipo_Seguro!o.Leyenda_Vida</f>
        <v>Seguro de Vida, Enfermedades Graves y Momentos de Vida.</v>
      </c>
      <c r="B46" s="295" t="str">
        <f>"$"&amp;L47&amp;K47</f>
        <v>$360 No genera I.V.A.</v>
      </c>
      <c r="C46" s="152"/>
      <c r="D46" s="178" t="s">
        <v>242</v>
      </c>
      <c r="E46" s="179" t="str">
        <f>K46</f>
        <v>2.5  Al millar más I.V.A.</v>
      </c>
      <c r="H46" s="180">
        <f>Carátula!L28+Carátula!L29</f>
        <v>18431.034482758623</v>
      </c>
      <c r="I46" s="296" t="s">
        <v>243</v>
      </c>
      <c r="K46" s="117" t="str">
        <f>'[1]Tabla Parámetros'!Q90&amp;" "&amp;" "&amp;'Oferta Vinculante'!K45</f>
        <v>2.5  Al millar más I.V.A.</v>
      </c>
    </row>
    <row r="47" spans="1:12" x14ac:dyDescent="0.25">
      <c r="A47" s="294"/>
      <c r="B47" s="295"/>
      <c r="C47" s="152"/>
      <c r="D47" s="298" t="s">
        <v>244</v>
      </c>
      <c r="E47" s="181">
        <f>H46</f>
        <v>18431.034482758623</v>
      </c>
      <c r="I47" s="297"/>
      <c r="J47" s="217">
        <f>CAT!F7</f>
        <v>359.99999999999994</v>
      </c>
      <c r="K47" s="117" t="s">
        <v>245</v>
      </c>
      <c r="L47" s="217">
        <f>ROUNDUP(J47,2)</f>
        <v>360</v>
      </c>
    </row>
    <row r="48" spans="1:12" ht="15" customHeight="1" x14ac:dyDescent="0.25">
      <c r="A48" s="294" t="str">
        <f>[2]Tipo_Seguro!o.Leyenda_OV_Seguros_Daños</f>
        <v>Daños y Contenidos.</v>
      </c>
      <c r="B48" s="295" t="str">
        <f>"$"&amp;L48&amp;K48</f>
        <v>$172.35 I.V.A. incluido</v>
      </c>
      <c r="C48" s="152"/>
      <c r="D48" s="298"/>
      <c r="E48" s="299" t="str">
        <f>I46</f>
        <v xml:space="preserve"> (monto estimado en virtud de tratarse de cantidades determinadas por el Notario Público, Registro Público de la Propiedad respectivo, de acuerdo al monto de la operación).</v>
      </c>
      <c r="I48" s="297"/>
      <c r="J48" s="217">
        <f>CAT!G7</f>
        <v>172.34482758620689</v>
      </c>
      <c r="K48" s="117" t="s">
        <v>246</v>
      </c>
      <c r="L48" s="217">
        <f>ROUNDUP(J48,2)</f>
        <v>172.35</v>
      </c>
    </row>
    <row r="49" spans="1:9" x14ac:dyDescent="0.25">
      <c r="A49" s="294"/>
      <c r="B49" s="295"/>
      <c r="C49" s="152"/>
      <c r="D49" s="298"/>
      <c r="E49" s="299"/>
      <c r="I49" s="297"/>
    </row>
    <row r="50" spans="1:9" x14ac:dyDescent="0.25">
      <c r="A50" s="286" t="s">
        <v>247</v>
      </c>
      <c r="B50" s="313" t="s">
        <v>248</v>
      </c>
      <c r="C50" s="152"/>
      <c r="D50" s="298"/>
      <c r="E50" s="299"/>
      <c r="I50" s="297"/>
    </row>
    <row r="51" spans="1:9" x14ac:dyDescent="0.25">
      <c r="A51" s="312"/>
      <c r="B51" s="314"/>
      <c r="C51" s="152"/>
      <c r="D51" s="298"/>
      <c r="E51" s="299"/>
      <c r="I51" s="297"/>
    </row>
    <row r="52" spans="1:9" x14ac:dyDescent="0.25">
      <c r="A52" s="182" t="e">
        <f>IF(Mujer_Banorte="Sí","Seguro de Enfermedades Graves y Momentos de Vida","")</f>
        <v>#REF!</v>
      </c>
      <c r="B52" s="183" t="e">
        <f>IF(A52="","",""&amp;DOLLAR(+[2]Cotización!$D$209)&amp;" No genera I.V.A.")</f>
        <v>#REF!</v>
      </c>
      <c r="C52" s="152"/>
      <c r="D52" s="298"/>
      <c r="E52" s="299"/>
    </row>
    <row r="53" spans="1:9" x14ac:dyDescent="0.25">
      <c r="A53" s="300" t="s">
        <v>249</v>
      </c>
      <c r="B53" s="301"/>
      <c r="C53" s="301"/>
      <c r="D53" s="301"/>
      <c r="E53" s="302"/>
    </row>
    <row r="54" spans="1:9" x14ac:dyDescent="0.25">
      <c r="A54" s="300" t="s">
        <v>250</v>
      </c>
      <c r="B54" s="301"/>
      <c r="C54" s="301"/>
      <c r="D54" s="301"/>
      <c r="E54" s="302"/>
    </row>
    <row r="55" spans="1:9" x14ac:dyDescent="0.25">
      <c r="A55" s="300" t="s">
        <v>251</v>
      </c>
      <c r="B55" s="301"/>
      <c r="C55" s="301"/>
      <c r="D55" s="301"/>
      <c r="E55" s="302"/>
    </row>
    <row r="56" spans="1:9" x14ac:dyDescent="0.25">
      <c r="A56" s="300" t="s">
        <v>54</v>
      </c>
      <c r="B56" s="301"/>
      <c r="C56" s="301"/>
      <c r="D56" s="301"/>
      <c r="E56" s="302"/>
    </row>
    <row r="57" spans="1:9" x14ac:dyDescent="0.25">
      <c r="A57" s="300">
        <f>IF([1]Simulador!$F$11='[1]Tabla Parámetros'!$O$4,'Oferta Vinculante'!$I$57,'Oferta Vinculante'!I56)</f>
        <v>0</v>
      </c>
      <c r="B57" s="301"/>
      <c r="C57" s="301"/>
      <c r="D57" s="301"/>
      <c r="E57" s="302"/>
      <c r="I57" s="117" t="s">
        <v>252</v>
      </c>
    </row>
    <row r="58" spans="1:9" x14ac:dyDescent="0.25">
      <c r="A58" s="303" t="s">
        <v>253</v>
      </c>
      <c r="B58" s="304"/>
      <c r="C58" s="304"/>
      <c r="D58" s="304"/>
      <c r="E58" s="305"/>
    </row>
    <row r="59" spans="1:9" ht="7.5" customHeight="1" x14ac:dyDescent="0.25">
      <c r="A59" s="184"/>
      <c r="B59" s="185"/>
      <c r="C59" s="185"/>
      <c r="D59" s="185"/>
      <c r="E59" s="186"/>
    </row>
    <row r="60" spans="1:9" x14ac:dyDescent="0.25">
      <c r="A60" s="306" t="s">
        <v>254</v>
      </c>
      <c r="B60" s="307"/>
      <c r="C60" s="307"/>
      <c r="D60" s="307"/>
      <c r="E60" s="308"/>
    </row>
    <row r="61" spans="1:9" x14ac:dyDescent="0.25">
      <c r="A61" s="306"/>
      <c r="B61" s="307"/>
      <c r="C61" s="307"/>
      <c r="D61" s="307"/>
      <c r="E61" s="308"/>
    </row>
    <row r="62" spans="1:9" x14ac:dyDescent="0.25">
      <c r="A62" s="306"/>
      <c r="B62" s="307"/>
      <c r="C62" s="307"/>
      <c r="D62" s="307"/>
      <c r="E62" s="308"/>
    </row>
    <row r="63" spans="1:9" x14ac:dyDescent="0.25">
      <c r="A63" s="306"/>
      <c r="B63" s="307"/>
      <c r="C63" s="307"/>
      <c r="D63" s="307"/>
      <c r="E63" s="308"/>
    </row>
    <row r="64" spans="1:9" x14ac:dyDescent="0.25">
      <c r="A64" s="306" t="s">
        <v>255</v>
      </c>
      <c r="B64" s="309"/>
      <c r="C64" s="309"/>
      <c r="D64" s="309"/>
      <c r="E64" s="310"/>
    </row>
    <row r="65" spans="1:5" x14ac:dyDescent="0.25">
      <c r="A65" s="311"/>
      <c r="B65" s="309"/>
      <c r="C65" s="309"/>
      <c r="D65" s="309"/>
      <c r="E65" s="310"/>
    </row>
    <row r="66" spans="1:5" x14ac:dyDescent="0.25">
      <c r="A66" s="306" t="s">
        <v>256</v>
      </c>
      <c r="B66" s="307"/>
      <c r="C66" s="307"/>
      <c r="D66" s="307"/>
      <c r="E66" s="308"/>
    </row>
    <row r="67" spans="1:5" x14ac:dyDescent="0.25">
      <c r="A67" s="306"/>
      <c r="B67" s="307"/>
      <c r="C67" s="307"/>
      <c r="D67" s="307"/>
      <c r="E67" s="308"/>
    </row>
    <row r="68" spans="1:5" x14ac:dyDescent="0.25">
      <c r="A68" s="306" t="s">
        <v>257</v>
      </c>
      <c r="B68" s="307"/>
      <c r="C68" s="307"/>
      <c r="D68" s="307"/>
      <c r="E68" s="308"/>
    </row>
    <row r="69" spans="1:5" x14ac:dyDescent="0.25">
      <c r="A69" s="306"/>
      <c r="B69" s="307"/>
      <c r="C69" s="307"/>
      <c r="D69" s="307"/>
      <c r="E69" s="308"/>
    </row>
    <row r="70" spans="1:5" x14ac:dyDescent="0.25">
      <c r="A70" s="306"/>
      <c r="B70" s="307"/>
      <c r="C70" s="307"/>
      <c r="D70" s="307"/>
      <c r="E70" s="308"/>
    </row>
    <row r="71" spans="1:5" x14ac:dyDescent="0.25">
      <c r="A71" s="306" t="s">
        <v>258</v>
      </c>
      <c r="B71" s="307"/>
      <c r="C71" s="307"/>
      <c r="D71" s="307"/>
      <c r="E71" s="308"/>
    </row>
    <row r="72" spans="1:5" x14ac:dyDescent="0.25">
      <c r="A72" s="306">
        <f>_Inciso_Vigilancia</f>
        <v>0</v>
      </c>
      <c r="B72" s="307"/>
      <c r="C72" s="307"/>
      <c r="D72" s="307"/>
      <c r="E72" s="308"/>
    </row>
    <row r="73" spans="1:5" x14ac:dyDescent="0.25">
      <c r="A73" s="306" t="s">
        <v>259</v>
      </c>
      <c r="B73" s="307"/>
      <c r="C73" s="307"/>
      <c r="D73" s="307"/>
      <c r="E73" s="308"/>
    </row>
    <row r="74" spans="1:5" x14ac:dyDescent="0.25">
      <c r="A74" s="306"/>
      <c r="B74" s="307"/>
      <c r="C74" s="307"/>
      <c r="D74" s="307"/>
      <c r="E74" s="308"/>
    </row>
    <row r="75" spans="1:5" x14ac:dyDescent="0.25">
      <c r="A75" s="306" t="s">
        <v>260</v>
      </c>
      <c r="B75" s="307"/>
      <c r="C75" s="307"/>
      <c r="D75" s="307"/>
      <c r="E75" s="308"/>
    </row>
    <row r="76" spans="1:5" x14ac:dyDescent="0.25">
      <c r="A76" s="306"/>
      <c r="B76" s="307"/>
      <c r="C76" s="307"/>
      <c r="D76" s="307"/>
      <c r="E76" s="308"/>
    </row>
    <row r="77" spans="1:5" x14ac:dyDescent="0.25">
      <c r="A77" s="306" t="s">
        <v>261</v>
      </c>
      <c r="B77" s="307"/>
      <c r="C77" s="307"/>
      <c r="D77" s="307"/>
      <c r="E77" s="308"/>
    </row>
    <row r="78" spans="1:5" x14ac:dyDescent="0.25">
      <c r="A78" s="306"/>
      <c r="B78" s="307"/>
      <c r="C78" s="307"/>
      <c r="D78" s="307"/>
      <c r="E78" s="308"/>
    </row>
    <row r="79" spans="1:5" x14ac:dyDescent="0.25">
      <c r="A79" s="306" t="s">
        <v>262</v>
      </c>
      <c r="B79" s="307"/>
      <c r="C79" s="307"/>
      <c r="D79" s="307"/>
      <c r="E79" s="308"/>
    </row>
    <row r="80" spans="1:5" x14ac:dyDescent="0.25">
      <c r="A80" s="306"/>
      <c r="B80" s="307"/>
      <c r="C80" s="307"/>
      <c r="D80" s="307"/>
      <c r="E80" s="308"/>
    </row>
    <row r="81" spans="1:5" x14ac:dyDescent="0.25">
      <c r="A81" s="306" t="s">
        <v>263</v>
      </c>
      <c r="B81" s="307"/>
      <c r="C81" s="307"/>
      <c r="D81" s="307"/>
      <c r="E81" s="308"/>
    </row>
    <row r="82" spans="1:5" x14ac:dyDescent="0.25">
      <c r="A82" s="306" t="s">
        <v>264</v>
      </c>
      <c r="B82" s="307"/>
      <c r="C82" s="307"/>
      <c r="D82" s="307"/>
      <c r="E82" s="308"/>
    </row>
    <row r="83" spans="1:5" x14ac:dyDescent="0.25">
      <c r="A83" s="306" t="s">
        <v>265</v>
      </c>
      <c r="B83" s="307"/>
      <c r="C83" s="307"/>
      <c r="D83" s="307"/>
      <c r="E83" s="308"/>
    </row>
    <row r="84" spans="1:5" x14ac:dyDescent="0.25">
      <c r="A84" s="306"/>
      <c r="B84" s="307"/>
      <c r="C84" s="307"/>
      <c r="D84" s="307"/>
      <c r="E84" s="308"/>
    </row>
    <row r="85" spans="1:5" x14ac:dyDescent="0.25">
      <c r="A85" s="315" t="s">
        <v>266</v>
      </c>
      <c r="B85" s="316"/>
      <c r="C85" s="316"/>
      <c r="D85" s="316"/>
      <c r="E85" s="317"/>
    </row>
    <row r="86" spans="1:5" x14ac:dyDescent="0.25">
      <c r="A86" s="315"/>
      <c r="B86" s="316"/>
      <c r="C86" s="316"/>
      <c r="D86" s="316"/>
      <c r="E86" s="317"/>
    </row>
    <row r="87" spans="1:5" x14ac:dyDescent="0.25">
      <c r="A87" s="187" t="s">
        <v>267</v>
      </c>
      <c r="B87" s="188"/>
      <c r="C87" s="188"/>
      <c r="D87" s="188"/>
      <c r="E87" s="189"/>
    </row>
    <row r="88" spans="1:5" x14ac:dyDescent="0.25">
      <c r="A88" s="318" t="s">
        <v>268</v>
      </c>
      <c r="B88" s="319"/>
      <c r="C88" s="319"/>
      <c r="D88" s="319"/>
      <c r="E88" s="320"/>
    </row>
    <row r="89" spans="1:5" x14ac:dyDescent="0.25">
      <c r="A89" s="318"/>
      <c r="B89" s="319"/>
      <c r="C89" s="319"/>
      <c r="D89" s="319"/>
      <c r="E89" s="320"/>
    </row>
    <row r="90" spans="1:5" x14ac:dyDescent="0.25">
      <c r="A90" s="318"/>
      <c r="B90" s="319"/>
      <c r="C90" s="319"/>
      <c r="D90" s="319"/>
      <c r="E90" s="320"/>
    </row>
    <row r="91" spans="1:5" x14ac:dyDescent="0.25">
      <c r="A91" s="321" t="s">
        <v>269</v>
      </c>
      <c r="B91" s="322"/>
      <c r="C91" s="322"/>
      <c r="D91" s="322"/>
      <c r="E91" s="323"/>
    </row>
    <row r="92" spans="1:5" x14ac:dyDescent="0.25">
      <c r="A92" s="324"/>
      <c r="B92" s="322"/>
      <c r="C92" s="322"/>
      <c r="D92" s="322"/>
      <c r="E92" s="323"/>
    </row>
    <row r="93" spans="1:5" x14ac:dyDescent="0.25">
      <c r="A93" s="324"/>
      <c r="B93" s="322"/>
      <c r="C93" s="322"/>
      <c r="D93" s="322"/>
      <c r="E93" s="323"/>
    </row>
    <row r="94" spans="1:5" x14ac:dyDescent="0.25">
      <c r="A94" s="325"/>
      <c r="B94" s="326"/>
      <c r="C94" s="326"/>
      <c r="D94" s="326"/>
      <c r="E94" s="327"/>
    </row>
    <row r="95" spans="1:5" x14ac:dyDescent="0.25">
      <c r="A95" s="340" t="s">
        <v>270</v>
      </c>
      <c r="B95" s="341"/>
      <c r="C95" s="341"/>
      <c r="D95" s="341"/>
      <c r="E95" s="342"/>
    </row>
    <row r="96" spans="1:5" x14ac:dyDescent="0.25">
      <c r="A96" s="343"/>
      <c r="B96" s="344"/>
      <c r="C96" s="344"/>
      <c r="D96" s="344"/>
      <c r="E96" s="345"/>
    </row>
    <row r="97" spans="1:5" x14ac:dyDescent="0.25">
      <c r="A97" s="346" t="s">
        <v>271</v>
      </c>
      <c r="B97" s="347"/>
      <c r="C97" s="347"/>
      <c r="D97" s="347"/>
      <c r="E97" s="348"/>
    </row>
    <row r="98" spans="1:5" x14ac:dyDescent="0.25">
      <c r="A98" s="349"/>
      <c r="B98" s="350"/>
      <c r="C98" s="350"/>
      <c r="D98" s="350"/>
      <c r="E98" s="351"/>
    </row>
    <row r="99" spans="1:5" x14ac:dyDescent="0.25">
      <c r="A99" s="343" t="s">
        <v>272</v>
      </c>
      <c r="B99" s="344"/>
      <c r="C99" s="344"/>
      <c r="D99" s="344"/>
      <c r="E99" s="345"/>
    </row>
    <row r="100" spans="1:5" x14ac:dyDescent="0.25">
      <c r="A100" s="352" t="s">
        <v>273</v>
      </c>
      <c r="B100" s="353"/>
      <c r="C100" s="353"/>
      <c r="D100" s="353"/>
      <c r="E100" s="354"/>
    </row>
    <row r="101" spans="1:5" x14ac:dyDescent="0.25">
      <c r="A101" s="262"/>
      <c r="B101" s="263"/>
      <c r="C101" s="263"/>
      <c r="D101" s="263"/>
      <c r="E101" s="264"/>
    </row>
    <row r="102" spans="1:5" x14ac:dyDescent="0.25">
      <c r="A102" s="262"/>
      <c r="B102" s="263"/>
      <c r="C102" s="263"/>
      <c r="D102" s="263"/>
      <c r="E102" s="264"/>
    </row>
    <row r="103" spans="1:5" x14ac:dyDescent="0.25">
      <c r="A103" s="262"/>
      <c r="B103" s="263"/>
      <c r="C103" s="263"/>
      <c r="D103" s="263"/>
      <c r="E103" s="264"/>
    </row>
    <row r="104" spans="1:5" x14ac:dyDescent="0.25">
      <c r="A104" s="355"/>
      <c r="B104" s="356"/>
      <c r="C104" s="356"/>
      <c r="D104" s="356"/>
      <c r="E104" s="357"/>
    </row>
    <row r="105" spans="1:5" x14ac:dyDescent="0.25">
      <c r="A105" s="358" t="s">
        <v>274</v>
      </c>
      <c r="B105" s="359"/>
      <c r="C105" s="359"/>
      <c r="D105" s="359"/>
      <c r="E105" s="360"/>
    </row>
    <row r="106" spans="1:5" x14ac:dyDescent="0.25">
      <c r="A106" s="262" t="s">
        <v>275</v>
      </c>
      <c r="B106" s="263"/>
      <c r="C106" s="263"/>
      <c r="D106" s="263"/>
      <c r="E106" s="264"/>
    </row>
    <row r="107" spans="1:5" x14ac:dyDescent="0.25">
      <c r="A107" s="262"/>
      <c r="B107" s="263"/>
      <c r="C107" s="263"/>
      <c r="D107" s="263"/>
      <c r="E107" s="264"/>
    </row>
    <row r="108" spans="1:5" x14ac:dyDescent="0.25">
      <c r="A108" s="262"/>
      <c r="B108" s="263"/>
      <c r="C108" s="263"/>
      <c r="D108" s="263"/>
      <c r="E108" s="264"/>
    </row>
    <row r="109" spans="1:5" x14ac:dyDescent="0.25">
      <c r="A109" s="262" t="s">
        <v>276</v>
      </c>
      <c r="B109" s="263"/>
      <c r="C109" s="263"/>
      <c r="D109" s="263"/>
      <c r="E109" s="264"/>
    </row>
    <row r="110" spans="1:5" x14ac:dyDescent="0.25">
      <c r="A110" s="262"/>
      <c r="B110" s="263"/>
      <c r="C110" s="263"/>
      <c r="D110" s="263"/>
      <c r="E110" s="264"/>
    </row>
    <row r="111" spans="1:5" x14ac:dyDescent="0.25">
      <c r="A111" s="262"/>
      <c r="B111" s="263"/>
      <c r="C111" s="263"/>
      <c r="D111" s="263"/>
      <c r="E111" s="264"/>
    </row>
    <row r="112" spans="1:5" x14ac:dyDescent="0.25">
      <c r="A112" s="262" t="s">
        <v>277</v>
      </c>
      <c r="B112" s="263"/>
      <c r="C112" s="263"/>
      <c r="D112" s="263"/>
      <c r="E112" s="264"/>
    </row>
    <row r="113" spans="1:9" x14ac:dyDescent="0.25">
      <c r="A113" s="262"/>
      <c r="B113" s="263"/>
      <c r="C113" s="263"/>
      <c r="D113" s="263"/>
      <c r="E113" s="264"/>
    </row>
    <row r="114" spans="1:9" x14ac:dyDescent="0.25">
      <c r="A114" s="190" t="s">
        <v>278</v>
      </c>
      <c r="B114" s="191"/>
      <c r="C114" s="191"/>
      <c r="D114" s="191"/>
      <c r="E114" s="192"/>
    </row>
    <row r="115" spans="1:9" x14ac:dyDescent="0.25">
      <c r="A115" s="262" t="s">
        <v>279</v>
      </c>
      <c r="B115" s="263"/>
      <c r="C115" s="263"/>
      <c r="D115" s="263"/>
      <c r="E115" s="264"/>
    </row>
    <row r="116" spans="1:9" x14ac:dyDescent="0.25">
      <c r="A116" s="262"/>
      <c r="B116" s="263"/>
      <c r="C116" s="263"/>
      <c r="D116" s="263"/>
      <c r="E116" s="264"/>
    </row>
    <row r="117" spans="1:9" x14ac:dyDescent="0.25">
      <c r="A117" s="262"/>
      <c r="B117" s="263"/>
      <c r="C117" s="263"/>
      <c r="D117" s="263"/>
      <c r="E117" s="264"/>
    </row>
    <row r="118" spans="1:9" x14ac:dyDescent="0.25">
      <c r="A118" s="262" t="s">
        <v>280</v>
      </c>
      <c r="B118" s="263"/>
      <c r="C118" s="263"/>
      <c r="D118" s="263"/>
      <c r="E118" s="264"/>
    </row>
    <row r="119" spans="1:9" x14ac:dyDescent="0.25">
      <c r="A119" s="262"/>
      <c r="B119" s="263"/>
      <c r="C119" s="263"/>
      <c r="D119" s="263"/>
      <c r="E119" s="264"/>
    </row>
    <row r="120" spans="1:9" x14ac:dyDescent="0.25">
      <c r="A120" s="328" t="s">
        <v>281</v>
      </c>
      <c r="B120" s="329"/>
      <c r="C120" s="329"/>
      <c r="D120" s="329"/>
      <c r="E120" s="330"/>
    </row>
    <row r="121" spans="1:9" x14ac:dyDescent="0.25">
      <c r="A121" s="331"/>
      <c r="B121" s="332"/>
      <c r="C121" s="332"/>
      <c r="D121" s="332"/>
      <c r="E121" s="333"/>
      <c r="I121" s="117" t="str">
        <f>IF([1]Simulador!$F$19=180,$I$122,IF([1]Simulador!$F$19=240,$I$123,))</f>
        <v>Tasa de Interés Anual Inicial del 11.3%, pago al millar inicial de $9.57 con ajuste anual del 2.12%, este incremento anual del pago al millar se aplica directamente al capital del crédito.</v>
      </c>
    </row>
    <row r="122" spans="1:9" x14ac:dyDescent="0.25">
      <c r="A122" s="334">
        <f>IF([1]Simulador!$F$11='[1]Tabla Parámetros'!$O$4,'Oferta Vinculante'!$I$121,'Oferta Vinculante'!$I$120)</f>
        <v>0</v>
      </c>
      <c r="B122" s="335"/>
      <c r="C122" s="335"/>
      <c r="D122" s="335"/>
      <c r="E122" s="336"/>
      <c r="I122" s="117" t="s">
        <v>282</v>
      </c>
    </row>
    <row r="123" spans="1:9" x14ac:dyDescent="0.25">
      <c r="A123" s="337"/>
      <c r="B123" s="338"/>
      <c r="C123" s="338"/>
      <c r="D123" s="338"/>
      <c r="E123" s="339"/>
      <c r="I123" s="117" t="s">
        <v>283</v>
      </c>
    </row>
    <row r="124" spans="1:9" x14ac:dyDescent="0.25">
      <c r="A124" s="376" t="s">
        <v>284</v>
      </c>
      <c r="B124" s="377"/>
      <c r="C124" s="377"/>
      <c r="D124" s="377"/>
      <c r="E124" s="378"/>
    </row>
    <row r="125" spans="1:9" x14ac:dyDescent="0.25">
      <c r="A125" s="376"/>
      <c r="B125" s="377"/>
      <c r="C125" s="377"/>
      <c r="D125" s="377"/>
      <c r="E125" s="378"/>
    </row>
    <row r="126" spans="1:9" x14ac:dyDescent="0.25">
      <c r="A126" s="376"/>
      <c r="B126" s="377"/>
      <c r="C126" s="377"/>
      <c r="D126" s="377"/>
      <c r="E126" s="378"/>
    </row>
    <row r="127" spans="1:9" x14ac:dyDescent="0.25">
      <c r="A127" s="376"/>
      <c r="B127" s="377"/>
      <c r="C127" s="377"/>
      <c r="D127" s="377"/>
      <c r="E127" s="378"/>
    </row>
    <row r="128" spans="1:9" x14ac:dyDescent="0.25">
      <c r="A128" s="193"/>
      <c r="B128" s="152"/>
      <c r="C128" s="152"/>
      <c r="D128" s="152"/>
      <c r="E128" s="150"/>
    </row>
    <row r="129" spans="1:5" x14ac:dyDescent="0.25">
      <c r="A129" s="151"/>
      <c r="B129" s="152"/>
      <c r="C129" s="152"/>
      <c r="D129" s="194" t="str">
        <f>D3</f>
        <v>monterrey</v>
      </c>
      <c r="E129" s="195">
        <f>E3</f>
        <v>45973</v>
      </c>
    </row>
    <row r="130" spans="1:5" x14ac:dyDescent="0.25">
      <c r="A130" s="151"/>
      <c r="B130" s="152"/>
      <c r="C130" s="152"/>
      <c r="D130" s="196"/>
      <c r="E130" s="197"/>
    </row>
    <row r="131" spans="1:5" x14ac:dyDescent="0.25">
      <c r="A131" s="361" t="s">
        <v>285</v>
      </c>
      <c r="B131" s="362"/>
      <c r="C131" s="362"/>
      <c r="D131" s="362"/>
      <c r="E131" s="363"/>
    </row>
    <row r="132" spans="1:5" x14ac:dyDescent="0.25">
      <c r="A132" s="198"/>
      <c r="B132" s="153"/>
      <c r="C132" s="153"/>
      <c r="D132" s="153"/>
      <c r="E132" s="199"/>
    </row>
    <row r="133" spans="1:5" x14ac:dyDescent="0.25">
      <c r="A133" s="151"/>
      <c r="B133" s="152"/>
      <c r="C133" s="152"/>
      <c r="D133" s="196"/>
      <c r="E133" s="197"/>
    </row>
    <row r="134" spans="1:5" x14ac:dyDescent="0.25">
      <c r="A134" s="151"/>
      <c r="B134" s="152"/>
      <c r="C134" s="152"/>
      <c r="D134" s="196"/>
      <c r="E134" s="197"/>
    </row>
    <row r="135" spans="1:5" x14ac:dyDescent="0.25">
      <c r="A135" s="379" t="s">
        <v>286</v>
      </c>
      <c r="B135" s="380"/>
      <c r="C135" s="152"/>
      <c r="D135" s="380" t="s">
        <v>286</v>
      </c>
      <c r="E135" s="381"/>
    </row>
    <row r="136" spans="1:5" x14ac:dyDescent="0.25">
      <c r="A136" s="382" t="s">
        <v>287</v>
      </c>
      <c r="B136" s="383"/>
      <c r="C136" s="152"/>
      <c r="D136" s="383" t="s">
        <v>287</v>
      </c>
      <c r="E136" s="384"/>
    </row>
    <row r="137" spans="1:5" x14ac:dyDescent="0.25">
      <c r="A137" s="151"/>
      <c r="B137" s="152"/>
      <c r="C137" s="152"/>
      <c r="D137" s="200"/>
      <c r="E137" s="201"/>
    </row>
    <row r="138" spans="1:5" x14ac:dyDescent="0.25">
      <c r="A138" s="361" t="s">
        <v>288</v>
      </c>
      <c r="B138" s="362"/>
      <c r="C138" s="362"/>
      <c r="D138" s="362"/>
      <c r="E138" s="363"/>
    </row>
    <row r="139" spans="1:5" x14ac:dyDescent="0.25">
      <c r="A139" s="364"/>
      <c r="B139" s="365"/>
      <c r="C139" s="365"/>
      <c r="D139" s="365"/>
      <c r="E139" s="366"/>
    </row>
    <row r="140" spans="1:5" x14ac:dyDescent="0.25">
      <c r="A140" s="364"/>
      <c r="B140" s="365"/>
      <c r="C140" s="365"/>
      <c r="D140" s="365"/>
      <c r="E140" s="366"/>
    </row>
    <row r="141" spans="1:5" x14ac:dyDescent="0.25">
      <c r="A141" s="151"/>
      <c r="B141" s="152"/>
      <c r="C141" s="152"/>
      <c r="D141" s="152"/>
      <c r="E141" s="150"/>
    </row>
    <row r="142" spans="1:5" x14ac:dyDescent="0.25">
      <c r="A142" s="367" t="s">
        <v>289</v>
      </c>
      <c r="B142" s="368"/>
      <c r="C142" s="368"/>
      <c r="D142" s="368"/>
      <c r="E142" s="369"/>
    </row>
    <row r="143" spans="1:5" x14ac:dyDescent="0.25">
      <c r="A143" s="361" t="s">
        <v>290</v>
      </c>
      <c r="B143" s="362"/>
      <c r="C143" s="362"/>
      <c r="D143" s="362"/>
      <c r="E143" s="363"/>
    </row>
    <row r="144" spans="1:5" x14ac:dyDescent="0.25">
      <c r="A144" s="198"/>
      <c r="B144" s="153"/>
      <c r="C144" s="153"/>
      <c r="D144" s="153"/>
      <c r="E144" s="202"/>
    </row>
    <row r="145" spans="1:5" x14ac:dyDescent="0.25">
      <c r="A145" s="370" t="s">
        <v>278</v>
      </c>
      <c r="B145" s="371"/>
      <c r="C145" s="371"/>
      <c r="D145" s="371"/>
      <c r="E145" s="372"/>
    </row>
    <row r="146" spans="1:5" x14ac:dyDescent="0.25">
      <c r="A146" s="203"/>
      <c r="B146" s="204"/>
      <c r="C146" s="204"/>
      <c r="D146" s="204"/>
      <c r="E146" s="205"/>
    </row>
    <row r="147" spans="1:5" x14ac:dyDescent="0.25">
      <c r="A147" s="373" t="s">
        <v>291</v>
      </c>
      <c r="B147" s="374"/>
      <c r="C147" s="374"/>
      <c r="D147" s="374"/>
      <c r="E147" s="375"/>
    </row>
    <row r="148" spans="1:5" x14ac:dyDescent="0.25">
      <c r="A148" s="373"/>
      <c r="B148" s="374"/>
      <c r="C148" s="374"/>
      <c r="D148" s="374"/>
      <c r="E148" s="375"/>
    </row>
    <row r="149" spans="1:5" x14ac:dyDescent="0.25">
      <c r="A149" s="373"/>
      <c r="B149" s="374"/>
      <c r="C149" s="374"/>
      <c r="D149" s="374"/>
      <c r="E149" s="375"/>
    </row>
    <row r="150" spans="1:5" x14ac:dyDescent="0.25">
      <c r="A150" s="373" t="s">
        <v>292</v>
      </c>
      <c r="B150" s="374"/>
      <c r="C150" s="374"/>
      <c r="D150" s="374"/>
      <c r="E150" s="375"/>
    </row>
    <row r="151" spans="1:5" x14ac:dyDescent="0.25">
      <c r="A151" s="373"/>
      <c r="B151" s="374"/>
      <c r="C151" s="374"/>
      <c r="D151" s="374"/>
      <c r="E151" s="375"/>
    </row>
    <row r="152" spans="1:5" x14ac:dyDescent="0.25">
      <c r="A152" s="373" t="s">
        <v>293</v>
      </c>
      <c r="B152" s="374"/>
      <c r="C152" s="374"/>
      <c r="D152" s="374"/>
      <c r="E152" s="375"/>
    </row>
    <row r="153" spans="1:5" x14ac:dyDescent="0.25">
      <c r="A153" s="373"/>
      <c r="B153" s="374"/>
      <c r="C153" s="374"/>
      <c r="D153" s="374"/>
      <c r="E153" s="375"/>
    </row>
    <row r="154" spans="1:5" x14ac:dyDescent="0.25">
      <c r="A154" s="373"/>
      <c r="B154" s="374"/>
      <c r="C154" s="374"/>
      <c r="D154" s="374"/>
      <c r="E154" s="375"/>
    </row>
    <row r="155" spans="1:5" x14ac:dyDescent="0.25">
      <c r="A155" s="373" t="s">
        <v>294</v>
      </c>
      <c r="B155" s="374"/>
      <c r="C155" s="374"/>
      <c r="D155" s="374"/>
      <c r="E155" s="375"/>
    </row>
    <row r="156" spans="1:5" x14ac:dyDescent="0.25">
      <c r="A156" s="373"/>
      <c r="B156" s="374"/>
      <c r="C156" s="374"/>
      <c r="D156" s="374"/>
      <c r="E156" s="375"/>
    </row>
    <row r="157" spans="1:5" x14ac:dyDescent="0.25">
      <c r="A157" s="373"/>
      <c r="B157" s="374"/>
      <c r="C157" s="374"/>
      <c r="D157" s="374"/>
      <c r="E157" s="375"/>
    </row>
    <row r="158" spans="1:5" x14ac:dyDescent="0.25">
      <c r="A158" s="373" t="s">
        <v>295</v>
      </c>
      <c r="B158" s="374"/>
      <c r="C158" s="374"/>
      <c r="D158" s="374"/>
      <c r="E158" s="375"/>
    </row>
    <row r="159" spans="1:5" x14ac:dyDescent="0.25">
      <c r="A159" s="373"/>
      <c r="B159" s="374"/>
      <c r="C159" s="374"/>
      <c r="D159" s="374"/>
      <c r="E159" s="375"/>
    </row>
    <row r="160" spans="1:5" x14ac:dyDescent="0.25">
      <c r="A160" s="373"/>
      <c r="B160" s="374"/>
      <c r="C160" s="374"/>
      <c r="D160" s="374"/>
      <c r="E160" s="375"/>
    </row>
    <row r="161" spans="1:5" x14ac:dyDescent="0.25">
      <c r="A161" s="373" t="s">
        <v>296</v>
      </c>
      <c r="B161" s="374"/>
      <c r="C161" s="374"/>
      <c r="D161" s="374"/>
      <c r="E161" s="375"/>
    </row>
    <row r="162" spans="1:5" x14ac:dyDescent="0.25">
      <c r="A162" s="373"/>
      <c r="B162" s="374"/>
      <c r="C162" s="374"/>
      <c r="D162" s="374"/>
      <c r="E162" s="375"/>
    </row>
    <row r="163" spans="1:5" x14ac:dyDescent="0.25">
      <c r="A163" s="373"/>
      <c r="B163" s="374"/>
      <c r="C163" s="374"/>
      <c r="D163" s="374"/>
      <c r="E163" s="375"/>
    </row>
    <row r="164" spans="1:5" x14ac:dyDescent="0.25">
      <c r="A164" s="373" t="s">
        <v>297</v>
      </c>
      <c r="B164" s="374"/>
      <c r="C164" s="374"/>
      <c r="D164" s="374"/>
      <c r="E164" s="375"/>
    </row>
    <row r="165" spans="1:5" x14ac:dyDescent="0.25">
      <c r="A165" s="373"/>
      <c r="B165" s="374"/>
      <c r="C165" s="374"/>
      <c r="D165" s="374"/>
      <c r="E165" s="375"/>
    </row>
    <row r="166" spans="1:5" x14ac:dyDescent="0.25">
      <c r="A166" s="373"/>
      <c r="B166" s="374"/>
      <c r="C166" s="374"/>
      <c r="D166" s="374"/>
      <c r="E166" s="375"/>
    </row>
    <row r="167" spans="1:5" x14ac:dyDescent="0.25">
      <c r="A167" s="193"/>
      <c r="B167" s="167"/>
      <c r="C167" s="167"/>
      <c r="D167" s="167"/>
      <c r="E167" s="168"/>
    </row>
    <row r="168" spans="1:5" x14ac:dyDescent="0.25">
      <c r="A168" s="193"/>
      <c r="B168" s="167"/>
      <c r="C168" s="167"/>
      <c r="D168" s="206" t="str">
        <f>D129</f>
        <v>monterrey</v>
      </c>
      <c r="E168" s="207">
        <f>E129</f>
        <v>45973</v>
      </c>
    </row>
    <row r="169" spans="1:5" x14ac:dyDescent="0.25">
      <c r="A169" s="193"/>
      <c r="B169" s="167"/>
      <c r="C169" s="167"/>
      <c r="D169" s="167"/>
      <c r="E169" s="168"/>
    </row>
    <row r="170" spans="1:5" x14ac:dyDescent="0.25">
      <c r="A170" s="385" t="s">
        <v>298</v>
      </c>
      <c r="B170" s="386"/>
      <c r="C170" s="386"/>
      <c r="D170" s="386"/>
      <c r="E170" s="387"/>
    </row>
    <row r="171" spans="1:5" x14ac:dyDescent="0.25">
      <c r="A171" s="193"/>
      <c r="B171" s="167"/>
      <c r="C171" s="167"/>
      <c r="D171" s="167"/>
      <c r="E171" s="168"/>
    </row>
    <row r="172" spans="1:5" x14ac:dyDescent="0.25">
      <c r="A172" s="193"/>
      <c r="B172" s="167"/>
      <c r="C172" s="167"/>
      <c r="D172" s="167"/>
      <c r="E172" s="168"/>
    </row>
    <row r="173" spans="1:5" x14ac:dyDescent="0.25">
      <c r="A173" s="193"/>
      <c r="B173" s="167"/>
      <c r="C173" s="167"/>
      <c r="D173" s="167"/>
      <c r="E173" s="168"/>
    </row>
    <row r="174" spans="1:5" x14ac:dyDescent="0.25">
      <c r="A174" s="388" t="s">
        <v>289</v>
      </c>
      <c r="B174" s="389"/>
      <c r="C174" s="389"/>
      <c r="D174" s="389"/>
      <c r="E174" s="390"/>
    </row>
    <row r="175" spans="1:5" ht="15.75" thickBot="1" x14ac:dyDescent="0.3">
      <c r="A175" s="391" t="s">
        <v>290</v>
      </c>
      <c r="B175" s="392"/>
      <c r="C175" s="392"/>
      <c r="D175" s="392"/>
      <c r="E175" s="393"/>
    </row>
    <row r="176" spans="1:5" x14ac:dyDescent="0.25"/>
  </sheetData>
  <sheetProtection algorithmName="SHA-512" hashValue="tc/xlqu4YntLIeerpieaahRgx+fj25ZFiEydonHhBr+mBLm8dDjHPL3uVPx0IXKVJScUI+8Ci9g5ei4EFCifcw==" saltValue="24nhkA7yul/a40wme9gmeA==" spinCount="100000" sheet="1"/>
  <mergeCells count="101">
    <mergeCell ref="A170:E170"/>
    <mergeCell ref="A174:E174"/>
    <mergeCell ref="A175:E175"/>
    <mergeCell ref="A150:E151"/>
    <mergeCell ref="A152:E154"/>
    <mergeCell ref="A155:E157"/>
    <mergeCell ref="A158:E160"/>
    <mergeCell ref="A161:E163"/>
    <mergeCell ref="A164:E166"/>
    <mergeCell ref="A138:E138"/>
    <mergeCell ref="A139:E140"/>
    <mergeCell ref="A142:E142"/>
    <mergeCell ref="A143:E143"/>
    <mergeCell ref="A145:E145"/>
    <mergeCell ref="A147:E149"/>
    <mergeCell ref="A124:E127"/>
    <mergeCell ref="A131:E131"/>
    <mergeCell ref="A135:B135"/>
    <mergeCell ref="D135:E135"/>
    <mergeCell ref="A136:B136"/>
    <mergeCell ref="D136:E136"/>
    <mergeCell ref="A109:E111"/>
    <mergeCell ref="A112:E113"/>
    <mergeCell ref="A115:E117"/>
    <mergeCell ref="A118:E119"/>
    <mergeCell ref="A120:E121"/>
    <mergeCell ref="A122:E123"/>
    <mergeCell ref="A95:E96"/>
    <mergeCell ref="A97:E98"/>
    <mergeCell ref="A99:E99"/>
    <mergeCell ref="A100:E104"/>
    <mergeCell ref="A105:E105"/>
    <mergeCell ref="A106:E108"/>
    <mergeCell ref="A81:E81"/>
    <mergeCell ref="A82:E82"/>
    <mergeCell ref="A83:E84"/>
    <mergeCell ref="A85:E86"/>
    <mergeCell ref="A88:E90"/>
    <mergeCell ref="A91:E94"/>
    <mergeCell ref="A71:E71"/>
    <mergeCell ref="A72:E72"/>
    <mergeCell ref="A73:E74"/>
    <mergeCell ref="A75:E76"/>
    <mergeCell ref="A77:E78"/>
    <mergeCell ref="A79:E80"/>
    <mergeCell ref="A57:E57"/>
    <mergeCell ref="A58:E58"/>
    <mergeCell ref="A60:E63"/>
    <mergeCell ref="A64:E65"/>
    <mergeCell ref="A66:E67"/>
    <mergeCell ref="A68:E70"/>
    <mergeCell ref="A50:A51"/>
    <mergeCell ref="B50:B51"/>
    <mergeCell ref="A53:E53"/>
    <mergeCell ref="A54:E54"/>
    <mergeCell ref="A55:E55"/>
    <mergeCell ref="A56:E56"/>
    <mergeCell ref="D42:E42"/>
    <mergeCell ref="D43:E43"/>
    <mergeCell ref="D45:E45"/>
    <mergeCell ref="A46:A47"/>
    <mergeCell ref="B46:B47"/>
    <mergeCell ref="I46:I51"/>
    <mergeCell ref="D47:D52"/>
    <mergeCell ref="A48:A49"/>
    <mergeCell ref="B48:B49"/>
    <mergeCell ref="E48:E52"/>
    <mergeCell ref="D37:E37"/>
    <mergeCell ref="K37:L37"/>
    <mergeCell ref="D38:E38"/>
    <mergeCell ref="D39:D40"/>
    <mergeCell ref="E39:E40"/>
    <mergeCell ref="A40:A41"/>
    <mergeCell ref="B40:B41"/>
    <mergeCell ref="D41:E41"/>
    <mergeCell ref="D34:E34"/>
    <mergeCell ref="K34:L34"/>
    <mergeCell ref="D35:E35"/>
    <mergeCell ref="K35:L35"/>
    <mergeCell ref="D36:E36"/>
    <mergeCell ref="K36:L36"/>
    <mergeCell ref="D32:E32"/>
    <mergeCell ref="K32:L32"/>
    <mergeCell ref="D33:E33"/>
    <mergeCell ref="K33:L33"/>
    <mergeCell ref="A13:E14"/>
    <mergeCell ref="A15:B15"/>
    <mergeCell ref="D15:E15"/>
    <mergeCell ref="D16:D22"/>
    <mergeCell ref="E16:E22"/>
    <mergeCell ref="A24:B24"/>
    <mergeCell ref="D24:E24"/>
    <mergeCell ref="A2:E2"/>
    <mergeCell ref="A3:B3"/>
    <mergeCell ref="A5:E5"/>
    <mergeCell ref="A6:C6"/>
    <mergeCell ref="B7:E7"/>
    <mergeCell ref="A8:E12"/>
    <mergeCell ref="A31:B31"/>
    <mergeCell ref="D31:E31"/>
    <mergeCell ref="K31:L31"/>
  </mergeCells>
  <conditionalFormatting sqref="B40:B41">
    <cfRule type="expression" dxfId="2" priority="2">
      <formula>OR(ixProducto=C_,Destino=Liquidez,Destino=Terreno)</formula>
    </cfRule>
  </conditionalFormatting>
  <conditionalFormatting sqref="D41:E43">
    <cfRule type="expression" dxfId="1" priority="1">
      <formula>Destino=Construcción</formula>
    </cfRule>
  </conditionalFormatting>
  <pageMargins left="0.7" right="0.7" top="0.75" bottom="0.75" header="0.3" footer="0.3"/>
  <pageSetup scale="81"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07559-2AED-4E25-BCDE-0EF6BC2137BB}">
  <sheetPr codeName="Hoja6"/>
  <dimension ref="A1:N363"/>
  <sheetViews>
    <sheetView workbookViewId="0">
      <selection activeCell="G17" sqref="G17"/>
    </sheetView>
  </sheetViews>
  <sheetFormatPr baseColWidth="10" defaultColWidth="11.42578125" defaultRowHeight="11.25" x14ac:dyDescent="0.2"/>
  <cols>
    <col min="1" max="1" width="19" style="24" bestFit="1" customWidth="1"/>
    <col min="2" max="2" width="11.42578125" style="24"/>
    <col min="3" max="3" width="8.7109375" style="24" bestFit="1" customWidth="1"/>
    <col min="4" max="4" width="4.42578125" style="24" bestFit="1" customWidth="1"/>
    <col min="5" max="5" width="5.28515625" style="24" customWidth="1"/>
    <col min="6" max="6" width="10.28515625" style="24" bestFit="1" customWidth="1"/>
    <col min="7" max="9" width="11.42578125" style="24"/>
    <col min="10" max="11" width="13.42578125" style="24" bestFit="1" customWidth="1"/>
    <col min="12" max="12" width="16.140625" style="24" bestFit="1" customWidth="1"/>
    <col min="13" max="16384" width="11.42578125" style="24"/>
  </cols>
  <sheetData>
    <row r="1" spans="1:14" x14ac:dyDescent="0.2">
      <c r="A1" s="24" t="s">
        <v>84</v>
      </c>
      <c r="B1" s="25">
        <v>3</v>
      </c>
      <c r="D1" s="26"/>
      <c r="E1" s="27"/>
      <c r="F1" s="24" t="s">
        <v>85</v>
      </c>
      <c r="G1" s="24" t="s">
        <v>14</v>
      </c>
      <c r="H1" s="28">
        <f>Carátula!$H$29</f>
        <v>240</v>
      </c>
      <c r="J1" s="29"/>
      <c r="L1" s="30"/>
    </row>
    <row r="2" spans="1:14" x14ac:dyDescent="0.2">
      <c r="A2" s="24" t="s">
        <v>86</v>
      </c>
      <c r="B2" s="31">
        <f>Carátula!$F$7</f>
        <v>45973</v>
      </c>
      <c r="E2" s="32"/>
      <c r="F2" s="24" t="s">
        <v>87</v>
      </c>
      <c r="G2" s="24" t="s">
        <v>88</v>
      </c>
      <c r="H2" s="24">
        <v>30.4</v>
      </c>
      <c r="N2" s="24">
        <f>IF(OR(B3=30,B3=31),30,0)</f>
        <v>0</v>
      </c>
    </row>
    <row r="3" spans="1:14" x14ac:dyDescent="0.2">
      <c r="A3" s="24" t="s">
        <v>89</v>
      </c>
      <c r="B3" s="33">
        <f>DAY($B$2)</f>
        <v>12</v>
      </c>
      <c r="C3" s="32">
        <f>B3</f>
        <v>12</v>
      </c>
      <c r="D3" s="32">
        <f>$B3-$C3</f>
        <v>0</v>
      </c>
      <c r="J3" s="34"/>
      <c r="K3" s="35">
        <f>B2</f>
        <v>45973</v>
      </c>
      <c r="L3" s="36" t="s">
        <v>90</v>
      </c>
    </row>
    <row r="4" spans="1:14" x14ac:dyDescent="0.2">
      <c r="A4" s="24" t="s">
        <v>91</v>
      </c>
      <c r="B4" s="33">
        <f>MONTH($B$2)</f>
        <v>11</v>
      </c>
      <c r="C4" s="32">
        <f>B4</f>
        <v>11</v>
      </c>
      <c r="D4" s="32">
        <f>$B4-$C4</f>
        <v>0</v>
      </c>
      <c r="J4" s="37">
        <v>1</v>
      </c>
      <c r="K4" s="38">
        <f>IF(($J$4:$J$363)&lt;=$H$1,(EOMONTH(K3,0)+$B$6+N2))</f>
        <v>45994</v>
      </c>
      <c r="L4" s="39">
        <f>$K$1:$K$363 - $B$2 + 1</f>
        <v>22</v>
      </c>
    </row>
    <row r="5" spans="1:14" x14ac:dyDescent="0.2">
      <c r="A5" s="24" t="s">
        <v>92</v>
      </c>
      <c r="B5" s="33">
        <f>YEAR($B$2)</f>
        <v>2025</v>
      </c>
      <c r="C5" s="32">
        <f>B5</f>
        <v>2025</v>
      </c>
      <c r="D5" s="32">
        <f>$B5-$C5</f>
        <v>0</v>
      </c>
      <c r="J5" s="37">
        <v>2</v>
      </c>
      <c r="K5" s="38">
        <f t="shared" ref="K5:K68" si="0">IF(($J$4:$J$363)&lt;=$H$1,(EOMONTH(K4,0)+$B$6))</f>
        <v>46025</v>
      </c>
      <c r="L5" s="40">
        <f>IF($J$4:$J$363 &lt;= $H$1,$H$2,"")</f>
        <v>30.4</v>
      </c>
    </row>
    <row r="6" spans="1:14" x14ac:dyDescent="0.2">
      <c r="A6" s="24" t="s">
        <v>93</v>
      </c>
      <c r="B6" s="25">
        <v>3</v>
      </c>
      <c r="D6" s="41" t="str">
        <f>IF(SUM($D$3:$D$5)&lt;&gt;0,"SI","NO")</f>
        <v>NO</v>
      </c>
      <c r="E6" s="24" t="s">
        <v>94</v>
      </c>
      <c r="J6" s="37">
        <v>3</v>
      </c>
      <c r="K6" s="38">
        <f t="shared" si="0"/>
        <v>46056</v>
      </c>
      <c r="L6" s="40">
        <f>IF($J$4:$J$363 &lt;= $H$1,$H$2,"")</f>
        <v>30.4</v>
      </c>
    </row>
    <row r="7" spans="1:14" x14ac:dyDescent="0.2">
      <c r="A7" s="24" t="s">
        <v>95</v>
      </c>
      <c r="B7" s="42">
        <f>MONTH(B2)+1</f>
        <v>12</v>
      </c>
      <c r="J7" s="37">
        <v>4</v>
      </c>
      <c r="K7" s="38">
        <f t="shared" si="0"/>
        <v>46084</v>
      </c>
      <c r="L7" s="40">
        <f t="shared" ref="L7:L70" si="1">IF($J$4:$J$363 &lt;= $H$1,$H$2,"")</f>
        <v>30.4</v>
      </c>
    </row>
    <row r="8" spans="1:14" x14ac:dyDescent="0.2">
      <c r="A8" s="24" t="s">
        <v>96</v>
      </c>
      <c r="B8" s="31">
        <f>DATE(B5,B7,B6)</f>
        <v>45994</v>
      </c>
      <c r="J8" s="37">
        <v>5</v>
      </c>
      <c r="K8" s="38">
        <f t="shared" si="0"/>
        <v>46115</v>
      </c>
      <c r="L8" s="40">
        <f t="shared" si="1"/>
        <v>30.4</v>
      </c>
    </row>
    <row r="9" spans="1:14" x14ac:dyDescent="0.2">
      <c r="B9" s="37" t="s">
        <v>97</v>
      </c>
      <c r="C9" s="37" t="s">
        <v>98</v>
      </c>
      <c r="D9" s="37" t="s">
        <v>99</v>
      </c>
      <c r="J9" s="37">
        <v>6</v>
      </c>
      <c r="K9" s="38">
        <f t="shared" si="0"/>
        <v>46145</v>
      </c>
      <c r="L9" s="40">
        <f t="shared" si="1"/>
        <v>30.4</v>
      </c>
    </row>
    <row r="10" spans="1:14" x14ac:dyDescent="0.2">
      <c r="B10" s="43">
        <f>B3</f>
        <v>12</v>
      </c>
      <c r="C10" s="43">
        <f>B4</f>
        <v>11</v>
      </c>
      <c r="D10" s="41">
        <f ca="1">VLOOKUP($D$11,$A$12:$D$42,4,FALSE)</f>
        <v>2026</v>
      </c>
      <c r="J10" s="37">
        <v>7</v>
      </c>
      <c r="K10" s="38">
        <f t="shared" si="0"/>
        <v>46176</v>
      </c>
      <c r="L10" s="40">
        <f t="shared" si="1"/>
        <v>30.4</v>
      </c>
    </row>
    <row r="11" spans="1:14" x14ac:dyDescent="0.2">
      <c r="D11" s="43">
        <v>1</v>
      </c>
      <c r="F11" s="44" t="s">
        <v>100</v>
      </c>
      <c r="G11" s="41">
        <f>+VLOOKUP(C4,E12:F23,2)</f>
        <v>30</v>
      </c>
      <c r="J11" s="37">
        <v>8</v>
      </c>
      <c r="K11" s="38">
        <f t="shared" si="0"/>
        <v>46206</v>
      </c>
      <c r="L11" s="40">
        <f t="shared" si="1"/>
        <v>30.4</v>
      </c>
    </row>
    <row r="12" spans="1:14" x14ac:dyDescent="0.2">
      <c r="A12" s="24">
        <v>1</v>
      </c>
      <c r="B12" s="24">
        <v>1</v>
      </c>
      <c r="C12" s="24" t="s">
        <v>101</v>
      </c>
      <c r="D12" s="37">
        <f ca="1">YEAR(TODAY())</f>
        <v>2026</v>
      </c>
      <c r="E12" s="37">
        <v>1</v>
      </c>
      <c r="F12" s="45">
        <v>31</v>
      </c>
      <c r="J12" s="37">
        <v>9</v>
      </c>
      <c r="K12" s="38">
        <f t="shared" si="0"/>
        <v>46237</v>
      </c>
      <c r="L12" s="40">
        <f t="shared" si="1"/>
        <v>30.4</v>
      </c>
    </row>
    <row r="13" spans="1:14" x14ac:dyDescent="0.2">
      <c r="A13" s="24">
        <v>2</v>
      </c>
      <c r="B13" s="32">
        <v>2</v>
      </c>
      <c r="C13" s="24" t="s">
        <v>102</v>
      </c>
      <c r="D13" s="37">
        <f ca="1">+D12+1</f>
        <v>2027</v>
      </c>
      <c r="E13" s="37">
        <v>2</v>
      </c>
      <c r="F13" s="45">
        <v>28</v>
      </c>
      <c r="J13" s="37">
        <v>10</v>
      </c>
      <c r="K13" s="38">
        <f t="shared" si="0"/>
        <v>46268</v>
      </c>
      <c r="L13" s="40">
        <f t="shared" si="1"/>
        <v>30.4</v>
      </c>
    </row>
    <row r="14" spans="1:14" x14ac:dyDescent="0.2">
      <c r="A14" s="24">
        <v>3</v>
      </c>
      <c r="B14" s="32">
        <v>3</v>
      </c>
      <c r="C14" s="24" t="s">
        <v>103</v>
      </c>
      <c r="D14" s="37">
        <f ca="1">+D13+1</f>
        <v>2028</v>
      </c>
      <c r="E14" s="37">
        <v>3</v>
      </c>
      <c r="F14" s="45">
        <v>31</v>
      </c>
      <c r="J14" s="37">
        <v>11</v>
      </c>
      <c r="K14" s="38">
        <f t="shared" si="0"/>
        <v>46298</v>
      </c>
      <c r="L14" s="40">
        <f t="shared" si="1"/>
        <v>30.4</v>
      </c>
    </row>
    <row r="15" spans="1:14" x14ac:dyDescent="0.2">
      <c r="A15" s="24">
        <v>4</v>
      </c>
      <c r="B15" s="32">
        <v>4</v>
      </c>
      <c r="C15" s="24" t="s">
        <v>104</v>
      </c>
      <c r="D15" s="37">
        <f ca="1">+D14+1</f>
        <v>2029</v>
      </c>
      <c r="E15" s="37">
        <v>4</v>
      </c>
      <c r="F15" s="45">
        <v>30</v>
      </c>
      <c r="J15" s="37">
        <v>12</v>
      </c>
      <c r="K15" s="38">
        <f t="shared" si="0"/>
        <v>46329</v>
      </c>
      <c r="L15" s="40">
        <f t="shared" si="1"/>
        <v>30.4</v>
      </c>
    </row>
    <row r="16" spans="1:14" x14ac:dyDescent="0.2">
      <c r="A16" s="24">
        <v>5</v>
      </c>
      <c r="B16" s="32">
        <v>5</v>
      </c>
      <c r="C16" s="24" t="s">
        <v>105</v>
      </c>
      <c r="D16" s="37">
        <f ca="1">+D15+1</f>
        <v>2030</v>
      </c>
      <c r="E16" s="37">
        <v>5</v>
      </c>
      <c r="F16" s="45">
        <v>31</v>
      </c>
      <c r="J16" s="37">
        <v>13</v>
      </c>
      <c r="K16" s="38">
        <f t="shared" si="0"/>
        <v>46359</v>
      </c>
      <c r="L16" s="40">
        <f t="shared" si="1"/>
        <v>30.4</v>
      </c>
    </row>
    <row r="17" spans="1:12" x14ac:dyDescent="0.2">
      <c r="A17" s="24">
        <v>6</v>
      </c>
      <c r="B17" s="32">
        <v>6</v>
      </c>
      <c r="C17" s="24" t="s">
        <v>106</v>
      </c>
      <c r="D17" s="37"/>
      <c r="E17" s="37">
        <v>6</v>
      </c>
      <c r="F17" s="45">
        <v>30</v>
      </c>
      <c r="J17" s="37">
        <v>14</v>
      </c>
      <c r="K17" s="38">
        <f t="shared" si="0"/>
        <v>46390</v>
      </c>
      <c r="L17" s="40">
        <f t="shared" si="1"/>
        <v>30.4</v>
      </c>
    </row>
    <row r="18" spans="1:12" x14ac:dyDescent="0.2">
      <c r="A18" s="24">
        <v>7</v>
      </c>
      <c r="B18" s="32">
        <v>7</v>
      </c>
      <c r="C18" s="24" t="s">
        <v>107</v>
      </c>
      <c r="D18" s="37"/>
      <c r="E18" s="37">
        <v>7</v>
      </c>
      <c r="F18" s="45">
        <v>31</v>
      </c>
      <c r="J18" s="37">
        <v>15</v>
      </c>
      <c r="K18" s="38">
        <f t="shared" si="0"/>
        <v>46421</v>
      </c>
      <c r="L18" s="40">
        <f t="shared" si="1"/>
        <v>30.4</v>
      </c>
    </row>
    <row r="19" spans="1:12" x14ac:dyDescent="0.2">
      <c r="A19" s="24">
        <v>8</v>
      </c>
      <c r="B19" s="32">
        <v>8</v>
      </c>
      <c r="C19" s="24" t="s">
        <v>108</v>
      </c>
      <c r="D19" s="37"/>
      <c r="E19" s="37">
        <v>8</v>
      </c>
      <c r="F19" s="45">
        <v>31</v>
      </c>
      <c r="J19" s="37">
        <v>16</v>
      </c>
      <c r="K19" s="38">
        <f t="shared" si="0"/>
        <v>46449</v>
      </c>
      <c r="L19" s="40">
        <f t="shared" si="1"/>
        <v>30.4</v>
      </c>
    </row>
    <row r="20" spans="1:12" x14ac:dyDescent="0.2">
      <c r="A20" s="24">
        <v>9</v>
      </c>
      <c r="B20" s="32">
        <v>9</v>
      </c>
      <c r="C20" s="24" t="s">
        <v>109</v>
      </c>
      <c r="D20" s="37"/>
      <c r="E20" s="37">
        <v>9</v>
      </c>
      <c r="F20" s="45">
        <v>30</v>
      </c>
      <c r="J20" s="37">
        <v>17</v>
      </c>
      <c r="K20" s="38">
        <f t="shared" si="0"/>
        <v>46480</v>
      </c>
      <c r="L20" s="40">
        <f t="shared" si="1"/>
        <v>30.4</v>
      </c>
    </row>
    <row r="21" spans="1:12" x14ac:dyDescent="0.2">
      <c r="A21" s="24">
        <v>10</v>
      </c>
      <c r="B21" s="32">
        <v>10</v>
      </c>
      <c r="C21" s="24" t="s">
        <v>110</v>
      </c>
      <c r="D21" s="37"/>
      <c r="E21" s="37">
        <v>10</v>
      </c>
      <c r="F21" s="45">
        <v>31</v>
      </c>
      <c r="J21" s="37">
        <v>18</v>
      </c>
      <c r="K21" s="38">
        <f t="shared" si="0"/>
        <v>46510</v>
      </c>
      <c r="L21" s="40">
        <f t="shared" si="1"/>
        <v>30.4</v>
      </c>
    </row>
    <row r="22" spans="1:12" x14ac:dyDescent="0.2">
      <c r="A22" s="24">
        <v>11</v>
      </c>
      <c r="B22" s="32">
        <v>11</v>
      </c>
      <c r="C22" s="24" t="s">
        <v>111</v>
      </c>
      <c r="D22" s="37"/>
      <c r="E22" s="37">
        <v>11</v>
      </c>
      <c r="F22" s="45">
        <v>30</v>
      </c>
      <c r="J22" s="37">
        <v>19</v>
      </c>
      <c r="K22" s="38">
        <f t="shared" si="0"/>
        <v>46541</v>
      </c>
      <c r="L22" s="40">
        <f t="shared" si="1"/>
        <v>30.4</v>
      </c>
    </row>
    <row r="23" spans="1:12" x14ac:dyDescent="0.2">
      <c r="A23" s="24">
        <v>12</v>
      </c>
      <c r="B23" s="32">
        <v>12</v>
      </c>
      <c r="C23" s="24" t="s">
        <v>112</v>
      </c>
      <c r="D23" s="37"/>
      <c r="E23" s="37">
        <v>12</v>
      </c>
      <c r="F23" s="45">
        <v>31</v>
      </c>
      <c r="J23" s="37">
        <v>20</v>
      </c>
      <c r="K23" s="38">
        <f t="shared" si="0"/>
        <v>46571</v>
      </c>
      <c r="L23" s="40">
        <f t="shared" si="1"/>
        <v>30.4</v>
      </c>
    </row>
    <row r="24" spans="1:12" x14ac:dyDescent="0.2">
      <c r="A24" s="24">
        <v>13</v>
      </c>
      <c r="B24" s="32">
        <v>13</v>
      </c>
      <c r="J24" s="37">
        <v>21</v>
      </c>
      <c r="K24" s="38">
        <f t="shared" si="0"/>
        <v>46602</v>
      </c>
      <c r="L24" s="40">
        <f t="shared" si="1"/>
        <v>30.4</v>
      </c>
    </row>
    <row r="25" spans="1:12" x14ac:dyDescent="0.2">
      <c r="A25" s="24">
        <v>14</v>
      </c>
      <c r="B25" s="32">
        <v>14</v>
      </c>
      <c r="J25" s="37">
        <v>22</v>
      </c>
      <c r="K25" s="38">
        <f t="shared" si="0"/>
        <v>46633</v>
      </c>
      <c r="L25" s="40">
        <f t="shared" si="1"/>
        <v>30.4</v>
      </c>
    </row>
    <row r="26" spans="1:12" x14ac:dyDescent="0.2">
      <c r="A26" s="24">
        <v>15</v>
      </c>
      <c r="B26" s="32">
        <v>15</v>
      </c>
      <c r="J26" s="37">
        <v>23</v>
      </c>
      <c r="K26" s="38">
        <f t="shared" si="0"/>
        <v>46663</v>
      </c>
      <c r="L26" s="40">
        <f t="shared" si="1"/>
        <v>30.4</v>
      </c>
    </row>
    <row r="27" spans="1:12" x14ac:dyDescent="0.2">
      <c r="A27" s="24">
        <v>16</v>
      </c>
      <c r="B27" s="32">
        <v>16</v>
      </c>
      <c r="J27" s="37">
        <v>24</v>
      </c>
      <c r="K27" s="38">
        <f t="shared" si="0"/>
        <v>46694</v>
      </c>
      <c r="L27" s="40">
        <f t="shared" si="1"/>
        <v>30.4</v>
      </c>
    </row>
    <row r="28" spans="1:12" x14ac:dyDescent="0.2">
      <c r="A28" s="24">
        <v>17</v>
      </c>
      <c r="B28" s="32">
        <v>17</v>
      </c>
      <c r="J28" s="37">
        <v>25</v>
      </c>
      <c r="K28" s="38">
        <f t="shared" si="0"/>
        <v>46724</v>
      </c>
      <c r="L28" s="40">
        <f t="shared" si="1"/>
        <v>30.4</v>
      </c>
    </row>
    <row r="29" spans="1:12" x14ac:dyDescent="0.2">
      <c r="A29" s="24">
        <v>18</v>
      </c>
      <c r="B29" s="32">
        <v>18</v>
      </c>
      <c r="J29" s="37">
        <v>26</v>
      </c>
      <c r="K29" s="38">
        <f t="shared" si="0"/>
        <v>46755</v>
      </c>
      <c r="L29" s="40">
        <f t="shared" si="1"/>
        <v>30.4</v>
      </c>
    </row>
    <row r="30" spans="1:12" x14ac:dyDescent="0.2">
      <c r="A30" s="24">
        <v>19</v>
      </c>
      <c r="B30" s="32">
        <v>19</v>
      </c>
      <c r="J30" s="37">
        <v>27</v>
      </c>
      <c r="K30" s="38">
        <f t="shared" si="0"/>
        <v>46786</v>
      </c>
      <c r="L30" s="40">
        <f t="shared" si="1"/>
        <v>30.4</v>
      </c>
    </row>
    <row r="31" spans="1:12" x14ac:dyDescent="0.2">
      <c r="A31" s="24">
        <v>20</v>
      </c>
      <c r="B31" s="32">
        <v>20</v>
      </c>
      <c r="J31" s="37">
        <v>28</v>
      </c>
      <c r="K31" s="38">
        <f t="shared" si="0"/>
        <v>46815</v>
      </c>
      <c r="L31" s="40">
        <f t="shared" si="1"/>
        <v>30.4</v>
      </c>
    </row>
    <row r="32" spans="1:12" x14ac:dyDescent="0.2">
      <c r="A32" s="24">
        <v>21</v>
      </c>
      <c r="B32" s="32">
        <v>21</v>
      </c>
      <c r="J32" s="37">
        <v>29</v>
      </c>
      <c r="K32" s="38">
        <f t="shared" si="0"/>
        <v>46846</v>
      </c>
      <c r="L32" s="40">
        <f t="shared" si="1"/>
        <v>30.4</v>
      </c>
    </row>
    <row r="33" spans="1:12" x14ac:dyDescent="0.2">
      <c r="A33" s="24">
        <v>22</v>
      </c>
      <c r="B33" s="32">
        <v>22</v>
      </c>
      <c r="J33" s="37">
        <v>30</v>
      </c>
      <c r="K33" s="38">
        <f t="shared" si="0"/>
        <v>46876</v>
      </c>
      <c r="L33" s="40">
        <f t="shared" si="1"/>
        <v>30.4</v>
      </c>
    </row>
    <row r="34" spans="1:12" x14ac:dyDescent="0.2">
      <c r="A34" s="24">
        <v>23</v>
      </c>
      <c r="B34" s="32">
        <v>23</v>
      </c>
      <c r="J34" s="37">
        <v>31</v>
      </c>
      <c r="K34" s="38">
        <f t="shared" si="0"/>
        <v>46907</v>
      </c>
      <c r="L34" s="40">
        <f t="shared" si="1"/>
        <v>30.4</v>
      </c>
    </row>
    <row r="35" spans="1:12" x14ac:dyDescent="0.2">
      <c r="A35" s="24">
        <v>24</v>
      </c>
      <c r="B35" s="32">
        <v>24</v>
      </c>
      <c r="J35" s="37">
        <v>32</v>
      </c>
      <c r="K35" s="38">
        <f t="shared" si="0"/>
        <v>46937</v>
      </c>
      <c r="L35" s="40">
        <f t="shared" si="1"/>
        <v>30.4</v>
      </c>
    </row>
    <row r="36" spans="1:12" x14ac:dyDescent="0.2">
      <c r="A36" s="24">
        <v>25</v>
      </c>
      <c r="B36" s="32">
        <v>25</v>
      </c>
      <c r="J36" s="37">
        <v>33</v>
      </c>
      <c r="K36" s="38">
        <f t="shared" si="0"/>
        <v>46968</v>
      </c>
      <c r="L36" s="40">
        <f t="shared" si="1"/>
        <v>30.4</v>
      </c>
    </row>
    <row r="37" spans="1:12" x14ac:dyDescent="0.2">
      <c r="A37" s="24">
        <v>26</v>
      </c>
      <c r="B37" s="32">
        <v>26</v>
      </c>
      <c r="J37" s="37">
        <v>34</v>
      </c>
      <c r="K37" s="38">
        <f t="shared" si="0"/>
        <v>46999</v>
      </c>
      <c r="L37" s="40">
        <f t="shared" si="1"/>
        <v>30.4</v>
      </c>
    </row>
    <row r="38" spans="1:12" x14ac:dyDescent="0.2">
      <c r="A38" s="24">
        <v>27</v>
      </c>
      <c r="B38" s="32">
        <v>27</v>
      </c>
      <c r="J38" s="37">
        <v>35</v>
      </c>
      <c r="K38" s="38">
        <f t="shared" si="0"/>
        <v>47029</v>
      </c>
      <c r="L38" s="40">
        <f t="shared" si="1"/>
        <v>30.4</v>
      </c>
    </row>
    <row r="39" spans="1:12" x14ac:dyDescent="0.2">
      <c r="A39" s="24">
        <v>28</v>
      </c>
      <c r="B39" s="32">
        <v>28</v>
      </c>
      <c r="J39" s="37">
        <v>36</v>
      </c>
      <c r="K39" s="38">
        <f t="shared" si="0"/>
        <v>47060</v>
      </c>
      <c r="L39" s="40">
        <f t="shared" si="1"/>
        <v>30.4</v>
      </c>
    </row>
    <row r="40" spans="1:12" x14ac:dyDescent="0.2">
      <c r="A40" s="24">
        <v>29</v>
      </c>
      <c r="B40" s="32">
        <v>29</v>
      </c>
      <c r="J40" s="37">
        <v>37</v>
      </c>
      <c r="K40" s="38">
        <f t="shared" si="0"/>
        <v>47090</v>
      </c>
      <c r="L40" s="40">
        <f t="shared" si="1"/>
        <v>30.4</v>
      </c>
    </row>
    <row r="41" spans="1:12" x14ac:dyDescent="0.2">
      <c r="A41" s="24">
        <v>30</v>
      </c>
      <c r="B41" s="32">
        <v>30</v>
      </c>
      <c r="J41" s="37">
        <v>38</v>
      </c>
      <c r="K41" s="38">
        <f t="shared" si="0"/>
        <v>47121</v>
      </c>
      <c r="L41" s="40">
        <f t="shared" si="1"/>
        <v>30.4</v>
      </c>
    </row>
    <row r="42" spans="1:12" x14ac:dyDescent="0.2">
      <c r="A42" s="24">
        <v>31</v>
      </c>
      <c r="B42" s="32" t="s">
        <v>54</v>
      </c>
      <c r="J42" s="37">
        <v>39</v>
      </c>
      <c r="K42" s="38">
        <f t="shared" si="0"/>
        <v>47152</v>
      </c>
      <c r="L42" s="40">
        <f t="shared" si="1"/>
        <v>30.4</v>
      </c>
    </row>
    <row r="43" spans="1:12" x14ac:dyDescent="0.2">
      <c r="J43" s="37">
        <v>40</v>
      </c>
      <c r="K43" s="38">
        <f t="shared" si="0"/>
        <v>47180</v>
      </c>
      <c r="L43" s="40">
        <f t="shared" si="1"/>
        <v>30.4</v>
      </c>
    </row>
    <row r="44" spans="1:12" x14ac:dyDescent="0.2">
      <c r="J44" s="37">
        <v>41</v>
      </c>
      <c r="K44" s="38">
        <f t="shared" si="0"/>
        <v>47211</v>
      </c>
      <c r="L44" s="40">
        <f t="shared" si="1"/>
        <v>30.4</v>
      </c>
    </row>
    <row r="45" spans="1:12" x14ac:dyDescent="0.2">
      <c r="J45" s="37">
        <v>42</v>
      </c>
      <c r="K45" s="38">
        <f t="shared" si="0"/>
        <v>47241</v>
      </c>
      <c r="L45" s="40">
        <f t="shared" si="1"/>
        <v>30.4</v>
      </c>
    </row>
    <row r="46" spans="1:12" x14ac:dyDescent="0.2">
      <c r="J46" s="37">
        <v>43</v>
      </c>
      <c r="K46" s="38">
        <f t="shared" si="0"/>
        <v>47272</v>
      </c>
      <c r="L46" s="40">
        <f t="shared" si="1"/>
        <v>30.4</v>
      </c>
    </row>
    <row r="47" spans="1:12" x14ac:dyDescent="0.2">
      <c r="J47" s="37">
        <v>44</v>
      </c>
      <c r="K47" s="38">
        <f t="shared" si="0"/>
        <v>47302</v>
      </c>
      <c r="L47" s="40">
        <f t="shared" si="1"/>
        <v>30.4</v>
      </c>
    </row>
    <row r="48" spans="1:12" x14ac:dyDescent="0.2">
      <c r="J48" s="37">
        <v>45</v>
      </c>
      <c r="K48" s="38">
        <f t="shared" si="0"/>
        <v>47333</v>
      </c>
      <c r="L48" s="40">
        <f t="shared" si="1"/>
        <v>30.4</v>
      </c>
    </row>
    <row r="49" spans="10:12" x14ac:dyDescent="0.2">
      <c r="J49" s="37">
        <v>46</v>
      </c>
      <c r="K49" s="38">
        <f t="shared" si="0"/>
        <v>47364</v>
      </c>
      <c r="L49" s="40">
        <f t="shared" si="1"/>
        <v>30.4</v>
      </c>
    </row>
    <row r="50" spans="10:12" x14ac:dyDescent="0.2">
      <c r="J50" s="37">
        <v>47</v>
      </c>
      <c r="K50" s="38">
        <f t="shared" si="0"/>
        <v>47394</v>
      </c>
      <c r="L50" s="40">
        <f t="shared" si="1"/>
        <v>30.4</v>
      </c>
    </row>
    <row r="51" spans="10:12" x14ac:dyDescent="0.2">
      <c r="J51" s="37">
        <v>48</v>
      </c>
      <c r="K51" s="38">
        <f t="shared" si="0"/>
        <v>47425</v>
      </c>
      <c r="L51" s="40">
        <f t="shared" si="1"/>
        <v>30.4</v>
      </c>
    </row>
    <row r="52" spans="10:12" x14ac:dyDescent="0.2">
      <c r="J52" s="37">
        <v>49</v>
      </c>
      <c r="K52" s="38">
        <f t="shared" si="0"/>
        <v>47455</v>
      </c>
      <c r="L52" s="40">
        <f t="shared" si="1"/>
        <v>30.4</v>
      </c>
    </row>
    <row r="53" spans="10:12" x14ac:dyDescent="0.2">
      <c r="J53" s="37">
        <v>50</v>
      </c>
      <c r="K53" s="38">
        <f t="shared" si="0"/>
        <v>47486</v>
      </c>
      <c r="L53" s="40">
        <f t="shared" si="1"/>
        <v>30.4</v>
      </c>
    </row>
    <row r="54" spans="10:12" x14ac:dyDescent="0.2">
      <c r="J54" s="37">
        <v>51</v>
      </c>
      <c r="K54" s="38">
        <f t="shared" si="0"/>
        <v>47517</v>
      </c>
      <c r="L54" s="40">
        <f t="shared" si="1"/>
        <v>30.4</v>
      </c>
    </row>
    <row r="55" spans="10:12" x14ac:dyDescent="0.2">
      <c r="J55" s="37">
        <v>52</v>
      </c>
      <c r="K55" s="38">
        <f t="shared" si="0"/>
        <v>47545</v>
      </c>
      <c r="L55" s="40">
        <f t="shared" si="1"/>
        <v>30.4</v>
      </c>
    </row>
    <row r="56" spans="10:12" x14ac:dyDescent="0.2">
      <c r="J56" s="37">
        <v>53</v>
      </c>
      <c r="K56" s="38">
        <f t="shared" si="0"/>
        <v>47576</v>
      </c>
      <c r="L56" s="40">
        <f t="shared" si="1"/>
        <v>30.4</v>
      </c>
    </row>
    <row r="57" spans="10:12" x14ac:dyDescent="0.2">
      <c r="J57" s="37">
        <v>54</v>
      </c>
      <c r="K57" s="38">
        <f t="shared" si="0"/>
        <v>47606</v>
      </c>
      <c r="L57" s="40">
        <f t="shared" si="1"/>
        <v>30.4</v>
      </c>
    </row>
    <row r="58" spans="10:12" x14ac:dyDescent="0.2">
      <c r="J58" s="37">
        <v>55</v>
      </c>
      <c r="K58" s="38">
        <f t="shared" si="0"/>
        <v>47637</v>
      </c>
      <c r="L58" s="40">
        <f t="shared" si="1"/>
        <v>30.4</v>
      </c>
    </row>
    <row r="59" spans="10:12" x14ac:dyDescent="0.2">
      <c r="J59" s="37">
        <v>56</v>
      </c>
      <c r="K59" s="38">
        <f t="shared" si="0"/>
        <v>47667</v>
      </c>
      <c r="L59" s="40">
        <f t="shared" si="1"/>
        <v>30.4</v>
      </c>
    </row>
    <row r="60" spans="10:12" x14ac:dyDescent="0.2">
      <c r="J60" s="37">
        <v>57</v>
      </c>
      <c r="K60" s="38">
        <f t="shared" si="0"/>
        <v>47698</v>
      </c>
      <c r="L60" s="40">
        <f t="shared" si="1"/>
        <v>30.4</v>
      </c>
    </row>
    <row r="61" spans="10:12" x14ac:dyDescent="0.2">
      <c r="J61" s="37">
        <v>58</v>
      </c>
      <c r="K61" s="38">
        <f t="shared" si="0"/>
        <v>47729</v>
      </c>
      <c r="L61" s="40">
        <f t="shared" si="1"/>
        <v>30.4</v>
      </c>
    </row>
    <row r="62" spans="10:12" x14ac:dyDescent="0.2">
      <c r="J62" s="37">
        <v>59</v>
      </c>
      <c r="K62" s="38">
        <f t="shared" si="0"/>
        <v>47759</v>
      </c>
      <c r="L62" s="40">
        <f t="shared" si="1"/>
        <v>30.4</v>
      </c>
    </row>
    <row r="63" spans="10:12" x14ac:dyDescent="0.2">
      <c r="J63" s="37">
        <v>60</v>
      </c>
      <c r="K63" s="38">
        <f t="shared" si="0"/>
        <v>47790</v>
      </c>
      <c r="L63" s="40">
        <f t="shared" si="1"/>
        <v>30.4</v>
      </c>
    </row>
    <row r="64" spans="10:12" x14ac:dyDescent="0.2">
      <c r="J64" s="37">
        <v>61</v>
      </c>
      <c r="K64" s="38">
        <f t="shared" si="0"/>
        <v>47820</v>
      </c>
      <c r="L64" s="40">
        <f t="shared" si="1"/>
        <v>30.4</v>
      </c>
    </row>
    <row r="65" spans="10:12" x14ac:dyDescent="0.2">
      <c r="J65" s="37">
        <v>62</v>
      </c>
      <c r="K65" s="38">
        <f t="shared" si="0"/>
        <v>47851</v>
      </c>
      <c r="L65" s="40">
        <f t="shared" si="1"/>
        <v>30.4</v>
      </c>
    </row>
    <row r="66" spans="10:12" x14ac:dyDescent="0.2">
      <c r="J66" s="37">
        <v>63</v>
      </c>
      <c r="K66" s="38">
        <f t="shared" si="0"/>
        <v>47882</v>
      </c>
      <c r="L66" s="40">
        <f t="shared" si="1"/>
        <v>30.4</v>
      </c>
    </row>
    <row r="67" spans="10:12" x14ac:dyDescent="0.2">
      <c r="J67" s="37">
        <v>64</v>
      </c>
      <c r="K67" s="38">
        <f t="shared" si="0"/>
        <v>47910</v>
      </c>
      <c r="L67" s="40">
        <f t="shared" si="1"/>
        <v>30.4</v>
      </c>
    </row>
    <row r="68" spans="10:12" x14ac:dyDescent="0.2">
      <c r="J68" s="37">
        <v>65</v>
      </c>
      <c r="K68" s="38">
        <f t="shared" si="0"/>
        <v>47941</v>
      </c>
      <c r="L68" s="40">
        <f t="shared" si="1"/>
        <v>30.4</v>
      </c>
    </row>
    <row r="69" spans="10:12" x14ac:dyDescent="0.2">
      <c r="J69" s="37">
        <v>66</v>
      </c>
      <c r="K69" s="38">
        <f t="shared" ref="K69:K132" si="2">IF(($J$4:$J$363)&lt;=$H$1,(EOMONTH(K68,0)+$B$6))</f>
        <v>47971</v>
      </c>
      <c r="L69" s="40">
        <f t="shared" si="1"/>
        <v>30.4</v>
      </c>
    </row>
    <row r="70" spans="10:12" x14ac:dyDescent="0.2">
      <c r="J70" s="37">
        <v>67</v>
      </c>
      <c r="K70" s="38">
        <f t="shared" si="2"/>
        <v>48002</v>
      </c>
      <c r="L70" s="40">
        <f t="shared" si="1"/>
        <v>30.4</v>
      </c>
    </row>
    <row r="71" spans="10:12" x14ac:dyDescent="0.2">
      <c r="J71" s="37">
        <v>68</v>
      </c>
      <c r="K71" s="38">
        <f t="shared" si="2"/>
        <v>48032</v>
      </c>
      <c r="L71" s="40">
        <f t="shared" ref="L71:L134" si="3">IF($J$4:$J$363 &lt;= $H$1,$H$2,"")</f>
        <v>30.4</v>
      </c>
    </row>
    <row r="72" spans="10:12" x14ac:dyDescent="0.2">
      <c r="J72" s="37">
        <v>69</v>
      </c>
      <c r="K72" s="38">
        <f t="shared" si="2"/>
        <v>48063</v>
      </c>
      <c r="L72" s="40">
        <f t="shared" si="3"/>
        <v>30.4</v>
      </c>
    </row>
    <row r="73" spans="10:12" x14ac:dyDescent="0.2">
      <c r="J73" s="37">
        <v>70</v>
      </c>
      <c r="K73" s="38">
        <f t="shared" si="2"/>
        <v>48094</v>
      </c>
      <c r="L73" s="40">
        <f t="shared" si="3"/>
        <v>30.4</v>
      </c>
    </row>
    <row r="74" spans="10:12" x14ac:dyDescent="0.2">
      <c r="J74" s="37">
        <v>71</v>
      </c>
      <c r="K74" s="38">
        <f t="shared" si="2"/>
        <v>48124</v>
      </c>
      <c r="L74" s="40">
        <f t="shared" si="3"/>
        <v>30.4</v>
      </c>
    </row>
    <row r="75" spans="10:12" x14ac:dyDescent="0.2">
      <c r="J75" s="37">
        <v>72</v>
      </c>
      <c r="K75" s="38">
        <f t="shared" si="2"/>
        <v>48155</v>
      </c>
      <c r="L75" s="40">
        <f t="shared" si="3"/>
        <v>30.4</v>
      </c>
    </row>
    <row r="76" spans="10:12" x14ac:dyDescent="0.2">
      <c r="J76" s="37">
        <v>73</v>
      </c>
      <c r="K76" s="38">
        <f t="shared" si="2"/>
        <v>48185</v>
      </c>
      <c r="L76" s="40">
        <f t="shared" si="3"/>
        <v>30.4</v>
      </c>
    </row>
    <row r="77" spans="10:12" x14ac:dyDescent="0.2">
      <c r="J77" s="37">
        <v>74</v>
      </c>
      <c r="K77" s="38">
        <f t="shared" si="2"/>
        <v>48216</v>
      </c>
      <c r="L77" s="40">
        <f t="shared" si="3"/>
        <v>30.4</v>
      </c>
    </row>
    <row r="78" spans="10:12" x14ac:dyDescent="0.2">
      <c r="J78" s="37">
        <v>75</v>
      </c>
      <c r="K78" s="38">
        <f t="shared" si="2"/>
        <v>48247</v>
      </c>
      <c r="L78" s="40">
        <f t="shared" si="3"/>
        <v>30.4</v>
      </c>
    </row>
    <row r="79" spans="10:12" x14ac:dyDescent="0.2">
      <c r="J79" s="37">
        <v>76</v>
      </c>
      <c r="K79" s="38">
        <f t="shared" si="2"/>
        <v>48276</v>
      </c>
      <c r="L79" s="40">
        <f t="shared" si="3"/>
        <v>30.4</v>
      </c>
    </row>
    <row r="80" spans="10:12" x14ac:dyDescent="0.2">
      <c r="J80" s="37">
        <v>77</v>
      </c>
      <c r="K80" s="38">
        <f t="shared" si="2"/>
        <v>48307</v>
      </c>
      <c r="L80" s="40">
        <f t="shared" si="3"/>
        <v>30.4</v>
      </c>
    </row>
    <row r="81" spans="10:12" x14ac:dyDescent="0.2">
      <c r="J81" s="37">
        <v>78</v>
      </c>
      <c r="K81" s="38">
        <f t="shared" si="2"/>
        <v>48337</v>
      </c>
      <c r="L81" s="40">
        <f t="shared" si="3"/>
        <v>30.4</v>
      </c>
    </row>
    <row r="82" spans="10:12" x14ac:dyDescent="0.2">
      <c r="J82" s="37">
        <v>79</v>
      </c>
      <c r="K82" s="38">
        <f t="shared" si="2"/>
        <v>48368</v>
      </c>
      <c r="L82" s="40">
        <f t="shared" si="3"/>
        <v>30.4</v>
      </c>
    </row>
    <row r="83" spans="10:12" x14ac:dyDescent="0.2">
      <c r="J83" s="37">
        <v>80</v>
      </c>
      <c r="K83" s="38">
        <f t="shared" si="2"/>
        <v>48398</v>
      </c>
      <c r="L83" s="40">
        <f t="shared" si="3"/>
        <v>30.4</v>
      </c>
    </row>
    <row r="84" spans="10:12" x14ac:dyDescent="0.2">
      <c r="J84" s="37">
        <v>81</v>
      </c>
      <c r="K84" s="38">
        <f t="shared" si="2"/>
        <v>48429</v>
      </c>
      <c r="L84" s="40">
        <f t="shared" si="3"/>
        <v>30.4</v>
      </c>
    </row>
    <row r="85" spans="10:12" x14ac:dyDescent="0.2">
      <c r="J85" s="37">
        <v>82</v>
      </c>
      <c r="K85" s="38">
        <f t="shared" si="2"/>
        <v>48460</v>
      </c>
      <c r="L85" s="40">
        <f t="shared" si="3"/>
        <v>30.4</v>
      </c>
    </row>
    <row r="86" spans="10:12" x14ac:dyDescent="0.2">
      <c r="J86" s="37">
        <v>83</v>
      </c>
      <c r="K86" s="38">
        <f t="shared" si="2"/>
        <v>48490</v>
      </c>
      <c r="L86" s="40">
        <f t="shared" si="3"/>
        <v>30.4</v>
      </c>
    </row>
    <row r="87" spans="10:12" x14ac:dyDescent="0.2">
      <c r="J87" s="37">
        <v>84</v>
      </c>
      <c r="K87" s="38">
        <f t="shared" si="2"/>
        <v>48521</v>
      </c>
      <c r="L87" s="40">
        <f t="shared" si="3"/>
        <v>30.4</v>
      </c>
    </row>
    <row r="88" spans="10:12" x14ac:dyDescent="0.2">
      <c r="J88" s="37">
        <v>85</v>
      </c>
      <c r="K88" s="38">
        <f t="shared" si="2"/>
        <v>48551</v>
      </c>
      <c r="L88" s="40">
        <f t="shared" si="3"/>
        <v>30.4</v>
      </c>
    </row>
    <row r="89" spans="10:12" x14ac:dyDescent="0.2">
      <c r="J89" s="37">
        <v>86</v>
      </c>
      <c r="K89" s="38">
        <f t="shared" si="2"/>
        <v>48582</v>
      </c>
      <c r="L89" s="40">
        <f t="shared" si="3"/>
        <v>30.4</v>
      </c>
    </row>
    <row r="90" spans="10:12" x14ac:dyDescent="0.2">
      <c r="J90" s="37">
        <v>87</v>
      </c>
      <c r="K90" s="38">
        <f t="shared" si="2"/>
        <v>48613</v>
      </c>
      <c r="L90" s="40">
        <f t="shared" si="3"/>
        <v>30.4</v>
      </c>
    </row>
    <row r="91" spans="10:12" x14ac:dyDescent="0.2">
      <c r="J91" s="37">
        <v>88</v>
      </c>
      <c r="K91" s="38">
        <f t="shared" si="2"/>
        <v>48641</v>
      </c>
      <c r="L91" s="40">
        <f t="shared" si="3"/>
        <v>30.4</v>
      </c>
    </row>
    <row r="92" spans="10:12" x14ac:dyDescent="0.2">
      <c r="J92" s="37">
        <v>89</v>
      </c>
      <c r="K92" s="38">
        <f t="shared" si="2"/>
        <v>48672</v>
      </c>
      <c r="L92" s="40">
        <f t="shared" si="3"/>
        <v>30.4</v>
      </c>
    </row>
    <row r="93" spans="10:12" x14ac:dyDescent="0.2">
      <c r="J93" s="37">
        <v>90</v>
      </c>
      <c r="K93" s="38">
        <f t="shared" si="2"/>
        <v>48702</v>
      </c>
      <c r="L93" s="40">
        <f t="shared" si="3"/>
        <v>30.4</v>
      </c>
    </row>
    <row r="94" spans="10:12" x14ac:dyDescent="0.2">
      <c r="J94" s="37">
        <v>91</v>
      </c>
      <c r="K94" s="38">
        <f t="shared" si="2"/>
        <v>48733</v>
      </c>
      <c r="L94" s="40">
        <f t="shared" si="3"/>
        <v>30.4</v>
      </c>
    </row>
    <row r="95" spans="10:12" x14ac:dyDescent="0.2">
      <c r="J95" s="37">
        <v>92</v>
      </c>
      <c r="K95" s="38">
        <f t="shared" si="2"/>
        <v>48763</v>
      </c>
      <c r="L95" s="40">
        <f t="shared" si="3"/>
        <v>30.4</v>
      </c>
    </row>
    <row r="96" spans="10:12" x14ac:dyDescent="0.2">
      <c r="J96" s="37">
        <v>93</v>
      </c>
      <c r="K96" s="38">
        <f t="shared" si="2"/>
        <v>48794</v>
      </c>
      <c r="L96" s="40">
        <f t="shared" si="3"/>
        <v>30.4</v>
      </c>
    </row>
    <row r="97" spans="10:12" x14ac:dyDescent="0.2">
      <c r="J97" s="37">
        <v>94</v>
      </c>
      <c r="K97" s="38">
        <f t="shared" si="2"/>
        <v>48825</v>
      </c>
      <c r="L97" s="40">
        <f t="shared" si="3"/>
        <v>30.4</v>
      </c>
    </row>
    <row r="98" spans="10:12" x14ac:dyDescent="0.2">
      <c r="J98" s="37">
        <v>95</v>
      </c>
      <c r="K98" s="38">
        <f t="shared" si="2"/>
        <v>48855</v>
      </c>
      <c r="L98" s="40">
        <f t="shared" si="3"/>
        <v>30.4</v>
      </c>
    </row>
    <row r="99" spans="10:12" x14ac:dyDescent="0.2">
      <c r="J99" s="37">
        <v>96</v>
      </c>
      <c r="K99" s="38">
        <f t="shared" si="2"/>
        <v>48886</v>
      </c>
      <c r="L99" s="40">
        <f t="shared" si="3"/>
        <v>30.4</v>
      </c>
    </row>
    <row r="100" spans="10:12" x14ac:dyDescent="0.2">
      <c r="J100" s="37">
        <v>97</v>
      </c>
      <c r="K100" s="38">
        <f t="shared" si="2"/>
        <v>48916</v>
      </c>
      <c r="L100" s="40">
        <f t="shared" si="3"/>
        <v>30.4</v>
      </c>
    </row>
    <row r="101" spans="10:12" x14ac:dyDescent="0.2">
      <c r="J101" s="37">
        <v>98</v>
      </c>
      <c r="K101" s="38">
        <f t="shared" si="2"/>
        <v>48947</v>
      </c>
      <c r="L101" s="40">
        <f t="shared" si="3"/>
        <v>30.4</v>
      </c>
    </row>
    <row r="102" spans="10:12" x14ac:dyDescent="0.2">
      <c r="J102" s="37">
        <v>99</v>
      </c>
      <c r="K102" s="38">
        <f t="shared" si="2"/>
        <v>48978</v>
      </c>
      <c r="L102" s="40">
        <f t="shared" si="3"/>
        <v>30.4</v>
      </c>
    </row>
    <row r="103" spans="10:12" x14ac:dyDescent="0.2">
      <c r="J103" s="37">
        <v>100</v>
      </c>
      <c r="K103" s="38">
        <f t="shared" si="2"/>
        <v>49006</v>
      </c>
      <c r="L103" s="40">
        <f t="shared" si="3"/>
        <v>30.4</v>
      </c>
    </row>
    <row r="104" spans="10:12" x14ac:dyDescent="0.2">
      <c r="J104" s="37">
        <v>101</v>
      </c>
      <c r="K104" s="38">
        <f t="shared" si="2"/>
        <v>49037</v>
      </c>
      <c r="L104" s="40">
        <f t="shared" si="3"/>
        <v>30.4</v>
      </c>
    </row>
    <row r="105" spans="10:12" x14ac:dyDescent="0.2">
      <c r="J105" s="37">
        <v>102</v>
      </c>
      <c r="K105" s="38">
        <f t="shared" si="2"/>
        <v>49067</v>
      </c>
      <c r="L105" s="40">
        <f t="shared" si="3"/>
        <v>30.4</v>
      </c>
    </row>
    <row r="106" spans="10:12" x14ac:dyDescent="0.2">
      <c r="J106" s="37">
        <v>103</v>
      </c>
      <c r="K106" s="38">
        <f t="shared" si="2"/>
        <v>49098</v>
      </c>
      <c r="L106" s="40">
        <f t="shared" si="3"/>
        <v>30.4</v>
      </c>
    </row>
    <row r="107" spans="10:12" x14ac:dyDescent="0.2">
      <c r="J107" s="37">
        <v>104</v>
      </c>
      <c r="K107" s="38">
        <f t="shared" si="2"/>
        <v>49128</v>
      </c>
      <c r="L107" s="40">
        <f t="shared" si="3"/>
        <v>30.4</v>
      </c>
    </row>
    <row r="108" spans="10:12" x14ac:dyDescent="0.2">
      <c r="J108" s="37">
        <v>105</v>
      </c>
      <c r="K108" s="38">
        <f t="shared" si="2"/>
        <v>49159</v>
      </c>
      <c r="L108" s="40">
        <f t="shared" si="3"/>
        <v>30.4</v>
      </c>
    </row>
    <row r="109" spans="10:12" x14ac:dyDescent="0.2">
      <c r="J109" s="37">
        <v>106</v>
      </c>
      <c r="K109" s="38">
        <f t="shared" si="2"/>
        <v>49190</v>
      </c>
      <c r="L109" s="40">
        <f t="shared" si="3"/>
        <v>30.4</v>
      </c>
    </row>
    <row r="110" spans="10:12" x14ac:dyDescent="0.2">
      <c r="J110" s="37">
        <v>107</v>
      </c>
      <c r="K110" s="38">
        <f t="shared" si="2"/>
        <v>49220</v>
      </c>
      <c r="L110" s="40">
        <f t="shared" si="3"/>
        <v>30.4</v>
      </c>
    </row>
    <row r="111" spans="10:12" x14ac:dyDescent="0.2">
      <c r="J111" s="37">
        <v>108</v>
      </c>
      <c r="K111" s="38">
        <f t="shared" si="2"/>
        <v>49251</v>
      </c>
      <c r="L111" s="40">
        <f t="shared" si="3"/>
        <v>30.4</v>
      </c>
    </row>
    <row r="112" spans="10:12" x14ac:dyDescent="0.2">
      <c r="J112" s="37">
        <v>109</v>
      </c>
      <c r="K112" s="38">
        <f t="shared" si="2"/>
        <v>49281</v>
      </c>
      <c r="L112" s="40">
        <f t="shared" si="3"/>
        <v>30.4</v>
      </c>
    </row>
    <row r="113" spans="10:12" x14ac:dyDescent="0.2">
      <c r="J113" s="37">
        <v>110</v>
      </c>
      <c r="K113" s="38">
        <f t="shared" si="2"/>
        <v>49312</v>
      </c>
      <c r="L113" s="40">
        <f t="shared" si="3"/>
        <v>30.4</v>
      </c>
    </row>
    <row r="114" spans="10:12" x14ac:dyDescent="0.2">
      <c r="J114" s="37">
        <v>111</v>
      </c>
      <c r="K114" s="38">
        <f t="shared" si="2"/>
        <v>49343</v>
      </c>
      <c r="L114" s="40">
        <f t="shared" si="3"/>
        <v>30.4</v>
      </c>
    </row>
    <row r="115" spans="10:12" x14ac:dyDescent="0.2">
      <c r="J115" s="37">
        <v>112</v>
      </c>
      <c r="K115" s="38">
        <f t="shared" si="2"/>
        <v>49371</v>
      </c>
      <c r="L115" s="40">
        <f t="shared" si="3"/>
        <v>30.4</v>
      </c>
    </row>
    <row r="116" spans="10:12" x14ac:dyDescent="0.2">
      <c r="J116" s="37">
        <v>113</v>
      </c>
      <c r="K116" s="38">
        <f t="shared" si="2"/>
        <v>49402</v>
      </c>
      <c r="L116" s="40">
        <f t="shared" si="3"/>
        <v>30.4</v>
      </c>
    </row>
    <row r="117" spans="10:12" x14ac:dyDescent="0.2">
      <c r="J117" s="37">
        <v>114</v>
      </c>
      <c r="K117" s="38">
        <f t="shared" si="2"/>
        <v>49432</v>
      </c>
      <c r="L117" s="40">
        <f t="shared" si="3"/>
        <v>30.4</v>
      </c>
    </row>
    <row r="118" spans="10:12" x14ac:dyDescent="0.2">
      <c r="J118" s="37">
        <v>115</v>
      </c>
      <c r="K118" s="38">
        <f t="shared" si="2"/>
        <v>49463</v>
      </c>
      <c r="L118" s="40">
        <f t="shared" si="3"/>
        <v>30.4</v>
      </c>
    </row>
    <row r="119" spans="10:12" x14ac:dyDescent="0.2">
      <c r="J119" s="37">
        <v>116</v>
      </c>
      <c r="K119" s="38">
        <f t="shared" si="2"/>
        <v>49493</v>
      </c>
      <c r="L119" s="40">
        <f t="shared" si="3"/>
        <v>30.4</v>
      </c>
    </row>
    <row r="120" spans="10:12" x14ac:dyDescent="0.2">
      <c r="J120" s="37">
        <v>117</v>
      </c>
      <c r="K120" s="38">
        <f t="shared" si="2"/>
        <v>49524</v>
      </c>
      <c r="L120" s="40">
        <f t="shared" si="3"/>
        <v>30.4</v>
      </c>
    </row>
    <row r="121" spans="10:12" x14ac:dyDescent="0.2">
      <c r="J121" s="37">
        <v>118</v>
      </c>
      <c r="K121" s="38">
        <f t="shared" si="2"/>
        <v>49555</v>
      </c>
      <c r="L121" s="40">
        <f t="shared" si="3"/>
        <v>30.4</v>
      </c>
    </row>
    <row r="122" spans="10:12" x14ac:dyDescent="0.2">
      <c r="J122" s="37">
        <v>119</v>
      </c>
      <c r="K122" s="38">
        <f t="shared" si="2"/>
        <v>49585</v>
      </c>
      <c r="L122" s="40">
        <f t="shared" si="3"/>
        <v>30.4</v>
      </c>
    </row>
    <row r="123" spans="10:12" x14ac:dyDescent="0.2">
      <c r="J123" s="37">
        <v>120</v>
      </c>
      <c r="K123" s="38">
        <f t="shared" si="2"/>
        <v>49616</v>
      </c>
      <c r="L123" s="40">
        <f t="shared" si="3"/>
        <v>30.4</v>
      </c>
    </row>
    <row r="124" spans="10:12" x14ac:dyDescent="0.2">
      <c r="J124" s="37">
        <v>121</v>
      </c>
      <c r="K124" s="38">
        <f t="shared" si="2"/>
        <v>49646</v>
      </c>
      <c r="L124" s="40">
        <f t="shared" si="3"/>
        <v>30.4</v>
      </c>
    </row>
    <row r="125" spans="10:12" x14ac:dyDescent="0.2">
      <c r="J125" s="37">
        <v>122</v>
      </c>
      <c r="K125" s="38">
        <f t="shared" si="2"/>
        <v>49677</v>
      </c>
      <c r="L125" s="40">
        <f t="shared" si="3"/>
        <v>30.4</v>
      </c>
    </row>
    <row r="126" spans="10:12" x14ac:dyDescent="0.2">
      <c r="J126" s="37">
        <v>123</v>
      </c>
      <c r="K126" s="38">
        <f t="shared" si="2"/>
        <v>49708</v>
      </c>
      <c r="L126" s="40">
        <f t="shared" si="3"/>
        <v>30.4</v>
      </c>
    </row>
    <row r="127" spans="10:12" x14ac:dyDescent="0.2">
      <c r="J127" s="37">
        <v>124</v>
      </c>
      <c r="K127" s="38">
        <f t="shared" si="2"/>
        <v>49737</v>
      </c>
      <c r="L127" s="40">
        <f t="shared" si="3"/>
        <v>30.4</v>
      </c>
    </row>
    <row r="128" spans="10:12" x14ac:dyDescent="0.2">
      <c r="J128" s="37">
        <v>125</v>
      </c>
      <c r="K128" s="38">
        <f t="shared" si="2"/>
        <v>49768</v>
      </c>
      <c r="L128" s="40">
        <f t="shared" si="3"/>
        <v>30.4</v>
      </c>
    </row>
    <row r="129" spans="10:12" x14ac:dyDescent="0.2">
      <c r="J129" s="37">
        <v>126</v>
      </c>
      <c r="K129" s="38">
        <f t="shared" si="2"/>
        <v>49798</v>
      </c>
      <c r="L129" s="40">
        <f t="shared" si="3"/>
        <v>30.4</v>
      </c>
    </row>
    <row r="130" spans="10:12" x14ac:dyDescent="0.2">
      <c r="J130" s="37">
        <v>127</v>
      </c>
      <c r="K130" s="38">
        <f t="shared" si="2"/>
        <v>49829</v>
      </c>
      <c r="L130" s="40">
        <f t="shared" si="3"/>
        <v>30.4</v>
      </c>
    </row>
    <row r="131" spans="10:12" x14ac:dyDescent="0.2">
      <c r="J131" s="37">
        <v>128</v>
      </c>
      <c r="K131" s="38">
        <f t="shared" si="2"/>
        <v>49859</v>
      </c>
      <c r="L131" s="40">
        <f t="shared" si="3"/>
        <v>30.4</v>
      </c>
    </row>
    <row r="132" spans="10:12" x14ac:dyDescent="0.2">
      <c r="J132" s="37">
        <v>129</v>
      </c>
      <c r="K132" s="38">
        <f t="shared" si="2"/>
        <v>49890</v>
      </c>
      <c r="L132" s="40">
        <f t="shared" si="3"/>
        <v>30.4</v>
      </c>
    </row>
    <row r="133" spans="10:12" x14ac:dyDescent="0.2">
      <c r="J133" s="37">
        <v>130</v>
      </c>
      <c r="K133" s="38">
        <f t="shared" ref="K133:K196" si="4">IF(($J$4:$J$363)&lt;=$H$1,(EOMONTH(K132,0)+$B$6))</f>
        <v>49921</v>
      </c>
      <c r="L133" s="40">
        <f t="shared" si="3"/>
        <v>30.4</v>
      </c>
    </row>
    <row r="134" spans="10:12" x14ac:dyDescent="0.2">
      <c r="J134" s="37">
        <v>131</v>
      </c>
      <c r="K134" s="38">
        <f t="shared" si="4"/>
        <v>49951</v>
      </c>
      <c r="L134" s="40">
        <f t="shared" si="3"/>
        <v>30.4</v>
      </c>
    </row>
    <row r="135" spans="10:12" x14ac:dyDescent="0.2">
      <c r="J135" s="37">
        <v>132</v>
      </c>
      <c r="K135" s="38">
        <f t="shared" si="4"/>
        <v>49982</v>
      </c>
      <c r="L135" s="40">
        <f t="shared" ref="L135:L198" si="5">IF($J$4:$J$363 &lt;= $H$1,$H$2,"")</f>
        <v>30.4</v>
      </c>
    </row>
    <row r="136" spans="10:12" x14ac:dyDescent="0.2">
      <c r="J136" s="37">
        <v>133</v>
      </c>
      <c r="K136" s="38">
        <f t="shared" si="4"/>
        <v>50012</v>
      </c>
      <c r="L136" s="40">
        <f t="shared" si="5"/>
        <v>30.4</v>
      </c>
    </row>
    <row r="137" spans="10:12" x14ac:dyDescent="0.2">
      <c r="J137" s="37">
        <v>134</v>
      </c>
      <c r="K137" s="38">
        <f t="shared" si="4"/>
        <v>50043</v>
      </c>
      <c r="L137" s="40">
        <f t="shared" si="5"/>
        <v>30.4</v>
      </c>
    </row>
    <row r="138" spans="10:12" x14ac:dyDescent="0.2">
      <c r="J138" s="37">
        <v>135</v>
      </c>
      <c r="K138" s="38">
        <f t="shared" si="4"/>
        <v>50074</v>
      </c>
      <c r="L138" s="40">
        <f t="shared" si="5"/>
        <v>30.4</v>
      </c>
    </row>
    <row r="139" spans="10:12" x14ac:dyDescent="0.2">
      <c r="J139" s="37">
        <v>136</v>
      </c>
      <c r="K139" s="38">
        <f t="shared" si="4"/>
        <v>50102</v>
      </c>
      <c r="L139" s="40">
        <f t="shared" si="5"/>
        <v>30.4</v>
      </c>
    </row>
    <row r="140" spans="10:12" x14ac:dyDescent="0.2">
      <c r="J140" s="37">
        <v>137</v>
      </c>
      <c r="K140" s="38">
        <f t="shared" si="4"/>
        <v>50133</v>
      </c>
      <c r="L140" s="40">
        <f t="shared" si="5"/>
        <v>30.4</v>
      </c>
    </row>
    <row r="141" spans="10:12" x14ac:dyDescent="0.2">
      <c r="J141" s="37">
        <v>138</v>
      </c>
      <c r="K141" s="38">
        <f t="shared" si="4"/>
        <v>50163</v>
      </c>
      <c r="L141" s="40">
        <f t="shared" si="5"/>
        <v>30.4</v>
      </c>
    </row>
    <row r="142" spans="10:12" x14ac:dyDescent="0.2">
      <c r="J142" s="37">
        <v>139</v>
      </c>
      <c r="K142" s="38">
        <f t="shared" si="4"/>
        <v>50194</v>
      </c>
      <c r="L142" s="40">
        <f t="shared" si="5"/>
        <v>30.4</v>
      </c>
    </row>
    <row r="143" spans="10:12" x14ac:dyDescent="0.2">
      <c r="J143" s="37">
        <v>140</v>
      </c>
      <c r="K143" s="38">
        <f t="shared" si="4"/>
        <v>50224</v>
      </c>
      <c r="L143" s="40">
        <f t="shared" si="5"/>
        <v>30.4</v>
      </c>
    </row>
    <row r="144" spans="10:12" x14ac:dyDescent="0.2">
      <c r="J144" s="37">
        <v>141</v>
      </c>
      <c r="K144" s="38">
        <f t="shared" si="4"/>
        <v>50255</v>
      </c>
      <c r="L144" s="40">
        <f t="shared" si="5"/>
        <v>30.4</v>
      </c>
    </row>
    <row r="145" spans="10:12" x14ac:dyDescent="0.2">
      <c r="J145" s="37">
        <v>142</v>
      </c>
      <c r="K145" s="38">
        <f t="shared" si="4"/>
        <v>50286</v>
      </c>
      <c r="L145" s="40">
        <f t="shared" si="5"/>
        <v>30.4</v>
      </c>
    </row>
    <row r="146" spans="10:12" x14ac:dyDescent="0.2">
      <c r="J146" s="37">
        <v>143</v>
      </c>
      <c r="K146" s="38">
        <f t="shared" si="4"/>
        <v>50316</v>
      </c>
      <c r="L146" s="40">
        <f t="shared" si="5"/>
        <v>30.4</v>
      </c>
    </row>
    <row r="147" spans="10:12" x14ac:dyDescent="0.2">
      <c r="J147" s="37">
        <v>144</v>
      </c>
      <c r="K147" s="38">
        <f t="shared" si="4"/>
        <v>50347</v>
      </c>
      <c r="L147" s="40">
        <f t="shared" si="5"/>
        <v>30.4</v>
      </c>
    </row>
    <row r="148" spans="10:12" x14ac:dyDescent="0.2">
      <c r="J148" s="37">
        <v>145</v>
      </c>
      <c r="K148" s="38">
        <f t="shared" si="4"/>
        <v>50377</v>
      </c>
      <c r="L148" s="40">
        <f t="shared" si="5"/>
        <v>30.4</v>
      </c>
    </row>
    <row r="149" spans="10:12" x14ac:dyDescent="0.2">
      <c r="J149" s="37">
        <v>146</v>
      </c>
      <c r="K149" s="38">
        <f t="shared" si="4"/>
        <v>50408</v>
      </c>
      <c r="L149" s="40">
        <f t="shared" si="5"/>
        <v>30.4</v>
      </c>
    </row>
    <row r="150" spans="10:12" x14ac:dyDescent="0.2">
      <c r="J150" s="37">
        <v>147</v>
      </c>
      <c r="K150" s="38">
        <f t="shared" si="4"/>
        <v>50439</v>
      </c>
      <c r="L150" s="40">
        <f t="shared" si="5"/>
        <v>30.4</v>
      </c>
    </row>
    <row r="151" spans="10:12" x14ac:dyDescent="0.2">
      <c r="J151" s="37">
        <v>148</v>
      </c>
      <c r="K151" s="38">
        <f t="shared" si="4"/>
        <v>50467</v>
      </c>
      <c r="L151" s="40">
        <f t="shared" si="5"/>
        <v>30.4</v>
      </c>
    </row>
    <row r="152" spans="10:12" x14ac:dyDescent="0.2">
      <c r="J152" s="37">
        <v>149</v>
      </c>
      <c r="K152" s="38">
        <f t="shared" si="4"/>
        <v>50498</v>
      </c>
      <c r="L152" s="40">
        <f t="shared" si="5"/>
        <v>30.4</v>
      </c>
    </row>
    <row r="153" spans="10:12" x14ac:dyDescent="0.2">
      <c r="J153" s="37">
        <v>150</v>
      </c>
      <c r="K153" s="38">
        <f t="shared" si="4"/>
        <v>50528</v>
      </c>
      <c r="L153" s="40">
        <f t="shared" si="5"/>
        <v>30.4</v>
      </c>
    </row>
    <row r="154" spans="10:12" x14ac:dyDescent="0.2">
      <c r="J154" s="37">
        <v>151</v>
      </c>
      <c r="K154" s="38">
        <f t="shared" si="4"/>
        <v>50559</v>
      </c>
      <c r="L154" s="40">
        <f t="shared" si="5"/>
        <v>30.4</v>
      </c>
    </row>
    <row r="155" spans="10:12" x14ac:dyDescent="0.2">
      <c r="J155" s="37">
        <v>152</v>
      </c>
      <c r="K155" s="38">
        <f t="shared" si="4"/>
        <v>50589</v>
      </c>
      <c r="L155" s="40">
        <f t="shared" si="5"/>
        <v>30.4</v>
      </c>
    </row>
    <row r="156" spans="10:12" x14ac:dyDescent="0.2">
      <c r="J156" s="37">
        <v>153</v>
      </c>
      <c r="K156" s="38">
        <f t="shared" si="4"/>
        <v>50620</v>
      </c>
      <c r="L156" s="40">
        <f t="shared" si="5"/>
        <v>30.4</v>
      </c>
    </row>
    <row r="157" spans="10:12" x14ac:dyDescent="0.2">
      <c r="J157" s="37">
        <v>154</v>
      </c>
      <c r="K157" s="38">
        <f t="shared" si="4"/>
        <v>50651</v>
      </c>
      <c r="L157" s="40">
        <f t="shared" si="5"/>
        <v>30.4</v>
      </c>
    </row>
    <row r="158" spans="10:12" x14ac:dyDescent="0.2">
      <c r="J158" s="37">
        <v>155</v>
      </c>
      <c r="K158" s="38">
        <f t="shared" si="4"/>
        <v>50681</v>
      </c>
      <c r="L158" s="40">
        <f t="shared" si="5"/>
        <v>30.4</v>
      </c>
    </row>
    <row r="159" spans="10:12" x14ac:dyDescent="0.2">
      <c r="J159" s="37">
        <v>156</v>
      </c>
      <c r="K159" s="38">
        <f t="shared" si="4"/>
        <v>50712</v>
      </c>
      <c r="L159" s="40">
        <f t="shared" si="5"/>
        <v>30.4</v>
      </c>
    </row>
    <row r="160" spans="10:12" x14ac:dyDescent="0.2">
      <c r="J160" s="37">
        <v>157</v>
      </c>
      <c r="K160" s="38">
        <f t="shared" si="4"/>
        <v>50742</v>
      </c>
      <c r="L160" s="40">
        <f t="shared" si="5"/>
        <v>30.4</v>
      </c>
    </row>
    <row r="161" spans="10:12" x14ac:dyDescent="0.2">
      <c r="J161" s="37">
        <v>158</v>
      </c>
      <c r="K161" s="38">
        <f t="shared" si="4"/>
        <v>50773</v>
      </c>
      <c r="L161" s="40">
        <f t="shared" si="5"/>
        <v>30.4</v>
      </c>
    </row>
    <row r="162" spans="10:12" x14ac:dyDescent="0.2">
      <c r="J162" s="37">
        <v>159</v>
      </c>
      <c r="K162" s="38">
        <f t="shared" si="4"/>
        <v>50804</v>
      </c>
      <c r="L162" s="40">
        <f t="shared" si="5"/>
        <v>30.4</v>
      </c>
    </row>
    <row r="163" spans="10:12" x14ac:dyDescent="0.2">
      <c r="J163" s="37">
        <v>160</v>
      </c>
      <c r="K163" s="38">
        <f t="shared" si="4"/>
        <v>50832</v>
      </c>
      <c r="L163" s="40">
        <f t="shared" si="5"/>
        <v>30.4</v>
      </c>
    </row>
    <row r="164" spans="10:12" x14ac:dyDescent="0.2">
      <c r="J164" s="37">
        <v>161</v>
      </c>
      <c r="K164" s="38">
        <f t="shared" si="4"/>
        <v>50863</v>
      </c>
      <c r="L164" s="40">
        <f t="shared" si="5"/>
        <v>30.4</v>
      </c>
    </row>
    <row r="165" spans="10:12" x14ac:dyDescent="0.2">
      <c r="J165" s="37">
        <v>162</v>
      </c>
      <c r="K165" s="38">
        <f t="shared" si="4"/>
        <v>50893</v>
      </c>
      <c r="L165" s="40">
        <f t="shared" si="5"/>
        <v>30.4</v>
      </c>
    </row>
    <row r="166" spans="10:12" x14ac:dyDescent="0.2">
      <c r="J166" s="37">
        <v>163</v>
      </c>
      <c r="K166" s="38">
        <f t="shared" si="4"/>
        <v>50924</v>
      </c>
      <c r="L166" s="40">
        <f t="shared" si="5"/>
        <v>30.4</v>
      </c>
    </row>
    <row r="167" spans="10:12" x14ac:dyDescent="0.2">
      <c r="J167" s="37">
        <v>164</v>
      </c>
      <c r="K167" s="38">
        <f t="shared" si="4"/>
        <v>50954</v>
      </c>
      <c r="L167" s="40">
        <f t="shared" si="5"/>
        <v>30.4</v>
      </c>
    </row>
    <row r="168" spans="10:12" x14ac:dyDescent="0.2">
      <c r="J168" s="37">
        <v>165</v>
      </c>
      <c r="K168" s="38">
        <f t="shared" si="4"/>
        <v>50985</v>
      </c>
      <c r="L168" s="40">
        <f t="shared" si="5"/>
        <v>30.4</v>
      </c>
    </row>
    <row r="169" spans="10:12" x14ac:dyDescent="0.2">
      <c r="J169" s="37">
        <v>166</v>
      </c>
      <c r="K169" s="38">
        <f t="shared" si="4"/>
        <v>51016</v>
      </c>
      <c r="L169" s="40">
        <f t="shared" si="5"/>
        <v>30.4</v>
      </c>
    </row>
    <row r="170" spans="10:12" x14ac:dyDescent="0.2">
      <c r="J170" s="37">
        <v>167</v>
      </c>
      <c r="K170" s="38">
        <f t="shared" si="4"/>
        <v>51046</v>
      </c>
      <c r="L170" s="40">
        <f t="shared" si="5"/>
        <v>30.4</v>
      </c>
    </row>
    <row r="171" spans="10:12" x14ac:dyDescent="0.2">
      <c r="J171" s="37">
        <v>168</v>
      </c>
      <c r="K171" s="38">
        <f t="shared" si="4"/>
        <v>51077</v>
      </c>
      <c r="L171" s="40">
        <f t="shared" si="5"/>
        <v>30.4</v>
      </c>
    </row>
    <row r="172" spans="10:12" x14ac:dyDescent="0.2">
      <c r="J172" s="37">
        <v>169</v>
      </c>
      <c r="K172" s="38">
        <f t="shared" si="4"/>
        <v>51107</v>
      </c>
      <c r="L172" s="40">
        <f t="shared" si="5"/>
        <v>30.4</v>
      </c>
    </row>
    <row r="173" spans="10:12" x14ac:dyDescent="0.2">
      <c r="J173" s="37">
        <v>170</v>
      </c>
      <c r="K173" s="38">
        <f t="shared" si="4"/>
        <v>51138</v>
      </c>
      <c r="L173" s="40">
        <f t="shared" si="5"/>
        <v>30.4</v>
      </c>
    </row>
    <row r="174" spans="10:12" x14ac:dyDescent="0.2">
      <c r="J174" s="37">
        <v>171</v>
      </c>
      <c r="K174" s="38">
        <f t="shared" si="4"/>
        <v>51169</v>
      </c>
      <c r="L174" s="40">
        <f t="shared" si="5"/>
        <v>30.4</v>
      </c>
    </row>
    <row r="175" spans="10:12" x14ac:dyDescent="0.2">
      <c r="J175" s="37">
        <v>172</v>
      </c>
      <c r="K175" s="38">
        <f t="shared" si="4"/>
        <v>51198</v>
      </c>
      <c r="L175" s="40">
        <f t="shared" si="5"/>
        <v>30.4</v>
      </c>
    </row>
    <row r="176" spans="10:12" x14ac:dyDescent="0.2">
      <c r="J176" s="37">
        <v>173</v>
      </c>
      <c r="K176" s="38">
        <f t="shared" si="4"/>
        <v>51229</v>
      </c>
      <c r="L176" s="40">
        <f t="shared" si="5"/>
        <v>30.4</v>
      </c>
    </row>
    <row r="177" spans="10:12" x14ac:dyDescent="0.2">
      <c r="J177" s="37">
        <v>174</v>
      </c>
      <c r="K177" s="38">
        <f t="shared" si="4"/>
        <v>51259</v>
      </c>
      <c r="L177" s="40">
        <f t="shared" si="5"/>
        <v>30.4</v>
      </c>
    </row>
    <row r="178" spans="10:12" x14ac:dyDescent="0.2">
      <c r="J178" s="37">
        <v>175</v>
      </c>
      <c r="K178" s="38">
        <f t="shared" si="4"/>
        <v>51290</v>
      </c>
      <c r="L178" s="40">
        <f t="shared" si="5"/>
        <v>30.4</v>
      </c>
    </row>
    <row r="179" spans="10:12" x14ac:dyDescent="0.2">
      <c r="J179" s="37">
        <v>176</v>
      </c>
      <c r="K179" s="38">
        <f t="shared" si="4"/>
        <v>51320</v>
      </c>
      <c r="L179" s="40">
        <f t="shared" si="5"/>
        <v>30.4</v>
      </c>
    </row>
    <row r="180" spans="10:12" x14ac:dyDescent="0.2">
      <c r="J180" s="37">
        <v>177</v>
      </c>
      <c r="K180" s="38">
        <f t="shared" si="4"/>
        <v>51351</v>
      </c>
      <c r="L180" s="40">
        <f t="shared" si="5"/>
        <v>30.4</v>
      </c>
    </row>
    <row r="181" spans="10:12" x14ac:dyDescent="0.2">
      <c r="J181" s="37">
        <v>178</v>
      </c>
      <c r="K181" s="38">
        <f t="shared" si="4"/>
        <v>51382</v>
      </c>
      <c r="L181" s="40">
        <f t="shared" si="5"/>
        <v>30.4</v>
      </c>
    </row>
    <row r="182" spans="10:12" x14ac:dyDescent="0.2">
      <c r="J182" s="37">
        <v>179</v>
      </c>
      <c r="K182" s="38">
        <f t="shared" si="4"/>
        <v>51412</v>
      </c>
      <c r="L182" s="40">
        <f t="shared" si="5"/>
        <v>30.4</v>
      </c>
    </row>
    <row r="183" spans="10:12" x14ac:dyDescent="0.2">
      <c r="J183" s="37">
        <v>180</v>
      </c>
      <c r="K183" s="38">
        <f t="shared" si="4"/>
        <v>51443</v>
      </c>
      <c r="L183" s="40">
        <f t="shared" si="5"/>
        <v>30.4</v>
      </c>
    </row>
    <row r="184" spans="10:12" x14ac:dyDescent="0.2">
      <c r="J184" s="37">
        <v>181</v>
      </c>
      <c r="K184" s="38">
        <f t="shared" si="4"/>
        <v>51473</v>
      </c>
      <c r="L184" s="40">
        <f t="shared" si="5"/>
        <v>30.4</v>
      </c>
    </row>
    <row r="185" spans="10:12" x14ac:dyDescent="0.2">
      <c r="J185" s="37">
        <v>182</v>
      </c>
      <c r="K185" s="38">
        <f t="shared" si="4"/>
        <v>51504</v>
      </c>
      <c r="L185" s="40">
        <f t="shared" si="5"/>
        <v>30.4</v>
      </c>
    </row>
    <row r="186" spans="10:12" x14ac:dyDescent="0.2">
      <c r="J186" s="37">
        <v>183</v>
      </c>
      <c r="K186" s="38">
        <f t="shared" si="4"/>
        <v>51535</v>
      </c>
      <c r="L186" s="40">
        <f t="shared" si="5"/>
        <v>30.4</v>
      </c>
    </row>
    <row r="187" spans="10:12" x14ac:dyDescent="0.2">
      <c r="J187" s="37">
        <v>184</v>
      </c>
      <c r="K187" s="38">
        <f t="shared" si="4"/>
        <v>51563</v>
      </c>
      <c r="L187" s="40">
        <f t="shared" si="5"/>
        <v>30.4</v>
      </c>
    </row>
    <row r="188" spans="10:12" x14ac:dyDescent="0.2">
      <c r="J188" s="37">
        <v>185</v>
      </c>
      <c r="K188" s="38">
        <f t="shared" si="4"/>
        <v>51594</v>
      </c>
      <c r="L188" s="40">
        <f t="shared" si="5"/>
        <v>30.4</v>
      </c>
    </row>
    <row r="189" spans="10:12" x14ac:dyDescent="0.2">
      <c r="J189" s="37">
        <v>186</v>
      </c>
      <c r="K189" s="38">
        <f t="shared" si="4"/>
        <v>51624</v>
      </c>
      <c r="L189" s="40">
        <f t="shared" si="5"/>
        <v>30.4</v>
      </c>
    </row>
    <row r="190" spans="10:12" x14ac:dyDescent="0.2">
      <c r="J190" s="37">
        <v>187</v>
      </c>
      <c r="K190" s="38">
        <f t="shared" si="4"/>
        <v>51655</v>
      </c>
      <c r="L190" s="40">
        <f t="shared" si="5"/>
        <v>30.4</v>
      </c>
    </row>
    <row r="191" spans="10:12" x14ac:dyDescent="0.2">
      <c r="J191" s="37">
        <v>188</v>
      </c>
      <c r="K191" s="38">
        <f t="shared" si="4"/>
        <v>51685</v>
      </c>
      <c r="L191" s="40">
        <f t="shared" si="5"/>
        <v>30.4</v>
      </c>
    </row>
    <row r="192" spans="10:12" x14ac:dyDescent="0.2">
      <c r="J192" s="37">
        <v>189</v>
      </c>
      <c r="K192" s="38">
        <f t="shared" si="4"/>
        <v>51716</v>
      </c>
      <c r="L192" s="40">
        <f t="shared" si="5"/>
        <v>30.4</v>
      </c>
    </row>
    <row r="193" spans="10:12" x14ac:dyDescent="0.2">
      <c r="J193" s="37">
        <v>190</v>
      </c>
      <c r="K193" s="38">
        <f t="shared" si="4"/>
        <v>51747</v>
      </c>
      <c r="L193" s="40">
        <f t="shared" si="5"/>
        <v>30.4</v>
      </c>
    </row>
    <row r="194" spans="10:12" x14ac:dyDescent="0.2">
      <c r="J194" s="37">
        <v>191</v>
      </c>
      <c r="K194" s="38">
        <f t="shared" si="4"/>
        <v>51777</v>
      </c>
      <c r="L194" s="40">
        <f t="shared" si="5"/>
        <v>30.4</v>
      </c>
    </row>
    <row r="195" spans="10:12" x14ac:dyDescent="0.2">
      <c r="J195" s="37">
        <v>192</v>
      </c>
      <c r="K195" s="38">
        <f t="shared" si="4"/>
        <v>51808</v>
      </c>
      <c r="L195" s="40">
        <f t="shared" si="5"/>
        <v>30.4</v>
      </c>
    </row>
    <row r="196" spans="10:12" x14ac:dyDescent="0.2">
      <c r="J196" s="37">
        <v>193</v>
      </c>
      <c r="K196" s="38">
        <f t="shared" si="4"/>
        <v>51838</v>
      </c>
      <c r="L196" s="40">
        <f t="shared" si="5"/>
        <v>30.4</v>
      </c>
    </row>
    <row r="197" spans="10:12" x14ac:dyDescent="0.2">
      <c r="J197" s="37">
        <v>194</v>
      </c>
      <c r="K197" s="38">
        <f t="shared" ref="K197:K260" si="6">IF(($J$4:$J$363)&lt;=$H$1,(EOMONTH(K196,0)+$B$6))</f>
        <v>51869</v>
      </c>
      <c r="L197" s="40">
        <f t="shared" si="5"/>
        <v>30.4</v>
      </c>
    </row>
    <row r="198" spans="10:12" x14ac:dyDescent="0.2">
      <c r="J198" s="37">
        <v>195</v>
      </c>
      <c r="K198" s="38">
        <f t="shared" si="6"/>
        <v>51900</v>
      </c>
      <c r="L198" s="40">
        <f t="shared" si="5"/>
        <v>30.4</v>
      </c>
    </row>
    <row r="199" spans="10:12" x14ac:dyDescent="0.2">
      <c r="J199" s="37">
        <v>196</v>
      </c>
      <c r="K199" s="38">
        <f t="shared" si="6"/>
        <v>51928</v>
      </c>
      <c r="L199" s="40">
        <f t="shared" ref="L199:L262" si="7">IF($J$4:$J$363 &lt;= $H$1,$H$2,"")</f>
        <v>30.4</v>
      </c>
    </row>
    <row r="200" spans="10:12" x14ac:dyDescent="0.2">
      <c r="J200" s="37">
        <v>197</v>
      </c>
      <c r="K200" s="38">
        <f t="shared" si="6"/>
        <v>51959</v>
      </c>
      <c r="L200" s="40">
        <f t="shared" si="7"/>
        <v>30.4</v>
      </c>
    </row>
    <row r="201" spans="10:12" x14ac:dyDescent="0.2">
      <c r="J201" s="37">
        <v>198</v>
      </c>
      <c r="K201" s="38">
        <f t="shared" si="6"/>
        <v>51989</v>
      </c>
      <c r="L201" s="40">
        <f t="shared" si="7"/>
        <v>30.4</v>
      </c>
    </row>
    <row r="202" spans="10:12" x14ac:dyDescent="0.2">
      <c r="J202" s="37">
        <v>199</v>
      </c>
      <c r="K202" s="38">
        <f t="shared" si="6"/>
        <v>52020</v>
      </c>
      <c r="L202" s="40">
        <f t="shared" si="7"/>
        <v>30.4</v>
      </c>
    </row>
    <row r="203" spans="10:12" x14ac:dyDescent="0.2">
      <c r="J203" s="37">
        <v>200</v>
      </c>
      <c r="K203" s="38">
        <f t="shared" si="6"/>
        <v>52050</v>
      </c>
      <c r="L203" s="40">
        <f t="shared" si="7"/>
        <v>30.4</v>
      </c>
    </row>
    <row r="204" spans="10:12" x14ac:dyDescent="0.2">
      <c r="J204" s="37">
        <v>201</v>
      </c>
      <c r="K204" s="38">
        <f t="shared" si="6"/>
        <v>52081</v>
      </c>
      <c r="L204" s="40">
        <f t="shared" si="7"/>
        <v>30.4</v>
      </c>
    </row>
    <row r="205" spans="10:12" x14ac:dyDescent="0.2">
      <c r="J205" s="37">
        <v>202</v>
      </c>
      <c r="K205" s="38">
        <f t="shared" si="6"/>
        <v>52112</v>
      </c>
      <c r="L205" s="40">
        <f t="shared" si="7"/>
        <v>30.4</v>
      </c>
    </row>
    <row r="206" spans="10:12" x14ac:dyDescent="0.2">
      <c r="J206" s="37">
        <v>203</v>
      </c>
      <c r="K206" s="38">
        <f t="shared" si="6"/>
        <v>52142</v>
      </c>
      <c r="L206" s="40">
        <f t="shared" si="7"/>
        <v>30.4</v>
      </c>
    </row>
    <row r="207" spans="10:12" x14ac:dyDescent="0.2">
      <c r="J207" s="37">
        <v>204</v>
      </c>
      <c r="K207" s="38">
        <f t="shared" si="6"/>
        <v>52173</v>
      </c>
      <c r="L207" s="40">
        <f t="shared" si="7"/>
        <v>30.4</v>
      </c>
    </row>
    <row r="208" spans="10:12" x14ac:dyDescent="0.2">
      <c r="J208" s="37">
        <v>205</v>
      </c>
      <c r="K208" s="38">
        <f t="shared" si="6"/>
        <v>52203</v>
      </c>
      <c r="L208" s="40">
        <f t="shared" si="7"/>
        <v>30.4</v>
      </c>
    </row>
    <row r="209" spans="10:12" x14ac:dyDescent="0.2">
      <c r="J209" s="37">
        <v>206</v>
      </c>
      <c r="K209" s="38">
        <f t="shared" si="6"/>
        <v>52234</v>
      </c>
      <c r="L209" s="40">
        <f t="shared" si="7"/>
        <v>30.4</v>
      </c>
    </row>
    <row r="210" spans="10:12" x14ac:dyDescent="0.2">
      <c r="J210" s="37">
        <v>207</v>
      </c>
      <c r="K210" s="38">
        <f t="shared" si="6"/>
        <v>52265</v>
      </c>
      <c r="L210" s="40">
        <f t="shared" si="7"/>
        <v>30.4</v>
      </c>
    </row>
    <row r="211" spans="10:12" x14ac:dyDescent="0.2">
      <c r="J211" s="37">
        <v>208</v>
      </c>
      <c r="K211" s="38">
        <f t="shared" si="6"/>
        <v>52293</v>
      </c>
      <c r="L211" s="40">
        <f t="shared" si="7"/>
        <v>30.4</v>
      </c>
    </row>
    <row r="212" spans="10:12" x14ac:dyDescent="0.2">
      <c r="J212" s="37">
        <v>209</v>
      </c>
      <c r="K212" s="38">
        <f t="shared" si="6"/>
        <v>52324</v>
      </c>
      <c r="L212" s="40">
        <f t="shared" si="7"/>
        <v>30.4</v>
      </c>
    </row>
    <row r="213" spans="10:12" x14ac:dyDescent="0.2">
      <c r="J213" s="37">
        <v>210</v>
      </c>
      <c r="K213" s="38">
        <f t="shared" si="6"/>
        <v>52354</v>
      </c>
      <c r="L213" s="40">
        <f t="shared" si="7"/>
        <v>30.4</v>
      </c>
    </row>
    <row r="214" spans="10:12" x14ac:dyDescent="0.2">
      <c r="J214" s="37">
        <v>211</v>
      </c>
      <c r="K214" s="38">
        <f t="shared" si="6"/>
        <v>52385</v>
      </c>
      <c r="L214" s="40">
        <f t="shared" si="7"/>
        <v>30.4</v>
      </c>
    </row>
    <row r="215" spans="10:12" x14ac:dyDescent="0.2">
      <c r="J215" s="37">
        <v>212</v>
      </c>
      <c r="K215" s="38">
        <f t="shared" si="6"/>
        <v>52415</v>
      </c>
      <c r="L215" s="40">
        <f t="shared" si="7"/>
        <v>30.4</v>
      </c>
    </row>
    <row r="216" spans="10:12" x14ac:dyDescent="0.2">
      <c r="J216" s="37">
        <v>213</v>
      </c>
      <c r="K216" s="38">
        <f t="shared" si="6"/>
        <v>52446</v>
      </c>
      <c r="L216" s="40">
        <f t="shared" si="7"/>
        <v>30.4</v>
      </c>
    </row>
    <row r="217" spans="10:12" x14ac:dyDescent="0.2">
      <c r="J217" s="37">
        <v>214</v>
      </c>
      <c r="K217" s="38">
        <f t="shared" si="6"/>
        <v>52477</v>
      </c>
      <c r="L217" s="40">
        <f t="shared" si="7"/>
        <v>30.4</v>
      </c>
    </row>
    <row r="218" spans="10:12" x14ac:dyDescent="0.2">
      <c r="J218" s="37">
        <v>215</v>
      </c>
      <c r="K218" s="38">
        <f t="shared" si="6"/>
        <v>52507</v>
      </c>
      <c r="L218" s="40">
        <f t="shared" si="7"/>
        <v>30.4</v>
      </c>
    </row>
    <row r="219" spans="10:12" x14ac:dyDescent="0.2">
      <c r="J219" s="37">
        <v>216</v>
      </c>
      <c r="K219" s="38">
        <f t="shared" si="6"/>
        <v>52538</v>
      </c>
      <c r="L219" s="40">
        <f t="shared" si="7"/>
        <v>30.4</v>
      </c>
    </row>
    <row r="220" spans="10:12" x14ac:dyDescent="0.2">
      <c r="J220" s="37">
        <v>217</v>
      </c>
      <c r="K220" s="38">
        <f t="shared" si="6"/>
        <v>52568</v>
      </c>
      <c r="L220" s="40">
        <f t="shared" si="7"/>
        <v>30.4</v>
      </c>
    </row>
    <row r="221" spans="10:12" x14ac:dyDescent="0.2">
      <c r="J221" s="37">
        <v>218</v>
      </c>
      <c r="K221" s="38">
        <f t="shared" si="6"/>
        <v>52599</v>
      </c>
      <c r="L221" s="40">
        <f t="shared" si="7"/>
        <v>30.4</v>
      </c>
    </row>
    <row r="222" spans="10:12" x14ac:dyDescent="0.2">
      <c r="J222" s="37">
        <v>219</v>
      </c>
      <c r="K222" s="38">
        <f t="shared" si="6"/>
        <v>52630</v>
      </c>
      <c r="L222" s="40">
        <f t="shared" si="7"/>
        <v>30.4</v>
      </c>
    </row>
    <row r="223" spans="10:12" x14ac:dyDescent="0.2">
      <c r="J223" s="37">
        <v>220</v>
      </c>
      <c r="K223" s="38">
        <f t="shared" si="6"/>
        <v>52659</v>
      </c>
      <c r="L223" s="40">
        <f t="shared" si="7"/>
        <v>30.4</v>
      </c>
    </row>
    <row r="224" spans="10:12" x14ac:dyDescent="0.2">
      <c r="J224" s="37">
        <v>221</v>
      </c>
      <c r="K224" s="38">
        <f t="shared" si="6"/>
        <v>52690</v>
      </c>
      <c r="L224" s="40">
        <f t="shared" si="7"/>
        <v>30.4</v>
      </c>
    </row>
    <row r="225" spans="10:12" x14ac:dyDescent="0.2">
      <c r="J225" s="37">
        <v>222</v>
      </c>
      <c r="K225" s="38">
        <f t="shared" si="6"/>
        <v>52720</v>
      </c>
      <c r="L225" s="40">
        <f t="shared" si="7"/>
        <v>30.4</v>
      </c>
    </row>
    <row r="226" spans="10:12" x14ac:dyDescent="0.2">
      <c r="J226" s="37">
        <v>223</v>
      </c>
      <c r="K226" s="38">
        <f t="shared" si="6"/>
        <v>52751</v>
      </c>
      <c r="L226" s="40">
        <f t="shared" si="7"/>
        <v>30.4</v>
      </c>
    </row>
    <row r="227" spans="10:12" x14ac:dyDescent="0.2">
      <c r="J227" s="37">
        <v>224</v>
      </c>
      <c r="K227" s="38">
        <f t="shared" si="6"/>
        <v>52781</v>
      </c>
      <c r="L227" s="40">
        <f t="shared" si="7"/>
        <v>30.4</v>
      </c>
    </row>
    <row r="228" spans="10:12" x14ac:dyDescent="0.2">
      <c r="J228" s="37">
        <v>225</v>
      </c>
      <c r="K228" s="38">
        <f t="shared" si="6"/>
        <v>52812</v>
      </c>
      <c r="L228" s="40">
        <f t="shared" si="7"/>
        <v>30.4</v>
      </c>
    </row>
    <row r="229" spans="10:12" x14ac:dyDescent="0.2">
      <c r="J229" s="37">
        <v>226</v>
      </c>
      <c r="K229" s="38">
        <f t="shared" si="6"/>
        <v>52843</v>
      </c>
      <c r="L229" s="40">
        <f t="shared" si="7"/>
        <v>30.4</v>
      </c>
    </row>
    <row r="230" spans="10:12" x14ac:dyDescent="0.2">
      <c r="J230" s="37">
        <v>227</v>
      </c>
      <c r="K230" s="38">
        <f t="shared" si="6"/>
        <v>52873</v>
      </c>
      <c r="L230" s="40">
        <f t="shared" si="7"/>
        <v>30.4</v>
      </c>
    </row>
    <row r="231" spans="10:12" x14ac:dyDescent="0.2">
      <c r="J231" s="37">
        <v>228</v>
      </c>
      <c r="K231" s="38">
        <f t="shared" si="6"/>
        <v>52904</v>
      </c>
      <c r="L231" s="40">
        <f t="shared" si="7"/>
        <v>30.4</v>
      </c>
    </row>
    <row r="232" spans="10:12" x14ac:dyDescent="0.2">
      <c r="J232" s="37">
        <v>229</v>
      </c>
      <c r="K232" s="38">
        <f t="shared" si="6"/>
        <v>52934</v>
      </c>
      <c r="L232" s="40">
        <f t="shared" si="7"/>
        <v>30.4</v>
      </c>
    </row>
    <row r="233" spans="10:12" x14ac:dyDescent="0.2">
      <c r="J233" s="37">
        <v>230</v>
      </c>
      <c r="K233" s="38">
        <f t="shared" si="6"/>
        <v>52965</v>
      </c>
      <c r="L233" s="40">
        <f t="shared" si="7"/>
        <v>30.4</v>
      </c>
    </row>
    <row r="234" spans="10:12" x14ac:dyDescent="0.2">
      <c r="J234" s="37">
        <v>231</v>
      </c>
      <c r="K234" s="38">
        <f t="shared" si="6"/>
        <v>52996</v>
      </c>
      <c r="L234" s="40">
        <f t="shared" si="7"/>
        <v>30.4</v>
      </c>
    </row>
    <row r="235" spans="10:12" x14ac:dyDescent="0.2">
      <c r="J235" s="37">
        <v>232</v>
      </c>
      <c r="K235" s="38">
        <f t="shared" si="6"/>
        <v>53024</v>
      </c>
      <c r="L235" s="40">
        <f t="shared" si="7"/>
        <v>30.4</v>
      </c>
    </row>
    <row r="236" spans="10:12" x14ac:dyDescent="0.2">
      <c r="J236" s="37">
        <v>233</v>
      </c>
      <c r="K236" s="38">
        <f t="shared" si="6"/>
        <v>53055</v>
      </c>
      <c r="L236" s="40">
        <f t="shared" si="7"/>
        <v>30.4</v>
      </c>
    </row>
    <row r="237" spans="10:12" x14ac:dyDescent="0.2">
      <c r="J237" s="37">
        <v>234</v>
      </c>
      <c r="K237" s="38">
        <f t="shared" si="6"/>
        <v>53085</v>
      </c>
      <c r="L237" s="40">
        <f t="shared" si="7"/>
        <v>30.4</v>
      </c>
    </row>
    <row r="238" spans="10:12" x14ac:dyDescent="0.2">
      <c r="J238" s="37">
        <v>235</v>
      </c>
      <c r="K238" s="38">
        <f t="shared" si="6"/>
        <v>53116</v>
      </c>
      <c r="L238" s="40">
        <f t="shared" si="7"/>
        <v>30.4</v>
      </c>
    </row>
    <row r="239" spans="10:12" x14ac:dyDescent="0.2">
      <c r="J239" s="37">
        <v>236</v>
      </c>
      <c r="K239" s="38">
        <f t="shared" si="6"/>
        <v>53146</v>
      </c>
      <c r="L239" s="40">
        <f t="shared" si="7"/>
        <v>30.4</v>
      </c>
    </row>
    <row r="240" spans="10:12" x14ac:dyDescent="0.2">
      <c r="J240" s="37">
        <v>237</v>
      </c>
      <c r="K240" s="38">
        <f t="shared" si="6"/>
        <v>53177</v>
      </c>
      <c r="L240" s="40">
        <f t="shared" si="7"/>
        <v>30.4</v>
      </c>
    </row>
    <row r="241" spans="10:12" x14ac:dyDescent="0.2">
      <c r="J241" s="37">
        <v>238</v>
      </c>
      <c r="K241" s="38">
        <f t="shared" si="6"/>
        <v>53208</v>
      </c>
      <c r="L241" s="40">
        <f t="shared" si="7"/>
        <v>30.4</v>
      </c>
    </row>
    <row r="242" spans="10:12" x14ac:dyDescent="0.2">
      <c r="J242" s="37">
        <v>239</v>
      </c>
      <c r="K242" s="38">
        <f t="shared" si="6"/>
        <v>53238</v>
      </c>
      <c r="L242" s="40">
        <f t="shared" si="7"/>
        <v>30.4</v>
      </c>
    </row>
    <row r="243" spans="10:12" x14ac:dyDescent="0.2">
      <c r="J243" s="37">
        <v>240</v>
      </c>
      <c r="K243" s="38">
        <f t="shared" si="6"/>
        <v>53269</v>
      </c>
      <c r="L243" s="40">
        <f t="shared" si="7"/>
        <v>30.4</v>
      </c>
    </row>
    <row r="244" spans="10:12" x14ac:dyDescent="0.2">
      <c r="J244" s="37">
        <v>241</v>
      </c>
      <c r="K244" s="38" t="b">
        <f t="shared" si="6"/>
        <v>0</v>
      </c>
      <c r="L244" s="40" t="str">
        <f t="shared" si="7"/>
        <v/>
      </c>
    </row>
    <row r="245" spans="10:12" x14ac:dyDescent="0.2">
      <c r="J245" s="37">
        <v>242</v>
      </c>
      <c r="K245" s="38" t="b">
        <f t="shared" si="6"/>
        <v>0</v>
      </c>
      <c r="L245" s="40" t="str">
        <f t="shared" si="7"/>
        <v/>
      </c>
    </row>
    <row r="246" spans="10:12" x14ac:dyDescent="0.2">
      <c r="J246" s="37">
        <v>243</v>
      </c>
      <c r="K246" s="38" t="b">
        <f t="shared" si="6"/>
        <v>0</v>
      </c>
      <c r="L246" s="40" t="str">
        <f t="shared" si="7"/>
        <v/>
      </c>
    </row>
    <row r="247" spans="10:12" x14ac:dyDescent="0.2">
      <c r="J247" s="37">
        <v>244</v>
      </c>
      <c r="K247" s="38" t="b">
        <f t="shared" si="6"/>
        <v>0</v>
      </c>
      <c r="L247" s="40" t="str">
        <f t="shared" si="7"/>
        <v/>
      </c>
    </row>
    <row r="248" spans="10:12" x14ac:dyDescent="0.2">
      <c r="J248" s="37">
        <v>245</v>
      </c>
      <c r="K248" s="38" t="b">
        <f t="shared" si="6"/>
        <v>0</v>
      </c>
      <c r="L248" s="40" t="str">
        <f t="shared" si="7"/>
        <v/>
      </c>
    </row>
    <row r="249" spans="10:12" x14ac:dyDescent="0.2">
      <c r="J249" s="37">
        <v>246</v>
      </c>
      <c r="K249" s="38" t="b">
        <f t="shared" si="6"/>
        <v>0</v>
      </c>
      <c r="L249" s="40" t="str">
        <f t="shared" si="7"/>
        <v/>
      </c>
    </row>
    <row r="250" spans="10:12" x14ac:dyDescent="0.2">
      <c r="J250" s="37">
        <v>247</v>
      </c>
      <c r="K250" s="38" t="b">
        <f t="shared" si="6"/>
        <v>0</v>
      </c>
      <c r="L250" s="40" t="str">
        <f t="shared" si="7"/>
        <v/>
      </c>
    </row>
    <row r="251" spans="10:12" x14ac:dyDescent="0.2">
      <c r="J251" s="37">
        <v>248</v>
      </c>
      <c r="K251" s="38" t="b">
        <f t="shared" si="6"/>
        <v>0</v>
      </c>
      <c r="L251" s="40" t="str">
        <f t="shared" si="7"/>
        <v/>
      </c>
    </row>
    <row r="252" spans="10:12" x14ac:dyDescent="0.2">
      <c r="J252" s="37">
        <v>249</v>
      </c>
      <c r="K252" s="38" t="b">
        <f t="shared" si="6"/>
        <v>0</v>
      </c>
      <c r="L252" s="40" t="str">
        <f t="shared" si="7"/>
        <v/>
      </c>
    </row>
    <row r="253" spans="10:12" x14ac:dyDescent="0.2">
      <c r="J253" s="37">
        <v>250</v>
      </c>
      <c r="K253" s="38" t="b">
        <f t="shared" si="6"/>
        <v>0</v>
      </c>
      <c r="L253" s="40" t="str">
        <f t="shared" si="7"/>
        <v/>
      </c>
    </row>
    <row r="254" spans="10:12" x14ac:dyDescent="0.2">
      <c r="J254" s="37">
        <v>251</v>
      </c>
      <c r="K254" s="38" t="b">
        <f t="shared" si="6"/>
        <v>0</v>
      </c>
      <c r="L254" s="40" t="str">
        <f t="shared" si="7"/>
        <v/>
      </c>
    </row>
    <row r="255" spans="10:12" x14ac:dyDescent="0.2">
      <c r="J255" s="37">
        <v>252</v>
      </c>
      <c r="K255" s="38" t="b">
        <f t="shared" si="6"/>
        <v>0</v>
      </c>
      <c r="L255" s="40" t="str">
        <f t="shared" si="7"/>
        <v/>
      </c>
    </row>
    <row r="256" spans="10:12" x14ac:dyDescent="0.2">
      <c r="J256" s="37">
        <v>253</v>
      </c>
      <c r="K256" s="38" t="b">
        <f t="shared" si="6"/>
        <v>0</v>
      </c>
      <c r="L256" s="40" t="str">
        <f t="shared" si="7"/>
        <v/>
      </c>
    </row>
    <row r="257" spans="10:12" x14ac:dyDescent="0.2">
      <c r="J257" s="37">
        <v>254</v>
      </c>
      <c r="K257" s="38" t="b">
        <f t="shared" si="6"/>
        <v>0</v>
      </c>
      <c r="L257" s="40" t="str">
        <f t="shared" si="7"/>
        <v/>
      </c>
    </row>
    <row r="258" spans="10:12" x14ac:dyDescent="0.2">
      <c r="J258" s="37">
        <v>255</v>
      </c>
      <c r="K258" s="38" t="b">
        <f t="shared" si="6"/>
        <v>0</v>
      </c>
      <c r="L258" s="40" t="str">
        <f t="shared" si="7"/>
        <v/>
      </c>
    </row>
    <row r="259" spans="10:12" x14ac:dyDescent="0.2">
      <c r="J259" s="37">
        <v>256</v>
      </c>
      <c r="K259" s="38" t="b">
        <f t="shared" si="6"/>
        <v>0</v>
      </c>
      <c r="L259" s="40" t="str">
        <f t="shared" si="7"/>
        <v/>
      </c>
    </row>
    <row r="260" spans="10:12" x14ac:dyDescent="0.2">
      <c r="J260" s="37">
        <v>257</v>
      </c>
      <c r="K260" s="38" t="b">
        <f t="shared" si="6"/>
        <v>0</v>
      </c>
      <c r="L260" s="40" t="str">
        <f t="shared" si="7"/>
        <v/>
      </c>
    </row>
    <row r="261" spans="10:12" x14ac:dyDescent="0.2">
      <c r="J261" s="37">
        <v>258</v>
      </c>
      <c r="K261" s="38" t="b">
        <f t="shared" ref="K261:K324" si="8">IF(($J$4:$J$363)&lt;=$H$1,(EOMONTH(K260,0)+$B$6))</f>
        <v>0</v>
      </c>
      <c r="L261" s="40" t="str">
        <f t="shared" si="7"/>
        <v/>
      </c>
    </row>
    <row r="262" spans="10:12" x14ac:dyDescent="0.2">
      <c r="J262" s="37">
        <v>259</v>
      </c>
      <c r="K262" s="38" t="b">
        <f t="shared" si="8"/>
        <v>0</v>
      </c>
      <c r="L262" s="40" t="str">
        <f t="shared" si="7"/>
        <v/>
      </c>
    </row>
    <row r="263" spans="10:12" x14ac:dyDescent="0.2">
      <c r="J263" s="37">
        <v>260</v>
      </c>
      <c r="K263" s="38" t="b">
        <f t="shared" si="8"/>
        <v>0</v>
      </c>
      <c r="L263" s="40" t="str">
        <f t="shared" ref="L263:L326" si="9">IF($J$4:$J$363 &lt;= $H$1,$H$2,"")</f>
        <v/>
      </c>
    </row>
    <row r="264" spans="10:12" x14ac:dyDescent="0.2">
      <c r="J264" s="37">
        <v>261</v>
      </c>
      <c r="K264" s="38" t="b">
        <f t="shared" si="8"/>
        <v>0</v>
      </c>
      <c r="L264" s="40" t="str">
        <f t="shared" si="9"/>
        <v/>
      </c>
    </row>
    <row r="265" spans="10:12" x14ac:dyDescent="0.2">
      <c r="J265" s="37">
        <v>262</v>
      </c>
      <c r="K265" s="38" t="b">
        <f t="shared" si="8"/>
        <v>0</v>
      </c>
      <c r="L265" s="40" t="str">
        <f t="shared" si="9"/>
        <v/>
      </c>
    </row>
    <row r="266" spans="10:12" x14ac:dyDescent="0.2">
      <c r="J266" s="37">
        <v>263</v>
      </c>
      <c r="K266" s="38" t="b">
        <f t="shared" si="8"/>
        <v>0</v>
      </c>
      <c r="L266" s="40" t="str">
        <f t="shared" si="9"/>
        <v/>
      </c>
    </row>
    <row r="267" spans="10:12" x14ac:dyDescent="0.2">
      <c r="J267" s="37">
        <v>264</v>
      </c>
      <c r="K267" s="38" t="b">
        <f t="shared" si="8"/>
        <v>0</v>
      </c>
      <c r="L267" s="40" t="str">
        <f t="shared" si="9"/>
        <v/>
      </c>
    </row>
    <row r="268" spans="10:12" x14ac:dyDescent="0.2">
      <c r="J268" s="37">
        <v>265</v>
      </c>
      <c r="K268" s="38" t="b">
        <f t="shared" si="8"/>
        <v>0</v>
      </c>
      <c r="L268" s="40" t="str">
        <f t="shared" si="9"/>
        <v/>
      </c>
    </row>
    <row r="269" spans="10:12" x14ac:dyDescent="0.2">
      <c r="J269" s="37">
        <v>266</v>
      </c>
      <c r="K269" s="38" t="b">
        <f t="shared" si="8"/>
        <v>0</v>
      </c>
      <c r="L269" s="40" t="str">
        <f t="shared" si="9"/>
        <v/>
      </c>
    </row>
    <row r="270" spans="10:12" x14ac:dyDescent="0.2">
      <c r="J270" s="37">
        <v>267</v>
      </c>
      <c r="K270" s="38" t="b">
        <f t="shared" si="8"/>
        <v>0</v>
      </c>
      <c r="L270" s="40" t="str">
        <f t="shared" si="9"/>
        <v/>
      </c>
    </row>
    <row r="271" spans="10:12" x14ac:dyDescent="0.2">
      <c r="J271" s="37">
        <v>268</v>
      </c>
      <c r="K271" s="38" t="b">
        <f t="shared" si="8"/>
        <v>0</v>
      </c>
      <c r="L271" s="40" t="str">
        <f t="shared" si="9"/>
        <v/>
      </c>
    </row>
    <row r="272" spans="10:12" x14ac:dyDescent="0.2">
      <c r="J272" s="37">
        <v>269</v>
      </c>
      <c r="K272" s="38" t="b">
        <f t="shared" si="8"/>
        <v>0</v>
      </c>
      <c r="L272" s="40" t="str">
        <f t="shared" si="9"/>
        <v/>
      </c>
    </row>
    <row r="273" spans="10:12" x14ac:dyDescent="0.2">
      <c r="J273" s="37">
        <v>270</v>
      </c>
      <c r="K273" s="38" t="b">
        <f t="shared" si="8"/>
        <v>0</v>
      </c>
      <c r="L273" s="40" t="str">
        <f t="shared" si="9"/>
        <v/>
      </c>
    </row>
    <row r="274" spans="10:12" x14ac:dyDescent="0.2">
      <c r="J274" s="37">
        <v>271</v>
      </c>
      <c r="K274" s="38" t="b">
        <f t="shared" si="8"/>
        <v>0</v>
      </c>
      <c r="L274" s="40" t="str">
        <f t="shared" si="9"/>
        <v/>
      </c>
    </row>
    <row r="275" spans="10:12" x14ac:dyDescent="0.2">
      <c r="J275" s="37">
        <v>272</v>
      </c>
      <c r="K275" s="38" t="b">
        <f t="shared" si="8"/>
        <v>0</v>
      </c>
      <c r="L275" s="40" t="str">
        <f t="shared" si="9"/>
        <v/>
      </c>
    </row>
    <row r="276" spans="10:12" x14ac:dyDescent="0.2">
      <c r="J276" s="37">
        <v>273</v>
      </c>
      <c r="K276" s="38" t="b">
        <f t="shared" si="8"/>
        <v>0</v>
      </c>
      <c r="L276" s="40" t="str">
        <f t="shared" si="9"/>
        <v/>
      </c>
    </row>
    <row r="277" spans="10:12" x14ac:dyDescent="0.2">
      <c r="J277" s="37">
        <v>274</v>
      </c>
      <c r="K277" s="38" t="b">
        <f t="shared" si="8"/>
        <v>0</v>
      </c>
      <c r="L277" s="40" t="str">
        <f t="shared" si="9"/>
        <v/>
      </c>
    </row>
    <row r="278" spans="10:12" x14ac:dyDescent="0.2">
      <c r="J278" s="37">
        <v>275</v>
      </c>
      <c r="K278" s="38" t="b">
        <f t="shared" si="8"/>
        <v>0</v>
      </c>
      <c r="L278" s="40" t="str">
        <f t="shared" si="9"/>
        <v/>
      </c>
    </row>
    <row r="279" spans="10:12" x14ac:dyDescent="0.2">
      <c r="J279" s="37">
        <v>276</v>
      </c>
      <c r="K279" s="38" t="b">
        <f t="shared" si="8"/>
        <v>0</v>
      </c>
      <c r="L279" s="40" t="str">
        <f t="shared" si="9"/>
        <v/>
      </c>
    </row>
    <row r="280" spans="10:12" x14ac:dyDescent="0.2">
      <c r="J280" s="37">
        <v>277</v>
      </c>
      <c r="K280" s="38" t="b">
        <f t="shared" si="8"/>
        <v>0</v>
      </c>
      <c r="L280" s="40" t="str">
        <f t="shared" si="9"/>
        <v/>
      </c>
    </row>
    <row r="281" spans="10:12" x14ac:dyDescent="0.2">
      <c r="J281" s="37">
        <v>278</v>
      </c>
      <c r="K281" s="38" t="b">
        <f t="shared" si="8"/>
        <v>0</v>
      </c>
      <c r="L281" s="40" t="str">
        <f t="shared" si="9"/>
        <v/>
      </c>
    </row>
    <row r="282" spans="10:12" x14ac:dyDescent="0.2">
      <c r="J282" s="37">
        <v>279</v>
      </c>
      <c r="K282" s="38" t="b">
        <f t="shared" si="8"/>
        <v>0</v>
      </c>
      <c r="L282" s="40" t="str">
        <f t="shared" si="9"/>
        <v/>
      </c>
    </row>
    <row r="283" spans="10:12" x14ac:dyDescent="0.2">
      <c r="J283" s="37">
        <v>280</v>
      </c>
      <c r="K283" s="38" t="b">
        <f t="shared" si="8"/>
        <v>0</v>
      </c>
      <c r="L283" s="40" t="str">
        <f t="shared" si="9"/>
        <v/>
      </c>
    </row>
    <row r="284" spans="10:12" x14ac:dyDescent="0.2">
      <c r="J284" s="37">
        <v>281</v>
      </c>
      <c r="K284" s="38" t="b">
        <f t="shared" si="8"/>
        <v>0</v>
      </c>
      <c r="L284" s="40" t="str">
        <f t="shared" si="9"/>
        <v/>
      </c>
    </row>
    <row r="285" spans="10:12" x14ac:dyDescent="0.2">
      <c r="J285" s="37">
        <v>282</v>
      </c>
      <c r="K285" s="38" t="b">
        <f t="shared" si="8"/>
        <v>0</v>
      </c>
      <c r="L285" s="40" t="str">
        <f t="shared" si="9"/>
        <v/>
      </c>
    </row>
    <row r="286" spans="10:12" x14ac:dyDescent="0.2">
      <c r="J286" s="37">
        <v>283</v>
      </c>
      <c r="K286" s="38" t="b">
        <f t="shared" si="8"/>
        <v>0</v>
      </c>
      <c r="L286" s="40" t="str">
        <f t="shared" si="9"/>
        <v/>
      </c>
    </row>
    <row r="287" spans="10:12" x14ac:dyDescent="0.2">
      <c r="J287" s="37">
        <v>284</v>
      </c>
      <c r="K287" s="38" t="b">
        <f t="shared" si="8"/>
        <v>0</v>
      </c>
      <c r="L287" s="40" t="str">
        <f t="shared" si="9"/>
        <v/>
      </c>
    </row>
    <row r="288" spans="10:12" x14ac:dyDescent="0.2">
      <c r="J288" s="37">
        <v>285</v>
      </c>
      <c r="K288" s="38" t="b">
        <f t="shared" si="8"/>
        <v>0</v>
      </c>
      <c r="L288" s="40" t="str">
        <f t="shared" si="9"/>
        <v/>
      </c>
    </row>
    <row r="289" spans="10:12" x14ac:dyDescent="0.2">
      <c r="J289" s="37">
        <v>286</v>
      </c>
      <c r="K289" s="38" t="b">
        <f t="shared" si="8"/>
        <v>0</v>
      </c>
      <c r="L289" s="40" t="str">
        <f t="shared" si="9"/>
        <v/>
      </c>
    </row>
    <row r="290" spans="10:12" x14ac:dyDescent="0.2">
      <c r="J290" s="37">
        <v>287</v>
      </c>
      <c r="K290" s="38" t="b">
        <f t="shared" si="8"/>
        <v>0</v>
      </c>
      <c r="L290" s="40" t="str">
        <f t="shared" si="9"/>
        <v/>
      </c>
    </row>
    <row r="291" spans="10:12" x14ac:dyDescent="0.2">
      <c r="J291" s="37">
        <v>288</v>
      </c>
      <c r="K291" s="38" t="b">
        <f t="shared" si="8"/>
        <v>0</v>
      </c>
      <c r="L291" s="40" t="str">
        <f t="shared" si="9"/>
        <v/>
      </c>
    </row>
    <row r="292" spans="10:12" x14ac:dyDescent="0.2">
      <c r="J292" s="37">
        <v>289</v>
      </c>
      <c r="K292" s="38" t="b">
        <f t="shared" si="8"/>
        <v>0</v>
      </c>
      <c r="L292" s="40" t="str">
        <f t="shared" si="9"/>
        <v/>
      </c>
    </row>
    <row r="293" spans="10:12" x14ac:dyDescent="0.2">
      <c r="J293" s="37">
        <v>290</v>
      </c>
      <c r="K293" s="38" t="b">
        <f t="shared" si="8"/>
        <v>0</v>
      </c>
      <c r="L293" s="40" t="str">
        <f t="shared" si="9"/>
        <v/>
      </c>
    </row>
    <row r="294" spans="10:12" x14ac:dyDescent="0.2">
      <c r="J294" s="37">
        <v>291</v>
      </c>
      <c r="K294" s="38" t="b">
        <f t="shared" si="8"/>
        <v>0</v>
      </c>
      <c r="L294" s="40" t="str">
        <f t="shared" si="9"/>
        <v/>
      </c>
    </row>
    <row r="295" spans="10:12" x14ac:dyDescent="0.2">
      <c r="J295" s="37">
        <v>292</v>
      </c>
      <c r="K295" s="38" t="b">
        <f t="shared" si="8"/>
        <v>0</v>
      </c>
      <c r="L295" s="40" t="str">
        <f t="shared" si="9"/>
        <v/>
      </c>
    </row>
    <row r="296" spans="10:12" x14ac:dyDescent="0.2">
      <c r="J296" s="37">
        <v>293</v>
      </c>
      <c r="K296" s="38" t="b">
        <f t="shared" si="8"/>
        <v>0</v>
      </c>
      <c r="L296" s="40" t="str">
        <f t="shared" si="9"/>
        <v/>
      </c>
    </row>
    <row r="297" spans="10:12" x14ac:dyDescent="0.2">
      <c r="J297" s="37">
        <v>294</v>
      </c>
      <c r="K297" s="38" t="b">
        <f t="shared" si="8"/>
        <v>0</v>
      </c>
      <c r="L297" s="40" t="str">
        <f t="shared" si="9"/>
        <v/>
      </c>
    </row>
    <row r="298" spans="10:12" x14ac:dyDescent="0.2">
      <c r="J298" s="37">
        <v>295</v>
      </c>
      <c r="K298" s="38" t="b">
        <f t="shared" si="8"/>
        <v>0</v>
      </c>
      <c r="L298" s="40" t="str">
        <f t="shared" si="9"/>
        <v/>
      </c>
    </row>
    <row r="299" spans="10:12" x14ac:dyDescent="0.2">
      <c r="J299" s="37">
        <v>296</v>
      </c>
      <c r="K299" s="38" t="b">
        <f t="shared" si="8"/>
        <v>0</v>
      </c>
      <c r="L299" s="40" t="str">
        <f t="shared" si="9"/>
        <v/>
      </c>
    </row>
    <row r="300" spans="10:12" x14ac:dyDescent="0.2">
      <c r="J300" s="37">
        <v>297</v>
      </c>
      <c r="K300" s="38" t="b">
        <f t="shared" si="8"/>
        <v>0</v>
      </c>
      <c r="L300" s="40" t="str">
        <f t="shared" si="9"/>
        <v/>
      </c>
    </row>
    <row r="301" spans="10:12" x14ac:dyDescent="0.2">
      <c r="J301" s="37">
        <v>298</v>
      </c>
      <c r="K301" s="38" t="b">
        <f t="shared" si="8"/>
        <v>0</v>
      </c>
      <c r="L301" s="40" t="str">
        <f t="shared" si="9"/>
        <v/>
      </c>
    </row>
    <row r="302" spans="10:12" x14ac:dyDescent="0.2">
      <c r="J302" s="37">
        <v>299</v>
      </c>
      <c r="K302" s="38" t="b">
        <f t="shared" si="8"/>
        <v>0</v>
      </c>
      <c r="L302" s="40" t="str">
        <f t="shared" si="9"/>
        <v/>
      </c>
    </row>
    <row r="303" spans="10:12" x14ac:dyDescent="0.2">
      <c r="J303" s="37">
        <v>300</v>
      </c>
      <c r="K303" s="38" t="b">
        <f t="shared" si="8"/>
        <v>0</v>
      </c>
      <c r="L303" s="40" t="str">
        <f t="shared" si="9"/>
        <v/>
      </c>
    </row>
    <row r="304" spans="10:12" x14ac:dyDescent="0.2">
      <c r="J304" s="37">
        <v>301</v>
      </c>
      <c r="K304" s="38" t="b">
        <f t="shared" si="8"/>
        <v>0</v>
      </c>
      <c r="L304" s="40" t="str">
        <f t="shared" si="9"/>
        <v/>
      </c>
    </row>
    <row r="305" spans="10:12" x14ac:dyDescent="0.2">
      <c r="J305" s="37">
        <v>302</v>
      </c>
      <c r="K305" s="38" t="b">
        <f t="shared" si="8"/>
        <v>0</v>
      </c>
      <c r="L305" s="40" t="str">
        <f t="shared" si="9"/>
        <v/>
      </c>
    </row>
    <row r="306" spans="10:12" x14ac:dyDescent="0.2">
      <c r="J306" s="37">
        <v>303</v>
      </c>
      <c r="K306" s="38" t="b">
        <f t="shared" si="8"/>
        <v>0</v>
      </c>
      <c r="L306" s="40" t="str">
        <f t="shared" si="9"/>
        <v/>
      </c>
    </row>
    <row r="307" spans="10:12" x14ac:dyDescent="0.2">
      <c r="J307" s="37">
        <v>304</v>
      </c>
      <c r="K307" s="38" t="b">
        <f t="shared" si="8"/>
        <v>0</v>
      </c>
      <c r="L307" s="40" t="str">
        <f t="shared" si="9"/>
        <v/>
      </c>
    </row>
    <row r="308" spans="10:12" x14ac:dyDescent="0.2">
      <c r="J308" s="37">
        <v>305</v>
      </c>
      <c r="K308" s="38" t="b">
        <f t="shared" si="8"/>
        <v>0</v>
      </c>
      <c r="L308" s="40" t="str">
        <f t="shared" si="9"/>
        <v/>
      </c>
    </row>
    <row r="309" spans="10:12" x14ac:dyDescent="0.2">
      <c r="J309" s="37">
        <v>306</v>
      </c>
      <c r="K309" s="38" t="b">
        <f t="shared" si="8"/>
        <v>0</v>
      </c>
      <c r="L309" s="40" t="str">
        <f t="shared" si="9"/>
        <v/>
      </c>
    </row>
    <row r="310" spans="10:12" x14ac:dyDescent="0.2">
      <c r="J310" s="37">
        <v>307</v>
      </c>
      <c r="K310" s="38" t="b">
        <f t="shared" si="8"/>
        <v>0</v>
      </c>
      <c r="L310" s="40" t="str">
        <f t="shared" si="9"/>
        <v/>
      </c>
    </row>
    <row r="311" spans="10:12" x14ac:dyDescent="0.2">
      <c r="J311" s="37">
        <v>308</v>
      </c>
      <c r="K311" s="38" t="b">
        <f t="shared" si="8"/>
        <v>0</v>
      </c>
      <c r="L311" s="40" t="str">
        <f t="shared" si="9"/>
        <v/>
      </c>
    </row>
    <row r="312" spans="10:12" x14ac:dyDescent="0.2">
      <c r="J312" s="37">
        <v>309</v>
      </c>
      <c r="K312" s="38" t="b">
        <f t="shared" si="8"/>
        <v>0</v>
      </c>
      <c r="L312" s="40" t="str">
        <f t="shared" si="9"/>
        <v/>
      </c>
    </row>
    <row r="313" spans="10:12" x14ac:dyDescent="0.2">
      <c r="J313" s="37">
        <v>310</v>
      </c>
      <c r="K313" s="38" t="b">
        <f t="shared" si="8"/>
        <v>0</v>
      </c>
      <c r="L313" s="40" t="str">
        <f t="shared" si="9"/>
        <v/>
      </c>
    </row>
    <row r="314" spans="10:12" x14ac:dyDescent="0.2">
      <c r="J314" s="37">
        <v>311</v>
      </c>
      <c r="K314" s="38" t="b">
        <f t="shared" si="8"/>
        <v>0</v>
      </c>
      <c r="L314" s="40" t="str">
        <f t="shared" si="9"/>
        <v/>
      </c>
    </row>
    <row r="315" spans="10:12" x14ac:dyDescent="0.2">
      <c r="J315" s="37">
        <v>312</v>
      </c>
      <c r="K315" s="38" t="b">
        <f t="shared" si="8"/>
        <v>0</v>
      </c>
      <c r="L315" s="40" t="str">
        <f t="shared" si="9"/>
        <v/>
      </c>
    </row>
    <row r="316" spans="10:12" x14ac:dyDescent="0.2">
      <c r="J316" s="37">
        <v>313</v>
      </c>
      <c r="K316" s="38" t="b">
        <f t="shared" si="8"/>
        <v>0</v>
      </c>
      <c r="L316" s="40" t="str">
        <f t="shared" si="9"/>
        <v/>
      </c>
    </row>
    <row r="317" spans="10:12" x14ac:dyDescent="0.2">
      <c r="J317" s="37">
        <v>314</v>
      </c>
      <c r="K317" s="38" t="b">
        <f t="shared" si="8"/>
        <v>0</v>
      </c>
      <c r="L317" s="40" t="str">
        <f t="shared" si="9"/>
        <v/>
      </c>
    </row>
    <row r="318" spans="10:12" x14ac:dyDescent="0.2">
      <c r="J318" s="37">
        <v>315</v>
      </c>
      <c r="K318" s="38" t="b">
        <f t="shared" si="8"/>
        <v>0</v>
      </c>
      <c r="L318" s="40" t="str">
        <f t="shared" si="9"/>
        <v/>
      </c>
    </row>
    <row r="319" spans="10:12" x14ac:dyDescent="0.2">
      <c r="J319" s="37">
        <v>316</v>
      </c>
      <c r="K319" s="38" t="b">
        <f t="shared" si="8"/>
        <v>0</v>
      </c>
      <c r="L319" s="40" t="str">
        <f t="shared" si="9"/>
        <v/>
      </c>
    </row>
    <row r="320" spans="10:12" x14ac:dyDescent="0.2">
      <c r="J320" s="37">
        <v>317</v>
      </c>
      <c r="K320" s="38" t="b">
        <f t="shared" si="8"/>
        <v>0</v>
      </c>
      <c r="L320" s="40" t="str">
        <f t="shared" si="9"/>
        <v/>
      </c>
    </row>
    <row r="321" spans="10:12" x14ac:dyDescent="0.2">
      <c r="J321" s="37">
        <v>318</v>
      </c>
      <c r="K321" s="38" t="b">
        <f t="shared" si="8"/>
        <v>0</v>
      </c>
      <c r="L321" s="40" t="str">
        <f t="shared" si="9"/>
        <v/>
      </c>
    </row>
    <row r="322" spans="10:12" x14ac:dyDescent="0.2">
      <c r="J322" s="37">
        <v>319</v>
      </c>
      <c r="K322" s="38" t="b">
        <f t="shared" si="8"/>
        <v>0</v>
      </c>
      <c r="L322" s="40" t="str">
        <f t="shared" si="9"/>
        <v/>
      </c>
    </row>
    <row r="323" spans="10:12" x14ac:dyDescent="0.2">
      <c r="J323" s="37">
        <v>320</v>
      </c>
      <c r="K323" s="38" t="b">
        <f t="shared" si="8"/>
        <v>0</v>
      </c>
      <c r="L323" s="40" t="str">
        <f t="shared" si="9"/>
        <v/>
      </c>
    </row>
    <row r="324" spans="10:12" x14ac:dyDescent="0.2">
      <c r="J324" s="37">
        <v>321</v>
      </c>
      <c r="K324" s="38" t="b">
        <f t="shared" si="8"/>
        <v>0</v>
      </c>
      <c r="L324" s="40" t="str">
        <f t="shared" si="9"/>
        <v/>
      </c>
    </row>
    <row r="325" spans="10:12" x14ac:dyDescent="0.2">
      <c r="J325" s="37">
        <v>322</v>
      </c>
      <c r="K325" s="38" t="b">
        <f t="shared" ref="K325:K363" si="10">IF(($J$4:$J$363)&lt;=$H$1,(EOMONTH(K324,0)+$B$6))</f>
        <v>0</v>
      </c>
      <c r="L325" s="40" t="str">
        <f t="shared" si="9"/>
        <v/>
      </c>
    </row>
    <row r="326" spans="10:12" x14ac:dyDescent="0.2">
      <c r="J326" s="37">
        <v>323</v>
      </c>
      <c r="K326" s="38" t="b">
        <f t="shared" si="10"/>
        <v>0</v>
      </c>
      <c r="L326" s="40" t="str">
        <f t="shared" si="9"/>
        <v/>
      </c>
    </row>
    <row r="327" spans="10:12" x14ac:dyDescent="0.2">
      <c r="J327" s="37">
        <v>324</v>
      </c>
      <c r="K327" s="38" t="b">
        <f t="shared" si="10"/>
        <v>0</v>
      </c>
      <c r="L327" s="40" t="str">
        <f t="shared" ref="L327:L363" si="11">IF($J$4:$J$363 &lt;= $H$1,$H$2,"")</f>
        <v/>
      </c>
    </row>
    <row r="328" spans="10:12" x14ac:dyDescent="0.2">
      <c r="J328" s="37">
        <v>325</v>
      </c>
      <c r="K328" s="38" t="b">
        <f t="shared" si="10"/>
        <v>0</v>
      </c>
      <c r="L328" s="40" t="str">
        <f t="shared" si="11"/>
        <v/>
      </c>
    </row>
    <row r="329" spans="10:12" x14ac:dyDescent="0.2">
      <c r="J329" s="37">
        <v>326</v>
      </c>
      <c r="K329" s="38" t="b">
        <f t="shared" si="10"/>
        <v>0</v>
      </c>
      <c r="L329" s="40" t="str">
        <f t="shared" si="11"/>
        <v/>
      </c>
    </row>
    <row r="330" spans="10:12" x14ac:dyDescent="0.2">
      <c r="J330" s="37">
        <v>327</v>
      </c>
      <c r="K330" s="38" t="b">
        <f t="shared" si="10"/>
        <v>0</v>
      </c>
      <c r="L330" s="40" t="str">
        <f t="shared" si="11"/>
        <v/>
      </c>
    </row>
    <row r="331" spans="10:12" x14ac:dyDescent="0.2">
      <c r="J331" s="37">
        <v>328</v>
      </c>
      <c r="K331" s="38" t="b">
        <f t="shared" si="10"/>
        <v>0</v>
      </c>
      <c r="L331" s="40" t="str">
        <f t="shared" si="11"/>
        <v/>
      </c>
    </row>
    <row r="332" spans="10:12" x14ac:dyDescent="0.2">
      <c r="J332" s="37">
        <v>329</v>
      </c>
      <c r="K332" s="38" t="b">
        <f t="shared" si="10"/>
        <v>0</v>
      </c>
      <c r="L332" s="40" t="str">
        <f t="shared" si="11"/>
        <v/>
      </c>
    </row>
    <row r="333" spans="10:12" x14ac:dyDescent="0.2">
      <c r="J333" s="37">
        <v>330</v>
      </c>
      <c r="K333" s="38" t="b">
        <f t="shared" si="10"/>
        <v>0</v>
      </c>
      <c r="L333" s="40" t="str">
        <f t="shared" si="11"/>
        <v/>
      </c>
    </row>
    <row r="334" spans="10:12" x14ac:dyDescent="0.2">
      <c r="J334" s="37">
        <v>331</v>
      </c>
      <c r="K334" s="38" t="b">
        <f t="shared" si="10"/>
        <v>0</v>
      </c>
      <c r="L334" s="40" t="str">
        <f t="shared" si="11"/>
        <v/>
      </c>
    </row>
    <row r="335" spans="10:12" x14ac:dyDescent="0.2">
      <c r="J335" s="37">
        <v>332</v>
      </c>
      <c r="K335" s="38" t="b">
        <f t="shared" si="10"/>
        <v>0</v>
      </c>
      <c r="L335" s="40" t="str">
        <f t="shared" si="11"/>
        <v/>
      </c>
    </row>
    <row r="336" spans="10:12" x14ac:dyDescent="0.2">
      <c r="J336" s="37">
        <v>333</v>
      </c>
      <c r="K336" s="38" t="b">
        <f t="shared" si="10"/>
        <v>0</v>
      </c>
      <c r="L336" s="40" t="str">
        <f t="shared" si="11"/>
        <v/>
      </c>
    </row>
    <row r="337" spans="10:12" x14ac:dyDescent="0.2">
      <c r="J337" s="37">
        <v>334</v>
      </c>
      <c r="K337" s="38" t="b">
        <f t="shared" si="10"/>
        <v>0</v>
      </c>
      <c r="L337" s="40" t="str">
        <f t="shared" si="11"/>
        <v/>
      </c>
    </row>
    <row r="338" spans="10:12" x14ac:dyDescent="0.2">
      <c r="J338" s="37">
        <v>335</v>
      </c>
      <c r="K338" s="38" t="b">
        <f t="shared" si="10"/>
        <v>0</v>
      </c>
      <c r="L338" s="40" t="str">
        <f t="shared" si="11"/>
        <v/>
      </c>
    </row>
    <row r="339" spans="10:12" x14ac:dyDescent="0.2">
      <c r="J339" s="37">
        <v>336</v>
      </c>
      <c r="K339" s="38" t="b">
        <f t="shared" si="10"/>
        <v>0</v>
      </c>
      <c r="L339" s="40" t="str">
        <f t="shared" si="11"/>
        <v/>
      </c>
    </row>
    <row r="340" spans="10:12" x14ac:dyDescent="0.2">
      <c r="J340" s="37">
        <v>337</v>
      </c>
      <c r="K340" s="38" t="b">
        <f t="shared" si="10"/>
        <v>0</v>
      </c>
      <c r="L340" s="40" t="str">
        <f t="shared" si="11"/>
        <v/>
      </c>
    </row>
    <row r="341" spans="10:12" x14ac:dyDescent="0.2">
      <c r="J341" s="37">
        <v>338</v>
      </c>
      <c r="K341" s="38" t="b">
        <f t="shared" si="10"/>
        <v>0</v>
      </c>
      <c r="L341" s="40" t="str">
        <f t="shared" si="11"/>
        <v/>
      </c>
    </row>
    <row r="342" spans="10:12" x14ac:dyDescent="0.2">
      <c r="J342" s="37">
        <v>339</v>
      </c>
      <c r="K342" s="38" t="b">
        <f t="shared" si="10"/>
        <v>0</v>
      </c>
      <c r="L342" s="40" t="str">
        <f t="shared" si="11"/>
        <v/>
      </c>
    </row>
    <row r="343" spans="10:12" x14ac:dyDescent="0.2">
      <c r="J343" s="37">
        <v>340</v>
      </c>
      <c r="K343" s="38" t="b">
        <f t="shared" si="10"/>
        <v>0</v>
      </c>
      <c r="L343" s="40" t="str">
        <f t="shared" si="11"/>
        <v/>
      </c>
    </row>
    <row r="344" spans="10:12" x14ac:dyDescent="0.2">
      <c r="J344" s="37">
        <v>341</v>
      </c>
      <c r="K344" s="38" t="b">
        <f t="shared" si="10"/>
        <v>0</v>
      </c>
      <c r="L344" s="40" t="str">
        <f t="shared" si="11"/>
        <v/>
      </c>
    </row>
    <row r="345" spans="10:12" x14ac:dyDescent="0.2">
      <c r="J345" s="37">
        <v>342</v>
      </c>
      <c r="K345" s="38" t="b">
        <f t="shared" si="10"/>
        <v>0</v>
      </c>
      <c r="L345" s="40" t="str">
        <f t="shared" si="11"/>
        <v/>
      </c>
    </row>
    <row r="346" spans="10:12" x14ac:dyDescent="0.2">
      <c r="J346" s="37">
        <v>343</v>
      </c>
      <c r="K346" s="38" t="b">
        <f t="shared" si="10"/>
        <v>0</v>
      </c>
      <c r="L346" s="40" t="str">
        <f t="shared" si="11"/>
        <v/>
      </c>
    </row>
    <row r="347" spans="10:12" x14ac:dyDescent="0.2">
      <c r="J347" s="37">
        <v>344</v>
      </c>
      <c r="K347" s="38" t="b">
        <f t="shared" si="10"/>
        <v>0</v>
      </c>
      <c r="L347" s="40" t="str">
        <f t="shared" si="11"/>
        <v/>
      </c>
    </row>
    <row r="348" spans="10:12" x14ac:dyDescent="0.2">
      <c r="J348" s="37">
        <v>345</v>
      </c>
      <c r="K348" s="38" t="b">
        <f t="shared" si="10"/>
        <v>0</v>
      </c>
      <c r="L348" s="40" t="str">
        <f t="shared" si="11"/>
        <v/>
      </c>
    </row>
    <row r="349" spans="10:12" x14ac:dyDescent="0.2">
      <c r="J349" s="37">
        <v>346</v>
      </c>
      <c r="K349" s="38" t="b">
        <f t="shared" si="10"/>
        <v>0</v>
      </c>
      <c r="L349" s="40" t="str">
        <f t="shared" si="11"/>
        <v/>
      </c>
    </row>
    <row r="350" spans="10:12" x14ac:dyDescent="0.2">
      <c r="J350" s="37">
        <v>347</v>
      </c>
      <c r="K350" s="38" t="b">
        <f t="shared" si="10"/>
        <v>0</v>
      </c>
      <c r="L350" s="40" t="str">
        <f t="shared" si="11"/>
        <v/>
      </c>
    </row>
    <row r="351" spans="10:12" x14ac:dyDescent="0.2">
      <c r="J351" s="37">
        <v>348</v>
      </c>
      <c r="K351" s="38" t="b">
        <f t="shared" si="10"/>
        <v>0</v>
      </c>
      <c r="L351" s="40" t="str">
        <f t="shared" si="11"/>
        <v/>
      </c>
    </row>
    <row r="352" spans="10:12" x14ac:dyDescent="0.2">
      <c r="J352" s="37">
        <v>349</v>
      </c>
      <c r="K352" s="38" t="b">
        <f t="shared" si="10"/>
        <v>0</v>
      </c>
      <c r="L352" s="40" t="str">
        <f t="shared" si="11"/>
        <v/>
      </c>
    </row>
    <row r="353" spans="10:12" x14ac:dyDescent="0.2">
      <c r="J353" s="37">
        <v>350</v>
      </c>
      <c r="K353" s="38" t="b">
        <f t="shared" si="10"/>
        <v>0</v>
      </c>
      <c r="L353" s="40" t="str">
        <f t="shared" si="11"/>
        <v/>
      </c>
    </row>
    <row r="354" spans="10:12" x14ac:dyDescent="0.2">
      <c r="J354" s="37">
        <v>351</v>
      </c>
      <c r="K354" s="38" t="b">
        <f t="shared" si="10"/>
        <v>0</v>
      </c>
      <c r="L354" s="40" t="str">
        <f t="shared" si="11"/>
        <v/>
      </c>
    </row>
    <row r="355" spans="10:12" x14ac:dyDescent="0.2">
      <c r="J355" s="37">
        <v>352</v>
      </c>
      <c r="K355" s="38" t="b">
        <f t="shared" si="10"/>
        <v>0</v>
      </c>
      <c r="L355" s="40" t="str">
        <f t="shared" si="11"/>
        <v/>
      </c>
    </row>
    <row r="356" spans="10:12" x14ac:dyDescent="0.2">
      <c r="J356" s="37">
        <v>353</v>
      </c>
      <c r="K356" s="38" t="b">
        <f t="shared" si="10"/>
        <v>0</v>
      </c>
      <c r="L356" s="40" t="str">
        <f t="shared" si="11"/>
        <v/>
      </c>
    </row>
    <row r="357" spans="10:12" x14ac:dyDescent="0.2">
      <c r="J357" s="37">
        <v>354</v>
      </c>
      <c r="K357" s="38" t="b">
        <f t="shared" si="10"/>
        <v>0</v>
      </c>
      <c r="L357" s="40" t="str">
        <f t="shared" si="11"/>
        <v/>
      </c>
    </row>
    <row r="358" spans="10:12" x14ac:dyDescent="0.2">
      <c r="J358" s="37">
        <v>355</v>
      </c>
      <c r="K358" s="38" t="b">
        <f t="shared" si="10"/>
        <v>0</v>
      </c>
      <c r="L358" s="40" t="str">
        <f t="shared" si="11"/>
        <v/>
      </c>
    </row>
    <row r="359" spans="10:12" x14ac:dyDescent="0.2">
      <c r="J359" s="37">
        <v>356</v>
      </c>
      <c r="K359" s="38" t="b">
        <f t="shared" si="10"/>
        <v>0</v>
      </c>
      <c r="L359" s="40" t="str">
        <f t="shared" si="11"/>
        <v/>
      </c>
    </row>
    <row r="360" spans="10:12" x14ac:dyDescent="0.2">
      <c r="J360" s="37">
        <v>357</v>
      </c>
      <c r="K360" s="38" t="b">
        <f t="shared" si="10"/>
        <v>0</v>
      </c>
      <c r="L360" s="40" t="str">
        <f t="shared" si="11"/>
        <v/>
      </c>
    </row>
    <row r="361" spans="10:12" x14ac:dyDescent="0.2">
      <c r="J361" s="37">
        <v>358</v>
      </c>
      <c r="K361" s="38" t="b">
        <f t="shared" si="10"/>
        <v>0</v>
      </c>
      <c r="L361" s="40" t="str">
        <f t="shared" si="11"/>
        <v/>
      </c>
    </row>
    <row r="362" spans="10:12" x14ac:dyDescent="0.2">
      <c r="J362" s="37">
        <v>359</v>
      </c>
      <c r="K362" s="38" t="b">
        <f t="shared" si="10"/>
        <v>0</v>
      </c>
      <c r="L362" s="40" t="str">
        <f t="shared" si="11"/>
        <v/>
      </c>
    </row>
    <row r="363" spans="10:12" x14ac:dyDescent="0.2">
      <c r="J363" s="37">
        <v>360</v>
      </c>
      <c r="K363" s="38" t="b">
        <f t="shared" si="10"/>
        <v>0</v>
      </c>
      <c r="L363" s="40" t="str">
        <f t="shared" si="11"/>
        <v/>
      </c>
    </row>
  </sheetData>
  <conditionalFormatting sqref="J4:K363">
    <cfRule type="expression" dxfId="0" priority="1" stopIfTrue="1">
      <formula>$J4&gt;Plazo_Crédito</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BAD19-837B-44FD-A9D3-2CBCA492050D}">
  <sheetPr codeName="Hoja2"/>
  <dimension ref="A1:G33"/>
  <sheetViews>
    <sheetView workbookViewId="0">
      <selection activeCell="C4" sqref="C4:E4"/>
    </sheetView>
  </sheetViews>
  <sheetFormatPr baseColWidth="10" defaultRowHeight="15" x14ac:dyDescent="0.25"/>
  <cols>
    <col min="1" max="1" width="24.5703125" customWidth="1"/>
    <col min="2" max="2" width="21.7109375" customWidth="1"/>
    <col min="3" max="3" width="17.28515625" customWidth="1"/>
    <col min="4" max="4" width="28.85546875" customWidth="1"/>
    <col min="6" max="6" width="40.85546875" customWidth="1"/>
  </cols>
  <sheetData>
    <row r="1" spans="1:7" ht="30.75" thickBot="1" x14ac:dyDescent="0.3">
      <c r="A1" s="47" t="s">
        <v>119</v>
      </c>
      <c r="B1" s="48" t="s">
        <v>120</v>
      </c>
      <c r="C1" s="48" t="s">
        <v>121</v>
      </c>
      <c r="D1" s="48" t="s">
        <v>122</v>
      </c>
      <c r="E1" s="90">
        <f>VLOOKUP(Carátula!$N$13,'Notariales Estados'!A2:D33,3,0)</f>
        <v>2.1999999999999999E-2</v>
      </c>
      <c r="F1" s="134" t="s">
        <v>162</v>
      </c>
      <c r="G1" s="136">
        <f>VLOOKUP(Carátula!$N$13,'Notariales Estados'!F2:G33,2,0)</f>
        <v>12931.034482758621</v>
      </c>
    </row>
    <row r="2" spans="1:7" ht="15.75" thickBot="1" x14ac:dyDescent="0.3">
      <c r="A2" s="49" t="s">
        <v>21</v>
      </c>
      <c r="B2" s="50">
        <v>2.3E-2</v>
      </c>
      <c r="C2" s="51">
        <v>1.6E-2</v>
      </c>
      <c r="D2" s="51">
        <v>3.9E-2</v>
      </c>
      <c r="F2" s="132" t="s">
        <v>21</v>
      </c>
      <c r="G2" s="135">
        <v>7000</v>
      </c>
    </row>
    <row r="3" spans="1:7" ht="15.75" thickBot="1" x14ac:dyDescent="0.3">
      <c r="A3" s="52" t="s">
        <v>22</v>
      </c>
      <c r="B3" s="53">
        <v>0.05</v>
      </c>
      <c r="C3" s="53">
        <v>0.01</v>
      </c>
      <c r="D3" s="53">
        <v>0.06</v>
      </c>
      <c r="F3" s="133" t="s">
        <v>22</v>
      </c>
      <c r="G3" s="135">
        <v>5000</v>
      </c>
    </row>
    <row r="4" spans="1:7" ht="15.75" thickBot="1" x14ac:dyDescent="0.3">
      <c r="A4" s="52" t="s">
        <v>23</v>
      </c>
      <c r="B4" s="53">
        <v>3.5999999999999997E-2</v>
      </c>
      <c r="C4" s="53">
        <v>8.0000000000000002E-3</v>
      </c>
      <c r="D4" s="53">
        <v>4.3999999999999997E-2</v>
      </c>
      <c r="F4" s="133" t="s">
        <v>23</v>
      </c>
      <c r="G4" s="135">
        <v>5000</v>
      </c>
    </row>
    <row r="5" spans="1:7" ht="15.75" thickBot="1" x14ac:dyDescent="0.3">
      <c r="A5" s="52" t="s">
        <v>24</v>
      </c>
      <c r="B5" s="53">
        <v>1.8700000000000001E-2</v>
      </c>
      <c r="C5" s="53">
        <v>1.2E-2</v>
      </c>
      <c r="D5" s="53">
        <v>3.0700000000000002E-2</v>
      </c>
      <c r="F5" s="132" t="s">
        <v>24</v>
      </c>
      <c r="G5" s="135">
        <v>5000</v>
      </c>
    </row>
    <row r="6" spans="1:7" ht="15.75" thickBot="1" x14ac:dyDescent="0.3">
      <c r="A6" s="52" t="s">
        <v>25</v>
      </c>
      <c r="B6" s="53">
        <v>3.6499999999999998E-2</v>
      </c>
      <c r="C6" s="53">
        <v>6.7999999999999996E-3</v>
      </c>
      <c r="D6" s="53">
        <v>4.3299999999999998E-2</v>
      </c>
      <c r="F6" s="132" t="s">
        <v>25</v>
      </c>
      <c r="G6" s="135">
        <v>5000</v>
      </c>
    </row>
    <row r="7" spans="1:7" ht="15.75" thickBot="1" x14ac:dyDescent="0.3">
      <c r="A7" s="52" t="s">
        <v>26</v>
      </c>
      <c r="B7" s="53">
        <v>5.3999999999999999E-2</v>
      </c>
      <c r="C7" s="53">
        <v>1.6E-2</v>
      </c>
      <c r="D7" s="53">
        <v>7.0000000000000007E-2</v>
      </c>
      <c r="F7" s="132" t="s">
        <v>26</v>
      </c>
      <c r="G7" s="135">
        <v>5000</v>
      </c>
    </row>
    <row r="8" spans="1:7" ht="15.75" thickBot="1" x14ac:dyDescent="0.3">
      <c r="A8" s="49" t="s">
        <v>27</v>
      </c>
      <c r="B8" s="50">
        <v>0.06</v>
      </c>
      <c r="C8" s="50">
        <v>2.1999999999999999E-2</v>
      </c>
      <c r="D8" s="50">
        <v>8.2000000000000003E-2</v>
      </c>
      <c r="F8" s="132" t="s">
        <v>28</v>
      </c>
      <c r="G8" s="135">
        <v>5000</v>
      </c>
    </row>
    <row r="9" spans="1:7" ht="15.75" thickBot="1" x14ac:dyDescent="0.3">
      <c r="A9" s="52" t="s">
        <v>28</v>
      </c>
      <c r="B9" s="53">
        <v>5.1900000000000002E-2</v>
      </c>
      <c r="C9" s="53">
        <v>2.1000000000000001E-2</v>
      </c>
      <c r="D9" s="53">
        <v>7.2900000000000006E-2</v>
      </c>
      <c r="F9" s="132" t="s">
        <v>29</v>
      </c>
      <c r="G9" s="135">
        <v>4000.0000000000005</v>
      </c>
    </row>
    <row r="10" spans="1:7" ht="15.75" thickBot="1" x14ac:dyDescent="0.3">
      <c r="A10" s="49" t="s">
        <v>29</v>
      </c>
      <c r="B10" s="50">
        <v>2.86E-2</v>
      </c>
      <c r="C10" s="50">
        <v>1.21E-2</v>
      </c>
      <c r="D10" s="50">
        <v>4.07E-2</v>
      </c>
      <c r="F10" s="133" t="s">
        <v>27</v>
      </c>
      <c r="G10" s="135">
        <v>12931.034482758621</v>
      </c>
    </row>
    <row r="11" spans="1:7" ht="15.75" thickBot="1" x14ac:dyDescent="0.3">
      <c r="A11" s="52" t="s">
        <v>30</v>
      </c>
      <c r="B11" s="53">
        <v>0.05</v>
      </c>
      <c r="C11" s="53">
        <v>1.4E-2</v>
      </c>
      <c r="D11" s="53">
        <v>6.4000000000000001E-2</v>
      </c>
      <c r="F11" s="132" t="s">
        <v>30</v>
      </c>
      <c r="G11" s="135">
        <v>5000</v>
      </c>
    </row>
    <row r="12" spans="1:7" ht="15.75" thickBot="1" x14ac:dyDescent="0.3">
      <c r="A12" s="49" t="s">
        <v>31</v>
      </c>
      <c r="B12" s="50">
        <v>6.5000000000000002E-2</v>
      </c>
      <c r="C12" s="50">
        <v>2.1999999999999999E-2</v>
      </c>
      <c r="D12" s="50">
        <v>8.6999999999999994E-2</v>
      </c>
      <c r="F12" s="133" t="s">
        <v>31</v>
      </c>
      <c r="G12" s="135">
        <v>12931.034482758621</v>
      </c>
    </row>
    <row r="13" spans="1:7" ht="15.75" thickBot="1" x14ac:dyDescent="0.3">
      <c r="A13" s="49" t="s">
        <v>32</v>
      </c>
      <c r="B13" s="50">
        <v>0.02</v>
      </c>
      <c r="C13" s="50">
        <v>1.0999999999999999E-2</v>
      </c>
      <c r="D13" s="50">
        <f>IF(G5="SI",I13,3.1%)</f>
        <v>3.1E-2</v>
      </c>
      <c r="F13" s="132" t="s">
        <v>32</v>
      </c>
      <c r="G13" s="135">
        <v>5000</v>
      </c>
    </row>
    <row r="14" spans="1:7" ht="15.75" thickBot="1" x14ac:dyDescent="0.3">
      <c r="A14" s="52" t="s">
        <v>33</v>
      </c>
      <c r="B14" s="53">
        <v>0.05</v>
      </c>
      <c r="C14" s="53">
        <v>1.4999999999999999E-2</v>
      </c>
      <c r="D14" s="53">
        <v>6.5000000000000002E-2</v>
      </c>
      <c r="F14" s="132" t="s">
        <v>33</v>
      </c>
      <c r="G14" s="135">
        <v>5000</v>
      </c>
    </row>
    <row r="15" spans="1:7" ht="15.75" thickBot="1" x14ac:dyDescent="0.3">
      <c r="A15" s="52" t="s">
        <v>34</v>
      </c>
      <c r="B15" s="53">
        <v>0.05</v>
      </c>
      <c r="C15" s="53">
        <v>0.02</v>
      </c>
      <c r="D15" s="53">
        <v>7.0000000000000007E-2</v>
      </c>
      <c r="F15" s="132" t="s">
        <v>34</v>
      </c>
      <c r="G15" s="135">
        <v>5000</v>
      </c>
    </row>
    <row r="16" spans="1:7" ht="15.75" thickBot="1" x14ac:dyDescent="0.3">
      <c r="A16" s="52" t="s">
        <v>35</v>
      </c>
      <c r="B16" s="53">
        <v>4.4999999999999998E-2</v>
      </c>
      <c r="C16" s="53">
        <v>1.7999999999999999E-2</v>
      </c>
      <c r="D16" s="53">
        <v>6.3E-2</v>
      </c>
      <c r="F16" s="133" t="s">
        <v>35</v>
      </c>
      <c r="G16" s="135">
        <v>5000</v>
      </c>
    </row>
    <row r="17" spans="1:7" ht="15.75" thickBot="1" x14ac:dyDescent="0.3">
      <c r="A17" s="49" t="s">
        <v>36</v>
      </c>
      <c r="B17" s="50">
        <v>2.5999999999999999E-2</v>
      </c>
      <c r="C17" s="50">
        <v>1.4E-2</v>
      </c>
      <c r="D17" s="50">
        <v>0.04</v>
      </c>
      <c r="F17" s="132" t="s">
        <v>36</v>
      </c>
      <c r="G17" s="135">
        <v>5000</v>
      </c>
    </row>
    <row r="18" spans="1:7" ht="15.75" thickBot="1" x14ac:dyDescent="0.3">
      <c r="A18" s="49" t="s">
        <v>37</v>
      </c>
      <c r="B18" s="50">
        <v>4.4999999999999998E-2</v>
      </c>
      <c r="C18" s="50">
        <v>1.2E-2</v>
      </c>
      <c r="D18" s="50">
        <v>5.7000000000000002E-2</v>
      </c>
      <c r="F18" s="132" t="s">
        <v>37</v>
      </c>
      <c r="G18" s="135">
        <v>5000</v>
      </c>
    </row>
    <row r="19" spans="1:7" ht="15.75" thickBot="1" x14ac:dyDescent="0.3">
      <c r="A19" s="49" t="s">
        <v>38</v>
      </c>
      <c r="B19" s="50">
        <v>3.6999999999999998E-2</v>
      </c>
      <c r="C19" s="50">
        <v>1.0999999999999999E-2</v>
      </c>
      <c r="D19" s="50">
        <v>4.8000000000000001E-2</v>
      </c>
      <c r="F19" s="132" t="s">
        <v>38</v>
      </c>
      <c r="G19" s="135">
        <v>5000</v>
      </c>
    </row>
    <row r="20" spans="1:7" ht="15.75" thickBot="1" x14ac:dyDescent="0.3">
      <c r="A20" s="52" t="s">
        <v>39</v>
      </c>
      <c r="B20" s="53">
        <v>4.4499999999999998E-2</v>
      </c>
      <c r="C20" s="53">
        <v>1.55E-2</v>
      </c>
      <c r="D20" s="53">
        <v>0.06</v>
      </c>
      <c r="F20" s="132" t="s">
        <v>39</v>
      </c>
      <c r="G20" s="135">
        <v>5000</v>
      </c>
    </row>
    <row r="21" spans="1:7" ht="15.75" thickBot="1" x14ac:dyDescent="0.3">
      <c r="A21" s="52" t="s">
        <v>40</v>
      </c>
      <c r="B21" s="53">
        <v>3.4700000000000002E-2</v>
      </c>
      <c r="C21" s="53">
        <v>7.6E-3</v>
      </c>
      <c r="D21" s="53">
        <v>4.2200000000000001E-2</v>
      </c>
      <c r="F21" s="132" t="s">
        <v>40</v>
      </c>
      <c r="G21" s="135">
        <v>7000</v>
      </c>
    </row>
    <row r="22" spans="1:7" ht="15.75" thickBot="1" x14ac:dyDescent="0.3">
      <c r="A22" s="52" t="s">
        <v>41</v>
      </c>
      <c r="B22" s="53">
        <v>0.05</v>
      </c>
      <c r="C22" s="54">
        <v>0.04</v>
      </c>
      <c r="D22" s="54">
        <v>0.09</v>
      </c>
      <c r="F22" s="132" t="s">
        <v>41</v>
      </c>
      <c r="G22" s="135">
        <v>5000</v>
      </c>
    </row>
    <row r="23" spans="1:7" ht="15.75" thickBot="1" x14ac:dyDescent="0.3">
      <c r="A23" s="49" t="s">
        <v>42</v>
      </c>
      <c r="B23" s="50">
        <v>7.4999999999999997E-2</v>
      </c>
      <c r="C23" s="50">
        <v>1.2E-2</v>
      </c>
      <c r="D23" s="50">
        <v>8.6999999999999994E-2</v>
      </c>
      <c r="F23" s="132" t="s">
        <v>42</v>
      </c>
      <c r="G23" s="135">
        <v>5000</v>
      </c>
    </row>
    <row r="24" spans="1:7" ht="15.75" thickBot="1" x14ac:dyDescent="0.3">
      <c r="A24" s="52" t="s">
        <v>43</v>
      </c>
      <c r="B24" s="53">
        <v>0.05</v>
      </c>
      <c r="C24" s="53">
        <v>0.02</v>
      </c>
      <c r="D24" s="53">
        <v>7.0000000000000007E-2</v>
      </c>
      <c r="F24" s="132" t="s">
        <v>43</v>
      </c>
      <c r="G24" s="135">
        <v>5000</v>
      </c>
    </row>
    <row r="25" spans="1:7" ht="15.75" thickBot="1" x14ac:dyDescent="0.3">
      <c r="A25" s="52" t="s">
        <v>44</v>
      </c>
      <c r="B25" s="53">
        <v>5.0999999999999997E-2</v>
      </c>
      <c r="C25" s="53">
        <v>1.4E-2</v>
      </c>
      <c r="D25" s="53">
        <v>6.5000000000000002E-2</v>
      </c>
      <c r="F25" s="132" t="s">
        <v>44</v>
      </c>
      <c r="G25" s="135">
        <v>6465.5172413793107</v>
      </c>
    </row>
    <row r="26" spans="1:7" ht="15.75" thickBot="1" x14ac:dyDescent="0.3">
      <c r="A26" s="52" t="s">
        <v>45</v>
      </c>
      <c r="B26" s="53">
        <v>0.04</v>
      </c>
      <c r="C26" s="53">
        <v>1.0999999999999999E-2</v>
      </c>
      <c r="D26" s="53">
        <v>5.0999999999999997E-2</v>
      </c>
      <c r="F26" s="133" t="s">
        <v>45</v>
      </c>
      <c r="G26" s="135">
        <v>5000</v>
      </c>
    </row>
    <row r="27" spans="1:7" ht="15.75" thickBot="1" x14ac:dyDescent="0.3">
      <c r="A27" s="52" t="s">
        <v>46</v>
      </c>
      <c r="B27" s="53">
        <v>3.2000000000000001E-2</v>
      </c>
      <c r="C27" s="53">
        <v>1.2E-2</v>
      </c>
      <c r="D27" s="53">
        <v>4.3999999999999997E-2</v>
      </c>
      <c r="F27" s="132" t="s">
        <v>46</v>
      </c>
      <c r="G27" s="135">
        <v>7500.0000000000009</v>
      </c>
    </row>
    <row r="28" spans="1:7" ht="15.75" thickBot="1" x14ac:dyDescent="0.3">
      <c r="A28" s="52" t="s">
        <v>47</v>
      </c>
      <c r="B28" s="53">
        <v>5.2600000000000001E-2</v>
      </c>
      <c r="C28" s="53">
        <v>7.4000000000000003E-3</v>
      </c>
      <c r="D28" s="53">
        <v>0.06</v>
      </c>
      <c r="F28" s="132" t="s">
        <v>47</v>
      </c>
      <c r="G28" s="135">
        <v>5000</v>
      </c>
    </row>
    <row r="29" spans="1:7" ht="15.75" thickBot="1" x14ac:dyDescent="0.3">
      <c r="A29" s="52" t="s">
        <v>48</v>
      </c>
      <c r="B29" s="53">
        <v>0.04</v>
      </c>
      <c r="C29" s="54">
        <v>0.02</v>
      </c>
      <c r="D29" s="54">
        <f>B29+C29</f>
        <v>0.06</v>
      </c>
      <c r="F29" s="132" t="s">
        <v>48</v>
      </c>
      <c r="G29" s="135">
        <v>5000</v>
      </c>
    </row>
    <row r="30" spans="1:7" ht="15.75" thickBot="1" x14ac:dyDescent="0.3">
      <c r="A30" s="52" t="s">
        <v>49</v>
      </c>
      <c r="B30" s="53">
        <v>3.0499999999999999E-2</v>
      </c>
      <c r="C30" s="53">
        <v>1.01E-2</v>
      </c>
      <c r="D30" s="53">
        <v>4.0599999999999997E-2</v>
      </c>
      <c r="F30" s="132" t="s">
        <v>49</v>
      </c>
      <c r="G30" s="135">
        <v>5000</v>
      </c>
    </row>
    <row r="31" spans="1:7" ht="15.75" thickBot="1" x14ac:dyDescent="0.3">
      <c r="A31" s="52" t="s">
        <v>50</v>
      </c>
      <c r="B31" s="53">
        <v>2.4500000000000001E-2</v>
      </c>
      <c r="C31" s="53">
        <v>2.1000000000000001E-2</v>
      </c>
      <c r="D31" s="53">
        <v>4.5499999999999999E-2</v>
      </c>
      <c r="F31" s="132" t="s">
        <v>50</v>
      </c>
      <c r="G31" s="135">
        <v>7000</v>
      </c>
    </row>
    <row r="32" spans="1:7" ht="15.75" thickBot="1" x14ac:dyDescent="0.3">
      <c r="A32" s="52" t="s">
        <v>51</v>
      </c>
      <c r="B32" s="53">
        <v>3.9600000000000003E-2</v>
      </c>
      <c r="C32" s="53">
        <v>8.0999999999999996E-3</v>
      </c>
      <c r="D32" s="53">
        <v>4.7699999999999999E-2</v>
      </c>
      <c r="F32" s="132" t="s">
        <v>51</v>
      </c>
      <c r="G32" s="135">
        <v>5000</v>
      </c>
    </row>
    <row r="33" spans="1:7" ht="15.75" thickBot="1" x14ac:dyDescent="0.3">
      <c r="A33" s="52" t="s">
        <v>52</v>
      </c>
      <c r="B33" s="53">
        <v>3.5000000000000003E-2</v>
      </c>
      <c r="C33" s="53">
        <v>1.4999999999999999E-2</v>
      </c>
      <c r="D33" s="53">
        <v>0.05</v>
      </c>
      <c r="F33" s="132" t="s">
        <v>52</v>
      </c>
      <c r="G33" s="135">
        <v>5000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353D-981D-48E2-A38D-DFF06381E71A}">
  <sheetPr codeName="Hoja3"/>
  <dimension ref="B1:R33"/>
  <sheetViews>
    <sheetView topLeftCell="F1" workbookViewId="0">
      <selection activeCell="N10" sqref="N10"/>
    </sheetView>
  </sheetViews>
  <sheetFormatPr baseColWidth="10" defaultRowHeight="15" x14ac:dyDescent="0.25"/>
  <cols>
    <col min="1" max="1" width="2.42578125" customWidth="1"/>
    <col min="3" max="3" width="2.28515625" customWidth="1"/>
    <col min="5" max="5" width="2.28515625" customWidth="1"/>
    <col min="7" max="7" width="3" customWidth="1"/>
    <col min="8" max="8" width="19.5703125" style="2" bestFit="1" customWidth="1"/>
    <col min="9" max="9" width="2.85546875" customWidth="1"/>
    <col min="10" max="10" width="24.7109375" style="2" bestFit="1" customWidth="1"/>
    <col min="12" max="12" width="14.140625" bestFit="1" customWidth="1"/>
    <col min="13" max="13" width="19" bestFit="1" customWidth="1"/>
    <col min="14" max="14" width="21" bestFit="1" customWidth="1"/>
    <col min="17" max="17" width="20.7109375" customWidth="1"/>
  </cols>
  <sheetData>
    <row r="1" spans="2:18" x14ac:dyDescent="0.25">
      <c r="B1" s="2" t="s">
        <v>14</v>
      </c>
      <c r="D1" s="2" t="s">
        <v>15</v>
      </c>
      <c r="F1" s="2" t="s">
        <v>18</v>
      </c>
      <c r="H1" s="2" t="s">
        <v>10</v>
      </c>
      <c r="J1" s="2" t="s">
        <v>53</v>
      </c>
      <c r="K1" s="46">
        <f>VLOOKUP(Carátula!$E$39,Catálogos!J2:K6,2,0)</f>
        <v>1</v>
      </c>
      <c r="M1" s="2" t="s">
        <v>66</v>
      </c>
      <c r="N1" s="2"/>
      <c r="O1" s="2"/>
      <c r="Q1" t="s">
        <v>113</v>
      </c>
      <c r="R1">
        <f>VLOOKUP(Carátula!H31,Catálogos!P2:Q3,2,0)</f>
        <v>5.9999999999999995E-4</v>
      </c>
    </row>
    <row r="2" spans="2:18" x14ac:dyDescent="0.25">
      <c r="B2" s="2">
        <v>60</v>
      </c>
      <c r="D2" s="2" t="s">
        <v>16</v>
      </c>
      <c r="F2" s="2" t="s">
        <v>19</v>
      </c>
      <c r="H2" s="2" t="s">
        <v>21</v>
      </c>
      <c r="J2" s="3">
        <v>9.1499999999999998E-2</v>
      </c>
      <c r="K2" s="2">
        <v>1</v>
      </c>
      <c r="M2" s="2" t="s">
        <v>114</v>
      </c>
      <c r="N2" s="2">
        <v>1</v>
      </c>
      <c r="P2" t="s">
        <v>16</v>
      </c>
      <c r="Q2" s="2">
        <v>5.9999999999999995E-4</v>
      </c>
    </row>
    <row r="3" spans="2:18" x14ac:dyDescent="0.25">
      <c r="B3" s="2">
        <v>72</v>
      </c>
      <c r="D3" s="2" t="s">
        <v>17</v>
      </c>
      <c r="F3" s="2" t="s">
        <v>20</v>
      </c>
      <c r="H3" s="2" t="s">
        <v>22</v>
      </c>
      <c r="J3" s="3">
        <v>9.8500000000000004E-2</v>
      </c>
      <c r="K3" s="2">
        <v>1</v>
      </c>
      <c r="M3" s="2" t="s">
        <v>115</v>
      </c>
      <c r="N3" s="2">
        <v>2</v>
      </c>
      <c r="P3" t="s">
        <v>17</v>
      </c>
      <c r="Q3" s="2">
        <v>8.5829999999999999E-4</v>
      </c>
    </row>
    <row r="4" spans="2:18" x14ac:dyDescent="0.25">
      <c r="B4" s="2">
        <v>84</v>
      </c>
      <c r="H4" s="2" t="s">
        <v>23</v>
      </c>
      <c r="J4" s="3">
        <v>0.10150000000000001</v>
      </c>
      <c r="K4" s="2">
        <v>2</v>
      </c>
      <c r="M4" s="2" t="s">
        <v>116</v>
      </c>
      <c r="N4" s="2">
        <v>3</v>
      </c>
      <c r="Q4" t="s">
        <v>159</v>
      </c>
      <c r="R4" s="130">
        <f>IF(OR(Carátula!$I$15="SI",Catálogos!$R$12=2),0,0.00028)</f>
        <v>2.7999999999999998E-4</v>
      </c>
    </row>
    <row r="5" spans="2:18" x14ac:dyDescent="0.25">
      <c r="B5" s="2">
        <v>96</v>
      </c>
      <c r="H5" s="2" t="s">
        <v>24</v>
      </c>
      <c r="J5" s="3">
        <v>0.1055</v>
      </c>
      <c r="K5" s="2">
        <v>2</v>
      </c>
      <c r="N5" s="2"/>
      <c r="Q5" s="2">
        <v>2.7999999999999998E-4</v>
      </c>
    </row>
    <row r="6" spans="2:18" x14ac:dyDescent="0.25">
      <c r="B6" s="2">
        <v>108</v>
      </c>
      <c r="H6" s="2" t="s">
        <v>25</v>
      </c>
      <c r="J6" s="3">
        <v>0.1115</v>
      </c>
      <c r="K6" s="2">
        <v>2</v>
      </c>
      <c r="M6" s="46" t="s">
        <v>66</v>
      </c>
      <c r="N6" s="2">
        <f>VLOOKUP(Carátula!N39,Catálogos!M2:N4,2,0)</f>
        <v>1</v>
      </c>
      <c r="P6" t="s">
        <v>160</v>
      </c>
      <c r="Q6" s="2">
        <f>Q5/1.16</f>
        <v>2.4137931034482759E-4</v>
      </c>
    </row>
    <row r="7" spans="2:18" x14ac:dyDescent="0.25">
      <c r="B7" s="2">
        <v>120</v>
      </c>
      <c r="H7" s="2" t="s">
        <v>26</v>
      </c>
    </row>
    <row r="8" spans="2:18" x14ac:dyDescent="0.25">
      <c r="B8" s="2">
        <v>132</v>
      </c>
      <c r="H8" s="2" t="s">
        <v>27</v>
      </c>
      <c r="K8" s="2"/>
    </row>
    <row r="9" spans="2:18" x14ac:dyDescent="0.25">
      <c r="B9" s="2">
        <v>144</v>
      </c>
      <c r="H9" s="2" t="s">
        <v>28</v>
      </c>
      <c r="M9" t="s">
        <v>156</v>
      </c>
      <c r="N9" s="89">
        <v>0</v>
      </c>
    </row>
    <row r="10" spans="2:18" x14ac:dyDescent="0.25">
      <c r="B10" s="2">
        <v>156</v>
      </c>
      <c r="H10" s="2" t="s">
        <v>29</v>
      </c>
      <c r="J10" s="46" t="s">
        <v>158</v>
      </c>
      <c r="K10" s="2">
        <f>VLOOKUP(Carátula!I35,Catálogos!$J$10:$K$12,2,0)</f>
        <v>1</v>
      </c>
      <c r="N10" s="113">
        <f>IF(K1=1,Catálogos!N9,0)</f>
        <v>0</v>
      </c>
    </row>
    <row r="11" spans="2:18" x14ac:dyDescent="0.25">
      <c r="B11" s="2">
        <v>168</v>
      </c>
      <c r="H11" s="2" t="s">
        <v>30</v>
      </c>
      <c r="J11" s="2" t="s">
        <v>183</v>
      </c>
      <c r="K11" s="2">
        <v>1</v>
      </c>
    </row>
    <row r="12" spans="2:18" x14ac:dyDescent="0.25">
      <c r="B12" s="2">
        <v>180</v>
      </c>
      <c r="H12" s="2" t="s">
        <v>31</v>
      </c>
      <c r="J12" s="2" t="s">
        <v>181</v>
      </c>
      <c r="K12" s="2">
        <v>2</v>
      </c>
      <c r="R12" s="46">
        <f>VLOOKUP(Carátula!I35,Catálogos!Q13:R14,2,0)</f>
        <v>1</v>
      </c>
    </row>
    <row r="13" spans="2:18" x14ac:dyDescent="0.25">
      <c r="B13" s="2">
        <v>192</v>
      </c>
      <c r="H13" s="2" t="s">
        <v>32</v>
      </c>
      <c r="J13" s="46" t="str">
        <f>IF($K$10=1,L13,IF(K10=2,L13,""))</f>
        <v>Recuerda que el Aforo Máximo es 85%</v>
      </c>
      <c r="K13" s="145">
        <v>0.85</v>
      </c>
      <c r="L13" t="s">
        <v>163</v>
      </c>
      <c r="Q13" s="2" t="s">
        <v>183</v>
      </c>
      <c r="R13" s="2">
        <v>1</v>
      </c>
    </row>
    <row r="14" spans="2:18" x14ac:dyDescent="0.25">
      <c r="B14" s="2">
        <v>204</v>
      </c>
      <c r="H14" s="2" t="s">
        <v>33</v>
      </c>
      <c r="J14" s="2" t="str">
        <f>IF(K15&gt;K18,J13,"")</f>
        <v/>
      </c>
      <c r="Q14" s="2" t="s">
        <v>181</v>
      </c>
      <c r="R14" s="2">
        <v>2</v>
      </c>
    </row>
    <row r="15" spans="2:18" x14ac:dyDescent="0.25">
      <c r="B15" s="2">
        <v>216</v>
      </c>
      <c r="H15" s="2" t="s">
        <v>34</v>
      </c>
      <c r="K15" s="139">
        <f>IF(K10=1,O16,O17)</f>
        <v>0.58823529411764708</v>
      </c>
    </row>
    <row r="16" spans="2:18" x14ac:dyDescent="0.25">
      <c r="B16" s="2">
        <v>228</v>
      </c>
      <c r="H16" s="2" t="s">
        <v>35</v>
      </c>
      <c r="J16" s="2" t="s">
        <v>166</v>
      </c>
      <c r="K16" s="137">
        <v>0.85</v>
      </c>
      <c r="L16" s="131">
        <f>Carátula!$F$15</f>
        <v>1020000</v>
      </c>
      <c r="M16" s="131">
        <f>K16*Carátula!F15</f>
        <v>867000</v>
      </c>
      <c r="N16" s="131">
        <f>Carátula!F19</f>
        <v>600000</v>
      </c>
      <c r="O16" s="138">
        <f>N16/L16</f>
        <v>0.58823529411764708</v>
      </c>
    </row>
    <row r="17" spans="2:15" x14ac:dyDescent="0.25">
      <c r="B17" s="2">
        <v>240</v>
      </c>
      <c r="H17" s="2" t="s">
        <v>36</v>
      </c>
      <c r="J17" s="2" t="s">
        <v>181</v>
      </c>
      <c r="K17" s="137">
        <v>0.45</v>
      </c>
      <c r="L17" s="131">
        <f>Carátula!$F$15</f>
        <v>1020000</v>
      </c>
      <c r="M17" s="131">
        <f>K17*Carátula!F15</f>
        <v>459000</v>
      </c>
      <c r="N17" s="131">
        <f>Carátula!F21</f>
        <v>250000</v>
      </c>
      <c r="O17" s="138">
        <f>N17/L17</f>
        <v>0.24509803921568626</v>
      </c>
    </row>
    <row r="18" spans="2:15" x14ac:dyDescent="0.25">
      <c r="H18" s="2" t="s">
        <v>37</v>
      </c>
      <c r="K18" s="139">
        <f>IF(K10=1,K16,K17)</f>
        <v>0.85</v>
      </c>
    </row>
    <row r="19" spans="2:15" x14ac:dyDescent="0.25">
      <c r="H19" s="2" t="s">
        <v>38</v>
      </c>
    </row>
    <row r="20" spans="2:15" x14ac:dyDescent="0.25">
      <c r="H20" s="2" t="s">
        <v>39</v>
      </c>
    </row>
    <row r="21" spans="2:15" x14ac:dyDescent="0.25">
      <c r="H21" s="2" t="s">
        <v>40</v>
      </c>
      <c r="K21" s="394" t="s">
        <v>169</v>
      </c>
      <c r="L21" s="394"/>
      <c r="M21" s="394"/>
      <c r="N21" s="394"/>
    </row>
    <row r="22" spans="2:15" x14ac:dyDescent="0.25">
      <c r="H22" s="2" t="s">
        <v>41</v>
      </c>
      <c r="K22" s="2" t="s">
        <v>170</v>
      </c>
      <c r="L22" s="2" t="s">
        <v>171</v>
      </c>
      <c r="M22" s="2" t="s">
        <v>176</v>
      </c>
      <c r="N22" s="2" t="s">
        <v>175</v>
      </c>
    </row>
    <row r="23" spans="2:15" x14ac:dyDescent="0.25">
      <c r="H23" s="2" t="s">
        <v>42</v>
      </c>
      <c r="K23" s="137">
        <v>0.85</v>
      </c>
      <c r="L23" s="131">
        <f>Carátula!$F$15</f>
        <v>1020000</v>
      </c>
      <c r="M23" s="140">
        <f>L23*K23</f>
        <v>867000</v>
      </c>
      <c r="N23" s="140">
        <f>L23*K25</f>
        <v>459000</v>
      </c>
    </row>
    <row r="24" spans="2:15" x14ac:dyDescent="0.25">
      <c r="H24" s="2" t="s">
        <v>43</v>
      </c>
      <c r="K24" s="2" t="s">
        <v>174</v>
      </c>
      <c r="L24" t="s">
        <v>172</v>
      </c>
      <c r="M24" s="131">
        <f>L25+L27</f>
        <v>850000</v>
      </c>
      <c r="N24" s="131">
        <f>M23-L25</f>
        <v>267000</v>
      </c>
    </row>
    <row r="25" spans="2:15" x14ac:dyDescent="0.25">
      <c r="H25" s="2" t="s">
        <v>44</v>
      </c>
      <c r="K25" s="137">
        <v>0.45</v>
      </c>
      <c r="L25" s="131">
        <f>Carátula!$F$19</f>
        <v>600000</v>
      </c>
    </row>
    <row r="26" spans="2:15" x14ac:dyDescent="0.25">
      <c r="H26" s="2" t="s">
        <v>45</v>
      </c>
      <c r="L26" t="s">
        <v>173</v>
      </c>
    </row>
    <row r="27" spans="2:15" x14ac:dyDescent="0.25">
      <c r="H27" s="2" t="s">
        <v>46</v>
      </c>
      <c r="L27" s="131">
        <f>Carátula!$F$21</f>
        <v>250000</v>
      </c>
    </row>
    <row r="28" spans="2:15" x14ac:dyDescent="0.25">
      <c r="H28" s="2" t="s">
        <v>47</v>
      </c>
    </row>
    <row r="29" spans="2:15" x14ac:dyDescent="0.25">
      <c r="H29" s="2" t="s">
        <v>48</v>
      </c>
    </row>
    <row r="30" spans="2:15" x14ac:dyDescent="0.25">
      <c r="H30" s="2" t="s">
        <v>49</v>
      </c>
    </row>
    <row r="31" spans="2:15" x14ac:dyDescent="0.25">
      <c r="H31" s="2" t="s">
        <v>50</v>
      </c>
    </row>
    <row r="32" spans="2:15" x14ac:dyDescent="0.25">
      <c r="H32" s="2" t="s">
        <v>51</v>
      </c>
    </row>
    <row r="33" spans="8:8" x14ac:dyDescent="0.25">
      <c r="H33" s="2" t="s">
        <v>52</v>
      </c>
    </row>
  </sheetData>
  <mergeCells count="1">
    <mergeCell ref="K21:N2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E8CDD-CC30-4EA9-A5E8-23455F488AB7}">
  <sheetPr codeName="Hoja4"/>
  <dimension ref="A1:I20"/>
  <sheetViews>
    <sheetView showGridLines="0" workbookViewId="0">
      <selection activeCell="I7" sqref="I7"/>
    </sheetView>
  </sheetViews>
  <sheetFormatPr baseColWidth="10" defaultRowHeight="15" x14ac:dyDescent="0.25"/>
  <cols>
    <col min="1" max="1" width="14.140625" customWidth="1"/>
    <col min="8" max="8" width="18" customWidth="1"/>
    <col min="9" max="9" width="18.28515625" customWidth="1"/>
  </cols>
  <sheetData>
    <row r="1" spans="1:9" x14ac:dyDescent="0.25">
      <c r="A1" s="56" t="s">
        <v>123</v>
      </c>
      <c r="B1" s="57"/>
      <c r="C1" s="58"/>
      <c r="D1" s="58"/>
      <c r="E1" s="58"/>
      <c r="F1" s="58"/>
      <c r="G1" s="58"/>
      <c r="H1" s="58"/>
      <c r="I1" s="59"/>
    </row>
    <row r="2" spans="1:9" x14ac:dyDescent="0.25">
      <c r="A2" s="60"/>
      <c r="B2" s="61"/>
      <c r="C2" s="61"/>
      <c r="D2" s="61"/>
      <c r="E2" s="61"/>
      <c r="F2" s="62"/>
      <c r="G2" s="62"/>
      <c r="H2" s="62"/>
      <c r="I2" s="63"/>
    </row>
    <row r="3" spans="1:9" x14ac:dyDescent="0.25">
      <c r="A3" s="64" t="s">
        <v>124</v>
      </c>
      <c r="B3" s="62"/>
      <c r="C3" s="62"/>
      <c r="D3" s="62"/>
      <c r="E3" s="62"/>
      <c r="F3" s="62"/>
      <c r="G3" s="62"/>
      <c r="H3" s="62"/>
      <c r="I3" s="63"/>
    </row>
    <row r="4" spans="1:9" x14ac:dyDescent="0.25">
      <c r="A4" s="65"/>
      <c r="B4" s="62"/>
      <c r="C4" s="62"/>
      <c r="D4" s="62"/>
      <c r="E4" s="62"/>
      <c r="F4" s="62"/>
      <c r="G4" s="62"/>
      <c r="H4" s="66" t="s">
        <v>125</v>
      </c>
      <c r="I4" s="67"/>
    </row>
    <row r="5" spans="1:9" x14ac:dyDescent="0.25">
      <c r="A5" s="68" t="s">
        <v>126</v>
      </c>
      <c r="B5" s="69"/>
      <c r="C5" s="69"/>
      <c r="D5" s="62"/>
      <c r="E5" s="70"/>
      <c r="F5" s="71"/>
      <c r="G5" s="62"/>
      <c r="H5" s="62" t="s">
        <v>302</v>
      </c>
      <c r="I5" s="225">
        <f>VLOOKUP(B6,A12:C20,3,TRUE)</f>
        <v>5000</v>
      </c>
    </row>
    <row r="6" spans="1:9" x14ac:dyDescent="0.25">
      <c r="A6" s="65" t="s">
        <v>127</v>
      </c>
      <c r="B6" s="72">
        <f>Carátula!$F$15</f>
        <v>1020000</v>
      </c>
      <c r="C6" s="62"/>
      <c r="D6" s="62"/>
      <c r="E6" s="62"/>
      <c r="F6" s="73"/>
      <c r="G6" s="62"/>
      <c r="H6" s="62"/>
      <c r="I6" s="226">
        <f>IF(B6&gt;10000000,I5/2,0)</f>
        <v>0</v>
      </c>
    </row>
    <row r="7" spans="1:9" x14ac:dyDescent="0.25">
      <c r="A7" s="65"/>
      <c r="B7" s="62"/>
      <c r="C7" s="62"/>
      <c r="D7" s="62"/>
      <c r="E7" s="62"/>
      <c r="F7" s="74"/>
      <c r="G7" s="62"/>
      <c r="H7" s="62"/>
      <c r="I7" s="226"/>
    </row>
    <row r="8" spans="1:9" x14ac:dyDescent="0.25">
      <c r="A8" s="75"/>
      <c r="B8" s="76"/>
      <c r="C8" s="76"/>
      <c r="D8" s="62"/>
      <c r="E8" s="62"/>
      <c r="F8" s="62"/>
      <c r="G8" s="62"/>
      <c r="H8" s="62"/>
      <c r="I8" s="226"/>
    </row>
    <row r="9" spans="1:9" x14ac:dyDescent="0.25">
      <c r="A9" s="65"/>
      <c r="B9" s="73"/>
      <c r="C9" s="62"/>
      <c r="D9" s="62"/>
      <c r="E9" s="62"/>
      <c r="F9" s="73"/>
      <c r="G9" s="62"/>
      <c r="H9" s="62"/>
      <c r="I9" s="63"/>
    </row>
    <row r="10" spans="1:9" x14ac:dyDescent="0.25">
      <c r="A10" s="65"/>
      <c r="B10" s="62"/>
      <c r="C10" s="62"/>
      <c r="D10" s="62"/>
      <c r="E10" s="62"/>
      <c r="F10" s="74"/>
      <c r="G10" s="62"/>
      <c r="H10" s="62"/>
      <c r="I10" s="63"/>
    </row>
    <row r="11" spans="1:9" x14ac:dyDescent="0.25">
      <c r="A11" s="77" t="s">
        <v>128</v>
      </c>
      <c r="B11" s="78" t="s">
        <v>300</v>
      </c>
      <c r="C11" s="78" t="s">
        <v>301</v>
      </c>
      <c r="D11" s="62"/>
      <c r="E11" s="62"/>
      <c r="F11" s="62"/>
      <c r="G11" s="62"/>
      <c r="H11" s="62"/>
      <c r="I11" s="63"/>
    </row>
    <row r="12" spans="1:9" x14ac:dyDescent="0.25">
      <c r="A12" s="222">
        <v>0</v>
      </c>
      <c r="B12" s="223">
        <v>1000000</v>
      </c>
      <c r="C12" s="79">
        <v>3000</v>
      </c>
      <c r="D12" s="62"/>
      <c r="E12" s="62"/>
      <c r="F12" s="73"/>
      <c r="G12" s="62"/>
      <c r="H12" s="62"/>
      <c r="I12" s="63"/>
    </row>
    <row r="13" spans="1:9" x14ac:dyDescent="0.25">
      <c r="A13" s="222">
        <v>1000001</v>
      </c>
      <c r="B13" s="223">
        <v>3000000</v>
      </c>
      <c r="C13" s="79">
        <v>5000</v>
      </c>
      <c r="D13" s="62"/>
      <c r="E13" s="62"/>
      <c r="F13" s="73"/>
      <c r="G13" s="62"/>
      <c r="H13" s="62"/>
      <c r="I13" s="63"/>
    </row>
    <row r="14" spans="1:9" x14ac:dyDescent="0.25">
      <c r="A14" s="222">
        <v>3000001</v>
      </c>
      <c r="B14" s="223">
        <v>5000000</v>
      </c>
      <c r="C14" s="79">
        <v>8000</v>
      </c>
      <c r="D14" s="62"/>
      <c r="E14" s="62"/>
      <c r="F14" s="73"/>
      <c r="G14" s="62"/>
      <c r="H14" s="62"/>
      <c r="I14" s="63"/>
    </row>
    <row r="15" spans="1:9" x14ac:dyDescent="0.25">
      <c r="A15" s="222">
        <v>5000001</v>
      </c>
      <c r="B15" s="223">
        <v>7000000</v>
      </c>
      <c r="C15" s="79">
        <v>15000</v>
      </c>
      <c r="D15" s="62"/>
      <c r="E15" s="62"/>
      <c r="F15" s="62"/>
      <c r="G15" s="62"/>
      <c r="H15" s="62"/>
      <c r="I15" s="63"/>
    </row>
    <row r="16" spans="1:9" x14ac:dyDescent="0.25">
      <c r="A16" s="222">
        <v>7000001</v>
      </c>
      <c r="B16" s="223">
        <v>10000000</v>
      </c>
      <c r="C16" s="79">
        <v>17000</v>
      </c>
      <c r="D16" s="62"/>
      <c r="E16" s="62"/>
      <c r="F16" s="62"/>
      <c r="G16" s="62"/>
      <c r="H16" s="62"/>
      <c r="I16" s="63"/>
    </row>
    <row r="17" spans="1:9" x14ac:dyDescent="0.25">
      <c r="A17" s="222">
        <v>10000001</v>
      </c>
      <c r="B17" s="223">
        <v>20000000</v>
      </c>
      <c r="C17" s="79">
        <v>25000</v>
      </c>
      <c r="D17" s="62"/>
      <c r="E17" s="62"/>
      <c r="F17" s="62"/>
      <c r="G17" s="62"/>
      <c r="H17" s="62"/>
      <c r="I17" s="63"/>
    </row>
    <row r="18" spans="1:9" x14ac:dyDescent="0.25">
      <c r="A18" s="222">
        <v>20000001</v>
      </c>
      <c r="B18" s="223">
        <v>30000000</v>
      </c>
      <c r="C18" s="79">
        <v>30000</v>
      </c>
      <c r="D18" s="62"/>
      <c r="E18" s="62"/>
      <c r="F18" s="62"/>
      <c r="G18" s="62"/>
      <c r="H18" s="62"/>
      <c r="I18" s="63"/>
    </row>
    <row r="19" spans="1:9" x14ac:dyDescent="0.25">
      <c r="A19" s="222">
        <v>30000001</v>
      </c>
      <c r="B19" s="223">
        <v>100000000</v>
      </c>
      <c r="C19" s="79">
        <f>B6*0.001</f>
        <v>1020</v>
      </c>
      <c r="D19" s="62"/>
      <c r="E19" s="62"/>
      <c r="F19" s="62"/>
      <c r="G19" s="62"/>
      <c r="H19" s="62"/>
      <c r="I19" s="63"/>
    </row>
    <row r="20" spans="1:9" ht="15.75" thickBot="1" x14ac:dyDescent="0.3">
      <c r="A20" s="224">
        <v>100000001</v>
      </c>
      <c r="B20" s="224">
        <v>999999999</v>
      </c>
      <c r="C20" s="80">
        <f>B6*0.001</f>
        <v>1020</v>
      </c>
      <c r="D20" s="62"/>
      <c r="E20" s="62"/>
      <c r="F20" s="62"/>
      <c r="G20" s="62"/>
      <c r="H20" s="62"/>
      <c r="I20" s="6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5C224-9F83-4E9E-AC79-71A8585AF685}">
  <sheetPr codeName="Hoja5"/>
  <dimension ref="A1:K242"/>
  <sheetViews>
    <sheetView workbookViewId="0">
      <selection activeCell="D9" sqref="D9"/>
    </sheetView>
  </sheetViews>
  <sheetFormatPr baseColWidth="10" defaultRowHeight="15" x14ac:dyDescent="0.25"/>
  <cols>
    <col min="2" max="2" width="13.42578125" bestFit="1" customWidth="1"/>
    <col min="3" max="3" width="19" bestFit="1" customWidth="1"/>
    <col min="4" max="4" width="16.7109375" customWidth="1"/>
    <col min="5" max="5" width="18.140625" customWidth="1"/>
    <col min="8" max="8" width="13.42578125" bestFit="1" customWidth="1"/>
    <col min="10" max="10" width="19" bestFit="1" customWidth="1"/>
    <col min="11" max="11" width="10.7109375" customWidth="1"/>
  </cols>
  <sheetData>
    <row r="1" spans="1:11" x14ac:dyDescent="0.25">
      <c r="C1" s="2">
        <v>1</v>
      </c>
      <c r="D1" s="2">
        <v>2</v>
      </c>
      <c r="E1" s="2">
        <v>3</v>
      </c>
      <c r="G1" t="s">
        <v>14</v>
      </c>
      <c r="H1" s="83">
        <f>Carátula!$H$29</f>
        <v>240</v>
      </c>
      <c r="J1" s="82" t="s">
        <v>114</v>
      </c>
      <c r="K1" s="2">
        <v>1</v>
      </c>
    </row>
    <row r="2" spans="1:11" x14ac:dyDescent="0.25">
      <c r="B2" s="81" t="s">
        <v>76</v>
      </c>
      <c r="C2" s="81" t="str">
        <f>J1</f>
        <v>Reduce Plazo y Pago</v>
      </c>
      <c r="D2" s="81" t="str">
        <f>J2</f>
        <v>Reduce Plazo</v>
      </c>
      <c r="E2" s="81" t="str">
        <f>J3</f>
        <v>Reduce Pago</v>
      </c>
      <c r="G2" t="s">
        <v>53</v>
      </c>
      <c r="H2" s="3">
        <f>Carátula!$E$39</f>
        <v>9.1499999999999998E-2</v>
      </c>
      <c r="J2" s="82" t="s">
        <v>115</v>
      </c>
      <c r="K2" s="2">
        <v>2</v>
      </c>
    </row>
    <row r="3" spans="1:11" x14ac:dyDescent="0.25">
      <c r="A3" s="2">
        <v>1</v>
      </c>
      <c r="B3" s="86">
        <f>H3</f>
        <v>600000</v>
      </c>
      <c r="C3" s="85">
        <f>IF(A3="","",PPMT($H$2/360*30.4,A3,$H$1,-$H$3)+Carátula!M44-Carátula!N44)</f>
        <v>867.75904166261637</v>
      </c>
      <c r="D3" s="85">
        <f>IF(A3="","",((PMT($H$2/360*30.4,$H$1,-$H$3))-(($H$2/360*30.4)*(B3)))+Carátula!M44-Carátula!N44)</f>
        <v>867.75904166261716</v>
      </c>
      <c r="E3" s="85">
        <f>IF(A3="","",PPMT($H$2/360*30.4,1,$H$1-A3+1,-B3)+Carátula!M44-Carátula!N44)</f>
        <v>867.75904166261637</v>
      </c>
      <c r="G3" t="s">
        <v>131</v>
      </c>
      <c r="H3" s="84">
        <f>Carátula!$F$44</f>
        <v>600000</v>
      </c>
      <c r="J3" s="82" t="s">
        <v>116</v>
      </c>
      <c r="K3" s="2">
        <v>3</v>
      </c>
    </row>
    <row r="4" spans="1:11" x14ac:dyDescent="0.25">
      <c r="A4" s="2">
        <f>IF(A3=$H$1,"",IF(A3="","",A3+1))</f>
        <v>2</v>
      </c>
      <c r="B4" s="86">
        <f>Carátula!F45</f>
        <v>599132.24095833744</v>
      </c>
      <c r="C4" s="85">
        <f>IF(A4="","",PPMT($H$2/360*30.4,A4,$H$1,-$H$3)+Carátula!M45-Carátula!N45)</f>
        <v>874.4639265245296</v>
      </c>
      <c r="D4" s="85">
        <f>IF(A4="","",(PMT($H$2/360*30.4,$H$1,-$H$3)-(($H$2/360*30.4)*(B4))+Carátula!M45-Carátula!N45))</f>
        <v>874.4639265245296</v>
      </c>
      <c r="E4" s="85">
        <f>IF(A4="","",PPMT($H$2/360*30.4,1,$H$1-A4+1,-B4)+Carátula!M45-Carátula!N45)</f>
        <v>874.4639265245296</v>
      </c>
    </row>
    <row r="5" spans="1:11" x14ac:dyDescent="0.25">
      <c r="A5" s="2">
        <f t="shared" ref="A5:A68" si="0">IF(A4=$H$1,"",IF(A4="","",A4+1))</f>
        <v>3</v>
      </c>
      <c r="B5" s="86">
        <f>Carátula!F46</f>
        <v>598257.77703181293</v>
      </c>
      <c r="C5" s="85">
        <f>IF(A5="","",PPMT($H$2/360*30.4,A5,$H$1,-$H$3)+Carátula!M46-Carátula!N46)</f>
        <v>881.22061779680905</v>
      </c>
      <c r="D5" s="85">
        <f>IF(A5="","",(PMT($H$2/360*30.4,$H$1,-$H$3)-(($H$2/360*30.4)*(B5))+Carátula!M46-Carátula!N46))</f>
        <v>881.22061779680917</v>
      </c>
      <c r="E5" s="85">
        <f>IF(A5="","",PPMT($H$2/360*30.4,1,$H$1-A5+1,-B5)+Carátula!M46-Carátula!N46)</f>
        <v>881.22061779680905</v>
      </c>
    </row>
    <row r="6" spans="1:11" x14ac:dyDescent="0.25">
      <c r="A6" s="2">
        <f t="shared" si="0"/>
        <v>4</v>
      </c>
      <c r="B6" s="86">
        <f>Carátula!F47</f>
        <v>597376.55641401617</v>
      </c>
      <c r="C6" s="85">
        <f>IF(A6="","",PPMT($H$2/360*30.4,A6,$H$1,-$H$3)+Carátula!M47-Carátula!N47)</f>
        <v>888.02951577031899</v>
      </c>
      <c r="D6" s="85">
        <f>IF(A6="","",(PMT($H$2/360*30.4,$H$1,-$H$3)-(($H$2/360*30.4)*(B6))+Carátula!M47-Carátula!N47))</f>
        <v>888.02951577031854</v>
      </c>
      <c r="E6" s="85">
        <f>IF(A6="","",PPMT($H$2/360*30.4,1,$H$1-A6+1,-B6)+Carátula!M47-Carátula!N47)</f>
        <v>888.02951577031899</v>
      </c>
    </row>
    <row r="7" spans="1:11" x14ac:dyDescent="0.25">
      <c r="A7" s="2">
        <f t="shared" si="0"/>
        <v>5</v>
      </c>
      <c r="B7" s="86">
        <f>Carátula!F48</f>
        <v>596488.52689824591</v>
      </c>
      <c r="C7" s="85">
        <f>IF(A7="","",PPMT($H$2/360*30.4,A7,$H$1,-$H$3)+Carátula!M48-Carátula!N48)</f>
        <v>894.89102382883777</v>
      </c>
      <c r="D7" s="85">
        <f>IF(A7="","",(PMT($H$2/360*30.4,$H$1,-$H$3)-(($H$2/360*30.4)*(B7))+Carátula!M48-Carátula!N48))</f>
        <v>894.89102382883721</v>
      </c>
      <c r="E7" s="85">
        <f>IF(A7="","",PPMT($H$2/360*30.4,1,$H$1-A7+1,-B7)+Carátula!M48-Carátula!N48)</f>
        <v>894.89102382883789</v>
      </c>
    </row>
    <row r="8" spans="1:11" x14ac:dyDescent="0.25">
      <c r="A8" s="2">
        <f t="shared" si="0"/>
        <v>6</v>
      </c>
      <c r="B8" s="86">
        <f>Carátula!F49</f>
        <v>595593.63587441703</v>
      </c>
      <c r="C8" s="85">
        <f>IF(A8="","",PPMT($H$2/360*30.4,A8,$H$1,-$H$3)+Carátula!M49-Carátula!N49)</f>
        <v>901.80554847295537</v>
      </c>
      <c r="D8" s="85">
        <f>IF(A8="","",(PMT($H$2/360*30.4,$H$1,-$H$3)-(($H$2/360*30.4)*(B8))+Carátula!M49-Carátula!N49))</f>
        <v>901.8055484729548</v>
      </c>
      <c r="E8" s="85">
        <f>IF(A8="","",PPMT($H$2/360*30.4,1,$H$1-A8+1,-B8)+Carátula!M49-Carátula!N49)</f>
        <v>901.80554847295548</v>
      </c>
    </row>
    <row r="9" spans="1:11" x14ac:dyDescent="0.25">
      <c r="A9" s="2">
        <f t="shared" si="0"/>
        <v>7</v>
      </c>
      <c r="B9" s="86">
        <f>Carátula!F50</f>
        <v>594691.83032594412</v>
      </c>
      <c r="C9" s="85">
        <f>IF(A9="","",PPMT($H$2/360*30.4,A9,$H$1,-$H$3)+Carátula!M50-Carátula!N50)</f>
        <v>908.77349934415633</v>
      </c>
      <c r="D9" s="85">
        <f>IF(A9="","",(PMT($H$2/360*30.4,$H$1,-$H$3)-(($H$2/360*30.4)*(B9))+Carátula!M50-Carátula!N50))</f>
        <v>908.77349934415543</v>
      </c>
      <c r="E9" s="85">
        <f>IF(A9="","",PPMT($H$2/360*30.4,1,$H$1-A9+1,-B9)+Carátula!M50-Carátula!N50)</f>
        <v>908.77349934415656</v>
      </c>
    </row>
    <row r="10" spans="1:11" x14ac:dyDescent="0.25">
      <c r="A10" s="2">
        <f t="shared" si="0"/>
        <v>8</v>
      </c>
      <c r="B10" s="86">
        <f>Carátula!F51</f>
        <v>593783.05682659999</v>
      </c>
      <c r="C10" s="85">
        <f>IF(A10="","",PPMT($H$2/360*30.4,A10,$H$1,-$H$3)+Carátula!M51-Carátula!N51)</f>
        <v>915.7952892490888</v>
      </c>
      <c r="D10" s="85">
        <f>IF(A10="","",(PMT($H$2/360*30.4,$H$1,-$H$3)-(($H$2/360*30.4)*(B10))+Carátula!M51-Carátula!N51))</f>
        <v>915.79528924908755</v>
      </c>
      <c r="E10" s="85">
        <f>IF(A10="","",PPMT($H$2/360*30.4,1,$H$1-A10+1,-B10)+Carátula!M51-Carátula!N51)</f>
        <v>915.79528924908914</v>
      </c>
    </row>
    <row r="11" spans="1:11" x14ac:dyDescent="0.25">
      <c r="A11" s="2">
        <f t="shared" si="0"/>
        <v>9</v>
      </c>
      <c r="B11" s="86">
        <f>Carátula!F52</f>
        <v>592867.26153735095</v>
      </c>
      <c r="C11" s="85">
        <f>IF(A11="","",PPMT($H$2/360*30.4,A11,$H$1,-$H$3)+Carátula!M52-Carátula!N52)</f>
        <v>922.87133418402016</v>
      </c>
      <c r="D11" s="85">
        <f>IF(A11="","",(PMT($H$2/360*30.4,$H$1,-$H$3)-(($H$2/360*30.4)*(B11))+Carátula!M52-Carátula!N52))</f>
        <v>922.87133418401845</v>
      </c>
      <c r="E11" s="85">
        <f>IF(A11="","",PPMT($H$2/360*30.4,1,$H$1-A11+1,-B11)+Carátula!M52-Carátula!N52)</f>
        <v>922.87133418402038</v>
      </c>
    </row>
    <row r="12" spans="1:11" x14ac:dyDescent="0.25">
      <c r="A12" s="2">
        <f t="shared" si="0"/>
        <v>10</v>
      </c>
      <c r="B12" s="86">
        <f>Carátula!F53</f>
        <v>591944.39020316687</v>
      </c>
      <c r="C12" s="85">
        <f>IF(A12="","",PPMT($H$2/360*30.4,A12,$H$1,-$H$3)+Carátula!M53-Carátula!N53)</f>
        <v>930.00205335948192</v>
      </c>
      <c r="D12" s="85">
        <f>IF(A12="","",(PMT($H$2/360*30.4,$H$1,-$H$3)-(($H$2/360*30.4)*(B12))+Carátula!M53-Carátula!N53))</f>
        <v>930.00205335948067</v>
      </c>
      <c r="E12" s="85">
        <f>IF(A12="","",PPMT($H$2/360*30.4,1,$H$1-A12+1,-B12)+Carátula!M53-Carátula!N53)</f>
        <v>930.00205335948226</v>
      </c>
    </row>
    <row r="13" spans="1:11" x14ac:dyDescent="0.25">
      <c r="A13" s="2">
        <f t="shared" si="0"/>
        <v>11</v>
      </c>
      <c r="B13" s="86">
        <f>Carátula!F54</f>
        <v>591014.38814980735</v>
      </c>
      <c r="C13" s="85">
        <f>IF(A13="","",PPMT($H$2/360*30.4,A13,$H$1,-$H$3)+Carátula!M54-Carátula!N54)</f>
        <v>937.18786922510628</v>
      </c>
      <c r="D13" s="85">
        <f>IF(A13="","",(PMT($H$2/360*30.4,$H$1,-$H$3)-(($H$2/360*30.4)*(B13))+Carátula!M54-Carátula!N54))</f>
        <v>937.18786922510571</v>
      </c>
      <c r="E13" s="85">
        <f>IF(A13="","",PPMT($H$2/360*30.4,1,$H$1-A13+1,-B13)+Carátula!M54-Carátula!N54)</f>
        <v>937.1878692251064</v>
      </c>
    </row>
    <row r="14" spans="1:11" x14ac:dyDescent="0.25">
      <c r="A14" s="2">
        <f t="shared" si="0"/>
        <v>12</v>
      </c>
      <c r="B14" s="86">
        <f>Carátula!F55</f>
        <v>590077.20028058218</v>
      </c>
      <c r="C14" s="85">
        <f>IF(A14="","",PPMT($H$2/360*30.4,A14,$H$1,-$H$3)+Carátula!M55-Carátula!N55)</f>
        <v>944.42920749465202</v>
      </c>
      <c r="D14" s="85">
        <f>IF(A14="","",(PMT($H$2/360*30.4,$H$1,-$H$3)-(($H$2/360*30.4)*(B14))+Carátula!M55-Carátula!N55))</f>
        <v>944.42920749465156</v>
      </c>
      <c r="E14" s="85">
        <f>IF(A14="","",PPMT($H$2/360*30.4,1,$H$1-A14+1,-B14)+Carátula!M55-Carátula!N55)</f>
        <v>944.42920749465225</v>
      </c>
    </row>
    <row r="15" spans="1:11" x14ac:dyDescent="0.25">
      <c r="A15" s="2">
        <f t="shared" si="0"/>
        <v>13</v>
      </c>
      <c r="B15" s="86">
        <f>Carátula!F56</f>
        <v>589132.77107308758</v>
      </c>
      <c r="C15" s="85">
        <f>IF(A15="","",PPMT($H$2/360*30.4,A15,$H$1,-$H$3)+Carátula!M56-Carátula!N56)</f>
        <v>951.72649717122749</v>
      </c>
      <c r="D15" s="85">
        <f>IF(A15="","",(PMT($H$2/360*30.4,$H$1,-$H$3)-(($H$2/360*30.4)*(B15))+Carátula!M56-Carátula!N56))</f>
        <v>951.72649717122658</v>
      </c>
      <c r="E15" s="85">
        <f>IF(A15="","",PPMT($H$2/360*30.4,1,$H$1-A15+1,-B15)+Carátula!M56-Carátula!N56)</f>
        <v>951.72649717122761</v>
      </c>
    </row>
    <row r="16" spans="1:11" x14ac:dyDescent="0.25">
      <c r="A16" s="2">
        <f t="shared" si="0"/>
        <v>14</v>
      </c>
      <c r="B16" s="86">
        <f>Carátula!F57</f>
        <v>588181.04457591637</v>
      </c>
      <c r="C16" s="85">
        <f>IF(A16="","",PPMT($H$2/360*30.4,A16,$H$1,-$H$3)+Carátula!M57-Carátula!N57)</f>
        <v>959.08017057270399</v>
      </c>
      <c r="D16" s="85">
        <f>IF(A16="","",(PMT($H$2/360*30.4,$H$1,-$H$3)-(($H$2/360*30.4)*(B16))+Carátula!M57-Carátula!N57))</f>
        <v>959.08017057270354</v>
      </c>
      <c r="E16" s="85">
        <f>IF(A16="","",PPMT($H$2/360*30.4,1,$H$1-A16+1,-B16)+Carátula!M57-Carátula!N57)</f>
        <v>959.08017057270411</v>
      </c>
    </row>
    <row r="17" spans="1:5" x14ac:dyDescent="0.25">
      <c r="A17" s="2">
        <f t="shared" si="0"/>
        <v>15</v>
      </c>
      <c r="B17" s="86">
        <f>Carátula!F58</f>
        <v>587221.96440534364</v>
      </c>
      <c r="C17" s="85">
        <f>IF(A17="","",PPMT($H$2/360*30.4,A17,$H$1,-$H$3)+Carátula!M58-Carátula!N58)</f>
        <v>966.49066335732891</v>
      </c>
      <c r="D17" s="85">
        <f>IF(A17="","",(PMT($H$2/360*30.4,$H$1,-$H$3)-(($H$2/360*30.4)*(B17))+Carátula!M58-Carátula!N58))</f>
        <v>966.49066335732823</v>
      </c>
      <c r="E17" s="85">
        <f>IF(A17="","",PPMT($H$2/360*30.4,1,$H$1-A17+1,-B17)+Carátula!M58-Carátula!N58)</f>
        <v>966.49066335732914</v>
      </c>
    </row>
    <row r="18" spans="1:5" x14ac:dyDescent="0.25">
      <c r="A18" s="2">
        <f t="shared" si="0"/>
        <v>16</v>
      </c>
      <c r="B18" s="86">
        <f>Carátula!F59</f>
        <v>586255.47374198632</v>
      </c>
      <c r="C18" s="85">
        <f>IF(A18="","",PPMT($H$2/360*30.4,A18,$H$1,-$H$3)+Carátula!M59-Carátula!N59)</f>
        <v>973.95841454953643</v>
      </c>
      <c r="D18" s="85">
        <f>IF(A18="","",(PMT($H$2/360*30.4,$H$1,-$H$3)-(($H$2/360*30.4)*(B18))+Carátula!M59-Carátula!N59))</f>
        <v>973.95841454953552</v>
      </c>
      <c r="E18" s="85">
        <f>IF(A18="","",PPMT($H$2/360*30.4,1,$H$1-A18+1,-B18)+Carátula!M59-Carátula!N59)</f>
        <v>973.95841454953666</v>
      </c>
    </row>
    <row r="19" spans="1:5" x14ac:dyDescent="0.25">
      <c r="A19" s="2">
        <f t="shared" si="0"/>
        <v>17</v>
      </c>
      <c r="B19" s="86">
        <f>Carátula!F60</f>
        <v>585281.51532743673</v>
      </c>
      <c r="C19" s="85">
        <f>IF(A19="","",PPMT($H$2/360*30.4,A19,$H$1,-$H$3)+Carátula!M60-Carátula!N60)</f>
        <v>981.48386656595608</v>
      </c>
      <c r="D19" s="85">
        <f>IF(A19="","",(PMT($H$2/360*30.4,$H$1,-$H$3)-(($H$2/360*30.4)*(B19))+Carátula!M60-Carátula!N60))</f>
        <v>981.4838665659554</v>
      </c>
      <c r="E19" s="85">
        <f>IF(A19="","",PPMT($H$2/360*30.4,1,$H$1-A19+1,-B19)+Carátula!M60-Carátula!N60)</f>
        <v>981.48386656595619</v>
      </c>
    </row>
    <row r="20" spans="1:5" x14ac:dyDescent="0.25">
      <c r="A20" s="2">
        <f t="shared" si="0"/>
        <v>18</v>
      </c>
      <c r="B20" s="86">
        <f>Carátula!F61</f>
        <v>584300.03146087076</v>
      </c>
      <c r="C20" s="85">
        <f>IF(A20="","",PPMT($H$2/360*30.4,A20,$H$1,-$H$3)+Carátula!M61-Carátula!N61)</f>
        <v>989.06746524162224</v>
      </c>
      <c r="D20" s="85">
        <f>IF(A20="","",(PMT($H$2/360*30.4,$H$1,-$H$3)-(($H$2/360*30.4)*(B20))+Carátula!M61-Carátula!N61))</f>
        <v>989.0674652416219</v>
      </c>
      <c r="E20" s="85">
        <f>IF(A20="","",PPMT($H$2/360*30.4,1,$H$1-A20+1,-B20)+Carátula!M61-Carátula!N61)</f>
        <v>989.06746524162224</v>
      </c>
    </row>
    <row r="21" spans="1:5" x14ac:dyDescent="0.25">
      <c r="A21" s="2">
        <f t="shared" si="0"/>
        <v>19</v>
      </c>
      <c r="B21" s="86">
        <f>Carátula!F62</f>
        <v>583310.96399562911</v>
      </c>
      <c r="C21" s="85">
        <f>IF(A21="","",PPMT($H$2/360*30.4,A21,$H$1,-$H$3)+Carátula!M62-Carátula!N62)</f>
        <v>996.70965985638929</v>
      </c>
      <c r="D21" s="85">
        <f>IF(A21="","",(PMT($H$2/360*30.4,$H$1,-$H$3)-(($H$2/360*30.4)*(B21))+Carátula!M62-Carátula!N62))</f>
        <v>996.70965985638941</v>
      </c>
      <c r="E21" s="85">
        <f>IF(A21="","",PPMT($H$2/360*30.4,1,$H$1-A21+1,-B21)+Carátula!M62-Carátula!N62)</f>
        <v>996.70965985638929</v>
      </c>
    </row>
    <row r="22" spans="1:5" x14ac:dyDescent="0.25">
      <c r="A22" s="2">
        <f t="shared" si="0"/>
        <v>20</v>
      </c>
      <c r="B22" s="86">
        <f>Carátula!F63</f>
        <v>582314.25433577271</v>
      </c>
      <c r="C22" s="85">
        <f>IF(A22="","",PPMT($H$2/360*30.4,A22,$H$1,-$H$3)+Carátula!M63-Carátula!N63)</f>
        <v>1004.4109031615463</v>
      </c>
      <c r="D22" s="85">
        <f>IF(A22="","",(PMT($H$2/360*30.4,$H$1,-$H$3)-(($H$2/360*30.4)*(B22))+Carátula!M63-Carátula!N63))</f>
        <v>1004.4109031615462</v>
      </c>
      <c r="E22" s="85">
        <f>IF(A22="","",PPMT($H$2/360*30.4,1,$H$1-A22+1,-B22)+Carátula!M63-Carátula!N63)</f>
        <v>1004.4109031615463</v>
      </c>
    </row>
    <row r="23" spans="1:5" x14ac:dyDescent="0.25">
      <c r="A23" s="2">
        <f t="shared" si="0"/>
        <v>21</v>
      </c>
      <c r="B23" s="86">
        <f>Carátula!F64</f>
        <v>581309.8434326112</v>
      </c>
      <c r="C23" s="85">
        <f>IF(A23="","",PPMT($H$2/360*30.4,A23,$H$1,-$H$3)+Carátula!M64-Carátula!N64)</f>
        <v>1012.1716514066411</v>
      </c>
      <c r="D23" s="85">
        <f>IF(A23="","",(PMT($H$2/360*30.4,$H$1,-$H$3)-(($H$2/360*30.4)*(B23))+Carátula!M64-Carátula!N64))</f>
        <v>1012.1716514066411</v>
      </c>
      <c r="E23" s="85">
        <f>IF(A23="","",PPMT($H$2/360*30.4,1,$H$1-A23+1,-B23)+Carátula!M64-Carátula!N64)</f>
        <v>1012.1716514066411</v>
      </c>
    </row>
    <row r="24" spans="1:5" x14ac:dyDescent="0.25">
      <c r="A24" s="2">
        <f t="shared" si="0"/>
        <v>22</v>
      </c>
      <c r="B24" s="86">
        <f>Carátula!F65</f>
        <v>580297.67178120452</v>
      </c>
      <c r="C24" s="85">
        <f>IF(A24="","",PPMT($H$2/360*30.4,A24,$H$1,-$H$3)+Carátula!M65-Carátula!N65)</f>
        <v>1019.9923643665097</v>
      </c>
      <c r="D24" s="85">
        <f>IF(A24="","",(PMT($H$2/360*30.4,$H$1,-$H$3)-(($H$2/360*30.4)*(B24))+Carátula!M65-Carátula!N65))</f>
        <v>1019.9923643665097</v>
      </c>
      <c r="E24" s="85">
        <f>IF(A24="","",PPMT($H$2/360*30.4,1,$H$1-A24+1,-B24)+Carátula!M65-Carátula!N65)</f>
        <v>1019.9923643665097</v>
      </c>
    </row>
    <row r="25" spans="1:5" x14ac:dyDescent="0.25">
      <c r="A25" s="2">
        <f t="shared" si="0"/>
        <v>23</v>
      </c>
      <c r="B25" s="86">
        <f>Carátula!F66</f>
        <v>579277.67941683799</v>
      </c>
      <c r="C25" s="85">
        <f>IF(A25="","",PPMT($H$2/360*30.4,A25,$H$1,-$H$3)+Carátula!M66-Carátula!N66)</f>
        <v>1027.8735053685152</v>
      </c>
      <c r="D25" s="85">
        <f>IF(A25="","",(PMT($H$2/360*30.4,$H$1,-$H$3)-(($H$2/360*30.4)*(B25))+Carátula!M66-Carátula!N66))</f>
        <v>1027.873505368515</v>
      </c>
      <c r="E25" s="85">
        <f>IF(A25="","",PPMT($H$2/360*30.4,1,$H$1-A25+1,-B25)+Carátula!M66-Carátula!N66)</f>
        <v>1027.8735053685152</v>
      </c>
    </row>
    <row r="26" spans="1:5" x14ac:dyDescent="0.25">
      <c r="A26" s="2">
        <f t="shared" si="0"/>
        <v>24</v>
      </c>
      <c r="B26" s="86">
        <f>Carátula!F67</f>
        <v>578249.80591146951</v>
      </c>
      <c r="C26" s="85">
        <f>IF(A26="","",PPMT($H$2/360*30.4,A26,$H$1,-$H$3)+Carátula!M67-Carátula!N67)</f>
        <v>1035.8155413199959</v>
      </c>
      <c r="D26" s="85">
        <f>IF(A26="","",(PMT($H$2/360*30.4,$H$1,-$H$3)-(($H$2/360*30.4)*(B26))+Carátula!M67-Carátula!N67))</f>
        <v>1035.8155413199956</v>
      </c>
      <c r="E26" s="85">
        <f>IF(A26="","",PPMT($H$2/360*30.4,1,$H$1-A26+1,-B26)+Carátula!M67-Carátula!N67)</f>
        <v>1035.8155413199959</v>
      </c>
    </row>
    <row r="27" spans="1:5" x14ac:dyDescent="0.25">
      <c r="A27" s="2">
        <f t="shared" si="0"/>
        <v>25</v>
      </c>
      <c r="B27" s="86">
        <f>Carátula!F68</f>
        <v>577213.99037014949</v>
      </c>
      <c r="C27" s="85">
        <f>IF(A27="","",PPMT($H$2/360*30.4,A27,$H$1,-$H$3)+Carátula!M68-Carátula!N68)</f>
        <v>1043.8189427359282</v>
      </c>
      <c r="D27" s="85">
        <f>IF(A27="","",(PMT($H$2/360*30.4,$H$1,-$H$3)-(($H$2/360*30.4)*(B27))+Carátula!M68-Carátula!N68))</f>
        <v>1043.8189427359284</v>
      </c>
      <c r="E27" s="85">
        <f>IF(A27="","",PPMT($H$2/360*30.4,1,$H$1-A27+1,-B27)+Carátula!M68-Carátula!N68)</f>
        <v>1043.8189427359282</v>
      </c>
    </row>
    <row r="28" spans="1:5" x14ac:dyDescent="0.25">
      <c r="A28" s="2">
        <f t="shared" si="0"/>
        <v>26</v>
      </c>
      <c r="B28" s="86">
        <f>Carátula!F69</f>
        <v>576170.17142741359</v>
      </c>
      <c r="C28" s="85">
        <f>IF(A28="","",PPMT($H$2/360*30.4,A28,$H$1,-$H$3)+Carátula!M69-Carátula!N69)</f>
        <v>1051.8841837668012</v>
      </c>
      <c r="D28" s="85">
        <f>IF(A28="","",(PMT($H$2/360*30.4,$H$1,-$H$3)-(($H$2/360*30.4)*(B28))+Carátula!M69-Carátula!N69))</f>
        <v>1051.8841837668015</v>
      </c>
      <c r="E28" s="85">
        <f>IF(A28="","",PPMT($H$2/360*30.4,1,$H$1-A28+1,-B28)+Carátula!M69-Carátula!N69)</f>
        <v>1051.8841837668012</v>
      </c>
    </row>
    <row r="29" spans="1:5" x14ac:dyDescent="0.25">
      <c r="A29" s="2">
        <f t="shared" si="0"/>
        <v>27</v>
      </c>
      <c r="B29" s="86">
        <f>Carátula!F70</f>
        <v>575118.2872436468</v>
      </c>
      <c r="C29" s="85">
        <f>IF(A29="","",PPMT($H$2/360*30.4,A29,$H$1,-$H$3)+Carátula!M70-Carátula!N70)</f>
        <v>1060.0117422267062</v>
      </c>
      <c r="D29" s="85">
        <f>IF(A29="","",(PMT($H$2/360*30.4,$H$1,-$H$3)-(($H$2/360*30.4)*(B29))+Carátula!M70-Carátula!N70))</f>
        <v>1060.0117422267058</v>
      </c>
      <c r="E29" s="85">
        <f>IF(A29="","",PPMT($H$2/360*30.4,1,$H$1-A29+1,-B29)+Carátula!M70-Carátula!N70)</f>
        <v>1060.0117422267062</v>
      </c>
    </row>
    <row r="30" spans="1:5" x14ac:dyDescent="0.25">
      <c r="A30" s="2">
        <f t="shared" si="0"/>
        <v>28</v>
      </c>
      <c r="B30" s="86">
        <f>Carátula!F71</f>
        <v>574058.27550142014</v>
      </c>
      <c r="C30" s="85">
        <f>IF(A30="","",PPMT($H$2/360*30.4,A30,$H$1,-$H$3)+Carátula!M71-Carátula!N71)</f>
        <v>1068.2020996216447</v>
      </c>
      <c r="D30" s="85">
        <f>IF(A30="","",(PMT($H$2/360*30.4,$H$1,-$H$3)-(($H$2/360*30.4)*(B30))+Carátula!M71-Carátula!N71))</f>
        <v>1068.2020996216443</v>
      </c>
      <c r="E30" s="85">
        <f>IF(A30="","",PPMT($H$2/360*30.4,1,$H$1-A30+1,-B30)+Carátula!M71-Carátula!N71)</f>
        <v>1068.2020996216447</v>
      </c>
    </row>
    <row r="31" spans="1:5" x14ac:dyDescent="0.25">
      <c r="A31" s="2">
        <f t="shared" si="0"/>
        <v>29</v>
      </c>
      <c r="B31" s="86">
        <f>Carátula!F72</f>
        <v>572990.07340179849</v>
      </c>
      <c r="C31" s="85">
        <f>IF(A31="","",PPMT($H$2/360*30.4,A31,$H$1,-$H$3)+Carátula!M72-Carátula!N72)</f>
        <v>1076.4557411780543</v>
      </c>
      <c r="D31" s="85">
        <f>IF(A31="","",(PMT($H$2/360*30.4,$H$1,-$H$3)-(($H$2/360*30.4)*(B31))+Carátula!M72-Carátula!N72))</f>
        <v>1076.4557411780543</v>
      </c>
      <c r="E31" s="85">
        <f>IF(A31="","",PPMT($H$2/360*30.4,1,$H$1-A31+1,-B31)+Carátula!M72-Carátula!N72)</f>
        <v>1076.4557411780545</v>
      </c>
    </row>
    <row r="32" spans="1:5" x14ac:dyDescent="0.25">
      <c r="A32" s="2">
        <f t="shared" si="0"/>
        <v>30</v>
      </c>
      <c r="B32" s="86">
        <f>Carátula!F73</f>
        <v>571913.61766062048</v>
      </c>
      <c r="C32" s="85">
        <f>IF(A32="","",PPMT($H$2/360*30.4,A32,$H$1,-$H$3)+Carátula!M73-Carátula!N73)</f>
        <v>1084.7731558715566</v>
      </c>
      <c r="D32" s="85">
        <f>IF(A32="","",(PMT($H$2/360*30.4,$H$1,-$H$3)-(($H$2/360*30.4)*(B32))+Carátula!M73-Carátula!N73))</f>
        <v>1084.7731558715559</v>
      </c>
      <c r="E32" s="85">
        <f>IF(A32="","",PPMT($H$2/360*30.4,1,$H$1-A32+1,-B32)+Carátula!M73-Carátula!N73)</f>
        <v>1084.773155871557</v>
      </c>
    </row>
    <row r="33" spans="1:5" x14ac:dyDescent="0.25">
      <c r="A33" s="2">
        <f t="shared" si="0"/>
        <v>31</v>
      </c>
      <c r="B33" s="86">
        <f>Carátula!F74</f>
        <v>570828.84450474894</v>
      </c>
      <c r="C33" s="85">
        <f>IF(A33="","",PPMT($H$2/360*30.4,A33,$H$1,-$H$3)+Carátula!M74-Carátula!N74)</f>
        <v>1093.1548364559244</v>
      </c>
      <c r="D33" s="85">
        <f>IF(A33="","",(PMT($H$2/360*30.4,$H$1,-$H$3)-(($H$2/360*30.4)*(B33))+Carátula!M74-Carátula!N74))</f>
        <v>1093.154836455923</v>
      </c>
      <c r="E33" s="85">
        <f>IF(A33="","",PPMT($H$2/360*30.4,1,$H$1-A33+1,-B33)+Carátula!M74-Carátula!N74)</f>
        <v>1093.1548364559246</v>
      </c>
    </row>
    <row r="34" spans="1:5" x14ac:dyDescent="0.25">
      <c r="A34" s="2">
        <f t="shared" si="0"/>
        <v>32</v>
      </c>
      <c r="B34" s="86">
        <f>Carátula!F75</f>
        <v>569735.68966829299</v>
      </c>
      <c r="C34" s="85">
        <f>IF(A34="","",PPMT($H$2/360*30.4,A34,$H$1,-$H$3)+Carátula!M75-Carátula!N75)</f>
        <v>1101.6012794922738</v>
      </c>
      <c r="D34" s="85">
        <f>IF(A34="","",(PMT($H$2/360*30.4,$H$1,-$H$3)-(($H$2/360*30.4)*(B34))+Carátula!M75-Carátula!N75))</f>
        <v>1101.6012794922726</v>
      </c>
      <c r="E34" s="85">
        <f>IF(A34="","",PPMT($H$2/360*30.4,1,$H$1-A34+1,-B34)+Carátula!M75-Carátula!N75)</f>
        <v>1101.601279492274</v>
      </c>
    </row>
    <row r="35" spans="1:5" x14ac:dyDescent="0.25">
      <c r="A35" s="2">
        <f t="shared" si="0"/>
        <v>33</v>
      </c>
      <c r="B35" s="86">
        <f>Carátula!F76</f>
        <v>568634.08838880074</v>
      </c>
      <c r="C35" s="85">
        <f>IF(A35="","",PPMT($H$2/360*30.4,A35,$H$1,-$H$3)+Carátula!M76-Carátula!N76)</f>
        <v>1110.1129853784839</v>
      </c>
      <c r="D35" s="85">
        <f>IF(A35="","",(PMT($H$2/360*30.4,$H$1,-$H$3)-(($H$2/360*30.4)*(B35))+Carátula!M76-Carátula!N76))</f>
        <v>1110.1129853784832</v>
      </c>
      <c r="E35" s="85">
        <f>IF(A35="","",PPMT($H$2/360*30.4,1,$H$1-A35+1,-B35)+Carátula!M76-Carátula!N76)</f>
        <v>1110.1129853784842</v>
      </c>
    </row>
    <row r="36" spans="1:5" x14ac:dyDescent="0.25">
      <c r="A36" s="2">
        <f t="shared" si="0"/>
        <v>34</v>
      </c>
      <c r="B36" s="86">
        <f>Carátula!F77</f>
        <v>567523.97540342226</v>
      </c>
      <c r="C36" s="85">
        <f>IF(A36="","",PPMT($H$2/360*30.4,A36,$H$1,-$H$3)+Carátula!M77-Carátula!N77)</f>
        <v>1118.6904583788419</v>
      </c>
      <c r="D36" s="85">
        <f>IF(A36="","",(PMT($H$2/360*30.4,$H$1,-$H$3)-(($H$2/360*30.4)*(B36))+Carátula!M77-Carátula!N77))</f>
        <v>1118.690458378841</v>
      </c>
      <c r="E36" s="85">
        <f>IF(A36="","",PPMT($H$2/360*30.4,1,$H$1-A36+1,-B36)+Carátula!M77-Carátula!N77)</f>
        <v>1118.6904583788419</v>
      </c>
    </row>
    <row r="37" spans="1:5" x14ac:dyDescent="0.25">
      <c r="A37" s="2">
        <f t="shared" si="0"/>
        <v>35</v>
      </c>
      <c r="B37" s="86">
        <f>Carátula!F78</f>
        <v>566405.28494504339</v>
      </c>
      <c r="C37" s="85">
        <f>IF(A37="","",PPMT($H$2/360*30.4,A37,$H$1,-$H$3)+Carátula!M78-Carátula!N78)</f>
        <v>1127.3342066539155</v>
      </c>
      <c r="D37" s="85">
        <f>IF(A37="","",(PMT($H$2/360*30.4,$H$1,-$H$3)-(($H$2/360*30.4)*(B37))+Carátula!M78-Carátula!N78))</f>
        <v>1127.3342066539153</v>
      </c>
      <c r="E37" s="85">
        <f>IF(A37="","",PPMT($H$2/360*30.4,1,$H$1-A37+1,-B37)+Carátula!M78-Carátula!N78)</f>
        <v>1127.3342066539158</v>
      </c>
    </row>
    <row r="38" spans="1:5" x14ac:dyDescent="0.25">
      <c r="A38" s="2">
        <f t="shared" si="0"/>
        <v>36</v>
      </c>
      <c r="B38" s="86">
        <f>Carátula!F79</f>
        <v>565277.95073838951</v>
      </c>
      <c r="C38" s="85">
        <f>IF(A38="","",PPMT($H$2/360*30.4,A38,$H$1,-$H$3)+Carátula!M79-Carátula!N79)</f>
        <v>1136.0447422906618</v>
      </c>
      <c r="D38" s="85">
        <f>IF(A38="","",(PMT($H$2/360*30.4,$H$1,-$H$3)-(($H$2/360*30.4)*(B38))+Carátula!M79-Carátula!N79))</f>
        <v>1136.0447422906609</v>
      </c>
      <c r="E38" s="85">
        <f>IF(A38="","",PPMT($H$2/360*30.4,1,$H$1-A38+1,-B38)+Carátula!M79-Carátula!N79)</f>
        <v>1136.044742290662</v>
      </c>
    </row>
    <row r="39" spans="1:5" x14ac:dyDescent="0.25">
      <c r="A39" s="2">
        <f t="shared" si="0"/>
        <v>37</v>
      </c>
      <c r="B39" s="86">
        <f>Carátula!F80</f>
        <v>564141.90599609888</v>
      </c>
      <c r="C39" s="85">
        <f>IF(A39="","",PPMT($H$2/360*30.4,A39,$H$1,-$H$3)+Carátula!M80-Carátula!N80)</f>
        <v>1144.8225813327606</v>
      </c>
      <c r="D39" s="85">
        <f>IF(A39="","",(PMT($H$2/360*30.4,$H$1,-$H$3)-(($H$2/360*30.4)*(B39))+Carátula!M80-Carátula!N80))</f>
        <v>1144.8225813327599</v>
      </c>
      <c r="E39" s="85">
        <f>IF(A39="","",PPMT($H$2/360*30.4,1,$H$1-A39+1,-B39)+Carátula!M80-Carátula!N80)</f>
        <v>1144.8225813327608</v>
      </c>
    </row>
    <row r="40" spans="1:5" x14ac:dyDescent="0.25">
      <c r="A40" s="2">
        <f t="shared" si="0"/>
        <v>38</v>
      </c>
      <c r="B40" s="86">
        <f>Carátula!F81</f>
        <v>562997.08341476612</v>
      </c>
      <c r="C40" s="85">
        <f>IF(A40="","",PPMT($H$2/360*30.4,A40,$H$1,-$H$3)+Carátula!M81-Carátula!N81)</f>
        <v>1153.6682438111918</v>
      </c>
      <c r="D40" s="85">
        <f>IF(A40="","",(PMT($H$2/360*30.4,$H$1,-$H$3)-(($H$2/360*30.4)*(B40))+Carátula!M81-Carátula!N81))</f>
        <v>1153.6682438111902</v>
      </c>
      <c r="E40" s="85">
        <f>IF(A40="","",PPMT($H$2/360*30.4,1,$H$1-A40+1,-B40)+Carátula!M81-Carátula!N81)</f>
        <v>1153.6682438111923</v>
      </c>
    </row>
    <row r="41" spans="1:5" x14ac:dyDescent="0.25">
      <c r="A41" s="2">
        <f t="shared" si="0"/>
        <v>39</v>
      </c>
      <c r="B41" s="86">
        <f>Carátula!F82</f>
        <v>561843.41517095489</v>
      </c>
      <c r="C41" s="85">
        <f>IF(A41="","",PPMT($H$2/360*30.4,A41,$H$1,-$H$3)+Carátula!M82-Carátula!N82)</f>
        <v>1162.5822537750396</v>
      </c>
      <c r="D41" s="85">
        <f>IF(A41="","",(PMT($H$2/360*30.4,$H$1,-$H$3)-(($H$2/360*30.4)*(B41))+Carátula!M82-Carátula!N82))</f>
        <v>1162.5822537750391</v>
      </c>
      <c r="E41" s="85">
        <f>IF(A41="","",PPMT($H$2/360*30.4,1,$H$1-A41+1,-B41)+Carátula!M82-Carátula!N82)</f>
        <v>1162.58225377504</v>
      </c>
    </row>
    <row r="42" spans="1:5" x14ac:dyDescent="0.25">
      <c r="A42" s="2">
        <f t="shared" si="0"/>
        <v>40</v>
      </c>
      <c r="B42" s="86">
        <f>Carátula!F83</f>
        <v>560680.8329171798</v>
      </c>
      <c r="C42" s="85">
        <f>IF(A42="","",PPMT($H$2/360*30.4,A42,$H$1,-$H$3)+Carátula!M83-Carátula!N83)</f>
        <v>1171.5651393225417</v>
      </c>
      <c r="D42" s="85">
        <f>IF(A42="","",(PMT($H$2/360*30.4,$H$1,-$H$3)-(($H$2/360*30.4)*(B42))+Carátula!M83-Carátula!N83))</f>
        <v>1171.5651393225407</v>
      </c>
      <c r="E42" s="85">
        <f>IF(A42="","",PPMT($H$2/360*30.4,1,$H$1-A42+1,-B42)+Carátula!M83-Carátula!N83)</f>
        <v>1171.5651393225419</v>
      </c>
    </row>
    <row r="43" spans="1:5" x14ac:dyDescent="0.25">
      <c r="A43" s="2">
        <f t="shared" si="0"/>
        <v>41</v>
      </c>
      <c r="B43" s="86">
        <f>Carátula!F84</f>
        <v>559509.26777785725</v>
      </c>
      <c r="C43" s="85">
        <f>IF(A43="","",PPMT($H$2/360*30.4,A43,$H$1,-$H$3)+Carátula!M84-Carátula!N84)</f>
        <v>1180.6174326323733</v>
      </c>
      <c r="D43" s="85">
        <f>IF(A43="","",(PMT($H$2/360*30.4,$H$1,-$H$3)-(($H$2/360*30.4)*(B43))+Carátula!M84-Carátula!N84))</f>
        <v>1180.6174326323735</v>
      </c>
      <c r="E43" s="85">
        <f>IF(A43="","",PPMT($H$2/360*30.4,1,$H$1-A43+1,-B43)+Carátula!M84-Carátula!N84)</f>
        <v>1180.6174326323735</v>
      </c>
    </row>
    <row r="44" spans="1:5" x14ac:dyDescent="0.25">
      <c r="A44" s="2">
        <f t="shared" si="0"/>
        <v>42</v>
      </c>
      <c r="B44" s="86">
        <f>Carátula!F85</f>
        <v>558328.65034522489</v>
      </c>
      <c r="C44" s="85">
        <f>IF(A44="","",PPMT($H$2/360*30.4,A44,$H$1,-$H$3)+Carátula!M85-Carátula!N85)</f>
        <v>1189.7396699951796</v>
      </c>
      <c r="D44" s="85">
        <f>IF(A44="","",(PMT($H$2/360*30.4,$H$1,-$H$3)-(($H$2/360*30.4)*(B44))+Carátula!M85-Carátula!N85))</f>
        <v>1189.7396699951796</v>
      </c>
      <c r="E44" s="85">
        <f>IF(A44="","",PPMT($H$2/360*30.4,1,$H$1-A44+1,-B44)+Carátula!M85-Carátula!N85)</f>
        <v>1189.7396699951796</v>
      </c>
    </row>
    <row r="45" spans="1:5" x14ac:dyDescent="0.25">
      <c r="A45" s="2">
        <f t="shared" si="0"/>
        <v>43</v>
      </c>
      <c r="B45" s="86">
        <f>Carátula!F86</f>
        <v>557138.91067522974</v>
      </c>
      <c r="C45" s="85">
        <f>IF(A45="","",PPMT($H$2/360*30.4,A45,$H$1,-$H$3)+Carátula!M86-Carátula!N86)</f>
        <v>1198.9323918453424</v>
      </c>
      <c r="D45" s="85">
        <f>IF(A45="","",(PMT($H$2/360*30.4,$H$1,-$H$3)-(($H$2/360*30.4)*(B45))+Carátula!M86-Carátula!N86))</f>
        <v>1198.932391845342</v>
      </c>
      <c r="E45" s="85">
        <f>IF(A45="","",PPMT($H$2/360*30.4,1,$H$1-A45+1,-B45)+Carátula!M86-Carátula!N86)</f>
        <v>1198.9323918453429</v>
      </c>
    </row>
    <row r="46" spans="1:5" x14ac:dyDescent="0.25">
      <c r="A46" s="2">
        <f t="shared" si="0"/>
        <v>44</v>
      </c>
      <c r="B46" s="86">
        <f>Carátula!F87</f>
        <v>555939.97828338435</v>
      </c>
      <c r="C46" s="85">
        <f>IF(A46="","",PPMT($H$2/360*30.4,A46,$H$1,-$H$3)+Carátula!M87-Carátula!N87)</f>
        <v>1208.1961427930009</v>
      </c>
      <c r="D46" s="85">
        <f>IF(A46="","",(PMT($H$2/360*30.4,$H$1,-$H$3)-(($H$2/360*30.4)*(B46))+Carátula!M87-Carátula!N87))</f>
        <v>1208.196142793</v>
      </c>
      <c r="E46" s="85">
        <f>IF(A46="","",PPMT($H$2/360*30.4,1,$H$1-A46+1,-B46)+Carátula!M87-Carátula!N87)</f>
        <v>1208.1961427930012</v>
      </c>
    </row>
    <row r="47" spans="1:5" x14ac:dyDescent="0.25">
      <c r="A47" s="2">
        <f t="shared" si="0"/>
        <v>45</v>
      </c>
      <c r="B47" s="86">
        <f>Carátula!F88</f>
        <v>554731.7821405913</v>
      </c>
      <c r="C47" s="85">
        <f>IF(A47="","",PPMT($H$2/360*30.4,A47,$H$1,-$H$3)+Carátula!M88-Carátula!N88)</f>
        <v>1217.5314716563148</v>
      </c>
      <c r="D47" s="85">
        <f>IF(A47="","",(PMT($H$2/360*30.4,$H$1,-$H$3)-(($H$2/360*30.4)*(B47))+Carátula!M88-Carátula!N88))</f>
        <v>1217.5314716563144</v>
      </c>
      <c r="E47" s="85">
        <f>IF(A47="","",PPMT($H$2/360*30.4,1,$H$1-A47+1,-B47)+Carátula!M88-Carátula!N88)</f>
        <v>1217.5314716563148</v>
      </c>
    </row>
    <row r="48" spans="1:5" x14ac:dyDescent="0.25">
      <c r="A48" s="2">
        <f t="shared" si="0"/>
        <v>46</v>
      </c>
      <c r="B48" s="86">
        <f>Carátula!F89</f>
        <v>553514.25066893501</v>
      </c>
      <c r="C48" s="85">
        <f>IF(A48="","",PPMT($H$2/360*30.4,A48,$H$1,-$H$3)+Carátula!M89-Carátula!N89)</f>
        <v>1226.9389314939792</v>
      </c>
      <c r="D48" s="85">
        <f>IF(A48="","",(PMT($H$2/360*30.4,$H$1,-$H$3)-(($H$2/360*30.4)*(B48))+Carátula!M89-Carátula!N89))</f>
        <v>1226.938931493979</v>
      </c>
      <c r="E48" s="85">
        <f>IF(A48="","",PPMT($H$2/360*30.4,1,$H$1-A48+1,-B48)+Carátula!M89-Carátula!N89)</f>
        <v>1226.9389314939792</v>
      </c>
    </row>
    <row r="49" spans="1:5" x14ac:dyDescent="0.25">
      <c r="A49" s="2">
        <f t="shared" si="0"/>
        <v>47</v>
      </c>
      <c r="B49" s="86">
        <f>Carátula!F90</f>
        <v>552287.31173744099</v>
      </c>
      <c r="C49" s="85">
        <f>IF(A49="","",PPMT($H$2/360*30.4,A49,$H$1,-$H$3)+Carátula!M90-Carátula!N90)</f>
        <v>1236.4190796379894</v>
      </c>
      <c r="D49" s="85">
        <f>IF(A49="","",(PMT($H$2/360*30.4,$H$1,-$H$3)-(($H$2/360*30.4)*(B49))+Carátula!M90-Carátula!N90))</f>
        <v>1236.4190796379899</v>
      </c>
      <c r="E49" s="85">
        <f>IF(A49="","",PPMT($H$2/360*30.4,1,$H$1-A49+1,-B49)+Carátula!M90-Carátula!N90)</f>
        <v>1236.4190796379894</v>
      </c>
    </row>
    <row r="50" spans="1:5" x14ac:dyDescent="0.25">
      <c r="A50" s="2">
        <f t="shared" si="0"/>
        <v>48</v>
      </c>
      <c r="B50" s="86">
        <f>Carátula!F91</f>
        <v>551050.89265780302</v>
      </c>
      <c r="C50" s="85">
        <f>IF(A50="","",PPMT($H$2/360*30.4,A50,$H$1,-$H$3)+Carátula!M91-Carátula!N91)</f>
        <v>1245.972477726659</v>
      </c>
      <c r="D50" s="85">
        <f>IF(A50="","",(PMT($H$2/360*30.4,$H$1,-$H$3)-(($H$2/360*30.4)*(B50))+Carátula!M91-Carátula!N91))</f>
        <v>1245.9724777266592</v>
      </c>
      <c r="E50" s="85">
        <f>IF(A50="","",PPMT($H$2/360*30.4,1,$H$1-A50+1,-B50)+Carátula!M91-Carátula!N91)</f>
        <v>1245.972477726659</v>
      </c>
    </row>
    <row r="51" spans="1:5" x14ac:dyDescent="0.25">
      <c r="A51" s="2">
        <f t="shared" si="0"/>
        <v>49</v>
      </c>
      <c r="B51" s="86">
        <f>Carátula!F92</f>
        <v>549804.92018007638</v>
      </c>
      <c r="C51" s="85">
        <f>IF(A51="","",PPMT($H$2/360*30.4,A51,$H$1,-$H$3)+Carátula!M92-Carátula!N92)</f>
        <v>1255.5996917378936</v>
      </c>
      <c r="D51" s="85">
        <f>IF(A51="","",(PMT($H$2/360*30.4,$H$1,-$H$3)-(($H$2/360*30.4)*(B51))+Carátula!M92-Carátula!N92))</f>
        <v>1255.5996917378934</v>
      </c>
      <c r="E51" s="85">
        <f>IF(A51="","",PPMT($H$2/360*30.4,1,$H$1-A51+1,-B51)+Carátula!M92-Carátula!N92)</f>
        <v>1255.5996917378936</v>
      </c>
    </row>
    <row r="52" spans="1:5" x14ac:dyDescent="0.25">
      <c r="A52" s="2">
        <f t="shared" si="0"/>
        <v>50</v>
      </c>
      <c r="B52" s="86">
        <f>Carátula!F93</f>
        <v>548549.32048833848</v>
      </c>
      <c r="C52" s="85">
        <f>IF(A52="","",PPMT($H$2/360*30.4,A52,$H$1,-$H$3)+Carátula!M93-Carátula!N93)</f>
        <v>1265.3012920227216</v>
      </c>
      <c r="D52" s="85">
        <f>IF(A52="","",(PMT($H$2/360*30.4,$H$1,-$H$3)-(($H$2/360*30.4)*(B52))+Carátula!M93-Carátula!N93))</f>
        <v>1265.301292022722</v>
      </c>
      <c r="E52" s="85">
        <f>IF(A52="","",PPMT($H$2/360*30.4,1,$H$1-A52+1,-B52)+Carátula!M93-Carátula!N93)</f>
        <v>1265.3012920227218</v>
      </c>
    </row>
    <row r="53" spans="1:5" x14ac:dyDescent="0.25">
      <c r="A53" s="2">
        <f t="shared" si="0"/>
        <v>51</v>
      </c>
      <c r="B53" s="86">
        <f>Carátula!F94</f>
        <v>547284.01919631578</v>
      </c>
      <c r="C53" s="85">
        <f>IF(A53="","",PPMT($H$2/360*30.4,A53,$H$1,-$H$3)+Carátula!M94-Carátula!N94)</f>
        <v>1275.077853339084</v>
      </c>
      <c r="D53" s="85">
        <f>IF(A53="","",(PMT($H$2/360*30.4,$H$1,-$H$3)-(($H$2/360*30.4)*(B53))+Carátula!M94-Carátula!N94))</f>
        <v>1275.077853339084</v>
      </c>
      <c r="E53" s="85">
        <f>IF(A53="","",PPMT($H$2/360*30.4,1,$H$1-A53+1,-B53)+Carátula!M94-Carátula!N94)</f>
        <v>1275.077853339084</v>
      </c>
    </row>
    <row r="54" spans="1:5" x14ac:dyDescent="0.25">
      <c r="A54" s="2">
        <f t="shared" si="0"/>
        <v>52</v>
      </c>
      <c r="B54" s="86">
        <f>Carátula!F95</f>
        <v>546008.94134297664</v>
      </c>
      <c r="C54" s="85">
        <f>IF(A54="","",PPMT($H$2/360*30.4,A54,$H$1,-$H$3)+Carátula!M95-Carátula!N95)</f>
        <v>1284.9299548858839</v>
      </c>
      <c r="D54" s="85">
        <f>IF(A54="","",(PMT($H$2/360*30.4,$H$1,-$H$3)-(($H$2/360*30.4)*(B54))+Carátula!M95-Carátula!N95))</f>
        <v>1284.9299548858844</v>
      </c>
      <c r="E54" s="85">
        <f>IF(A54="","",PPMT($H$2/360*30.4,1,$H$1-A54+1,-B54)+Carátula!M95-Carátula!N95)</f>
        <v>1284.9299548858842</v>
      </c>
    </row>
    <row r="55" spans="1:5" x14ac:dyDescent="0.25">
      <c r="A55" s="2">
        <f t="shared" si="0"/>
        <v>53</v>
      </c>
      <c r="B55" s="86">
        <f>Carátula!F96</f>
        <v>544724.01138809079</v>
      </c>
      <c r="C55" s="85">
        <f>IF(A55="","",PPMT($H$2/360*30.4,A55,$H$1,-$H$3)+Carátula!M96-Carátula!N96)</f>
        <v>1294.8581803373022</v>
      </c>
      <c r="D55" s="85">
        <f>IF(A55="","",(PMT($H$2/360*30.4,$H$1,-$H$3)-(($H$2/360*30.4)*(B55))+Carátula!M96-Carátula!N96))</f>
        <v>1294.8581803373017</v>
      </c>
      <c r="E55" s="85">
        <f>IF(A55="","",PPMT($H$2/360*30.4,1,$H$1-A55+1,-B55)+Carátula!M96-Carátula!N96)</f>
        <v>1294.8581803373022</v>
      </c>
    </row>
    <row r="56" spans="1:5" x14ac:dyDescent="0.25">
      <c r="A56" s="2">
        <f t="shared" si="0"/>
        <v>54</v>
      </c>
      <c r="B56" s="86">
        <f>Carátula!F97</f>
        <v>543429.15320775344</v>
      </c>
      <c r="C56" s="85">
        <f>IF(A56="","",PPMT($H$2/360*30.4,A56,$H$1,-$H$3)+Carátula!M97-Carátula!N97)</f>
        <v>1304.8631178773749</v>
      </c>
      <c r="D56" s="85">
        <f>IF(A56="","",(PMT($H$2/360*30.4,$H$1,-$H$3)-(($H$2/360*30.4)*(B56))+Carátula!M97-Carátula!N97))</f>
        <v>1304.8631178773758</v>
      </c>
      <c r="E56" s="85">
        <f>IF(A56="","",PPMT($H$2/360*30.4,1,$H$1-A56+1,-B56)+Carátula!M97-Carátula!N97)</f>
        <v>1304.8631178773749</v>
      </c>
    </row>
    <row r="57" spans="1:5" x14ac:dyDescent="0.25">
      <c r="A57" s="2">
        <f t="shared" si="0"/>
        <v>55</v>
      </c>
      <c r="B57" s="86">
        <f>Carátula!F98</f>
        <v>542124.29008987604</v>
      </c>
      <c r="C57" s="85">
        <f>IF(A57="","",PPMT($H$2/360*30.4,A57,$H$1,-$H$3)+Carátula!M98-Carátula!N98)</f>
        <v>1314.9453602348408</v>
      </c>
      <c r="D57" s="85">
        <f>IF(A57="","",(PMT($H$2/360*30.4,$H$1,-$H$3)-(($H$2/360*30.4)*(B57))+Carátula!M98-Carátula!N98))</f>
        <v>1314.9453602348412</v>
      </c>
      <c r="E57" s="85">
        <f>IF(A57="","",PPMT($H$2/360*30.4,1,$H$1-A57+1,-B57)+Carátula!M98-Carátula!N98)</f>
        <v>1314.9453602348408</v>
      </c>
    </row>
    <row r="58" spans="1:5" x14ac:dyDescent="0.25">
      <c r="A58" s="2">
        <f t="shared" si="0"/>
        <v>56</v>
      </c>
      <c r="B58" s="86">
        <f>Carátula!F99</f>
        <v>540809.34472964122</v>
      </c>
      <c r="C58" s="85">
        <f>IF(A58="","",PPMT($H$2/360*30.4,A58,$H$1,-$H$3)+Carátula!M99-Carátula!N99)</f>
        <v>1325.1055047182554</v>
      </c>
      <c r="D58" s="85">
        <f>IF(A58="","",(PMT($H$2/360*30.4,$H$1,-$H$3)-(($H$2/360*30.4)*(B58))+Carátula!M99-Carátula!N99))</f>
        <v>1325.1055047182554</v>
      </c>
      <c r="E58" s="85">
        <f>IF(A58="","",PPMT($H$2/360*30.4,1,$H$1-A58+1,-B58)+Carátula!M99-Carátula!N99)</f>
        <v>1325.1055047182554</v>
      </c>
    </row>
    <row r="59" spans="1:5" x14ac:dyDescent="0.25">
      <c r="A59" s="2">
        <f t="shared" si="0"/>
        <v>57</v>
      </c>
      <c r="B59" s="86">
        <f>Carátula!F100</f>
        <v>539484.23922492296</v>
      </c>
      <c r="C59" s="85">
        <f>IF(A59="","",PPMT($H$2/360*30.4,A59,$H$1,-$H$3)+Carátula!M100-Carátula!N100)</f>
        <v>1335.3441532513787</v>
      </c>
      <c r="D59" s="85">
        <f>IF(A59="","",(PMT($H$2/360*30.4,$H$1,-$H$3)-(($H$2/360*30.4)*(B59))+Carátula!M100-Carátula!N100))</f>
        <v>1335.3441532513789</v>
      </c>
      <c r="E59" s="85">
        <f>IF(A59="","",PPMT($H$2/360*30.4,1,$H$1-A59+1,-B59)+Carátula!M100-Carátula!N100)</f>
        <v>1335.3441532513787</v>
      </c>
    </row>
    <row r="60" spans="1:5" x14ac:dyDescent="0.25">
      <c r="A60" s="2">
        <f t="shared" si="0"/>
        <v>58</v>
      </c>
      <c r="B60" s="86">
        <f>Carátula!F101</f>
        <v>538148.89507167158</v>
      </c>
      <c r="C60" s="85">
        <f>IF(A60="","",PPMT($H$2/360*30.4,A60,$H$1,-$H$3)+Carátula!M101-Carátula!N101)</f>
        <v>1345.661912408834</v>
      </c>
      <c r="D60" s="85">
        <f>IF(A60="","",(PMT($H$2/360*30.4,$H$1,-$H$3)-(($H$2/360*30.4)*(B60))+Carátula!M101-Carátula!N101))</f>
        <v>1345.6619124088347</v>
      </c>
      <c r="E60" s="85">
        <f>IF(A60="","",PPMT($H$2/360*30.4,1,$H$1-A60+1,-B60)+Carátula!M101-Carátula!N101)</f>
        <v>1345.661912408834</v>
      </c>
    </row>
    <row r="61" spans="1:5" x14ac:dyDescent="0.25">
      <c r="A61" s="2">
        <f t="shared" si="0"/>
        <v>59</v>
      </c>
      <c r="B61" s="86">
        <f>Carátula!F102</f>
        <v>536803.23315926269</v>
      </c>
      <c r="C61" s="85">
        <f>IF(A61="","",PPMT($H$2/360*30.4,A61,$H$1,-$H$3)+Carátula!M102-Carátula!N102)</f>
        <v>1356.0593934520464</v>
      </c>
      <c r="D61" s="85">
        <f>IF(A61="","",(PMT($H$2/360*30.4,$H$1,-$H$3)-(($H$2/360*30.4)*(B61))+Carátula!M102-Carátula!N102))</f>
        <v>1356.0593934520475</v>
      </c>
      <c r="E61" s="85">
        <f>IF(A61="","",PPMT($H$2/360*30.4,1,$H$1-A61+1,-B61)+Carátula!M102-Carátula!N102)</f>
        <v>1356.0593934520462</v>
      </c>
    </row>
    <row r="62" spans="1:5" x14ac:dyDescent="0.25">
      <c r="A62" s="2">
        <f t="shared" si="0"/>
        <v>60</v>
      </c>
      <c r="B62" s="86">
        <f>Carátula!F103</f>
        <v>535447.17376581067</v>
      </c>
      <c r="C62" s="85">
        <f>IF(A62="","",PPMT($H$2/360*30.4,A62,$H$1,-$H$3)+Carátula!M103-Carátula!N103)</f>
        <v>1366.5372123654527</v>
      </c>
      <c r="D62" s="85">
        <f>IF(A62="","",(PMT($H$2/360*30.4,$H$1,-$H$3)-(($H$2/360*30.4)*(B62))+Carátula!M103-Carátula!N103))</f>
        <v>1366.5372123654533</v>
      </c>
      <c r="E62" s="85">
        <f>IF(A62="","",PPMT($H$2/360*30.4,1,$H$1-A62+1,-B62)+Carátula!M103-Carátula!N103)</f>
        <v>1366.5372123654527</v>
      </c>
    </row>
    <row r="63" spans="1:5" x14ac:dyDescent="0.25">
      <c r="A63" s="2">
        <f t="shared" si="0"/>
        <v>61</v>
      </c>
      <c r="B63" s="86">
        <f>Carátula!F104</f>
        <v>534080.63655344525</v>
      </c>
      <c r="C63" s="85">
        <f>IF(A63="","",PPMT($H$2/360*30.4,A63,$H$1,-$H$3)+Carátula!M104-Carátula!N104)</f>
        <v>1377.0959898929964</v>
      </c>
      <c r="D63" s="85">
        <f>IF(A63="","",(PMT($H$2/360*30.4,$H$1,-$H$3)-(($H$2/360*30.4)*(B63))+Carátula!M104-Carátula!N104))</f>
        <v>1377.0959898929968</v>
      </c>
      <c r="E63" s="85">
        <f>IF(A63="","",PPMT($H$2/360*30.4,1,$H$1-A63+1,-B63)+Carátula!M104-Carátula!N104)</f>
        <v>1377.0959898929964</v>
      </c>
    </row>
    <row r="64" spans="1:5" x14ac:dyDescent="0.25">
      <c r="A64" s="2">
        <f t="shared" si="0"/>
        <v>62</v>
      </c>
      <c r="B64" s="86">
        <f>Carátula!F105</f>
        <v>532703.54056355229</v>
      </c>
      <c r="C64" s="85">
        <f>IF(A64="","",PPMT($H$2/360*30.4,A64,$H$1,-$H$3)+Carátula!M105-Carátula!N105)</f>
        <v>1387.7363515749025</v>
      </c>
      <c r="D64" s="85">
        <f>IF(A64="","",(PMT($H$2/360*30.4,$H$1,-$H$3)-(($H$2/360*30.4)*(B64))+Carátula!M105-Carátula!N105))</f>
        <v>1387.736351574903</v>
      </c>
      <c r="E64" s="85">
        <f>IF(A64="","",PPMT($H$2/360*30.4,1,$H$1-A64+1,-B64)+Carátula!M105-Carátula!N105)</f>
        <v>1387.7363515749025</v>
      </c>
    </row>
    <row r="65" spans="1:5" x14ac:dyDescent="0.25">
      <c r="A65" s="2">
        <f t="shared" si="0"/>
        <v>63</v>
      </c>
      <c r="B65" s="86">
        <f>Carátula!F106</f>
        <v>531315.8042119774</v>
      </c>
      <c r="C65" s="85">
        <f>IF(A65="","",PPMT($H$2/360*30.4,A65,$H$1,-$H$3)+Carátula!M106-Carátula!N106)</f>
        <v>1398.4589277847383</v>
      </c>
      <c r="D65" s="85">
        <f>IF(A65="","",(PMT($H$2/360*30.4,$H$1,-$H$3)-(($H$2/360*30.4)*(B65))+Carátula!M106-Carátula!N106))</f>
        <v>1398.4589277847381</v>
      </c>
      <c r="E65" s="85">
        <f>IF(A65="","",PPMT($H$2/360*30.4,1,$H$1-A65+1,-B65)+Carátula!M106-Carátula!N106)</f>
        <v>1398.4589277847385</v>
      </c>
    </row>
    <row r="66" spans="1:5" x14ac:dyDescent="0.25">
      <c r="A66" s="2">
        <f t="shared" si="0"/>
        <v>64</v>
      </c>
      <c r="B66" s="86">
        <f>Carátula!F107</f>
        <v>529917.34528419271</v>
      </c>
      <c r="C66" s="85">
        <f>IF(A66="","",PPMT($H$2/360*30.4,A66,$H$1,-$H$3)+Carátula!M107-Carátula!N107)</f>
        <v>1409.2643537667552</v>
      </c>
      <c r="D66" s="85">
        <f>IF(A66="","",(PMT($H$2/360*30.4,$H$1,-$H$3)-(($H$2/360*30.4)*(B66))+Carátula!M107-Carátula!N107))</f>
        <v>1409.2643537667545</v>
      </c>
      <c r="E66" s="85">
        <f>IF(A66="","",PPMT($H$2/360*30.4,1,$H$1-A66+1,-B66)+Carátula!M107-Carátula!N107)</f>
        <v>1409.2643537667554</v>
      </c>
    </row>
    <row r="67" spans="1:5" x14ac:dyDescent="0.25">
      <c r="A67" s="2">
        <f t="shared" si="0"/>
        <v>65</v>
      </c>
      <c r="B67" s="86">
        <f>Carátula!F108</f>
        <v>528508.0809304259</v>
      </c>
      <c r="C67" s="85">
        <f>IF(A67="","",PPMT($H$2/360*30.4,A67,$H$1,-$H$3)+Carátula!M108-Carátula!N108)</f>
        <v>1420.1532696735262</v>
      </c>
      <c r="D67" s="85">
        <f>IF(A67="","",(PMT($H$2/360*30.4,$H$1,-$H$3)-(($H$2/360*30.4)*(B67))+Carátula!M108-Carátula!N108))</f>
        <v>1420.1532696735262</v>
      </c>
      <c r="E67" s="85">
        <f>IF(A67="","",PPMT($H$2/360*30.4,1,$H$1-A67+1,-B67)+Carátula!M108-Carátula!N108)</f>
        <v>1420.1532696735262</v>
      </c>
    </row>
    <row r="68" spans="1:5" x14ac:dyDescent="0.25">
      <c r="A68" s="2">
        <f t="shared" si="0"/>
        <v>66</v>
      </c>
      <c r="B68" s="86">
        <f>Carátula!F109</f>
        <v>527087.92766075232</v>
      </c>
      <c r="C68" s="85">
        <f>IF(A68="","",PPMT($H$2/360*30.4,A68,$H$1,-$H$3)+Carátula!M109-Carátula!N109)</f>
        <v>1431.12632060387</v>
      </c>
      <c r="D68" s="85">
        <f>IF(A68="","",(PMT($H$2/360*30.4,$H$1,-$H$3)-(($H$2/360*30.4)*(B68))+Carátula!M109-Carátula!N109))</f>
        <v>1431.1263206038707</v>
      </c>
      <c r="E68" s="85">
        <f>IF(A68="","",PPMT($H$2/360*30.4,1,$H$1-A68+1,-B68)+Carátula!M109-Carátula!N109)</f>
        <v>1431.12632060387</v>
      </c>
    </row>
    <row r="69" spans="1:5" x14ac:dyDescent="0.25">
      <c r="A69" s="2">
        <f t="shared" ref="A69:A132" si="1">IF(A68=$H$1,"",IF(A68="","",A68+1))</f>
        <v>67</v>
      </c>
      <c r="B69" s="86">
        <f>Carátula!F110</f>
        <v>525656.80134014843</v>
      </c>
      <c r="C69" s="85">
        <f>IF(A69="","",PPMT($H$2/360*30.4,A69,$H$1,-$H$3)+Carátula!M110-Carátula!N110)</f>
        <v>1442.1841566410692</v>
      </c>
      <c r="D69" s="85">
        <f>IF(A69="","",(PMT($H$2/360*30.4,$H$1,-$H$3)-(($H$2/360*30.4)*(B69))+Carátula!M110-Carátula!N110))</f>
        <v>1442.1841566410699</v>
      </c>
      <c r="E69" s="85">
        <f>IF(A69="","",PPMT($H$2/360*30.4,1,$H$1-A69+1,-B69)+Carátula!M110-Carátula!N110)</f>
        <v>1442.184156641069</v>
      </c>
    </row>
    <row r="70" spans="1:5" x14ac:dyDescent="0.25">
      <c r="A70" s="2">
        <f t="shared" si="1"/>
        <v>68</v>
      </c>
      <c r="B70" s="86">
        <f>Carátula!F111</f>
        <v>524214.61718350736</v>
      </c>
      <c r="C70" s="85">
        <f>IF(A70="","",PPMT($H$2/360*30.4,A70,$H$1,-$H$3)+Carátula!M111-Carátula!N111)</f>
        <v>1453.3274328913826</v>
      </c>
      <c r="D70" s="85">
        <f>IF(A70="","",(PMT($H$2/360*30.4,$H$1,-$H$3)-(($H$2/360*30.4)*(B70))+Carátula!M111-Carátula!N111))</f>
        <v>1453.3274328913835</v>
      </c>
      <c r="E70" s="85">
        <f>IF(A70="","",PPMT($H$2/360*30.4,1,$H$1-A70+1,-B70)+Carátula!M111-Carátula!N111)</f>
        <v>1453.3274328913824</v>
      </c>
    </row>
    <row r="71" spans="1:5" x14ac:dyDescent="0.25">
      <c r="A71" s="2">
        <f t="shared" si="1"/>
        <v>69</v>
      </c>
      <c r="B71" s="86">
        <f>Carátula!F112</f>
        <v>522761.28975061601</v>
      </c>
      <c r="C71" s="85">
        <f>IF(A71="","",PPMT($H$2/360*30.4,A71,$H$1,-$H$3)+Carátula!M112-Carátula!N112)</f>
        <v>1464.5568095228571</v>
      </c>
      <c r="D71" s="85">
        <f>IF(A71="","",(PMT($H$2/360*30.4,$H$1,-$H$3)-(($H$2/360*30.4)*(B71))+Carátula!M112-Carátula!N112))</f>
        <v>1464.5568095228573</v>
      </c>
      <c r="E71" s="85">
        <f>IF(A71="","",PPMT($H$2/360*30.4,1,$H$1-A71+1,-B71)+Carátula!M112-Carátula!N112)</f>
        <v>1464.5568095228573</v>
      </c>
    </row>
    <row r="72" spans="1:5" x14ac:dyDescent="0.25">
      <c r="A72" s="2">
        <f t="shared" si="1"/>
        <v>70</v>
      </c>
      <c r="B72" s="86">
        <f>Carátula!F113</f>
        <v>521296.73294109316</v>
      </c>
      <c r="C72" s="85">
        <f>IF(A72="","",PPMT($H$2/360*30.4,A72,$H$1,-$H$3)+Carátula!M113-Carátula!N113)</f>
        <v>1475.8729518044365</v>
      </c>
      <c r="D72" s="85">
        <f>IF(A72="","",(PMT($H$2/360*30.4,$H$1,-$H$3)-(($H$2/360*30.4)*(B72))+Carátula!M113-Carátula!N113))</f>
        <v>1475.872951804437</v>
      </c>
      <c r="E72" s="85">
        <f>IF(A72="","",PPMT($H$2/360*30.4,1,$H$1-A72+1,-B72)+Carátula!M113-Carátula!N113)</f>
        <v>1475.8729518044365</v>
      </c>
    </row>
    <row r="73" spans="1:5" x14ac:dyDescent="0.25">
      <c r="A73" s="2">
        <f t="shared" si="1"/>
        <v>71</v>
      </c>
      <c r="B73" s="86">
        <f>Carátula!F114</f>
        <v>519820.85998928873</v>
      </c>
      <c r="C73" s="85">
        <f>IF(A73="","",PPMT($H$2/360*30.4,A73,$H$1,-$H$3)+Carátula!M114-Carátula!N114)</f>
        <v>1487.276530145379</v>
      </c>
      <c r="D73" s="85">
        <f>IF(A73="","",(PMT($H$2/360*30.4,$H$1,-$H$3)-(($H$2/360*30.4)*(B73))+Carátula!M114-Carátula!N114))</f>
        <v>1487.2765301453792</v>
      </c>
      <c r="E73" s="85">
        <f>IF(A73="","",PPMT($H$2/360*30.4,1,$H$1-A73+1,-B73)+Carátula!M114-Carátula!N114)</f>
        <v>1487.276530145379</v>
      </c>
    </row>
    <row r="74" spans="1:5" x14ac:dyDescent="0.25">
      <c r="A74" s="2">
        <f t="shared" si="1"/>
        <v>72</v>
      </c>
      <c r="B74" s="86">
        <f>Carátula!F115</f>
        <v>518333.58345914335</v>
      </c>
      <c r="C74" s="85">
        <f>IF(A74="","",PPMT($H$2/360*30.4,A74,$H$1,-$H$3)+Carátula!M115-Carátula!N115)</f>
        <v>1498.7682201349689</v>
      </c>
      <c r="D74" s="85">
        <f>IF(A74="","",(PMT($H$2/360*30.4,$H$1,-$H$3)-(($H$2/360*30.4)*(B74))+Carátula!M115-Carátula!N115))</f>
        <v>1498.7682201349694</v>
      </c>
      <c r="E74" s="85">
        <f>IF(A74="","",PPMT($H$2/360*30.4,1,$H$1-A74+1,-B74)+Carátula!M115-Carátula!N115)</f>
        <v>1498.7682201349689</v>
      </c>
    </row>
    <row r="75" spans="1:5" x14ac:dyDescent="0.25">
      <c r="A75" s="2">
        <f t="shared" si="1"/>
        <v>73</v>
      </c>
      <c r="B75" s="86">
        <f>Carátula!F116</f>
        <v>516834.8152390084</v>
      </c>
      <c r="C75" s="85">
        <f>IF(A75="","",PPMT($H$2/360*30.4,A75,$H$1,-$H$3)+Carátula!M116-Carátula!N116)</f>
        <v>1510.3487025825452</v>
      </c>
      <c r="D75" s="85">
        <f>IF(A75="","",(PMT($H$2/360*30.4,$H$1,-$H$3)-(($H$2/360*30.4)*(B75))+Carátula!M116-Carátula!N116))</f>
        <v>1510.3487025825452</v>
      </c>
      <c r="E75" s="85">
        <f>IF(A75="","",PPMT($H$2/360*30.4,1,$H$1-A75+1,-B75)+Carátula!M116-Carátula!N116)</f>
        <v>1510.3487025825452</v>
      </c>
    </row>
    <row r="76" spans="1:5" x14ac:dyDescent="0.25">
      <c r="A76" s="2">
        <f t="shared" si="1"/>
        <v>74</v>
      </c>
      <c r="B76" s="86">
        <f>Carátula!F117</f>
        <v>515324.46653642587</v>
      </c>
      <c r="C76" s="85">
        <f>IF(A76="","",PPMT($H$2/360*30.4,A76,$H$1,-$H$3)+Carátula!M117-Carátula!N117)</f>
        <v>1522.018663557833</v>
      </c>
      <c r="D76" s="85">
        <f>IF(A76="","",(PMT($H$2/360*30.4,$H$1,-$H$3)-(($H$2/360*30.4)*(B76))+Carátula!M117-Carátula!N117))</f>
        <v>1522.018663557833</v>
      </c>
      <c r="E76" s="85">
        <f>IF(A76="","",PPMT($H$2/360*30.4,1,$H$1-A76+1,-B76)+Carátula!M117-Carátula!N117)</f>
        <v>1522.018663557833</v>
      </c>
    </row>
    <row r="77" spans="1:5" x14ac:dyDescent="0.25">
      <c r="A77" s="2">
        <f t="shared" si="1"/>
        <v>75</v>
      </c>
      <c r="B77" s="86">
        <f>Carátula!F118</f>
        <v>513802.44787286804</v>
      </c>
      <c r="C77" s="85">
        <f>IF(A77="","",PPMT($H$2/360*30.4,A77,$H$1,-$H$3)+Carátula!M118-Carátula!N118)</f>
        <v>1533.7787944315899</v>
      </c>
      <c r="D77" s="85">
        <f>IF(A77="","",(PMT($H$2/360*30.4,$H$1,-$H$3)-(($H$2/360*30.4)*(B77))+Carátula!M118-Carátula!N118))</f>
        <v>1533.7787944315896</v>
      </c>
      <c r="E77" s="85">
        <f>IF(A77="","",PPMT($H$2/360*30.4,1,$H$1-A77+1,-B77)+Carátula!M118-Carátula!N118)</f>
        <v>1533.7787944315899</v>
      </c>
    </row>
    <row r="78" spans="1:5" x14ac:dyDescent="0.25">
      <c r="A78" s="2">
        <f t="shared" si="1"/>
        <v>76</v>
      </c>
      <c r="B78" s="86">
        <f>Carátula!F119</f>
        <v>512268.66907843645</v>
      </c>
      <c r="C78" s="85">
        <f>IF(A78="","",PPMT($H$2/360*30.4,A78,$H$1,-$H$3)+Carátula!M119-Carátula!N119)</f>
        <v>1545.6297919165645</v>
      </c>
      <c r="D78" s="85">
        <f>IF(A78="","",(PMT($H$2/360*30.4,$H$1,-$H$3)-(($H$2/360*30.4)*(B78))+Carátula!M119-Carátula!N119))</f>
        <v>1545.6297919165645</v>
      </c>
      <c r="E78" s="85">
        <f>IF(A78="","",PPMT($H$2/360*30.4,1,$H$1-A78+1,-B78)+Carátula!M119-Carátula!N119)</f>
        <v>1545.6297919165645</v>
      </c>
    </row>
    <row r="79" spans="1:5" x14ac:dyDescent="0.25">
      <c r="A79" s="2">
        <f t="shared" si="1"/>
        <v>77</v>
      </c>
      <c r="B79" s="86">
        <f>Carátula!F120</f>
        <v>510723.03928651987</v>
      </c>
      <c r="C79" s="85">
        <f>IF(A79="","",PPMT($H$2/360*30.4,A79,$H$1,-$H$3)+Carátula!M120-Carátula!N120)</f>
        <v>1557.5723581087734</v>
      </c>
      <c r="D79" s="85">
        <f>IF(A79="","",(PMT($H$2/360*30.4,$H$1,-$H$3)-(($H$2/360*30.4)*(B79))+Carátula!M120-Carátula!N120))</f>
        <v>1557.5723581087732</v>
      </c>
      <c r="E79" s="85">
        <f>IF(A79="","",PPMT($H$2/360*30.4,1,$H$1-A79+1,-B79)+Carátula!M120-Carátula!N120)</f>
        <v>1557.5723581087736</v>
      </c>
    </row>
    <row r="80" spans="1:5" x14ac:dyDescent="0.25">
      <c r="A80" s="2">
        <f t="shared" si="1"/>
        <v>78</v>
      </c>
      <c r="B80" s="86">
        <f>Carátula!F121</f>
        <v>509165.4669284111</v>
      </c>
      <c r="C80" s="85">
        <f>IF(A80="","",PPMT($H$2/360*30.4,A80,$H$1,-$H$3)+Carátula!M121-Carátula!N121)</f>
        <v>1569.6072005290935</v>
      </c>
      <c r="D80" s="85">
        <f>IF(A80="","",(PMT($H$2/360*30.4,$H$1,-$H$3)-(($H$2/360*30.4)*(B80))+Carátula!M121-Carátula!N121))</f>
        <v>1569.6072005290939</v>
      </c>
      <c r="E80" s="85">
        <f>IF(A80="","",PPMT($H$2/360*30.4,1,$H$1-A80+1,-B80)+Carátula!M121-Carátula!N121)</f>
        <v>1569.6072005290937</v>
      </c>
    </row>
    <row r="81" spans="1:5" x14ac:dyDescent="0.25">
      <c r="A81" s="2">
        <f t="shared" si="1"/>
        <v>79</v>
      </c>
      <c r="B81" s="86">
        <f>Carátula!F122</f>
        <v>507595.85972788202</v>
      </c>
      <c r="C81" s="85">
        <f>IF(A81="","",PPMT($H$2/360*30.4,A81,$H$1,-$H$3)+Carátula!M122-Carátula!N122)</f>
        <v>1581.7350321651818</v>
      </c>
      <c r="D81" s="85">
        <f>IF(A81="","",(PMT($H$2/360*30.4,$H$1,-$H$3)-(($H$2/360*30.4)*(B81))+Carátula!M122-Carátula!N122))</f>
        <v>1581.7350321651816</v>
      </c>
      <c r="E81" s="85">
        <f>IF(A81="","",PPMT($H$2/360*30.4,1,$H$1-A81+1,-B81)+Carátula!M122-Carátula!N122)</f>
        <v>1581.7350321651818</v>
      </c>
    </row>
    <row r="82" spans="1:5" x14ac:dyDescent="0.25">
      <c r="A82" s="2">
        <f t="shared" si="1"/>
        <v>80</v>
      </c>
      <c r="B82" s="86">
        <f>Carátula!F123</f>
        <v>506014.12469571683</v>
      </c>
      <c r="C82" s="85">
        <f>IF(A82="","",PPMT($H$2/360*30.4,A82,$H$1,-$H$3)+Carátula!M123-Carátula!N123)</f>
        <v>1593.9565715137114</v>
      </c>
      <c r="D82" s="85">
        <f>IF(A82="","",(PMT($H$2/360*30.4,$H$1,-$H$3)-(($H$2/360*30.4)*(B82))+Carátula!M123-Carátula!N123))</f>
        <v>1593.9565715137114</v>
      </c>
      <c r="E82" s="85">
        <f>IF(A82="","",PPMT($H$2/360*30.4,1,$H$1-A82+1,-B82)+Carátula!M123-Carátula!N123)</f>
        <v>1593.9565715137114</v>
      </c>
    </row>
    <row r="83" spans="1:5" x14ac:dyDescent="0.25">
      <c r="A83" s="2">
        <f t="shared" si="1"/>
        <v>81</v>
      </c>
      <c r="B83" s="86">
        <f>Carátula!F124</f>
        <v>504420.1681242031</v>
      </c>
      <c r="C83" s="85">
        <f>IF(A83="","",PPMT($H$2/360*30.4,A83,$H$1,-$H$3)+Carátula!M124-Carátula!N124)</f>
        <v>1606.2725426229408</v>
      </c>
      <c r="D83" s="85">
        <f>IF(A83="","",(PMT($H$2/360*30.4,$H$1,-$H$3)-(($H$2/360*30.4)*(B83))+Carátula!M124-Carátula!N124))</f>
        <v>1606.2725426229408</v>
      </c>
      <c r="E83" s="85">
        <f>IF(A83="","",PPMT($H$2/360*30.4,1,$H$1-A83+1,-B83)+Carátula!M124-Carátula!N124)</f>
        <v>1606.2725426229408</v>
      </c>
    </row>
    <row r="84" spans="1:5" x14ac:dyDescent="0.25">
      <c r="A84" s="2">
        <f t="shared" si="1"/>
        <v>82</v>
      </c>
      <c r="B84" s="86">
        <f>Carátula!F125</f>
        <v>502813.89558158017</v>
      </c>
      <c r="C84" s="85">
        <f>IF(A84="","",PPMT($H$2/360*30.4,A84,$H$1,-$H$3)+Carátula!M125-Carátula!N125)</f>
        <v>1618.6836751356075</v>
      </c>
      <c r="D84" s="85">
        <f>IF(A84="","",(PMT($H$2/360*30.4,$H$1,-$H$3)-(($H$2/360*30.4)*(B84))+Carátula!M125-Carátula!N125))</f>
        <v>1618.6836751356072</v>
      </c>
      <c r="E84" s="85">
        <f>IF(A84="","",PPMT($H$2/360*30.4,1,$H$1-A84+1,-B84)+Carátula!M125-Carátula!N125)</f>
        <v>1618.6836751356077</v>
      </c>
    </row>
    <row r="85" spans="1:5" x14ac:dyDescent="0.25">
      <c r="A85" s="2">
        <f t="shared" si="1"/>
        <v>83</v>
      </c>
      <c r="B85" s="86">
        <f>Carátula!F126</f>
        <v>501195.21190644457</v>
      </c>
      <c r="C85" s="85">
        <f>IF(A85="","",PPMT($H$2/360*30.4,A85,$H$1,-$H$3)+Carátula!M126-Carátula!N126)</f>
        <v>1631.1907043321551</v>
      </c>
      <c r="D85" s="85">
        <f>IF(A85="","",(PMT($H$2/360*30.4,$H$1,-$H$3)-(($H$2/360*30.4)*(B85))+Carátula!M126-Carátula!N126))</f>
        <v>1631.1907043321553</v>
      </c>
      <c r="E85" s="85">
        <f>IF(A85="","",PPMT($H$2/360*30.4,1,$H$1-A85+1,-B85)+Carátula!M126-Carátula!N126)</f>
        <v>1631.1907043321553</v>
      </c>
    </row>
    <row r="86" spans="1:5" x14ac:dyDescent="0.25">
      <c r="A86" s="2">
        <f t="shared" si="1"/>
        <v>84</v>
      </c>
      <c r="B86" s="86">
        <f>Carátula!F127</f>
        <v>499564.02120211243</v>
      </c>
      <c r="C86" s="85">
        <f>IF(A86="","",PPMT($H$2/360*30.4,A86,$H$1,-$H$3)+Carátula!M127-Carátula!N127)</f>
        <v>1643.7943711742951</v>
      </c>
      <c r="D86" s="85">
        <f>IF(A86="","",(PMT($H$2/360*30.4,$H$1,-$H$3)-(($H$2/360*30.4)*(B86))+Carátula!M127-Carátula!N127))</f>
        <v>1643.7943711742946</v>
      </c>
      <c r="E86" s="85">
        <f>IF(A86="","",PPMT($H$2/360*30.4,1,$H$1-A86+1,-B86)+Carátula!M127-Carátula!N127)</f>
        <v>1643.7943711742953</v>
      </c>
    </row>
    <row r="87" spans="1:5" x14ac:dyDescent="0.25">
      <c r="A87" s="2">
        <f t="shared" si="1"/>
        <v>85</v>
      </c>
      <c r="B87" s="86">
        <f>Carátula!F128</f>
        <v>497920.22683093813</v>
      </c>
      <c r="C87" s="85">
        <f>IF(A87="","",PPMT($H$2/360*30.4,A87,$H$1,-$H$3)+Carátula!M128-Carátula!N128)</f>
        <v>1656.4954223489017</v>
      </c>
      <c r="D87" s="85">
        <f>IF(A87="","",(PMT($H$2/360*30.4,$H$1,-$H$3)-(($H$2/360*30.4)*(B87))+Carátula!M128-Carátula!N128))</f>
        <v>1656.4954223489017</v>
      </c>
      <c r="E87" s="85">
        <f>IF(A87="","",PPMT($H$2/360*30.4,1,$H$1-A87+1,-B87)+Carátula!M128-Carátula!N128)</f>
        <v>1656.4954223489017</v>
      </c>
    </row>
    <row r="88" spans="1:5" x14ac:dyDescent="0.25">
      <c r="A88" s="2">
        <f t="shared" si="1"/>
        <v>86</v>
      </c>
      <c r="B88" s="86">
        <f>Carátula!F129</f>
        <v>496263.73140858923</v>
      </c>
      <c r="C88" s="85">
        <f>IF(A88="","",PPMT($H$2/360*30.4,A88,$H$1,-$H$3)+Carátula!M129-Carátula!N129)</f>
        <v>1669.2946103122511</v>
      </c>
      <c r="D88" s="85">
        <f>IF(A88="","",(PMT($H$2/360*30.4,$H$1,-$H$3)-(($H$2/360*30.4)*(B88))+Carátula!M129-Carátula!N129))</f>
        <v>1669.2946103122508</v>
      </c>
      <c r="E88" s="85">
        <f>IF(A88="","",PPMT($H$2/360*30.4,1,$H$1-A88+1,-B88)+Carátula!M129-Carátula!N129)</f>
        <v>1669.2946103122511</v>
      </c>
    </row>
    <row r="89" spans="1:5" x14ac:dyDescent="0.25">
      <c r="A89" s="2">
        <f t="shared" si="1"/>
        <v>87</v>
      </c>
      <c r="B89" s="86">
        <f>Carátula!F130</f>
        <v>494594.43679827696</v>
      </c>
      <c r="C89" s="85">
        <f>IF(A89="","",PPMT($H$2/360*30.4,A89,$H$1,-$H$3)+Carátula!M130-Carátula!N130)</f>
        <v>1682.1926933345967</v>
      </c>
      <c r="D89" s="85">
        <f>IF(A89="","",(PMT($H$2/360*30.4,$H$1,-$H$3)-(($H$2/360*30.4)*(B89))+Carátula!M130-Carátula!N130))</f>
        <v>1682.1926933345967</v>
      </c>
      <c r="E89" s="85">
        <f>IF(A89="","",PPMT($H$2/360*30.4,1,$H$1-A89+1,-B89)+Carátula!M130-Carátula!N130)</f>
        <v>1682.1926933345967</v>
      </c>
    </row>
    <row r="90" spans="1:5" x14ac:dyDescent="0.25">
      <c r="A90" s="2">
        <f t="shared" si="1"/>
        <v>88</v>
      </c>
      <c r="B90" s="86">
        <f>Carátula!F131</f>
        <v>492912.24410494237</v>
      </c>
      <c r="C90" s="85">
        <f>IF(A90="","",PPMT($H$2/360*30.4,A90,$H$1,-$H$3)+Carátula!M131-Carátula!N131)</f>
        <v>1695.1904355450952</v>
      </c>
      <c r="D90" s="85">
        <f>IF(A90="","",(PMT($H$2/360*30.4,$H$1,-$H$3)-(($H$2/360*30.4)*(B90))+Carátula!M131-Carátula!N131))</f>
        <v>1695.1904355450956</v>
      </c>
      <c r="E90" s="85">
        <f>IF(A90="","",PPMT($H$2/360*30.4,1,$H$1-A90+1,-B90)+Carátula!M131-Carátula!N131)</f>
        <v>1695.1904355450952</v>
      </c>
    </row>
    <row r="91" spans="1:5" x14ac:dyDescent="0.25">
      <c r="A91" s="2">
        <f t="shared" si="1"/>
        <v>89</v>
      </c>
      <c r="B91" s="86">
        <f>Carátula!F132</f>
        <v>491217.05366939725</v>
      </c>
      <c r="C91" s="85">
        <f>IF(A91="","",PPMT($H$2/360*30.4,A91,$H$1,-$H$3)+Carátula!M132-Carátula!N132)</f>
        <v>1708.2886069770741</v>
      </c>
      <c r="D91" s="85">
        <f>IF(A91="","",(PMT($H$2/360*30.4,$H$1,-$H$3)-(($H$2/360*30.4)*(B91))+Carátula!M132-Carátula!N132))</f>
        <v>1708.2886069770739</v>
      </c>
      <c r="E91" s="85">
        <f>IF(A91="","",PPMT($H$2/360*30.4,1,$H$1-A91+1,-B91)+Carátula!M132-Carátula!N132)</f>
        <v>1708.2886069770741</v>
      </c>
    </row>
    <row r="92" spans="1:5" x14ac:dyDescent="0.25">
      <c r="A92" s="2">
        <f t="shared" si="1"/>
        <v>90</v>
      </c>
      <c r="B92" s="86">
        <f>Carátula!F133</f>
        <v>489508.76506242016</v>
      </c>
      <c r="C92" s="85">
        <f>IF(A92="","",PPMT($H$2/360*30.4,A92,$H$1,-$H$3)+Carátula!M133-Carátula!N133)</f>
        <v>1721.4879836136502</v>
      </c>
      <c r="D92" s="85">
        <f>IF(A92="","",(PMT($H$2/360*30.4,$H$1,-$H$3)-(($H$2/360*30.4)*(B92))+Carátula!M133-Carátula!N133))</f>
        <v>1721.4879836136502</v>
      </c>
      <c r="E92" s="85">
        <f>IF(A92="","",PPMT($H$2/360*30.4,1,$H$1-A92+1,-B92)+Carátula!M133-Carátula!N133)</f>
        <v>1721.4879836136499</v>
      </c>
    </row>
    <row r="93" spans="1:5" x14ac:dyDescent="0.25">
      <c r="A93" s="2">
        <f t="shared" si="1"/>
        <v>91</v>
      </c>
      <c r="B93" s="86">
        <f>Carátula!F134</f>
        <v>487787.27707880654</v>
      </c>
      <c r="C93" s="85">
        <f>IF(A93="","",PPMT($H$2/360*30.4,A93,$H$1,-$H$3)+Carátula!M134-Carátula!N134)</f>
        <v>1734.7893474337047</v>
      </c>
      <c r="D93" s="85">
        <f>IF(A93="","",(PMT($H$2/360*30.4,$H$1,-$H$3)-(($H$2/360*30.4)*(B93))+Carátula!M134-Carátula!N134))</f>
        <v>1734.7893474337047</v>
      </c>
      <c r="E93" s="85">
        <f>IF(A93="","",PPMT($H$2/360*30.4,1,$H$1-A93+1,-B93)+Carátula!M134-Carátula!N134)</f>
        <v>1734.7893474337047</v>
      </c>
    </row>
    <row r="94" spans="1:5" x14ac:dyDescent="0.25">
      <c r="A94" s="2">
        <f t="shared" si="1"/>
        <v>92</v>
      </c>
      <c r="B94" s="86">
        <f>Carátula!F135</f>
        <v>486052.48773137282</v>
      </c>
      <c r="C94" s="85">
        <f>IF(A94="","",PPMT($H$2/360*30.4,A94,$H$1,-$H$3)+Carátula!M135-Carátula!N135)</f>
        <v>1748.1934864582092</v>
      </c>
      <c r="D94" s="85">
        <f>IF(A94="","",(PMT($H$2/360*30.4,$H$1,-$H$3)-(($H$2/360*30.4)*(B94))+Carátula!M135-Carátula!N135))</f>
        <v>1748.1934864582095</v>
      </c>
      <c r="E94" s="85">
        <f>IF(A94="","",PPMT($H$2/360*30.4,1,$H$1-A94+1,-B94)+Carátula!M135-Carátula!N135)</f>
        <v>1748.1934864582092</v>
      </c>
    </row>
    <row r="95" spans="1:5" x14ac:dyDescent="0.25">
      <c r="A95" s="2">
        <f t="shared" si="1"/>
        <v>93</v>
      </c>
      <c r="B95" s="86">
        <f>Carátula!F136</f>
        <v>484304.29424491461</v>
      </c>
      <c r="C95" s="85">
        <f>IF(A95="","",PPMT($H$2/360*30.4,A95,$H$1,-$H$3)+Carátula!M136-Carátula!N136)</f>
        <v>1761.7011947969097</v>
      </c>
      <c r="D95" s="85">
        <f>IF(A95="","",(PMT($H$2/360*30.4,$H$1,-$H$3)-(($H$2/360*30.4)*(B95))+Carátula!M136-Carátula!N136))</f>
        <v>1761.7011947969099</v>
      </c>
      <c r="E95" s="85">
        <f>IF(A95="","",PPMT($H$2/360*30.4,1,$H$1-A95+1,-B95)+Carátula!M136-Carátula!N136)</f>
        <v>1761.7011947969097</v>
      </c>
    </row>
    <row r="96" spans="1:5" x14ac:dyDescent="0.25">
      <c r="A96" s="2">
        <f t="shared" si="1"/>
        <v>94</v>
      </c>
      <c r="B96" s="86">
        <f>Carátula!F137</f>
        <v>482542.59305011772</v>
      </c>
      <c r="C96" s="85">
        <f>IF(A96="","",PPMT($H$2/360*30.4,A96,$H$1,-$H$3)+Carátula!M137-Carátula!N137)</f>
        <v>1775.3132726953738</v>
      </c>
      <c r="D96" s="85">
        <f>IF(A96="","",(PMT($H$2/360*30.4,$H$1,-$H$3)-(($H$2/360*30.4)*(B96))+Carátula!M137-Carátula!N137))</f>
        <v>1775.3132726953741</v>
      </c>
      <c r="E96" s="85">
        <f>IF(A96="","",PPMT($H$2/360*30.4,1,$H$1-A96+1,-B96)+Carátula!M137-Carátula!N137)</f>
        <v>1775.3132726953738</v>
      </c>
    </row>
    <row r="97" spans="1:5" x14ac:dyDescent="0.25">
      <c r="A97" s="2">
        <f t="shared" si="1"/>
        <v>95</v>
      </c>
      <c r="B97" s="86">
        <f>Carátula!F138</f>
        <v>480767.27977742237</v>
      </c>
      <c r="C97" s="85">
        <f>IF(A97="","",PPMT($H$2/360*30.4,A97,$H$1,-$H$3)+Carátula!M138-Carátula!N138)</f>
        <v>1789.0305265823999</v>
      </c>
      <c r="D97" s="85">
        <f>IF(A97="","",(PMT($H$2/360*30.4,$H$1,-$H$3)-(($H$2/360*30.4)*(B97))+Carátula!M138-Carátula!N138))</f>
        <v>1789.0305265823999</v>
      </c>
      <c r="E97" s="85">
        <f>IF(A97="","",PPMT($H$2/360*30.4,1,$H$1-A97+1,-B97)+Carátula!M138-Carátula!N138)</f>
        <v>1789.0305265823999</v>
      </c>
    </row>
    <row r="98" spans="1:5" x14ac:dyDescent="0.25">
      <c r="A98" s="2">
        <f t="shared" si="1"/>
        <v>96</v>
      </c>
      <c r="B98" s="86">
        <f>Carátula!F139</f>
        <v>478978.24925083999</v>
      </c>
      <c r="C98" s="85">
        <f>IF(A98="","",PPMT($H$2/360*30.4,A98,$H$1,-$H$3)+Carátula!M139-Carátula!N139)</f>
        <v>1802.8537691177935</v>
      </c>
      <c r="D98" s="85">
        <f>IF(A98="","",(PMT($H$2/360*30.4,$H$1,-$H$3)-(($H$2/360*30.4)*(B98))+Carátula!M139-Carátula!N139))</f>
        <v>1802.853769117793</v>
      </c>
      <c r="E98" s="85">
        <f>IF(A98="","",PPMT($H$2/360*30.4,1,$H$1-A98+1,-B98)+Carátula!M139-Carátula!N139)</f>
        <v>1802.8537691177937</v>
      </c>
    </row>
    <row r="99" spans="1:5" x14ac:dyDescent="0.25">
      <c r="A99" s="2">
        <f t="shared" si="1"/>
        <v>97</v>
      </c>
      <c r="B99" s="86">
        <f>Carátula!F140</f>
        <v>477175.3954817222</v>
      </c>
      <c r="C99" s="85">
        <f>IF(A99="","",PPMT($H$2/360*30.4,A99,$H$1,-$H$3)+Carátula!M140-Carátula!N140)</f>
        <v>1816.7838192405102</v>
      </c>
      <c r="D99" s="85">
        <f>IF(A99="","",(PMT($H$2/360*30.4,$H$1,-$H$3)-(($H$2/360*30.4)*(B99))+Carátula!M140-Carátula!N140))</f>
        <v>1816.7838192405097</v>
      </c>
      <c r="E99" s="85">
        <f>IF(A99="","",PPMT($H$2/360*30.4,1,$H$1-A99+1,-B99)+Carátula!M140-Carátula!N140)</f>
        <v>1816.7838192405102</v>
      </c>
    </row>
    <row r="100" spans="1:5" x14ac:dyDescent="0.25">
      <c r="A100" s="2">
        <f t="shared" si="1"/>
        <v>98</v>
      </c>
      <c r="B100" s="86">
        <f>Carátula!F141</f>
        <v>475358.61166248168</v>
      </c>
      <c r="C100" s="85">
        <f>IF(A100="","",PPMT($H$2/360*30.4,A100,$H$1,-$H$3)+Carátula!M141-Carátula!N141)</f>
        <v>1830.8215022171755</v>
      </c>
      <c r="D100" s="85">
        <f>IF(A100="","",(PMT($H$2/360*30.4,$H$1,-$H$3)-(($H$2/360*30.4)*(B100))+Carátula!M141-Carátula!N141))</f>
        <v>1830.8215022171748</v>
      </c>
      <c r="E100" s="85">
        <f>IF(A100="","",PPMT($H$2/360*30.4,1,$H$1-A100+1,-B100)+Carátula!M141-Carátula!N141)</f>
        <v>1830.8215022171757</v>
      </c>
    </row>
    <row r="101" spans="1:5" x14ac:dyDescent="0.25">
      <c r="A101" s="2">
        <f t="shared" si="1"/>
        <v>99</v>
      </c>
      <c r="B101" s="86">
        <f>Carátula!F142</f>
        <v>473527.79016026453</v>
      </c>
      <c r="C101" s="85">
        <f>IF(A101="","",PPMT($H$2/360*30.4,A101,$H$1,-$H$3)+Carátula!M142-Carátula!N142)</f>
        <v>1844.9676496909733</v>
      </c>
      <c r="D101" s="85">
        <f>IF(A101="","",(PMT($H$2/360*30.4,$H$1,-$H$3)-(($H$2/360*30.4)*(B101))+Carátula!M142-Carátula!N142))</f>
        <v>1844.9676496909728</v>
      </c>
      <c r="E101" s="85">
        <f>IF(A101="","",PPMT($H$2/360*30.4,1,$H$1-A101+1,-B101)+Carátula!M142-Carátula!N142)</f>
        <v>1844.9676496909735</v>
      </c>
    </row>
    <row r="102" spans="1:5" x14ac:dyDescent="0.25">
      <c r="A102" s="2">
        <f t="shared" si="1"/>
        <v>100</v>
      </c>
      <c r="B102" s="86">
        <f>Carátula!F143</f>
        <v>471682.82251057355</v>
      </c>
      <c r="C102" s="85">
        <f>IF(A102="","",PPMT($H$2/360*30.4,A102,$H$1,-$H$3)+Carátula!M143-Carátula!N143)</f>
        <v>1859.2230997309186</v>
      </c>
      <c r="D102" s="85">
        <f>IF(A102="","",(PMT($H$2/360*30.4,$H$1,-$H$3)-(($H$2/360*30.4)*(B102))+Carátula!M143-Carátula!N143))</f>
        <v>1859.2230997309184</v>
      </c>
      <c r="E102" s="85">
        <f>IF(A102="","",PPMT($H$2/360*30.4,1,$H$1-A102+1,-B102)+Carátula!M143-Carátula!N143)</f>
        <v>1859.2230997309186</v>
      </c>
    </row>
    <row r="103" spans="1:5" x14ac:dyDescent="0.25">
      <c r="A103" s="2">
        <f t="shared" si="1"/>
        <v>101</v>
      </c>
      <c r="B103" s="86">
        <f>Carátula!F144</f>
        <v>469823.59941084264</v>
      </c>
      <c r="C103" s="85">
        <f>IF(A103="","",PPMT($H$2/360*30.4,A103,$H$1,-$H$3)+Carátula!M144-Carátula!N144)</f>
        <v>1873.5886968815062</v>
      </c>
      <c r="D103" s="85">
        <f>IF(A103="","",(PMT($H$2/360*30.4,$H$1,-$H$3)-(($H$2/360*30.4)*(B103))+Carátula!M144-Carátula!N144))</f>
        <v>1873.5886968815062</v>
      </c>
      <c r="E103" s="85">
        <f>IF(A103="","",PPMT($H$2/360*30.4,1,$H$1-A103+1,-B103)+Carátula!M144-Carátula!N144)</f>
        <v>1873.5886968815066</v>
      </c>
    </row>
    <row r="104" spans="1:5" x14ac:dyDescent="0.25">
      <c r="A104" s="2">
        <f t="shared" si="1"/>
        <v>102</v>
      </c>
      <c r="B104" s="86">
        <f>Carátula!F145</f>
        <v>467950.01071396115</v>
      </c>
      <c r="C104" s="85">
        <f>IF(A104="","",PPMT($H$2/360*30.4,A104,$H$1,-$H$3)+Carátula!M145-Carátula!N145)</f>
        <v>1888.0652922127442</v>
      </c>
      <c r="D104" s="85">
        <f>IF(A104="","",(PMT($H$2/360*30.4,$H$1,-$H$3)-(($H$2/360*30.4)*(B104))+Carátula!M145-Carátula!N145))</f>
        <v>1888.0652922127438</v>
      </c>
      <c r="E104" s="85">
        <f>IF(A104="","",PPMT($H$2/360*30.4,1,$H$1-A104+1,-B104)+Carátula!M145-Carátula!N145)</f>
        <v>1888.0652922127449</v>
      </c>
    </row>
    <row r="105" spans="1:5" x14ac:dyDescent="0.25">
      <c r="A105" s="2">
        <f t="shared" si="1"/>
        <v>103</v>
      </c>
      <c r="B105" s="86">
        <f>Carátula!F146</f>
        <v>466061.94542174839</v>
      </c>
      <c r="C105" s="85">
        <f>IF(A105="","",PPMT($H$2/360*30.4,A105,$H$1,-$H$3)+Carátula!M146-Carátula!N146)</f>
        <v>1902.6537433705744</v>
      </c>
      <c r="D105" s="85">
        <f>IF(A105="","",(PMT($H$2/360*30.4,$H$1,-$H$3)-(($H$2/360*30.4)*(B105))+Carátula!M146-Carátula!N146))</f>
        <v>1902.6537433705744</v>
      </c>
      <c r="E105" s="85">
        <f>IF(A105="","",PPMT($H$2/360*30.4,1,$H$1-A105+1,-B105)+Carátula!M146-Carátula!N146)</f>
        <v>1902.6537433705748</v>
      </c>
    </row>
    <row r="106" spans="1:5" x14ac:dyDescent="0.25">
      <c r="A106" s="2">
        <f t="shared" si="1"/>
        <v>104</v>
      </c>
      <c r="B106" s="86">
        <f>Carátula!F147</f>
        <v>464159.29167837783</v>
      </c>
      <c r="C106" s="85">
        <f>IF(A106="","",PPMT($H$2/360*30.4,A106,$H$1,-$H$3)+Carátula!M147-Carátula!N147)</f>
        <v>1917.3549146276844</v>
      </c>
      <c r="D106" s="85">
        <f>IF(A106="","",(PMT($H$2/360*30.4,$H$1,-$H$3)-(($H$2/360*30.4)*(B106))+Carátula!M147-Carátula!N147))</f>
        <v>1917.3549146276841</v>
      </c>
      <c r="E106" s="85">
        <f>IF(A106="","",PPMT($H$2/360*30.4,1,$H$1-A106+1,-B106)+Carátula!M147-Carátula!N147)</f>
        <v>1917.3549146276848</v>
      </c>
    </row>
    <row r="107" spans="1:5" x14ac:dyDescent="0.25">
      <c r="A107" s="2">
        <f t="shared" si="1"/>
        <v>105</v>
      </c>
      <c r="B107" s="86">
        <f>Carátula!F148</f>
        <v>462241.93676375016</v>
      </c>
      <c r="C107" s="85">
        <f>IF(A107="","",PPMT($H$2/360*30.4,A107,$H$1,-$H$3)+Carátula!M148-Carátula!N148)</f>
        <v>1932.1696769347079</v>
      </c>
      <c r="D107" s="85">
        <f>IF(A107="","",(PMT($H$2/360*30.4,$H$1,-$H$3)-(($H$2/360*30.4)*(B107))+Carátula!M148-Carátula!N148))</f>
        <v>1932.1696769347072</v>
      </c>
      <c r="E107" s="85">
        <f>IF(A107="","",PPMT($H$2/360*30.4,1,$H$1-A107+1,-B107)+Carátula!M148-Carátula!N148)</f>
        <v>1932.1696769347081</v>
      </c>
    </row>
    <row r="108" spans="1:5" x14ac:dyDescent="0.25">
      <c r="A108" s="2">
        <f t="shared" si="1"/>
        <v>106</v>
      </c>
      <c r="B108" s="86">
        <f>Carátula!F149</f>
        <v>460309.76708681544</v>
      </c>
      <c r="C108" s="85">
        <f>IF(A108="","",PPMT($H$2/360*30.4,A108,$H$1,-$H$3)+Carátula!M149-Carátula!N149)</f>
        <v>1947.0989079718236</v>
      </c>
      <c r="D108" s="85">
        <f>IF(A108="","",(PMT($H$2/360*30.4,$H$1,-$H$3)-(($H$2/360*30.4)*(B108))+Carátula!M149-Carátula!N149))</f>
        <v>1947.0989079718229</v>
      </c>
      <c r="E108" s="85">
        <f>IF(A108="","",PPMT($H$2/360*30.4,1,$H$1-A108+1,-B108)+Carátula!M149-Carátula!N149)</f>
        <v>1947.098907971824</v>
      </c>
    </row>
    <row r="109" spans="1:5" x14ac:dyDescent="0.25">
      <c r="A109" s="2">
        <f t="shared" si="1"/>
        <v>107</v>
      </c>
      <c r="B109" s="86">
        <f>Carátula!F150</f>
        <v>458362.66817884363</v>
      </c>
      <c r="C109" s="85">
        <f>IF(A109="","",PPMT($H$2/360*30.4,A109,$H$1,-$H$3)+Carátula!M150-Carátula!N150)</f>
        <v>1962.143492200752</v>
      </c>
      <c r="D109" s="85">
        <f>IF(A109="","",(PMT($H$2/360*30.4,$H$1,-$H$3)-(($H$2/360*30.4)*(B109))+Carátula!M150-Carátula!N150))</f>
        <v>1962.1434922007516</v>
      </c>
      <c r="E109" s="85">
        <f>IF(A109="","",PPMT($H$2/360*30.4,1,$H$1-A109+1,-B109)+Carátula!M150-Carátula!N150)</f>
        <v>1962.1434922007525</v>
      </c>
    </row>
    <row r="110" spans="1:5" x14ac:dyDescent="0.25">
      <c r="A110" s="2">
        <f t="shared" si="1"/>
        <v>108</v>
      </c>
      <c r="B110" s="86">
        <f>Carátula!F151</f>
        <v>456400.52468664286</v>
      </c>
      <c r="C110" s="85">
        <f>IF(A110="","",PPMT($H$2/360*30.4,A110,$H$1,-$H$3)+Carátula!M151-Carátula!N151)</f>
        <v>1977.3043209171567</v>
      </c>
      <c r="D110" s="85">
        <f>IF(A110="","",(PMT($H$2/360*30.4,$H$1,-$H$3)-(($H$2/360*30.4)*(B110))+Carátula!M151-Carátula!N151))</f>
        <v>1977.304320917156</v>
      </c>
      <c r="E110" s="85">
        <f>IF(A110="","",PPMT($H$2/360*30.4,1,$H$1-A110+1,-B110)+Carátula!M151-Carátula!N151)</f>
        <v>1977.3043209171572</v>
      </c>
    </row>
    <row r="111" spans="1:5" x14ac:dyDescent="0.25">
      <c r="A111" s="2">
        <f t="shared" si="1"/>
        <v>109</v>
      </c>
      <c r="B111" s="86">
        <f>Carátula!F152</f>
        <v>454423.22036572569</v>
      </c>
      <c r="C111" s="85">
        <f>IF(A111="","",PPMT($H$2/360*30.4,A111,$H$1,-$H$3)+Carátula!M152-Carátula!N152)</f>
        <v>1992.5822923034432</v>
      </c>
      <c r="D111" s="85">
        <f>IF(A111="","",(PMT($H$2/360*30.4,$H$1,-$H$3)-(($H$2/360*30.4)*(B111))+Carátula!M152-Carátula!N152))</f>
        <v>1992.582292303443</v>
      </c>
      <c r="E111" s="85">
        <f>IF(A111="","",PPMT($H$2/360*30.4,1,$H$1-A111+1,-B111)+Carátula!M152-Carátula!N152)</f>
        <v>1992.5822923034436</v>
      </c>
    </row>
    <row r="112" spans="1:5" x14ac:dyDescent="0.25">
      <c r="A112" s="2">
        <f t="shared" si="1"/>
        <v>110</v>
      </c>
      <c r="B112" s="86">
        <f>Carátula!F153</f>
        <v>452430.63807342225</v>
      </c>
      <c r="C112" s="85">
        <f>IF(A112="","",PPMT($H$2/360*30.4,A112,$H$1,-$H$3)+Carátula!M153-Carátula!N153)</f>
        <v>2007.9783114819747</v>
      </c>
      <c r="D112" s="85">
        <f>IF(A112="","",(PMT($H$2/360*30.4,$H$1,-$H$3)-(($H$2/360*30.4)*(B112))+Carátula!M153-Carátula!N153))</f>
        <v>2007.9783114819743</v>
      </c>
      <c r="E112" s="85">
        <f>IF(A112="","",PPMT($H$2/360*30.4,1,$H$1-A112+1,-B112)+Carátula!M153-Carátula!N153)</f>
        <v>2007.978311481975</v>
      </c>
    </row>
    <row r="113" spans="1:5" x14ac:dyDescent="0.25">
      <c r="A113" s="2">
        <f t="shared" si="1"/>
        <v>111</v>
      </c>
      <c r="B113" s="86">
        <f>Carátula!F154</f>
        <v>450422.65976194025</v>
      </c>
      <c r="C113" s="85">
        <f>IF(A113="","",PPMT($H$2/360*30.4,A113,$H$1,-$H$3)+Carátula!M154-Carátula!N154)</f>
        <v>2023.4932905686917</v>
      </c>
      <c r="D113" s="85">
        <f>IF(A113="","",(PMT($H$2/360*30.4,$H$1,-$H$3)-(($H$2/360*30.4)*(B113))+Carátula!M154-Carátula!N154))</f>
        <v>2023.4932905686919</v>
      </c>
      <c r="E113" s="85">
        <f>IF(A113="","",PPMT($H$2/360*30.4,1,$H$1-A113+1,-B113)+Carátula!M154-Carátula!N154)</f>
        <v>2023.4932905686919</v>
      </c>
    </row>
    <row r="114" spans="1:5" x14ac:dyDescent="0.25">
      <c r="A114" s="2">
        <f t="shared" si="1"/>
        <v>112</v>
      </c>
      <c r="B114" s="86">
        <f>Carátula!F155</f>
        <v>448399.16647137154</v>
      </c>
      <c r="C114" s="85">
        <f>IF(A114="","",PPMT($H$2/360*30.4,A114,$H$1,-$H$3)+Carátula!M155-Carátula!N155)</f>
        <v>2039.1281487271524</v>
      </c>
      <c r="D114" s="85">
        <f>IF(A114="","",(PMT($H$2/360*30.4,$H$1,-$H$3)-(($H$2/360*30.4)*(B114))+Carátula!M155-Carátula!N155))</f>
        <v>2039.1281487271526</v>
      </c>
      <c r="E114" s="85">
        <f>IF(A114="","",PPMT($H$2/360*30.4,1,$H$1-A114+1,-B114)+Carátula!M155-Carátula!N155)</f>
        <v>2039.1281487271528</v>
      </c>
    </row>
    <row r="115" spans="1:5" x14ac:dyDescent="0.25">
      <c r="A115" s="2">
        <f t="shared" si="1"/>
        <v>113</v>
      </c>
      <c r="B115" s="86">
        <f>Carátula!F156</f>
        <v>446360.03832264437</v>
      </c>
      <c r="C115" s="85">
        <f>IF(A115="","",PPMT($H$2/360*30.4,A115,$H$1,-$H$3)+Carátula!M156-Carátula!N156)</f>
        <v>2054.8838122229849</v>
      </c>
      <c r="D115" s="85">
        <f>IF(A115="","",(PMT($H$2/360*30.4,$H$1,-$H$3)-(($H$2/360*30.4)*(B115))+Carátula!M156-Carátula!N156))</f>
        <v>2054.8838122229845</v>
      </c>
      <c r="E115" s="85">
        <f>IF(A115="","",PPMT($H$2/360*30.4,1,$H$1-A115+1,-B115)+Carátula!M156-Carátula!N156)</f>
        <v>2054.8838122229849</v>
      </c>
    </row>
    <row r="116" spans="1:5" x14ac:dyDescent="0.25">
      <c r="A116" s="2">
        <f t="shared" si="1"/>
        <v>114</v>
      </c>
      <c r="B116" s="86">
        <f>Carátula!F157</f>
        <v>444305.15451042139</v>
      </c>
      <c r="C116" s="85">
        <f>IF(A116="","",PPMT($H$2/360*30.4,A116,$H$1,-$H$3)+Carátula!M157-Carátula!N157)</f>
        <v>2070.7612144787608</v>
      </c>
      <c r="D116" s="85">
        <f>IF(A116="","",(PMT($H$2/360*30.4,$H$1,-$H$3)-(($H$2/360*30.4)*(B116))+Carátula!M157-Carátula!N157))</f>
        <v>2070.7612144787608</v>
      </c>
      <c r="E116" s="85">
        <f>IF(A116="","",PPMT($H$2/360*30.4,1,$H$1-A116+1,-B116)+Carátula!M157-Carátula!N157)</f>
        <v>2070.7612144787613</v>
      </c>
    </row>
    <row r="117" spans="1:5" x14ac:dyDescent="0.25">
      <c r="A117" s="2">
        <f t="shared" si="1"/>
        <v>115</v>
      </c>
      <c r="B117" s="86">
        <f>Carátula!F158</f>
        <v>442234.39329594263</v>
      </c>
      <c r="C117" s="85">
        <f>IF(A117="","",PPMT($H$2/360*30.4,A117,$H$1,-$H$3)+Carátula!M158-Carátula!N158)</f>
        <v>2086.7612961293003</v>
      </c>
      <c r="D117" s="85">
        <f>IF(A117="","",(PMT($H$2/360*30.4,$H$1,-$H$3)-(($H$2/360*30.4)*(B117))+Carátula!M158-Carátula!N158))</f>
        <v>2086.7612961292998</v>
      </c>
      <c r="E117" s="85">
        <f>IF(A117="","",PPMT($H$2/360*30.4,1,$H$1-A117+1,-B117)+Carátula!M158-Carátula!N158)</f>
        <v>2086.7612961293003</v>
      </c>
    </row>
    <row r="118" spans="1:5" x14ac:dyDescent="0.25">
      <c r="A118" s="2">
        <f t="shared" si="1"/>
        <v>116</v>
      </c>
      <c r="B118" s="86">
        <f>Carátula!F159</f>
        <v>440147.63199981331</v>
      </c>
      <c r="C118" s="85">
        <f>IF(A118="","",PPMT($H$2/360*30.4,A118,$H$1,-$H$3)+Carátula!M159-Carátula!N159)</f>
        <v>2102.8850050773926</v>
      </c>
      <c r="D118" s="85">
        <f>IF(A118="","",(PMT($H$2/360*30.4,$H$1,-$H$3)-(($H$2/360*30.4)*(B118))+Carátula!M159-Carátula!N159))</f>
        <v>2102.8850050773926</v>
      </c>
      <c r="E118" s="85">
        <f>IF(A118="","",PPMT($H$2/360*30.4,1,$H$1-A118+1,-B118)+Carátula!M159-Carátula!N159)</f>
        <v>2102.8850050773926</v>
      </c>
    </row>
    <row r="119" spans="1:5" x14ac:dyDescent="0.25">
      <c r="A119" s="2">
        <f t="shared" si="1"/>
        <v>117</v>
      </c>
      <c r="B119" s="86">
        <f>Carátula!F160</f>
        <v>438044.74699473591</v>
      </c>
      <c r="C119" s="85">
        <f>IF(A119="","",PPMT($H$2/360*30.4,A119,$H$1,-$H$3)+Carátula!M160-Carátula!N160)</f>
        <v>2119.1332965499569</v>
      </c>
      <c r="D119" s="85">
        <f>IF(A119="","",(PMT($H$2/360*30.4,$H$1,-$H$3)-(($H$2/360*30.4)*(B119))+Carátula!M160-Carátula!N160))</f>
        <v>2119.1332965499573</v>
      </c>
      <c r="E119" s="85">
        <f>IF(A119="","",PPMT($H$2/360*30.4,1,$H$1-A119+1,-B119)+Carátula!M160-Carátula!N160)</f>
        <v>2119.1332965499569</v>
      </c>
    </row>
    <row r="120" spans="1:5" x14ac:dyDescent="0.25">
      <c r="A120" s="2">
        <f t="shared" si="1"/>
        <v>118</v>
      </c>
      <c r="B120" s="86">
        <f>Carátula!F161</f>
        <v>435925.61369818595</v>
      </c>
      <c r="C120" s="85">
        <f>IF(A120="","",PPMT($H$2/360*30.4,A120,$H$1,-$H$3)+Carátula!M161-Carátula!N161)</f>
        <v>2135.5071331546333</v>
      </c>
      <c r="D120" s="85">
        <f>IF(A120="","",(PMT($H$2/360*30.4,$H$1,-$H$3)-(($H$2/360*30.4)*(B120))+Carátula!M161-Carátula!N161))</f>
        <v>2135.5071331546333</v>
      </c>
      <c r="E120" s="85">
        <f>IF(A120="","",PPMT($H$2/360*30.4,1,$H$1-A120+1,-B120)+Carátula!M161-Carátula!N161)</f>
        <v>2135.5071331546337</v>
      </c>
    </row>
    <row r="121" spans="1:5" x14ac:dyDescent="0.25">
      <c r="A121" s="2">
        <f t="shared" si="1"/>
        <v>119</v>
      </c>
      <c r="B121" s="86">
        <f>Carátula!F162</f>
        <v>433790.10656503134</v>
      </c>
      <c r="C121" s="85">
        <f>IF(A121="","",PPMT($H$2/360*30.4,A121,$H$1,-$H$3)+Carátula!M162-Carátula!N162)</f>
        <v>2152.0074849368075</v>
      </c>
      <c r="D121" s="85">
        <f>IF(A121="","",(PMT($H$2/360*30.4,$H$1,-$H$3)-(($H$2/360*30.4)*(B121))+Carátula!M162-Carátula!N162))</f>
        <v>2152.0074849368079</v>
      </c>
      <c r="E121" s="85">
        <f>IF(A121="","",PPMT($H$2/360*30.4,1,$H$1-A121+1,-B121)+Carátula!M162-Carátula!N162)</f>
        <v>2152.0074849368079</v>
      </c>
    </row>
    <row r="122" spans="1:5" x14ac:dyDescent="0.25">
      <c r="A122" s="2">
        <f t="shared" si="1"/>
        <v>120</v>
      </c>
      <c r="B122" s="86">
        <f>Carátula!F163</f>
        <v>431638.09908009454</v>
      </c>
      <c r="C122" s="85">
        <f>IF(A122="","",PPMT($H$2/360*30.4,A122,$H$1,-$H$3)+Carátula!M163-Carátula!N163)</f>
        <v>2168.6353294370865</v>
      </c>
      <c r="D122" s="85">
        <f>IF(A122="","",(PMT($H$2/360*30.4,$H$1,-$H$3)-(($H$2/360*30.4)*(B122))+Carátula!M163-Carátula!N163))</f>
        <v>2168.6353294370861</v>
      </c>
      <c r="E122" s="85">
        <f>IF(A122="","",PPMT($H$2/360*30.4,1,$H$1-A122+1,-B122)+Carátula!M163-Carátula!N163)</f>
        <v>2168.635329437087</v>
      </c>
    </row>
    <row r="123" spans="1:5" x14ac:dyDescent="0.25">
      <c r="A123" s="2">
        <f t="shared" si="1"/>
        <v>121</v>
      </c>
      <c r="B123" s="86">
        <f>Carátula!F164</f>
        <v>429469.46375065745</v>
      </c>
      <c r="C123" s="85">
        <f>IF(A123="","",PPMT($H$2/360*30.4,A123,$H$1,-$H$3)+Carátula!M164-Carátula!N164)</f>
        <v>2185.3916517492039</v>
      </c>
      <c r="D123" s="85">
        <f>IF(A123="","",(PMT($H$2/360*30.4,$H$1,-$H$3)-(($H$2/360*30.4)*(B123))+Carátula!M164-Carátula!N164))</f>
        <v>2185.3916517492034</v>
      </c>
      <c r="E123" s="85">
        <f>IF(A123="","",PPMT($H$2/360*30.4,1,$H$1-A123+1,-B123)+Carátula!M164-Carátula!N164)</f>
        <v>2185.3916517492039</v>
      </c>
    </row>
    <row r="124" spans="1:5" x14ac:dyDescent="0.25">
      <c r="A124" s="2">
        <f t="shared" si="1"/>
        <v>122</v>
      </c>
      <c r="B124" s="86">
        <f>Carátula!F165</f>
        <v>427284.07209890825</v>
      </c>
      <c r="C124" s="85">
        <f>IF(A124="","",PPMT($H$2/360*30.4,A124,$H$1,-$H$3)+Carátula!M165-Carátula!N165)</f>
        <v>2202.2774445783857</v>
      </c>
      <c r="D124" s="85">
        <f>IF(A124="","",(PMT($H$2/360*30.4,$H$1,-$H$3)-(($H$2/360*30.4)*(B124))+Carátula!M165-Carátula!N165))</f>
        <v>2202.2774445783857</v>
      </c>
      <c r="E124" s="85">
        <f>IF(A124="","",PPMT($H$2/360*30.4,1,$H$1-A124+1,-B124)+Carátula!M165-Carátula!N165)</f>
        <v>2202.2774445783862</v>
      </c>
    </row>
    <row r="125" spans="1:5" x14ac:dyDescent="0.25">
      <c r="A125" s="2">
        <f t="shared" si="1"/>
        <v>123</v>
      </c>
      <c r="B125" s="86">
        <f>Carátula!F166</f>
        <v>425081.79465432989</v>
      </c>
      <c r="C125" s="85">
        <f>IF(A125="","",PPMT($H$2/360*30.4,A125,$H$1,-$H$3)+Carátula!M166-Carátula!N166)</f>
        <v>2219.2937083001611</v>
      </c>
      <c r="D125" s="85">
        <f>IF(A125="","",(PMT($H$2/360*30.4,$H$1,-$H$3)-(($H$2/360*30.4)*(B125))+Carátula!M166-Carátula!N166))</f>
        <v>2219.2937083001611</v>
      </c>
      <c r="E125" s="85">
        <f>IF(A125="","",PPMT($H$2/360*30.4,1,$H$1-A125+1,-B125)+Carátula!M166-Carátula!N166)</f>
        <v>2219.2937083001616</v>
      </c>
    </row>
    <row r="126" spans="1:5" x14ac:dyDescent="0.25">
      <c r="A126" s="2">
        <f t="shared" si="1"/>
        <v>124</v>
      </c>
      <c r="B126" s="86">
        <f>Carátula!F167</f>
        <v>422862.50094602973</v>
      </c>
      <c r="C126" s="85">
        <f>IF(A126="","",PPMT($H$2/360*30.4,A126,$H$1,-$H$3)+Carátula!M167-Carátula!N167)</f>
        <v>2236.441451019627</v>
      </c>
      <c r="D126" s="85">
        <f>IF(A126="","",(PMT($H$2/360*30.4,$H$1,-$H$3)-(($H$2/360*30.4)*(B126))+Carátula!M167-Carátula!N167))</f>
        <v>2236.441451019627</v>
      </c>
      <c r="E126" s="85">
        <f>IF(A126="","",PPMT($H$2/360*30.4,1,$H$1-A126+1,-B126)+Carátula!M167-Carátula!N167)</f>
        <v>2236.4414510196275</v>
      </c>
    </row>
    <row r="127" spans="1:5" x14ac:dyDescent="0.25">
      <c r="A127" s="2">
        <f t="shared" si="1"/>
        <v>125</v>
      </c>
      <c r="B127" s="86">
        <f>Carátula!F168</f>
        <v>420626.05949501012</v>
      </c>
      <c r="C127" s="85">
        <f>IF(A127="","",PPMT($H$2/360*30.4,A127,$H$1,-$H$3)+Carátula!M168-Carátula!N168)</f>
        <v>2253.7216886311721</v>
      </c>
      <c r="D127" s="85">
        <f>IF(A127="","",(PMT($H$2/360*30.4,$H$1,-$H$3)-(($H$2/360*30.4)*(B127))+Carátula!M168-Carátula!N168))</f>
        <v>2253.7216886311717</v>
      </c>
      <c r="E127" s="85">
        <f>IF(A127="","",PPMT($H$2/360*30.4,1,$H$1-A127+1,-B127)+Carátula!M168-Carátula!N168)</f>
        <v>2253.7216886311726</v>
      </c>
    </row>
    <row r="128" spans="1:5" x14ac:dyDescent="0.25">
      <c r="A128" s="2">
        <f t="shared" si="1"/>
        <v>126</v>
      </c>
      <c r="B128" s="86">
        <f>Carátula!F169</f>
        <v>418372.33780637896</v>
      </c>
      <c r="C128" s="85">
        <f>IF(A128="","",PPMT($H$2/360*30.4,A128,$H$1,-$H$3)+Carátula!M169-Carátula!N169)</f>
        <v>2271.1354448786628</v>
      </c>
      <c r="D128" s="85">
        <f>IF(A128="","",(PMT($H$2/360*30.4,$H$1,-$H$3)-(($H$2/360*30.4)*(B128))+Carátula!M169-Carátula!N169))</f>
        <v>2271.1354448786619</v>
      </c>
      <c r="E128" s="85">
        <f>IF(A128="","",PPMT($H$2/360*30.4,1,$H$1-A128+1,-B128)+Carátula!M169-Carátula!N169)</f>
        <v>2271.1354448786628</v>
      </c>
    </row>
    <row r="129" spans="1:5" x14ac:dyDescent="0.25">
      <c r="A129" s="2">
        <f t="shared" si="1"/>
        <v>127</v>
      </c>
      <c r="B129" s="86">
        <f>Carátula!F170</f>
        <v>416101.2023615003</v>
      </c>
      <c r="C129" s="85">
        <f>IF(A129="","",PPMT($H$2/360*30.4,A129,$H$1,-$H$3)+Carátula!M170-Carátula!N170)</f>
        <v>2288.6837514160916</v>
      </c>
      <c r="D129" s="85">
        <f>IF(A129="","",(PMT($H$2/360*30.4,$H$1,-$H$3)-(($H$2/360*30.4)*(B129))+Carátula!M170-Carátula!N170))</f>
        <v>2288.6837514160911</v>
      </c>
      <c r="E129" s="85">
        <f>IF(A129="","",PPMT($H$2/360*30.4,1,$H$1-A129+1,-B129)+Carátula!M170-Carátula!N170)</f>
        <v>2288.6837514160916</v>
      </c>
    </row>
    <row r="130" spans="1:5" x14ac:dyDescent="0.25">
      <c r="A130" s="2">
        <f t="shared" si="1"/>
        <v>128</v>
      </c>
      <c r="B130" s="86">
        <f>Carátula!F171</f>
        <v>413812.5186100842</v>
      </c>
      <c r="C130" s="85">
        <f>IF(A130="","",PPMT($H$2/360*30.4,A130,$H$1,-$H$3)+Carátula!M171-Carátula!N171)</f>
        <v>2306.3676478687003</v>
      </c>
      <c r="D130" s="85">
        <f>IF(A130="","",(PMT($H$2/360*30.4,$H$1,-$H$3)-(($H$2/360*30.4)*(B130))+Carátula!M171-Carátula!N171))</f>
        <v>2306.3676478686994</v>
      </c>
      <c r="E130" s="85">
        <f>IF(A130="","",PPMT($H$2/360*30.4,1,$H$1-A130+1,-B130)+Carátula!M171-Carátula!N171)</f>
        <v>2306.3676478687003</v>
      </c>
    </row>
    <row r="131" spans="1:5" x14ac:dyDescent="0.25">
      <c r="A131" s="2">
        <f t="shared" si="1"/>
        <v>129</v>
      </c>
      <c r="B131" s="86">
        <f>Carátula!F172</f>
        <v>411506.1509622155</v>
      </c>
      <c r="C131" s="85">
        <f>IF(A131="","",PPMT($H$2/360*30.4,A131,$H$1,-$H$3)+Carátula!M172-Carátula!N172)</f>
        <v>2324.1881818945653</v>
      </c>
      <c r="D131" s="85">
        <f>IF(A131="","",(PMT($H$2/360*30.4,$H$1,-$H$3)-(($H$2/360*30.4)*(B131))+Carátula!M172-Carátula!N172))</f>
        <v>2324.1881818945649</v>
      </c>
      <c r="E131" s="85">
        <f>IF(A131="","",PPMT($H$2/360*30.4,1,$H$1-A131+1,-B131)+Carátula!M172-Carátula!N172)</f>
        <v>2324.1881818945658</v>
      </c>
    </row>
    <row r="132" spans="1:5" x14ac:dyDescent="0.25">
      <c r="A132" s="2">
        <f t="shared" si="1"/>
        <v>130</v>
      </c>
      <c r="B132" s="86">
        <f>Carátula!F173</f>
        <v>409181.96278032096</v>
      </c>
      <c r="C132" s="85">
        <f>IF(A132="","",PPMT($H$2/360*30.4,A132,$H$1,-$H$3)+Carátula!M173-Carátula!N173)</f>
        <v>2342.1464092466708</v>
      </c>
      <c r="D132" s="85">
        <f>IF(A132="","",(PMT($H$2/360*30.4,$H$1,-$H$3)-(($H$2/360*30.4)*(B132))+Carátula!M173-Carátula!N173))</f>
        <v>2342.1464092466699</v>
      </c>
      <c r="E132" s="85">
        <f>IF(A132="","",PPMT($H$2/360*30.4,1,$H$1-A132+1,-B132)+Carátula!M173-Carátula!N173)</f>
        <v>2342.1464092466713</v>
      </c>
    </row>
    <row r="133" spans="1:5" x14ac:dyDescent="0.25">
      <c r="A133" s="2">
        <f t="shared" ref="A133:A196" si="2">IF(A132=$H$1,"",IF(A132="","",A132+1))</f>
        <v>131</v>
      </c>
      <c r="B133" s="86">
        <f>Carátula!F174</f>
        <v>406839.8163710743</v>
      </c>
      <c r="C133" s="85">
        <f>IF(A133="","",PPMT($H$2/360*30.4,A133,$H$1,-$H$3)+Carátula!M174-Carátula!N174)</f>
        <v>2360.2433938354498</v>
      </c>
      <c r="D133" s="85">
        <f>IF(A133="","",(PMT($H$2/360*30.4,$H$1,-$H$3)-(($H$2/360*30.4)*(B133))+Carátula!M174-Carátula!N174))</f>
        <v>2360.2433938354493</v>
      </c>
      <c r="E133" s="85">
        <f>IF(A133="","",PPMT($H$2/360*30.4,1,$H$1-A133+1,-B133)+Carátula!M174-Carátula!N174)</f>
        <v>2360.2433938354507</v>
      </c>
    </row>
    <row r="134" spans="1:5" x14ac:dyDescent="0.25">
      <c r="A134" s="2">
        <f t="shared" si="2"/>
        <v>132</v>
      </c>
      <c r="B134" s="86">
        <f>Carátula!F175</f>
        <v>404479.57297723886</v>
      </c>
      <c r="C134" s="85">
        <f>IF(A134="","",PPMT($H$2/360*30.4,A134,$H$1,-$H$3)+Carátula!M175-Carátula!N175)</f>
        <v>2378.4802077918184</v>
      </c>
      <c r="D134" s="85">
        <f>IF(A134="","",(PMT($H$2/360*30.4,$H$1,-$H$3)-(($H$2/360*30.4)*(B134))+Carátula!M175-Carátula!N175))</f>
        <v>2378.480207791818</v>
      </c>
      <c r="E134" s="85">
        <f>IF(A134="","",PPMT($H$2/360*30.4,1,$H$1-A134+1,-B134)+Carátula!M175-Carátula!N175)</f>
        <v>2378.4802077918193</v>
      </c>
    </row>
    <row r="135" spans="1:5" x14ac:dyDescent="0.25">
      <c r="A135" s="2">
        <f t="shared" si="2"/>
        <v>133</v>
      </c>
      <c r="B135" s="86">
        <f>Carátula!F176</f>
        <v>402101.09276944702</v>
      </c>
      <c r="C135" s="85">
        <f>IF(A135="","",PPMT($H$2/360*30.4,A135,$H$1,-$H$3)+Carátula!M176-Carátula!N176)</f>
        <v>2396.8579315306902</v>
      </c>
      <c r="D135" s="85">
        <f>IF(A135="","",(PMT($H$2/360*30.4,$H$1,-$H$3)-(($H$2/360*30.4)*(B135))+Carátula!M176-Carátula!N176))</f>
        <v>2396.8579315306893</v>
      </c>
      <c r="E135" s="85">
        <f>IF(A135="","",PPMT($H$2/360*30.4,1,$H$1-A135+1,-B135)+Carátula!M176-Carátula!N176)</f>
        <v>2396.8579315306911</v>
      </c>
    </row>
    <row r="136" spans="1:5" x14ac:dyDescent="0.25">
      <c r="A136" s="2">
        <f t="shared" si="2"/>
        <v>134</v>
      </c>
      <c r="B136" s="86">
        <f>Carátula!F177</f>
        <v>399704.23483791633</v>
      </c>
      <c r="C136" s="85">
        <f>IF(A136="","",PPMT($H$2/360*30.4,A136,$H$1,-$H$3)+Carátula!M177-Carátula!N177)</f>
        <v>2415.3776538149837</v>
      </c>
      <c r="D136" s="85">
        <f>IF(A136="","",(PMT($H$2/360*30.4,$H$1,-$H$3)-(($H$2/360*30.4)*(B136))+Carátula!M177-Carátula!N177))</f>
        <v>2415.3776538149832</v>
      </c>
      <c r="E136" s="85">
        <f>IF(A136="","",PPMT($H$2/360*30.4,1,$H$1-A136+1,-B136)+Carátula!M177-Carátula!N177)</f>
        <v>2415.3776538149846</v>
      </c>
    </row>
    <row r="137" spans="1:5" x14ac:dyDescent="0.25">
      <c r="A137" s="2">
        <f t="shared" si="2"/>
        <v>135</v>
      </c>
      <c r="B137" s="86">
        <f>Carátula!F178</f>
        <v>397288.85718410136</v>
      </c>
      <c r="C137" s="85">
        <f>IF(A137="","",PPMT($H$2/360*30.4,A137,$H$1,-$H$3)+Carátula!M178-Carátula!N178)</f>
        <v>2434.0404718201276</v>
      </c>
      <c r="D137" s="85">
        <f>IF(A137="","",(PMT($H$2/360*30.4,$H$1,-$H$3)-(($H$2/360*30.4)*(B137))+Carátula!M178-Carátula!N178))</f>
        <v>2434.0404718201266</v>
      </c>
      <c r="E137" s="85">
        <f>IF(A137="","",PPMT($H$2/360*30.4,1,$H$1-A137+1,-B137)+Carátula!M178-Carátula!N178)</f>
        <v>2434.0404718201285</v>
      </c>
    </row>
    <row r="138" spans="1:5" x14ac:dyDescent="0.25">
      <c r="A138" s="2">
        <f t="shared" si="2"/>
        <v>136</v>
      </c>
      <c r="B138" s="86">
        <f>Carátula!F179</f>
        <v>394854.81671228126</v>
      </c>
      <c r="C138" s="85">
        <f>IF(A138="","",PPMT($H$2/360*30.4,A138,$H$1,-$H$3)+Carátula!M179-Carátula!N179)</f>
        <v>2452.8474911990575</v>
      </c>
      <c r="D138" s="85">
        <f>IF(A138="","",(PMT($H$2/360*30.4,$H$1,-$H$3)-(($H$2/360*30.4)*(B138))+Carátula!M179-Carátula!N179))</f>
        <v>2452.847491199057</v>
      </c>
      <c r="E138" s="85">
        <f>IF(A138="","",PPMT($H$2/360*30.4,1,$H$1-A138+1,-B138)+Carátula!M179-Carátula!N179)</f>
        <v>2452.8474911990588</v>
      </c>
    </row>
    <row r="139" spans="1:5" x14ac:dyDescent="0.25">
      <c r="A139" s="2">
        <f t="shared" si="2"/>
        <v>137</v>
      </c>
      <c r="B139" s="86">
        <f>Carátula!F180</f>
        <v>392401.96922108222</v>
      </c>
      <c r="C139" s="85">
        <f>IF(A139="","",PPMT($H$2/360*30.4,A139,$H$1,-$H$3)+Carátula!M180-Carátula!N180)</f>
        <v>2471.7998261477223</v>
      </c>
      <c r="D139" s="85">
        <f>IF(A139="","",(PMT($H$2/360*30.4,$H$1,-$H$3)-(($H$2/360*30.4)*(B139))+Carátula!M180-Carátula!N180))</f>
        <v>2471.7998261477214</v>
      </c>
      <c r="E139" s="85">
        <f>IF(A139="","",PPMT($H$2/360*30.4,1,$H$1-A139+1,-B139)+Carátula!M180-Carátula!N180)</f>
        <v>2471.7998261477233</v>
      </c>
    </row>
    <row r="140" spans="1:5" x14ac:dyDescent="0.25">
      <c r="A140" s="2">
        <f t="shared" si="2"/>
        <v>138</v>
      </c>
      <c r="B140" s="86">
        <f>Carátula!F181</f>
        <v>389930.16939493449</v>
      </c>
      <c r="C140" s="85">
        <f>IF(A140="","",PPMT($H$2/360*30.4,A140,$H$1,-$H$3)+Carátula!M181-Carátula!N181)</f>
        <v>2490.8985994710906</v>
      </c>
      <c r="D140" s="85">
        <f>IF(A140="","",(PMT($H$2/360*30.4,$H$1,-$H$3)-(($H$2/360*30.4)*(B140))+Carátula!M181-Carátula!N181))</f>
        <v>2490.8985994710897</v>
      </c>
      <c r="E140" s="85">
        <f>IF(A140="","",PPMT($H$2/360*30.4,1,$H$1-A140+1,-B140)+Carátula!M181-Carátula!N181)</f>
        <v>2490.898599471092</v>
      </c>
    </row>
    <row r="141" spans="1:5" x14ac:dyDescent="0.25">
      <c r="A141" s="2">
        <f t="shared" si="2"/>
        <v>139</v>
      </c>
      <c r="B141" s="86">
        <f>Carátula!F182</f>
        <v>387439.27079546341</v>
      </c>
      <c r="C141" s="85">
        <f>IF(A141="","",PPMT($H$2/360*30.4,A141,$H$1,-$H$3)+Carátula!M182-Carátula!N182)</f>
        <v>2510.1449426496706</v>
      </c>
      <c r="D141" s="85">
        <f>IF(A141="","",(PMT($H$2/360*30.4,$H$1,-$H$3)-(($H$2/360*30.4)*(B141))+Carátula!M182-Carátula!N182))</f>
        <v>2510.1449426496692</v>
      </c>
      <c r="E141" s="85">
        <f>IF(A141="","",PPMT($H$2/360*30.4,1,$H$1-A141+1,-B141)+Carátula!M182-Carátula!N182)</f>
        <v>2510.144942649672</v>
      </c>
    </row>
    <row r="142" spans="1:5" x14ac:dyDescent="0.25">
      <c r="A142" s="2">
        <f t="shared" si="2"/>
        <v>140</v>
      </c>
      <c r="B142" s="86">
        <f>Carátula!F183</f>
        <v>384929.12585281371</v>
      </c>
      <c r="C142" s="85">
        <f>IF(A142="","",PPMT($H$2/360*30.4,A142,$H$1,-$H$3)+Carátula!M183-Carátula!N183)</f>
        <v>2529.5399959065435</v>
      </c>
      <c r="D142" s="85">
        <f>IF(A142="","",(PMT($H$2/360*30.4,$H$1,-$H$3)-(($H$2/360*30.4)*(B142))+Carátula!M183-Carátula!N183))</f>
        <v>2529.5399959065426</v>
      </c>
      <c r="E142" s="85">
        <f>IF(A142="","",PPMT($H$2/360*30.4,1,$H$1-A142+1,-B142)+Carátula!M183-Carátula!N183)</f>
        <v>2529.5399959065448</v>
      </c>
    </row>
    <row r="143" spans="1:5" x14ac:dyDescent="0.25">
      <c r="A143" s="2">
        <f t="shared" si="2"/>
        <v>141</v>
      </c>
      <c r="B143" s="86">
        <f>Carátula!F184</f>
        <v>382399.58585690719</v>
      </c>
      <c r="C143" s="85">
        <f>IF(A143="","",PPMT($H$2/360*30.4,A143,$H$1,-$H$3)+Carátula!M184-Carátula!N184)</f>
        <v>2549.0849082749146</v>
      </c>
      <c r="D143" s="85">
        <f>IF(A143="","",(PMT($H$2/360*30.4,$H$1,-$H$3)-(($H$2/360*30.4)*(B143))+Carátula!M184-Carátula!N184))</f>
        <v>2549.0849082749137</v>
      </c>
      <c r="E143" s="85">
        <f>IF(A143="","",PPMT($H$2/360*30.4,1,$H$1-A143+1,-B143)+Carátula!M184-Carátula!N184)</f>
        <v>2549.084908274916</v>
      </c>
    </row>
    <row r="144" spans="1:5" x14ac:dyDescent="0.25">
      <c r="A144" s="2">
        <f t="shared" si="2"/>
        <v>142</v>
      </c>
      <c r="B144" s="86">
        <f>Carátula!F185</f>
        <v>379850.50094863225</v>
      </c>
      <c r="C144" s="85">
        <f>IF(A144="","",PPMT($H$2/360*30.4,A144,$H$1,-$H$3)+Carátula!M185-Carátula!N185)</f>
        <v>2568.7808376661856</v>
      </c>
      <c r="D144" s="85">
        <f>IF(A144="","",(PMT($H$2/360*30.4,$H$1,-$H$3)-(($H$2/360*30.4)*(B144))+Carátula!M185-Carátula!N185))</f>
        <v>2568.7808376661847</v>
      </c>
      <c r="E144" s="85">
        <f>IF(A144="","",PPMT($H$2/360*30.4,1,$H$1-A144+1,-B144)+Carátula!M185-Carátula!N185)</f>
        <v>2568.7808376661865</v>
      </c>
    </row>
    <row r="145" spans="1:5" x14ac:dyDescent="0.25">
      <c r="A145" s="2">
        <f t="shared" si="2"/>
        <v>143</v>
      </c>
      <c r="B145" s="86">
        <f>Carátula!F186</f>
        <v>377281.72011096607</v>
      </c>
      <c r="C145" s="85">
        <f>IF(A145="","",PPMT($H$2/360*30.4,A145,$H$1,-$H$3)+Carátula!M186-Carátula!N186)</f>
        <v>2588.6289509385529</v>
      </c>
      <c r="D145" s="85">
        <f>IF(A145="","",(PMT($H$2/360*30.4,$H$1,-$H$3)-(($H$2/360*30.4)*(B145))+Carátula!M186-Carátula!N186))</f>
        <v>2588.6289509385524</v>
      </c>
      <c r="E145" s="85">
        <f>IF(A145="","",PPMT($H$2/360*30.4,1,$H$1-A145+1,-B145)+Carátula!M186-Carátula!N186)</f>
        <v>2588.6289509385542</v>
      </c>
    </row>
    <row r="146" spans="1:5" x14ac:dyDescent="0.25">
      <c r="A146" s="2">
        <f t="shared" si="2"/>
        <v>144</v>
      </c>
      <c r="B146" s="86">
        <f>Carátula!F187</f>
        <v>374693.09116002754</v>
      </c>
      <c r="C146" s="85">
        <f>IF(A146="","",PPMT($H$2/360*30.4,A146,$H$1,-$H$3)+Carátula!M187-Carátula!N187)</f>
        <v>2608.6304239661381</v>
      </c>
      <c r="D146" s="85">
        <f>IF(A146="","",(PMT($H$2/360*30.4,$H$1,-$H$3)-(($H$2/360*30.4)*(B146))+Carátula!M187-Carátula!N187))</f>
        <v>2608.6304239661372</v>
      </c>
      <c r="E146" s="85">
        <f>IF(A146="","",PPMT($H$2/360*30.4,1,$H$1-A146+1,-B146)+Carátula!M187-Carátula!N187)</f>
        <v>2608.630423966139</v>
      </c>
    </row>
    <row r="147" spans="1:5" x14ac:dyDescent="0.25">
      <c r="A147" s="2">
        <f t="shared" si="2"/>
        <v>145</v>
      </c>
      <c r="B147" s="86">
        <f>Carátula!F188</f>
        <v>372084.46073606139</v>
      </c>
      <c r="C147" s="85">
        <f>IF(A147="","",PPMT($H$2/360*30.4,A147,$H$1,-$H$3)+Carátula!M188-Carátula!N188)</f>
        <v>2628.7864417086498</v>
      </c>
      <c r="D147" s="85">
        <f>IF(A147="","",(PMT($H$2/360*30.4,$H$1,-$H$3)-(($H$2/360*30.4)*(B147))+Carátula!M188-Carátula!N188))</f>
        <v>2628.7864417086489</v>
      </c>
      <c r="E147" s="85">
        <f>IF(A147="","",PPMT($H$2/360*30.4,1,$H$1-A147+1,-B147)+Carátula!M188-Carátula!N188)</f>
        <v>2628.7864417086512</v>
      </c>
    </row>
    <row r="148" spans="1:5" x14ac:dyDescent="0.25">
      <c r="A148" s="2">
        <f t="shared" si="2"/>
        <v>146</v>
      </c>
      <c r="B148" s="86">
        <f>Carátula!F189</f>
        <v>369455.67429435276</v>
      </c>
      <c r="C148" s="85">
        <f>IF(A148="","",PPMT($H$2/360*30.4,A148,$H$1,-$H$3)+Carátula!M189-Carátula!N189)</f>
        <v>2649.0981982815856</v>
      </c>
      <c r="D148" s="85">
        <f>IF(A148="","",(PMT($H$2/360*30.4,$H$1,-$H$3)-(($H$2/360*30.4)*(B148))+Carátula!M189-Carátula!N189))</f>
        <v>2649.0981982815842</v>
      </c>
      <c r="E148" s="85">
        <f>IF(A148="","",PPMT($H$2/360*30.4,1,$H$1-A148+1,-B148)+Carátula!M189-Carátula!N189)</f>
        <v>2649.098198281587</v>
      </c>
    </row>
    <row r="149" spans="1:5" x14ac:dyDescent="0.25">
      <c r="A149" s="2">
        <f t="shared" si="2"/>
        <v>147</v>
      </c>
      <c r="B149" s="86">
        <f>Carátula!F190</f>
        <v>366806.57609607116</v>
      </c>
      <c r="C149" s="85">
        <f>IF(A149="","",PPMT($H$2/360*30.4,A149,$H$1,-$H$3)+Carátula!M190-Carátula!N190)</f>
        <v>2669.5668970269744</v>
      </c>
      <c r="D149" s="85">
        <f>IF(A149="","",(PMT($H$2/360*30.4,$H$1,-$H$3)-(($H$2/360*30.4)*(B149))+Carátula!M190-Carátula!N190))</f>
        <v>2669.5668970269735</v>
      </c>
      <c r="E149" s="85">
        <f>IF(A149="","",PPMT($H$2/360*30.4,1,$H$1-A149+1,-B149)+Carátula!M190-Carátula!N190)</f>
        <v>2669.5668970269758</v>
      </c>
    </row>
    <row r="150" spans="1:5" x14ac:dyDescent="0.25">
      <c r="A150" s="2">
        <f t="shared" si="2"/>
        <v>148</v>
      </c>
      <c r="B150" s="86">
        <f>Carátula!F191</f>
        <v>364137.0091990442</v>
      </c>
      <c r="C150" s="85">
        <f>IF(A150="","",PPMT($H$2/360*30.4,A150,$H$1,-$H$3)+Carátula!M191-Carátula!N191)</f>
        <v>2690.1937505846695</v>
      </c>
      <c r="D150" s="85">
        <f>IF(A150="","",(PMT($H$2/360*30.4,$H$1,-$H$3)-(($H$2/360*30.4)*(B150))+Carátula!M191-Carátula!N191))</f>
        <v>2690.1937505846686</v>
      </c>
      <c r="E150" s="85">
        <f>IF(A150="","",PPMT($H$2/360*30.4,1,$H$1-A150+1,-B150)+Carátula!M191-Carátula!N191)</f>
        <v>2690.1937505846709</v>
      </c>
    </row>
    <row r="151" spans="1:5" x14ac:dyDescent="0.25">
      <c r="A151" s="2">
        <f t="shared" si="2"/>
        <v>149</v>
      </c>
      <c r="B151" s="86">
        <f>Carátula!F192</f>
        <v>361446.81544845953</v>
      </c>
      <c r="C151" s="85">
        <f>IF(A151="","",PPMT($H$2/360*30.4,A151,$H$1,-$H$3)+Carátula!M192-Carátula!N192)</f>
        <v>2710.9799809641872</v>
      </c>
      <c r="D151" s="85">
        <f>IF(A151="","",(PMT($H$2/360*30.4,$H$1,-$H$3)-(($H$2/360*30.4)*(B151))+Carátula!M192-Carátula!N192))</f>
        <v>2710.9799809641859</v>
      </c>
      <c r="E151" s="85">
        <f>IF(A151="","",PPMT($H$2/360*30.4,1,$H$1-A151+1,-B151)+Carátula!M192-Carátula!N192)</f>
        <v>2710.9799809641891</v>
      </c>
    </row>
    <row r="152" spans="1:5" x14ac:dyDescent="0.25">
      <c r="A152" s="2">
        <f t="shared" si="2"/>
        <v>150</v>
      </c>
      <c r="B152" s="86">
        <f>Carátula!F193</f>
        <v>358735.83546749532</v>
      </c>
      <c r="C152" s="85">
        <f>IF(A152="","",PPMT($H$2/360*30.4,A152,$H$1,-$H$3)+Carátula!M193-Carátula!N193)</f>
        <v>2731.9268196171038</v>
      </c>
      <c r="D152" s="85">
        <f>IF(A152="","",(PMT($H$2/360*30.4,$H$1,-$H$3)-(($H$2/360*30.4)*(B152))+Carátula!M193-Carátula!N193))</f>
        <v>2731.9268196171029</v>
      </c>
      <c r="E152" s="85">
        <f>IF(A152="","",PPMT($H$2/360*30.4,1,$H$1-A152+1,-B152)+Carátula!M193-Carátula!N193)</f>
        <v>2731.9268196171051</v>
      </c>
    </row>
    <row r="153" spans="1:5" x14ac:dyDescent="0.25">
      <c r="A153" s="2">
        <f t="shared" si="2"/>
        <v>151</v>
      </c>
      <c r="B153" s="86">
        <f>Carátula!F194</f>
        <v>356003.90864787821</v>
      </c>
      <c r="C153" s="85">
        <f>IF(A153="","",PPMT($H$2/360*30.4,A153,$H$1,-$H$3)+Carátula!M194-Carátula!N194)</f>
        <v>2753.0355075100115</v>
      </c>
      <c r="D153" s="85">
        <f>IF(A153="","",(PMT($H$2/360*30.4,$H$1,-$H$3)-(($H$2/360*30.4)*(B153))+Carátula!M194-Carátula!N194))</f>
        <v>2753.035507510011</v>
      </c>
      <c r="E153" s="85">
        <f>IF(A153="","",PPMT($H$2/360*30.4,1,$H$1-A153+1,-B153)+Carátula!M194-Carátula!N194)</f>
        <v>2753.0355075100128</v>
      </c>
    </row>
    <row r="154" spans="1:5" x14ac:dyDescent="0.25">
      <c r="A154" s="2">
        <f t="shared" si="2"/>
        <v>152</v>
      </c>
      <c r="B154" s="86">
        <f>Carátula!F195</f>
        <v>353250.8731403682</v>
      </c>
      <c r="C154" s="85">
        <f>IF(A154="","",PPMT($H$2/360*30.4,A154,$H$1,-$H$3)+Carátula!M195-Carátula!N195)</f>
        <v>2774.3072951980389</v>
      </c>
      <c r="D154" s="85">
        <f>IF(A154="","",(PMT($H$2/360*30.4,$H$1,-$H$3)-(($H$2/360*30.4)*(B154))+Carátula!M195-Carátula!N195))</f>
        <v>2774.3072951980384</v>
      </c>
      <c r="E154" s="85">
        <f>IF(A154="","",PPMT($H$2/360*30.4,1,$H$1-A154+1,-B154)+Carátula!M195-Carátula!N195)</f>
        <v>2774.3072951980398</v>
      </c>
    </row>
    <row r="155" spans="1:5" x14ac:dyDescent="0.25">
      <c r="A155" s="2">
        <f t="shared" si="2"/>
        <v>153</v>
      </c>
      <c r="B155" s="86">
        <f>Carátula!F196</f>
        <v>350476.56584517017</v>
      </c>
      <c r="C155" s="85">
        <f>IF(A155="","",PPMT($H$2/360*30.4,A155,$H$1,-$H$3)+Carátula!M196-Carátula!N196)</f>
        <v>2795.7434428989363</v>
      </c>
      <c r="D155" s="85">
        <f>IF(A155="","",(PMT($H$2/360*30.4,$H$1,-$H$3)-(($H$2/360*30.4)*(B155))+Carátula!M196-Carátula!N196))</f>
        <v>2795.743442898935</v>
      </c>
      <c r="E155" s="85">
        <f>IF(A155="","",PPMT($H$2/360*30.4,1,$H$1-A155+1,-B155)+Carátula!M196-Carátula!N196)</f>
        <v>2795.7434428989377</v>
      </c>
    </row>
    <row r="156" spans="1:5" x14ac:dyDescent="0.25">
      <c r="A156" s="2">
        <f t="shared" si="2"/>
        <v>154</v>
      </c>
      <c r="B156" s="86">
        <f>Carátula!F197</f>
        <v>347680.82240227121</v>
      </c>
      <c r="C156" s="85">
        <f>IF(A156="","",PPMT($H$2/360*30.4,A156,$H$1,-$H$3)+Carátula!M197-Carátula!N197)</f>
        <v>2817.3452205677349</v>
      </c>
      <c r="D156" s="85">
        <f>IF(A156="","",(PMT($H$2/360*30.4,$H$1,-$H$3)-(($H$2/360*30.4)*(B156))+Carátula!M197-Carátula!N197))</f>
        <v>2817.3452205677345</v>
      </c>
      <c r="E156" s="85">
        <f>IF(A156="","",PPMT($H$2/360*30.4,1,$H$1-A156+1,-B156)+Carátula!M197-Carátula!N197)</f>
        <v>2817.3452205677359</v>
      </c>
    </row>
    <row r="157" spans="1:5" x14ac:dyDescent="0.25">
      <c r="A157" s="2">
        <f t="shared" si="2"/>
        <v>155</v>
      </c>
      <c r="B157" s="86">
        <f>Carátula!F198</f>
        <v>344863.47718170349</v>
      </c>
      <c r="C157" s="85">
        <f>IF(A157="","",PPMT($H$2/360*30.4,A157,$H$1,-$H$3)+Carátula!M198-Carátula!N198)</f>
        <v>2839.1139079719883</v>
      </c>
      <c r="D157" s="85">
        <f>IF(A157="","",(PMT($H$2/360*30.4,$H$1,-$H$3)-(($H$2/360*30.4)*(B157))+Carátula!M198-Carátula!N198))</f>
        <v>2839.1139079719878</v>
      </c>
      <c r="E157" s="85">
        <f>IF(A157="","",PPMT($H$2/360*30.4,1,$H$1-A157+1,-B157)+Carátula!M198-Carátula!N198)</f>
        <v>2839.1139079719892</v>
      </c>
    </row>
    <row r="158" spans="1:5" x14ac:dyDescent="0.25">
      <c r="A158" s="2">
        <f t="shared" si="2"/>
        <v>156</v>
      </c>
      <c r="B158" s="86">
        <f>Carátula!F199</f>
        <v>342024.36327373149</v>
      </c>
      <c r="C158" s="85">
        <f>IF(A158="","",PPMT($H$2/360*30.4,A158,$H$1,-$H$3)+Carátula!M199-Carátula!N199)</f>
        <v>2861.0507947675851</v>
      </c>
      <c r="D158" s="85">
        <f>IF(A158="","",(PMT($H$2/360*30.4,$H$1,-$H$3)-(($H$2/360*30.4)*(B158))+Carátula!M199-Carátula!N199))</f>
        <v>2861.0507947675846</v>
      </c>
      <c r="E158" s="85">
        <f>IF(A158="","",PPMT($H$2/360*30.4,1,$H$1-A158+1,-B158)+Carátula!M199-Carátula!N199)</f>
        <v>2861.050794767586</v>
      </c>
    </row>
    <row r="159" spans="1:5" x14ac:dyDescent="0.25">
      <c r="A159" s="2">
        <f t="shared" si="2"/>
        <v>157</v>
      </c>
      <c r="B159" s="86">
        <f>Carátula!F200</f>
        <v>339163.31247896393</v>
      </c>
      <c r="C159" s="85">
        <f>IF(A159="","",PPMT($H$2/360*30.4,A159,$H$1,-$H$3)+Carátula!M200-Carátula!N200)</f>
        <v>2883.157180575156</v>
      </c>
      <c r="D159" s="85">
        <f>IF(A159="","",(PMT($H$2/360*30.4,$H$1,-$H$3)-(($H$2/360*30.4)*(B159))+Carátula!M200-Carátula!N200))</f>
        <v>2883.1571805751555</v>
      </c>
      <c r="E159" s="85">
        <f>IF(A159="","",PPMT($H$2/360*30.4,1,$H$1-A159+1,-B159)+Carátula!M200-Carátula!N200)</f>
        <v>2883.1571805751573</v>
      </c>
    </row>
    <row r="160" spans="1:5" x14ac:dyDescent="0.25">
      <c r="A160" s="2">
        <f t="shared" si="2"/>
        <v>158</v>
      </c>
      <c r="B160" s="86">
        <f>Carátula!F201</f>
        <v>336280.1552983888</v>
      </c>
      <c r="C160" s="85">
        <f>IF(A160="","",PPMT($H$2/360*30.4,A160,$H$1,-$H$3)+Carátula!M201-Carátula!N201)</f>
        <v>2905.434375057067</v>
      </c>
      <c r="D160" s="85">
        <f>IF(A160="","",(PMT($H$2/360*30.4,$H$1,-$H$3)-(($H$2/360*30.4)*(B160))+Carátula!M201-Carátula!N201))</f>
        <v>2905.4343750570661</v>
      </c>
      <c r="E160" s="85">
        <f>IF(A160="","",PPMT($H$2/360*30.4,1,$H$1-A160+1,-B160)+Carátula!M201-Carátula!N201)</f>
        <v>2905.4343750570683</v>
      </c>
    </row>
    <row r="161" spans="1:5" x14ac:dyDescent="0.25">
      <c r="A161" s="2">
        <f t="shared" si="2"/>
        <v>159</v>
      </c>
      <c r="B161" s="86">
        <f>Carátula!F202</f>
        <v>333374.72092333174</v>
      </c>
      <c r="C161" s="85">
        <f>IF(A161="","",PPMT($H$2/360*30.4,A161,$H$1,-$H$3)+Carátula!M202-Carátula!N202)</f>
        <v>2927.8836979950079</v>
      </c>
      <c r="D161" s="85">
        <f>IF(A161="","",(PMT($H$2/360*30.4,$H$1,-$H$3)-(($H$2/360*30.4)*(B161))+Carátula!M202-Carátula!N202))</f>
        <v>2927.8836979950065</v>
      </c>
      <c r="E161" s="85">
        <f>IF(A161="","",PPMT($H$2/360*30.4,1,$H$1-A161+1,-B161)+Carátula!M202-Carátula!N202)</f>
        <v>2927.8836979950097</v>
      </c>
    </row>
    <row r="162" spans="1:5" x14ac:dyDescent="0.25">
      <c r="A162" s="2">
        <f t="shared" si="2"/>
        <v>160</v>
      </c>
      <c r="B162" s="86">
        <f>Carátula!F203</f>
        <v>330446.83722533676</v>
      </c>
      <c r="C162" s="85">
        <f>IF(A162="","",PPMT($H$2/360*30.4,A162,$H$1,-$H$3)+Carátula!M203-Carátula!N203)</f>
        <v>2950.5064793681822</v>
      </c>
      <c r="D162" s="85">
        <f>IF(A162="","",(PMT($H$2/360*30.4,$H$1,-$H$3)-(($H$2/360*30.4)*(B162))+Carátula!M203-Carátula!N203))</f>
        <v>2950.5064793681813</v>
      </c>
      <c r="E162" s="85">
        <f>IF(A162="","",PPMT($H$2/360*30.4,1,$H$1-A162+1,-B162)+Carátula!M203-Carátula!N203)</f>
        <v>2950.5064793681836</v>
      </c>
    </row>
    <row r="163" spans="1:5" x14ac:dyDescent="0.25">
      <c r="A163" s="2">
        <f t="shared" si="2"/>
        <v>161</v>
      </c>
      <c r="B163" s="86">
        <f>Carátula!F204</f>
        <v>327496.33074596856</v>
      </c>
      <c r="C163" s="85">
        <f>IF(A163="","",PPMT($H$2/360*30.4,A163,$H$1,-$H$3)+Carátula!M204-Carátula!N204)</f>
        <v>2973.3040594321005</v>
      </c>
      <c r="D163" s="85">
        <f>IF(A163="","",(PMT($H$2/360*30.4,$H$1,-$H$3)-(($H$2/360*30.4)*(B163))+Carátula!M204-Carátula!N204))</f>
        <v>2973.3040594320996</v>
      </c>
      <c r="E163" s="85">
        <f>IF(A163="","",PPMT($H$2/360*30.4,1,$H$1-A163+1,-B163)+Carátula!M204-Carátula!N204)</f>
        <v>2973.3040594321023</v>
      </c>
    </row>
    <row r="164" spans="1:5" x14ac:dyDescent="0.25">
      <c r="A164" s="2">
        <f t="shared" si="2"/>
        <v>162</v>
      </c>
      <c r="B164" s="86">
        <f>Carátula!F205</f>
        <v>324523.02668653644</v>
      </c>
      <c r="C164" s="85">
        <f>IF(A164="","",PPMT($H$2/360*30.4,A164,$H$1,-$H$3)+Carátula!M205-Carátula!N205)</f>
        <v>2996.2777887979796</v>
      </c>
      <c r="D164" s="85">
        <f>IF(A164="","",(PMT($H$2/360*30.4,$H$1,-$H$3)-(($H$2/360*30.4)*(B164))+Carátula!M205-Carátula!N205))</f>
        <v>2996.2777887979782</v>
      </c>
      <c r="E164" s="85">
        <f>IF(A164="","",PPMT($H$2/360*30.4,1,$H$1-A164+1,-B164)+Carátula!M205-Carátula!N205)</f>
        <v>2996.277788797981</v>
      </c>
    </row>
    <row r="165" spans="1:5" x14ac:dyDescent="0.25">
      <c r="A165" s="2">
        <f t="shared" si="2"/>
        <v>163</v>
      </c>
      <c r="B165" s="86">
        <f>Carátula!F206</f>
        <v>321526.74889773846</v>
      </c>
      <c r="C165" s="85">
        <f>IF(A165="","",PPMT($H$2/360*30.4,A165,$H$1,-$H$3)+Carátula!M206-Carátula!N206)</f>
        <v>3019.4290285127586</v>
      </c>
      <c r="D165" s="85">
        <f>IF(A165="","",(PMT($H$2/360*30.4,$H$1,-$H$3)-(($H$2/360*30.4)*(B165))+Carátula!M206-Carátula!N206))</f>
        <v>3019.4290285127572</v>
      </c>
      <c r="E165" s="85">
        <f>IF(A165="","",PPMT($H$2/360*30.4,1,$H$1-A165+1,-B165)+Carátula!M206-Carátula!N206)</f>
        <v>3019.4290285127609</v>
      </c>
    </row>
    <row r="166" spans="1:5" x14ac:dyDescent="0.25">
      <c r="A166" s="2">
        <f t="shared" si="2"/>
        <v>164</v>
      </c>
      <c r="B166" s="86">
        <f>Carátula!F207</f>
        <v>318507.31986922573</v>
      </c>
      <c r="C166" s="85">
        <f>IF(A166="","",PPMT($H$2/360*30.4,A166,$H$1,-$H$3)+Carátula!M207-Carátula!N207)</f>
        <v>3042.7591501397342</v>
      </c>
      <c r="D166" s="85">
        <f>IF(A166="","",(PMT($H$2/360*30.4,$H$1,-$H$3)-(($H$2/360*30.4)*(B166))+Carátula!M207-Carátula!N207))</f>
        <v>3042.7591501397324</v>
      </c>
      <c r="E166" s="85">
        <f>IF(A166="","",PPMT($H$2/360*30.4,1,$H$1-A166+1,-B166)+Carátula!M207-Carátula!N207)</f>
        <v>3042.759150139736</v>
      </c>
    </row>
    <row r="167" spans="1:5" x14ac:dyDescent="0.25">
      <c r="A167" s="2">
        <f t="shared" si="2"/>
        <v>165</v>
      </c>
      <c r="B167" s="86">
        <f>Carátula!F208</f>
        <v>315464.56071908597</v>
      </c>
      <c r="C167" s="85">
        <f>IF(A167="","",PPMT($H$2/360*30.4,A167,$H$1,-$H$3)+Carátula!M208-Carátula!N208)</f>
        <v>3066.2695358398137</v>
      </c>
      <c r="D167" s="85">
        <f>IF(A167="","",(PMT($H$2/360*30.4,$H$1,-$H$3)-(($H$2/360*30.4)*(B167))+Carátula!M208-Carátula!N208))</f>
        <v>3066.2695358398123</v>
      </c>
      <c r="E167" s="85">
        <f>IF(A167="","",PPMT($H$2/360*30.4,1,$H$1-A167+1,-B167)+Carátula!M208-Carátula!N208)</f>
        <v>3066.2695358398155</v>
      </c>
    </row>
    <row r="168" spans="1:5" x14ac:dyDescent="0.25">
      <c r="A168" s="2">
        <f t="shared" si="2"/>
        <v>166</v>
      </c>
      <c r="B168" s="86">
        <f>Carátula!F209</f>
        <v>312398.29118324618</v>
      </c>
      <c r="C168" s="85">
        <f>IF(A168="","",PPMT($H$2/360*30.4,A168,$H$1,-$H$3)+Carátula!M209-Carátula!N209)</f>
        <v>3089.9615784534021</v>
      </c>
      <c r="D168" s="85">
        <f>IF(A168="","",(PMT($H$2/360*30.4,$H$1,-$H$3)-(($H$2/360*30.4)*(B168))+Carátula!M209-Carátula!N209))</f>
        <v>3089.9615784534012</v>
      </c>
      <c r="E168" s="85">
        <f>IF(A168="","",PPMT($H$2/360*30.4,1,$H$1-A168+1,-B168)+Carátula!M209-Carátula!N209)</f>
        <v>3089.9615784534039</v>
      </c>
    </row>
    <row r="169" spans="1:5" x14ac:dyDescent="0.25">
      <c r="A169" s="2">
        <f t="shared" si="2"/>
        <v>167</v>
      </c>
      <c r="B169" s="86">
        <f>Carátula!F210</f>
        <v>309308.32960479276</v>
      </c>
      <c r="C169" s="85">
        <f>IF(A169="","",PPMT($H$2/360*30.4,A169,$H$1,-$H$3)+Carátula!M210-Carátula!N210)</f>
        <v>3113.8366815829195</v>
      </c>
      <c r="D169" s="85">
        <f>IF(A169="","",(PMT($H$2/360*30.4,$H$1,-$H$3)-(($H$2/360*30.4)*(B169))+Carátula!M210-Carátula!N210))</f>
        <v>3113.8366815829181</v>
      </c>
      <c r="E169" s="85">
        <f>IF(A169="","",PPMT($H$2/360*30.4,1,$H$1-A169+1,-B169)+Carátula!M210-Carátula!N210)</f>
        <v>3113.8366815829213</v>
      </c>
    </row>
    <row r="170" spans="1:5" x14ac:dyDescent="0.25">
      <c r="A170" s="2">
        <f t="shared" si="2"/>
        <v>168</v>
      </c>
      <c r="B170" s="86">
        <f>Carátula!F211</f>
        <v>306194.49292320985</v>
      </c>
      <c r="C170" s="85">
        <f>IF(A170="","",PPMT($H$2/360*30.4,A170,$H$1,-$H$3)+Carátula!M211-Carátula!N211)</f>
        <v>3137.8962596759498</v>
      </c>
      <c r="D170" s="85">
        <f>IF(A170="","",(PMT($H$2/360*30.4,$H$1,-$H$3)-(($H$2/360*30.4)*(B170))+Carátula!M211-Carátula!N211))</f>
        <v>3137.8962596759484</v>
      </c>
      <c r="E170" s="85">
        <f>IF(A170="","",PPMT($H$2/360*30.4,1,$H$1-A170+1,-B170)+Carátula!M211-Carátula!N211)</f>
        <v>3137.8962596759511</v>
      </c>
    </row>
    <row r="171" spans="1:5" x14ac:dyDescent="0.25">
      <c r="A171" s="2">
        <f t="shared" si="2"/>
        <v>169</v>
      </c>
      <c r="B171" s="86">
        <f>Carátula!F212</f>
        <v>303056.59666353388</v>
      </c>
      <c r="C171" s="85">
        <f>IF(A171="","",PPMT($H$2/360*30.4,A171,$H$1,-$H$3)+Carátula!M212-Carátula!N212)</f>
        <v>3162.1417381090459</v>
      </c>
      <c r="D171" s="85">
        <f>IF(A171="","",(PMT($H$2/360*30.4,$H$1,-$H$3)-(($H$2/360*30.4)*(B171))+Carátula!M212-Carátula!N212))</f>
        <v>3162.1417381090446</v>
      </c>
      <c r="E171" s="85">
        <f>IF(A171="","",PPMT($H$2/360*30.4,1,$H$1-A171+1,-B171)+Carátula!M212-Carátula!N212)</f>
        <v>3162.1417381090482</v>
      </c>
    </row>
    <row r="172" spans="1:5" x14ac:dyDescent="0.25">
      <c r="A172" s="2">
        <f t="shared" si="2"/>
        <v>170</v>
      </c>
      <c r="B172" s="86">
        <f>Carátula!F213</f>
        <v>299894.45492542483</v>
      </c>
      <c r="C172" s="85">
        <f>IF(A172="","",PPMT($H$2/360*30.4,A172,$H$1,-$H$3)+Carátula!M213-Carátula!N213)</f>
        <v>3186.574553272168</v>
      </c>
      <c r="D172" s="85">
        <f>IF(A172="","",(PMT($H$2/360*30.4,$H$1,-$H$3)-(($H$2/360*30.4)*(B172))+Carátula!M213-Carátula!N213))</f>
        <v>3186.5745532721676</v>
      </c>
      <c r="E172" s="85">
        <f>IF(A172="","",PPMT($H$2/360*30.4,1,$H$1-A172+1,-B172)+Carátula!M213-Carátula!N213)</f>
        <v>3186.5745532721694</v>
      </c>
    </row>
    <row r="173" spans="1:5" x14ac:dyDescent="0.25">
      <c r="A173" s="2">
        <f t="shared" si="2"/>
        <v>171</v>
      </c>
      <c r="B173" s="86">
        <f>Carátula!F214</f>
        <v>296707.88037215266</v>
      </c>
      <c r="C173" s="85">
        <f>IF(A173="","",PPMT($H$2/360*30.4,A173,$H$1,-$H$3)+Carátula!M214-Carátula!N214)</f>
        <v>3211.1961526537848</v>
      </c>
      <c r="D173" s="85">
        <f>IF(A173="","",(PMT($H$2/360*30.4,$H$1,-$H$3)-(($H$2/360*30.4)*(B173))+Carátula!M214-Carátula!N214))</f>
        <v>3211.1961526537839</v>
      </c>
      <c r="E173" s="85">
        <f>IF(A173="","",PPMT($H$2/360*30.4,1,$H$1-A173+1,-B173)+Carátula!M214-Carátula!N214)</f>
        <v>3211.1961526537871</v>
      </c>
    </row>
    <row r="174" spans="1:5" x14ac:dyDescent="0.25">
      <c r="A174" s="2">
        <f t="shared" si="2"/>
        <v>172</v>
      </c>
      <c r="B174" s="86">
        <f>Carátula!F215</f>
        <v>293496.68421949889</v>
      </c>
      <c r="C174" s="85">
        <f>IF(A174="","",PPMT($H$2/360*30.4,A174,$H$1,-$H$3)+Carátula!M215-Carátula!N215)</f>
        <v>3236.0079949266228</v>
      </c>
      <c r="D174" s="85">
        <f>IF(A174="","",(PMT($H$2/360*30.4,$H$1,-$H$3)-(($H$2/360*30.4)*(B174))+Carátula!M215-Carátula!N215))</f>
        <v>3236.0079949266219</v>
      </c>
      <c r="E174" s="85">
        <f>IF(A174="","",PPMT($H$2/360*30.4,1,$H$1-A174+1,-B174)+Carátula!M215-Carátula!N215)</f>
        <v>3236.0079949266251</v>
      </c>
    </row>
    <row r="175" spans="1:5" x14ac:dyDescent="0.25">
      <c r="A175" s="2">
        <f t="shared" si="2"/>
        <v>173</v>
      </c>
      <c r="B175" s="86">
        <f>Carátula!F216</f>
        <v>290260.67622457223</v>
      </c>
      <c r="C175" s="85">
        <f>IF(A175="","",PPMT($H$2/360*30.4,A175,$H$1,-$H$3)+Carátula!M216-Carátula!N216)</f>
        <v>3261.0115500340894</v>
      </c>
      <c r="D175" s="85">
        <f>IF(A175="","",(PMT($H$2/360*30.4,$H$1,-$H$3)-(($H$2/360*30.4)*(B175))+Carátula!M216-Carátula!N216))</f>
        <v>3261.0115500340885</v>
      </c>
      <c r="E175" s="85">
        <f>IF(A175="","",PPMT($H$2/360*30.4,1,$H$1-A175+1,-B175)+Carátula!M216-Carátula!N216)</f>
        <v>3261.0115500340912</v>
      </c>
    </row>
    <row r="176" spans="1:5" x14ac:dyDescent="0.25">
      <c r="A176" s="2">
        <f t="shared" si="2"/>
        <v>174</v>
      </c>
      <c r="B176" s="86">
        <f>Carátula!F217</f>
        <v>286999.66467453813</v>
      </c>
      <c r="C176" s="85">
        <f>IF(A176="","",PPMT($H$2/360*30.4,A176,$H$1,-$H$3)+Carátula!M217-Carátula!N217)</f>
        <v>3286.2082992773521</v>
      </c>
      <c r="D176" s="85">
        <f>IF(A176="","",(PMT($H$2/360*30.4,$H$1,-$H$3)-(($H$2/360*30.4)*(B176))+Carátula!M217-Carátula!N217))</f>
        <v>3286.2082992773521</v>
      </c>
      <c r="E176" s="85">
        <f>IF(A176="","",PPMT($H$2/360*30.4,1,$H$1-A176+1,-B176)+Carátula!M217-Carátula!N217)</f>
        <v>3286.2082992773539</v>
      </c>
    </row>
    <row r="177" spans="1:5" x14ac:dyDescent="0.25">
      <c r="A177" s="2">
        <f t="shared" si="2"/>
        <v>175</v>
      </c>
      <c r="B177" s="86">
        <f>Carátula!F218</f>
        <v>283713.45637526078</v>
      </c>
      <c r="C177" s="85">
        <f>IF(A177="","",PPMT($H$2/360*30.4,A177,$H$1,-$H$3)+Carátula!M218-Carátula!N218)</f>
        <v>3311.5997354031028</v>
      </c>
      <c r="D177" s="85">
        <f>IF(A177="","",(PMT($H$2/360*30.4,$H$1,-$H$3)-(($H$2/360*30.4)*(B177))+Carátula!M218-Carátula!N218))</f>
        <v>3311.5997354031015</v>
      </c>
      <c r="E177" s="85">
        <f>IF(A177="","",PPMT($H$2/360*30.4,1,$H$1-A177+1,-B177)+Carátula!M218-Carátula!N218)</f>
        <v>3311.5997354031047</v>
      </c>
    </row>
    <row r="178" spans="1:5" x14ac:dyDescent="0.25">
      <c r="A178" s="2">
        <f t="shared" si="2"/>
        <v>176</v>
      </c>
      <c r="B178" s="86">
        <f>Carátula!F219</f>
        <v>280401.85663985769</v>
      </c>
      <c r="C178" s="85">
        <f>IF(A178="","",PPMT($H$2/360*30.4,A178,$H$1,-$H$3)+Carátula!M219-Carátula!N219)</f>
        <v>3337.1873626919833</v>
      </c>
      <c r="D178" s="85">
        <f>IF(A178="","",(PMT($H$2/360*30.4,$H$1,-$H$3)-(($H$2/360*30.4)*(B178))+Carátula!M219-Carátula!N219))</f>
        <v>3337.1873626919828</v>
      </c>
      <c r="E178" s="85">
        <f>IF(A178="","",PPMT($H$2/360*30.4,1,$H$1-A178+1,-B178)+Carátula!M219-Carátula!N219)</f>
        <v>3337.1873626919842</v>
      </c>
    </row>
    <row r="179" spans="1:5" x14ac:dyDescent="0.25">
      <c r="A179" s="2">
        <f t="shared" si="2"/>
        <v>177</v>
      </c>
      <c r="B179" s="86">
        <f>Carátula!F220</f>
        <v>277064.66927716573</v>
      </c>
      <c r="C179" s="85">
        <f>IF(A179="","",PPMT($H$2/360*30.4,A179,$H$1,-$H$3)+Carátula!M220-Carátula!N220)</f>
        <v>3362.9726970477177</v>
      </c>
      <c r="D179" s="85">
        <f>IF(A179="","",(PMT($H$2/360*30.4,$H$1,-$H$3)-(($H$2/360*30.4)*(B179))+Carátula!M220-Carátula!N220))</f>
        <v>3362.9726970477159</v>
      </c>
      <c r="E179" s="85">
        <f>IF(A179="","",PPMT($H$2/360*30.4,1,$H$1-A179+1,-B179)+Carátula!M220-Carátula!N220)</f>
        <v>3362.9726970477195</v>
      </c>
    </row>
    <row r="180" spans="1:5" x14ac:dyDescent="0.25">
      <c r="A180" s="2">
        <f t="shared" si="2"/>
        <v>178</v>
      </c>
      <c r="B180" s="86">
        <f>Carátula!F221</f>
        <v>273701.69658011803</v>
      </c>
      <c r="C180" s="85">
        <f>IF(A180="","",PPMT($H$2/360*30.4,A180,$H$1,-$H$3)+Carátula!M221-Carátula!N221)</f>
        <v>3388.9572660869062</v>
      </c>
      <c r="D180" s="85">
        <f>IF(A180="","",(PMT($H$2/360*30.4,$H$1,-$H$3)-(($H$2/360*30.4)*(B180))+Carátula!M221-Carátula!N221))</f>
        <v>3388.9572660869044</v>
      </c>
      <c r="E180" s="85">
        <f>IF(A180="","",PPMT($H$2/360*30.4,1,$H$1-A180+1,-B180)+Carátula!M221-Carátula!N221)</f>
        <v>3388.9572660869085</v>
      </c>
    </row>
    <row r="181" spans="1:5" x14ac:dyDescent="0.25">
      <c r="A181" s="2">
        <f t="shared" si="2"/>
        <v>179</v>
      </c>
      <c r="B181" s="86">
        <f>Carátula!F222</f>
        <v>270312.73931403115</v>
      </c>
      <c r="C181" s="85">
        <f>IF(A181="","",PPMT($H$2/360*30.4,A181,$H$1,-$H$3)+Carátula!M222-Carátula!N222)</f>
        <v>3415.1426092295369</v>
      </c>
      <c r="D181" s="85">
        <f>IF(A181="","",(PMT($H$2/360*30.4,$H$1,-$H$3)-(($H$2/360*30.4)*(B181))+Carátula!M222-Carátula!N222))</f>
        <v>3415.142609229536</v>
      </c>
      <c r="E181" s="85">
        <f>IF(A181="","",PPMT($H$2/360*30.4,1,$H$1-A181+1,-B181)+Carátula!M222-Carátula!N222)</f>
        <v>3415.1426092295401</v>
      </c>
    </row>
    <row r="182" spans="1:5" x14ac:dyDescent="0.25">
      <c r="A182" s="2">
        <f t="shared" si="2"/>
        <v>180</v>
      </c>
      <c r="B182" s="86">
        <f>Carátula!F223</f>
        <v>266897.5967048016</v>
      </c>
      <c r="C182" s="85">
        <f>IF(A182="","",PPMT($H$2/360*30.4,A182,$H$1,-$H$3)+Carátula!M223-Carátula!N223)</f>
        <v>3441.5302777901838</v>
      </c>
      <c r="D182" s="85">
        <f>IF(A182="","",(PMT($H$2/360*30.4,$H$1,-$H$3)-(($H$2/360*30.4)*(B182))+Carátula!M223-Carátula!N223))</f>
        <v>3441.5302777901829</v>
      </c>
      <c r="E182" s="85">
        <f>IF(A182="","",PPMT($H$2/360*30.4,1,$H$1-A182+1,-B182)+Carátula!M223-Carátula!N223)</f>
        <v>3441.5302777901866</v>
      </c>
    </row>
    <row r="183" spans="1:5" x14ac:dyDescent="0.25">
      <c r="A183" s="2">
        <f t="shared" si="2"/>
        <v>181</v>
      </c>
      <c r="B183" s="86">
        <f>Carátula!F224</f>
        <v>263456.06642701139</v>
      </c>
      <c r="C183" s="85">
        <f>IF(A183="","",PPMT($H$2/360*30.4,A183,$H$1,-$H$3)+Carátula!M224-Carátula!N224)</f>
        <v>3468.12183506991</v>
      </c>
      <c r="D183" s="85">
        <f>IF(A183="","",(PMT($H$2/360*30.4,$H$1,-$H$3)-(($H$2/360*30.4)*(B183))+Carátula!M224-Carátula!N224))</f>
        <v>3468.1218350699082</v>
      </c>
      <c r="E183" s="85">
        <f>IF(A183="","",PPMT($H$2/360*30.4,1,$H$1-A183+1,-B183)+Carátula!M224-Carátula!N224)</f>
        <v>3468.1218350699123</v>
      </c>
    </row>
    <row r="184" spans="1:5" x14ac:dyDescent="0.25">
      <c r="A184" s="2">
        <f t="shared" si="2"/>
        <v>182</v>
      </c>
      <c r="B184" s="86">
        <f>Carátula!F225</f>
        <v>259987.94459194149</v>
      </c>
      <c r="C184" s="85">
        <f>IF(A184="","",PPMT($H$2/360*30.4,A184,$H$1,-$H$3)+Carátula!M225-Carátula!N225)</f>
        <v>3494.9188564488832</v>
      </c>
      <c r="D184" s="85">
        <f>IF(A184="","",(PMT($H$2/360*30.4,$H$1,-$H$3)-(($H$2/360*30.4)*(B184))+Carátula!M225-Carátula!N225))</f>
        <v>3494.9188564488823</v>
      </c>
      <c r="E184" s="85">
        <f>IF(A184="","",PPMT($H$2/360*30.4,1,$H$1-A184+1,-B184)+Carátula!M225-Carátula!N225)</f>
        <v>3494.9188564488854</v>
      </c>
    </row>
    <row r="185" spans="1:5" x14ac:dyDescent="0.25">
      <c r="A185" s="2">
        <f t="shared" si="2"/>
        <v>183</v>
      </c>
      <c r="B185" s="86">
        <f>Carátula!F226</f>
        <v>256493.02573549261</v>
      </c>
      <c r="C185" s="85">
        <f>IF(A185="","",PPMT($H$2/360*30.4,A185,$H$1,-$H$3)+Carátula!M226-Carátula!N226)</f>
        <v>3521.9229294797115</v>
      </c>
      <c r="D185" s="85">
        <f>IF(A185="","",(PMT($H$2/360*30.4,$H$1,-$H$3)-(($H$2/360*30.4)*(B185))+Carátula!M226-Carátula!N226))</f>
        <v>3521.9229294797105</v>
      </c>
      <c r="E185" s="85">
        <f>IF(A185="","",PPMT($H$2/360*30.4,1,$H$1-A185+1,-B185)+Carátula!M226-Carátula!N226)</f>
        <v>3521.9229294797137</v>
      </c>
    </row>
    <row r="186" spans="1:5" x14ac:dyDescent="0.25">
      <c r="A186" s="2">
        <f t="shared" si="2"/>
        <v>184</v>
      </c>
      <c r="B186" s="86">
        <f>Carátula!F227</f>
        <v>252971.1028060129</v>
      </c>
      <c r="C186" s="85">
        <f>IF(A186="","",PPMT($H$2/360*30.4,A186,$H$1,-$H$3)+Carátula!M227-Carátula!N227)</f>
        <v>3549.1356539814919</v>
      </c>
      <c r="D186" s="85">
        <f>IF(A186="","",(PMT($H$2/360*30.4,$H$1,-$H$3)-(($H$2/360*30.4)*(B186))+Carátula!M227-Carátula!N227))</f>
        <v>3549.1356539814901</v>
      </c>
      <c r="E186" s="85">
        <f>IF(A186="","",PPMT($H$2/360*30.4,1,$H$1-A186+1,-B186)+Carátula!M227-Carátula!N227)</f>
        <v>3549.1356539814938</v>
      </c>
    </row>
    <row r="187" spans="1:5" x14ac:dyDescent="0.25">
      <c r="A187" s="2">
        <f t="shared" si="2"/>
        <v>185</v>
      </c>
      <c r="B187" s="86">
        <f>Carátula!F228</f>
        <v>249421.9671520314</v>
      </c>
      <c r="C187" s="85">
        <f>IF(A187="","",PPMT($H$2/360*30.4,A187,$H$1,-$H$3)+Carátula!M228-Carátula!N228)</f>
        <v>3576.5586421345879</v>
      </c>
      <c r="D187" s="85">
        <f>IF(A187="","",(PMT($H$2/360*30.4,$H$1,-$H$3)-(($H$2/360*30.4)*(B187))+Carátula!M228-Carátula!N228))</f>
        <v>3576.558642134587</v>
      </c>
      <c r="E187" s="85">
        <f>IF(A187="","",PPMT($H$2/360*30.4,1,$H$1-A187+1,-B187)+Carátula!M228-Carátula!N228)</f>
        <v>3576.5586421345902</v>
      </c>
    </row>
    <row r="188" spans="1:5" x14ac:dyDescent="0.25">
      <c r="A188" s="2">
        <f t="shared" si="2"/>
        <v>186</v>
      </c>
      <c r="B188" s="86">
        <f>Carátula!F229</f>
        <v>245845.40850989681</v>
      </c>
      <c r="C188" s="85">
        <f>IF(A188="","",PPMT($H$2/360*30.4,A188,$H$1,-$H$3)+Carátula!M229-Carátula!N229)</f>
        <v>3604.1935185761486</v>
      </c>
      <c r="D188" s="85">
        <f>IF(A188="","",(PMT($H$2/360*30.4,$H$1,-$H$3)-(($H$2/360*30.4)*(B188))+Carátula!M229-Carátula!N229))</f>
        <v>3604.1935185761472</v>
      </c>
      <c r="E188" s="85">
        <f>IF(A188="","",PPMT($H$2/360*30.4,1,$H$1-A188+1,-B188)+Carátula!M229-Carátula!N229)</f>
        <v>3604.1935185761508</v>
      </c>
    </row>
    <row r="189" spans="1:5" x14ac:dyDescent="0.25">
      <c r="A189" s="2">
        <f t="shared" si="2"/>
        <v>187</v>
      </c>
      <c r="B189" s="86">
        <f>Carátula!F230</f>
        <v>242241.21499132065</v>
      </c>
      <c r="C189" s="85">
        <f>IF(A189="","",PPMT($H$2/360*30.4,A189,$H$1,-$H$3)+Carátula!M230-Carátula!N230)</f>
        <v>3632.0419204963468</v>
      </c>
      <c r="D189" s="85">
        <f>IF(A189="","",(PMT($H$2/360*30.4,$H$1,-$H$3)-(($H$2/360*30.4)*(B189))+Carátula!M230-Carátula!N230))</f>
        <v>3632.0419204963455</v>
      </c>
      <c r="E189" s="85">
        <f>IF(A189="","",PPMT($H$2/360*30.4,1,$H$1-A189+1,-B189)+Carátula!M230-Carátula!N230)</f>
        <v>3632.0419204963482</v>
      </c>
    </row>
    <row r="190" spans="1:5" x14ac:dyDescent="0.25">
      <c r="A190" s="2">
        <f t="shared" si="2"/>
        <v>188</v>
      </c>
      <c r="B190" s="86">
        <f>Carátula!F231</f>
        <v>238609.1730708243</v>
      </c>
      <c r="C190" s="85">
        <f>IF(A190="","",PPMT($H$2/360*30.4,A190,$H$1,-$H$3)+Carátula!M231-Carátula!N231)</f>
        <v>3660.105497735382</v>
      </c>
      <c r="D190" s="85">
        <f>IF(A190="","",(PMT($H$2/360*30.4,$H$1,-$H$3)-(($H$2/360*30.4)*(B190))+Carátula!M231-Carátula!N231))</f>
        <v>3660.1054977353806</v>
      </c>
      <c r="E190" s="85">
        <f>IF(A190="","",PPMT($H$2/360*30.4,1,$H$1-A190+1,-B190)+Carátula!M231-Carátula!N231)</f>
        <v>3660.1054977353842</v>
      </c>
    </row>
    <row r="191" spans="1:5" x14ac:dyDescent="0.25">
      <c r="A191" s="2">
        <f t="shared" si="2"/>
        <v>189</v>
      </c>
      <c r="B191" s="86">
        <f>Carátula!F232</f>
        <v>234949.06757308892</v>
      </c>
      <c r="C191" s="85">
        <f>IF(A191="","",PPMT($H$2/360*30.4,A191,$H$1,-$H$3)+Carátula!M232-Carátula!N232)</f>
        <v>3688.3859128812173</v>
      </c>
      <c r="D191" s="85">
        <f>IF(A191="","",(PMT($H$2/360*30.4,$H$1,-$H$3)-(($H$2/360*30.4)*(B191))+Carátula!M232-Carátula!N232))</f>
        <v>3688.3859128812164</v>
      </c>
      <c r="E191" s="85">
        <f>IF(A191="","",PPMT($H$2/360*30.4,1,$H$1-A191+1,-B191)+Carátula!M232-Carátula!N232)</f>
        <v>3688.3859128812196</v>
      </c>
    </row>
    <row r="192" spans="1:5" x14ac:dyDescent="0.25">
      <c r="A192" s="2">
        <f t="shared" si="2"/>
        <v>190</v>
      </c>
      <c r="B192" s="86">
        <f>Carátula!F233</f>
        <v>231260.68166020772</v>
      </c>
      <c r="C192" s="85">
        <f>IF(A192="","",PPMT($H$2/360*30.4,A192,$H$1,-$H$3)+Carátula!M233-Carátula!N233)</f>
        <v>3716.8848413680789</v>
      </c>
      <c r="D192" s="85">
        <f>IF(A192="","",(PMT($H$2/360*30.4,$H$1,-$H$3)-(($H$2/360*30.4)*(B192))+Carátula!M233-Carátula!N233))</f>
        <v>3716.884841368078</v>
      </c>
      <c r="E192" s="85">
        <f>IF(A192="","",PPMT($H$2/360*30.4,1,$H$1-A192+1,-B192)+Carátula!M233-Carátula!N233)</f>
        <v>3716.8848413680817</v>
      </c>
    </row>
    <row r="193" spans="1:5" x14ac:dyDescent="0.25">
      <c r="A193" s="2">
        <f t="shared" si="2"/>
        <v>191</v>
      </c>
      <c r="B193" s="86">
        <f>Carátula!F234</f>
        <v>227543.79681883965</v>
      </c>
      <c r="C193" s="85">
        <f>IF(A193="","",PPMT($H$2/360*30.4,A193,$H$1,-$H$3)+Carátula!M234-Carátula!N234)</f>
        <v>3745.603971575717</v>
      </c>
      <c r="D193" s="85">
        <f>IF(A193="","",(PMT($H$2/360*30.4,$H$1,-$H$3)-(($H$2/360*30.4)*(B193))+Carátula!M234-Carátula!N234))</f>
        <v>3745.6039715757156</v>
      </c>
      <c r="E193" s="85">
        <f>IF(A193="","",PPMT($H$2/360*30.4,1,$H$1-A193+1,-B193)+Carátula!M234-Carátula!N234)</f>
        <v>3745.6039715757202</v>
      </c>
    </row>
    <row r="194" spans="1:5" x14ac:dyDescent="0.25">
      <c r="A194" s="2">
        <f t="shared" si="2"/>
        <v>192</v>
      </c>
      <c r="B194" s="86">
        <f>Carátula!F235</f>
        <v>223798.19284726394</v>
      </c>
      <c r="C194" s="85">
        <f>IF(A194="","",PPMT($H$2/360*30.4,A194,$H$1,-$H$3)+Carátula!M235-Carátula!N235)</f>
        <v>3774.545004929425</v>
      </c>
      <c r="D194" s="85">
        <f>IF(A194="","",(PMT($H$2/360*30.4,$H$1,-$H$3)-(($H$2/360*30.4)*(B194))+Carátula!M235-Carátula!N235))</f>
        <v>3774.5450049294241</v>
      </c>
      <c r="E194" s="85">
        <f>IF(A194="","",PPMT($H$2/360*30.4,1,$H$1-A194+1,-B194)+Carátula!M235-Carátula!N235)</f>
        <v>3774.5450049294282</v>
      </c>
    </row>
    <row r="195" spans="1:5" x14ac:dyDescent="0.25">
      <c r="A195" s="2">
        <f t="shared" si="2"/>
        <v>193</v>
      </c>
      <c r="B195" s="86">
        <f>Carátula!F236</f>
        <v>220023.64784233453</v>
      </c>
      <c r="C195" s="85">
        <f>IF(A195="","",PPMT($H$2/360*30.4,A195,$H$1,-$H$3)+Carátula!M236-Carátula!N236)</f>
        <v>3803.7096560008467</v>
      </c>
      <c r="D195" s="85">
        <f>IF(A195="","",(PMT($H$2/360*30.4,$H$1,-$H$3)-(($H$2/360*30.4)*(B195))+Carátula!M236-Carátula!N236))</f>
        <v>3803.7096560008449</v>
      </c>
      <c r="E195" s="85">
        <f>IF(A195="","",PPMT($H$2/360*30.4,1,$H$1-A195+1,-B195)+Carátula!M236-Carátula!N236)</f>
        <v>3803.7096560008499</v>
      </c>
    </row>
    <row r="196" spans="1:5" x14ac:dyDescent="0.25">
      <c r="A196" s="2">
        <f t="shared" si="2"/>
        <v>194</v>
      </c>
      <c r="B196" s="86">
        <f>Carátula!F237</f>
        <v>216219.93818633369</v>
      </c>
      <c r="C196" s="85">
        <f>IF(A196="","",PPMT($H$2/360*30.4,A196,$H$1,-$H$3)+Carátula!M237-Carátula!N237)</f>
        <v>3833.0996526095464</v>
      </c>
      <c r="D196" s="85">
        <f>IF(A196="","",(PMT($H$2/360*30.4,$H$1,-$H$3)-(($H$2/360*30.4)*(B196))+Carátula!M237-Carátula!N237))</f>
        <v>3833.099652609545</v>
      </c>
      <c r="E196" s="85">
        <f>IF(A196="","",PPMT($H$2/360*30.4,1,$H$1-A196+1,-B196)+Carátula!M237-Carátula!N237)</f>
        <v>3833.0996526095505</v>
      </c>
    </row>
    <row r="197" spans="1:5" x14ac:dyDescent="0.25">
      <c r="A197" s="2">
        <f t="shared" ref="A197:A242" si="3">IF(A196=$H$1,"",IF(A196="","",A196+1))</f>
        <v>195</v>
      </c>
      <c r="B197" s="86">
        <f>Carátula!F238</f>
        <v>212386.83853372413</v>
      </c>
      <c r="C197" s="85">
        <f>IF(A197="","",PPMT($H$2/360*30.4,A197,$H$1,-$H$3)+Carátula!M238-Carátula!N238)</f>
        <v>3862.7167359253763</v>
      </c>
      <c r="D197" s="85">
        <f>IF(A197="","",(PMT($H$2/360*30.4,$H$1,-$H$3)-(($H$2/360*30.4)*(B197))+Carátula!M238-Carátula!N238))</f>
        <v>3862.7167359253745</v>
      </c>
      <c r="E197" s="85">
        <f>IF(A197="","",PPMT($H$2/360*30.4,1,$H$1-A197+1,-B197)+Carátula!M238-Carátula!N238)</f>
        <v>3862.7167359253804</v>
      </c>
    </row>
    <row r="198" spans="1:5" x14ac:dyDescent="0.25">
      <c r="A198" s="2">
        <f t="shared" si="3"/>
        <v>196</v>
      </c>
      <c r="B198" s="86">
        <f>Carátula!F239</f>
        <v>208524.12179779875</v>
      </c>
      <c r="C198" s="85">
        <f>IF(A198="","",PPMT($H$2/360*30.4,A198,$H$1,-$H$3)+Carátula!M239-Carátula!N239)</f>
        <v>3892.5626605716261</v>
      </c>
      <c r="D198" s="85">
        <f>IF(A198="","",(PMT($H$2/360*30.4,$H$1,-$H$3)-(($H$2/360*30.4)*(B198))+Carátula!M239-Carátula!N239))</f>
        <v>3892.5626605716247</v>
      </c>
      <c r="E198" s="85">
        <f>IF(A198="","",PPMT($H$2/360*30.4,1,$H$1-A198+1,-B198)+Carátula!M239-Carátula!N239)</f>
        <v>3892.5626605716302</v>
      </c>
    </row>
    <row r="199" spans="1:5" x14ac:dyDescent="0.25">
      <c r="A199" s="2">
        <f t="shared" si="3"/>
        <v>197</v>
      </c>
      <c r="B199" s="86">
        <f>Carátula!F240</f>
        <v>204631.55913722713</v>
      </c>
      <c r="C199" s="85">
        <f>IF(A199="","",PPMT($H$2/360*30.4,A199,$H$1,-$H$3)+Carátula!M240-Carátula!N240)</f>
        <v>3922.6391947289762</v>
      </c>
      <c r="D199" s="85">
        <f>IF(A199="","",(PMT($H$2/360*30.4,$H$1,-$H$3)-(($H$2/360*30.4)*(B199))+Carátula!M240-Carátula!N240))</f>
        <v>3922.6391947289749</v>
      </c>
      <c r="E199" s="85">
        <f>IF(A199="","",PPMT($H$2/360*30.4,1,$H$1-A199+1,-B199)+Carátula!M240-Carátula!N240)</f>
        <v>3922.6391947289803</v>
      </c>
    </row>
    <row r="200" spans="1:5" x14ac:dyDescent="0.25">
      <c r="A200" s="2">
        <f t="shared" si="3"/>
        <v>198</v>
      </c>
      <c r="B200" s="86">
        <f>Carátula!F241</f>
        <v>200708.91994249815</v>
      </c>
      <c r="C200" s="85">
        <f>IF(A200="","",PPMT($H$2/360*30.4,A200,$H$1,-$H$3)+Carátula!M241-Carátula!N241)</f>
        <v>3952.9481202402485</v>
      </c>
      <c r="D200" s="85">
        <f>IF(A200="","",(PMT($H$2/360*30.4,$H$1,-$H$3)-(($H$2/360*30.4)*(B200))+Carátula!M241-Carátula!N241))</f>
        <v>3952.9481202402476</v>
      </c>
      <c r="E200" s="85">
        <f>IF(A200="","",PPMT($H$2/360*30.4,1,$H$1-A200+1,-B200)+Carátula!M241-Carátula!N241)</f>
        <v>3952.948120240253</v>
      </c>
    </row>
    <row r="201" spans="1:5" x14ac:dyDescent="0.25">
      <c r="A201" s="2">
        <f t="shared" si="3"/>
        <v>199</v>
      </c>
      <c r="B201" s="86">
        <f>Carátula!F242</f>
        <v>196755.97182225791</v>
      </c>
      <c r="C201" s="85">
        <f>IF(A201="","",PPMT($H$2/360*30.4,A201,$H$1,-$H$3)+Carátula!M242-Carátula!N242)</f>
        <v>3983.4912327159718</v>
      </c>
      <c r="D201" s="85">
        <f>IF(A201="","",(PMT($H$2/360*30.4,$H$1,-$H$3)-(($H$2/360*30.4)*(B201))+Carátula!M242-Carátula!N242))</f>
        <v>3983.4912327159705</v>
      </c>
      <c r="E201" s="85">
        <f>IF(A201="","",PPMT($H$2/360*30.4,1,$H$1-A201+1,-B201)+Carátula!M242-Carátula!N242)</f>
        <v>3983.4912327159764</v>
      </c>
    </row>
    <row r="202" spans="1:5" x14ac:dyDescent="0.25">
      <c r="A202" s="2">
        <f t="shared" si="3"/>
        <v>200</v>
      </c>
      <c r="B202" s="86">
        <f>Carátula!F243</f>
        <v>192772.48058954193</v>
      </c>
      <c r="C202" s="85">
        <f>IF(A202="","",PPMT($H$2/360*30.4,A202,$H$1,-$H$3)+Carátula!M243-Carátula!N243)</f>
        <v>4014.2703416407571</v>
      </c>
      <c r="D202" s="85">
        <f>IF(A202="","",(PMT($H$2/360*30.4,$H$1,-$H$3)-(($H$2/360*30.4)*(B202))+Carátula!M243-Carátula!N243))</f>
        <v>4014.2703416407558</v>
      </c>
      <c r="E202" s="85">
        <f>IF(A202="","",PPMT($H$2/360*30.4,1,$H$1-A202+1,-B202)+Carátula!M243-Carátula!N243)</f>
        <v>4014.2703416407612</v>
      </c>
    </row>
    <row r="203" spans="1:5" x14ac:dyDescent="0.25">
      <c r="A203" s="2">
        <f t="shared" si="3"/>
        <v>201</v>
      </c>
      <c r="B203" s="86">
        <f>Carátula!F244</f>
        <v>188758.21024790118</v>
      </c>
      <c r="C203" s="85">
        <f>IF(A203="","",PPMT($H$2/360*30.4,A203,$H$1,-$H$3)+Carátula!M244-Carátula!N244)</f>
        <v>4045.2872704805013</v>
      </c>
      <c r="D203" s="85">
        <f>IF(A203="","",(PMT($H$2/360*30.4,$H$1,-$H$3)-(($H$2/360*30.4)*(B203))+Carátula!M244-Carátula!N244))</f>
        <v>4045.2872704805</v>
      </c>
      <c r="E203" s="85">
        <f>IF(A203="","",PPMT($H$2/360*30.4,1,$H$1-A203+1,-B203)+Carátula!M244-Carátula!N244)</f>
        <v>4045.2872704805059</v>
      </c>
    </row>
    <row r="204" spans="1:5" x14ac:dyDescent="0.25">
      <c r="A204" s="2">
        <f t="shared" si="3"/>
        <v>202</v>
      </c>
      <c r="B204" s="86">
        <f>Carátula!F245</f>
        <v>184712.92297742068</v>
      </c>
      <c r="C204" s="85">
        <f>IF(A204="","",PPMT($H$2/360*30.4,A204,$H$1,-$H$3)+Carátula!M245-Carátula!N245)</f>
        <v>4076.5438567904139</v>
      </c>
      <c r="D204" s="85">
        <f>IF(A204="","",(PMT($H$2/360*30.4,$H$1,-$H$3)-(($H$2/360*30.4)*(B204))+Carátula!M245-Carátula!N245))</f>
        <v>4076.543856790413</v>
      </c>
      <c r="E204" s="85">
        <f>IF(A204="","",PPMT($H$2/360*30.4,1,$H$1-A204+1,-B204)+Carátula!M245-Carátula!N245)</f>
        <v>4076.5438567904184</v>
      </c>
    </row>
    <row r="205" spans="1:5" x14ac:dyDescent="0.25">
      <c r="A205" s="2">
        <f t="shared" si="3"/>
        <v>203</v>
      </c>
      <c r="B205" s="86">
        <f>Carátula!F246</f>
        <v>180636.37912063027</v>
      </c>
      <c r="C205" s="85">
        <f>IF(A205="","",PPMT($H$2/360*30.4,A205,$H$1,-$H$3)+Carátula!M246-Carátula!N246)</f>
        <v>4108.0419523238807</v>
      </c>
      <c r="D205" s="85">
        <f>IF(A205="","",(PMT($H$2/360*30.4,$H$1,-$H$3)-(($H$2/360*30.4)*(B205))+Carátula!M246-Carátula!N246))</f>
        <v>4108.0419523238797</v>
      </c>
      <c r="E205" s="85">
        <f>IF(A205="","",PPMT($H$2/360*30.4,1,$H$1-A205+1,-B205)+Carátula!M246-Carátula!N246)</f>
        <v>4108.0419523238861</v>
      </c>
    </row>
    <row r="206" spans="1:5" x14ac:dyDescent="0.25">
      <c r="A206" s="2">
        <f t="shared" si="3"/>
        <v>204</v>
      </c>
      <c r="B206" s="86">
        <f>Carátula!F247</f>
        <v>176528.3371683064</v>
      </c>
      <c r="C206" s="85">
        <f>IF(A206="","",PPMT($H$2/360*30.4,A206,$H$1,-$H$3)+Carátula!M247-Carátula!N247)</f>
        <v>4139.7834231421702</v>
      </c>
      <c r="D206" s="85">
        <f>IF(A206="","",(PMT($H$2/360*30.4,$H$1,-$H$3)-(($H$2/360*30.4)*(B206))+Carátula!M247-Carátula!N247))</f>
        <v>4139.7834231421693</v>
      </c>
      <c r="E206" s="85">
        <f>IF(A206="","",PPMT($H$2/360*30.4,1,$H$1-A206+1,-B206)+Carátula!M247-Carátula!N247)</f>
        <v>4139.7834231421757</v>
      </c>
    </row>
    <row r="207" spans="1:5" x14ac:dyDescent="0.25">
      <c r="A207" s="2">
        <f t="shared" si="3"/>
        <v>205</v>
      </c>
      <c r="B207" s="86">
        <f>Carátula!F248</f>
        <v>172388.55374516424</v>
      </c>
      <c r="C207" s="85">
        <f>IF(A207="","",PPMT($H$2/360*30.4,A207,$H$1,-$H$3)+Carátula!M248-Carátula!N248)</f>
        <v>4171.7701497249827</v>
      </c>
      <c r="D207" s="85">
        <f>IF(A207="","",(PMT($H$2/360*30.4,$H$1,-$H$3)-(($H$2/360*30.4)*(B207))+Carátula!M248-Carátula!N248))</f>
        <v>4171.7701497249809</v>
      </c>
      <c r="E207" s="85">
        <f>IF(A207="","",PPMT($H$2/360*30.4,1,$H$1-A207+1,-B207)+Carátula!M248-Carátula!N248)</f>
        <v>4171.7701497249891</v>
      </c>
    </row>
    <row r="208" spans="1:5" x14ac:dyDescent="0.25">
      <c r="A208" s="2">
        <f t="shared" si="3"/>
        <v>206</v>
      </c>
      <c r="B208" s="86">
        <f>Carátula!F249</f>
        <v>168216.78359543925</v>
      </c>
      <c r="C208" s="85">
        <f>IF(A208="","",PPMT($H$2/360*30.4,A208,$H$1,-$H$3)+Carátula!M249-Carátula!N249)</f>
        <v>4204.0040270818572</v>
      </c>
      <c r="D208" s="85">
        <f>IF(A208="","",(PMT($H$2/360*30.4,$H$1,-$H$3)-(($H$2/360*30.4)*(B208))+Carátula!M249-Carátula!N249))</f>
        <v>4204.0040270818554</v>
      </c>
      <c r="E208" s="85">
        <f>IF(A208="","",PPMT($H$2/360*30.4,1,$H$1-A208+1,-B208)+Carátula!M249-Carátula!N249)</f>
        <v>4204.0040270818627</v>
      </c>
    </row>
    <row r="209" spans="1:5" x14ac:dyDescent="0.25">
      <c r="A209" s="2">
        <f t="shared" si="3"/>
        <v>207</v>
      </c>
      <c r="B209" s="86">
        <f>Carátula!F250</f>
        <v>164012.77956835739</v>
      </c>
      <c r="C209" s="85">
        <f>IF(A209="","",PPMT($H$2/360*30.4,A209,$H$1,-$H$3)+Carátula!M250-Carátula!N250)</f>
        <v>4236.4869648644435</v>
      </c>
      <c r="D209" s="85">
        <f>IF(A209="","",(PMT($H$2/360*30.4,$H$1,-$H$3)-(($H$2/360*30.4)*(B209))+Carátula!M250-Carátula!N250))</f>
        <v>4236.4869648644417</v>
      </c>
      <c r="E209" s="85">
        <f>IF(A209="","",PPMT($H$2/360*30.4,1,$H$1-A209+1,-B209)+Carátula!M250-Carátula!N250)</f>
        <v>4236.4869648644499</v>
      </c>
    </row>
    <row r="210" spans="1:5" x14ac:dyDescent="0.25">
      <c r="A210" s="2">
        <f t="shared" si="3"/>
        <v>208</v>
      </c>
      <c r="B210" s="86">
        <f>Carátula!F251</f>
        <v>159776.29260349294</v>
      </c>
      <c r="C210" s="85">
        <f>IF(A210="","",PPMT($H$2/360*30.4,A210,$H$1,-$H$3)+Carátula!M251-Carátula!N251)</f>
        <v>4269.2208874796288</v>
      </c>
      <c r="D210" s="85">
        <f>IF(A210="","",(PMT($H$2/360*30.4,$H$1,-$H$3)-(($H$2/360*30.4)*(B210))+Carátula!M251-Carátula!N251))</f>
        <v>4269.2208874796279</v>
      </c>
      <c r="E210" s="85">
        <f>IF(A210="","",PPMT($H$2/360*30.4,1,$H$1-A210+1,-B210)+Carátula!M251-Carátula!N251)</f>
        <v>4269.2208874796352</v>
      </c>
    </row>
    <row r="211" spans="1:5" x14ac:dyDescent="0.25">
      <c r="A211" s="2">
        <f t="shared" si="3"/>
        <v>209</v>
      </c>
      <c r="B211" s="86">
        <f>Carátula!F252</f>
        <v>155507.07171601331</v>
      </c>
      <c r="C211" s="85">
        <f>IF(A211="","",PPMT($H$2/360*30.4,A211,$H$1,-$H$3)+Carátula!M252-Carátula!N252)</f>
        <v>4302.2077342035545</v>
      </c>
      <c r="D211" s="85">
        <f>IF(A211="","",(PMT($H$2/360*30.4,$H$1,-$H$3)-(($H$2/360*30.4)*(B211))+Carátula!M252-Carátula!N252))</f>
        <v>4302.2077342035536</v>
      </c>
      <c r="E211" s="85">
        <f>IF(A211="","",PPMT($H$2/360*30.4,1,$H$1-A211+1,-B211)+Carátula!M252-Carátula!N252)</f>
        <v>4302.2077342035609</v>
      </c>
    </row>
    <row r="212" spans="1:5" x14ac:dyDescent="0.25">
      <c r="A212" s="2">
        <f t="shared" si="3"/>
        <v>210</v>
      </c>
      <c r="B212" s="86">
        <f>Carátula!F253</f>
        <v>151204.86398180976</v>
      </c>
      <c r="C212" s="85">
        <f>IF(A212="","",PPMT($H$2/360*30.4,A212,$H$1,-$H$3)+Carátula!M253-Carátula!N253)</f>
        <v>4335.449459296502</v>
      </c>
      <c r="D212" s="85">
        <f>IF(A212="","",(PMT($H$2/360*30.4,$H$1,-$H$3)-(($H$2/360*30.4)*(B212))+Carátula!M253-Carátula!N253))</f>
        <v>4335.4494592965002</v>
      </c>
      <c r="E212" s="85">
        <f>IF(A212="","",PPMT($H$2/360*30.4,1,$H$1-A212+1,-B212)+Carátula!M253-Carátula!N253)</f>
        <v>4335.4494592965084</v>
      </c>
    </row>
    <row r="213" spans="1:5" x14ac:dyDescent="0.25">
      <c r="A213" s="2">
        <f t="shared" si="3"/>
        <v>211</v>
      </c>
      <c r="B213" s="86">
        <f>Carátula!F254</f>
        <v>146869.41452251325</v>
      </c>
      <c r="C213" s="85">
        <f>IF(A213="","",PPMT($H$2/360*30.4,A213,$H$1,-$H$3)+Carátula!M254-Carátula!N254)</f>
        <v>4368.9480321186657</v>
      </c>
      <c r="D213" s="85">
        <f>IF(A213="","",(PMT($H$2/360*30.4,$H$1,-$H$3)-(($H$2/360*30.4)*(B213))+Carátula!M254-Carátula!N254))</f>
        <v>4368.9480321186638</v>
      </c>
      <c r="E213" s="85">
        <f>IF(A213="","",PPMT($H$2/360*30.4,1,$H$1-A213+1,-B213)+Carátula!M254-Carátula!N254)</f>
        <v>4368.9480321186729</v>
      </c>
    </row>
    <row r="214" spans="1:5" x14ac:dyDescent="0.25">
      <c r="A214" s="2">
        <f t="shared" si="3"/>
        <v>212</v>
      </c>
      <c r="B214" s="86">
        <f>Carátula!F255</f>
        <v>142500.46649039458</v>
      </c>
      <c r="C214" s="85">
        <f>IF(A214="","",PPMT($H$2/360*30.4,A214,$H$1,-$H$3)+Carátula!M255-Carátula!N255)</f>
        <v>4402.7054372468365</v>
      </c>
      <c r="D214" s="85">
        <f>IF(A214="","",(PMT($H$2/360*30.4,$H$1,-$H$3)-(($H$2/360*30.4)*(B214))+Carátula!M255-Carátula!N255))</f>
        <v>4402.7054372468338</v>
      </c>
      <c r="E214" s="85">
        <f>IF(A214="","",PPMT($H$2/360*30.4,1,$H$1-A214+1,-B214)+Carátula!M255-Carátula!N255)</f>
        <v>4402.705437246841</v>
      </c>
    </row>
    <row r="215" spans="1:5" x14ac:dyDescent="0.25">
      <c r="A215" s="2">
        <f t="shared" si="3"/>
        <v>213</v>
      </c>
      <c r="B215" s="86">
        <f>Carátula!F256</f>
        <v>138097.76105314775</v>
      </c>
      <c r="C215" s="85">
        <f>IF(A215="","",PPMT($H$2/360*30.4,A215,$H$1,-$H$3)+Carátula!M256-Carátula!N256)</f>
        <v>4436.7236745919636</v>
      </c>
      <c r="D215" s="85">
        <f>IF(A215="","",(PMT($H$2/360*30.4,$H$1,-$H$3)-(($H$2/360*30.4)*(B215))+Carátula!M256-Carátula!N256))</f>
        <v>4436.7236745919618</v>
      </c>
      <c r="E215" s="85">
        <f>IF(A215="","",PPMT($H$2/360*30.4,1,$H$1-A215+1,-B215)+Carátula!M256-Carátula!N256)</f>
        <v>4436.7236745919699</v>
      </c>
    </row>
    <row r="216" spans="1:5" x14ac:dyDescent="0.25">
      <c r="A216" s="2">
        <f t="shared" si="3"/>
        <v>214</v>
      </c>
      <c r="B216" s="86">
        <f>Carátula!F257</f>
        <v>133661.0373785558</v>
      </c>
      <c r="C216" s="85">
        <f>IF(A216="","",PPMT($H$2/360*30.4,A216,$H$1,-$H$3)+Carátula!M257-Carátula!N257)</f>
        <v>4471.0047595176429</v>
      </c>
      <c r="D216" s="85">
        <f>IF(A216="","",(PMT($H$2/360*30.4,$H$1,-$H$3)-(($H$2/360*30.4)*(B216))+Carátula!M257-Carátula!N257))</f>
        <v>4471.004759517642</v>
      </c>
      <c r="E216" s="85">
        <f>IF(A216="","",PPMT($H$2/360*30.4,1,$H$1-A216+1,-B216)+Carátula!M257-Carátula!N257)</f>
        <v>4471.0047595176511</v>
      </c>
    </row>
    <row r="217" spans="1:5" x14ac:dyDescent="0.25">
      <c r="A217" s="2">
        <f t="shared" si="3"/>
        <v>215</v>
      </c>
      <c r="B217" s="86">
        <f>Carátula!F258</f>
        <v>129190.03261903816</v>
      </c>
      <c r="C217" s="85">
        <f>IF(A217="","",PPMT($H$2/360*30.4,A217,$H$1,-$H$3)+Carátula!M258-Carátula!N258)</f>
        <v>4505.550722959516</v>
      </c>
      <c r="D217" s="85">
        <f>IF(A217="","",(PMT($H$2/360*30.4,$H$1,-$H$3)-(($H$2/360*30.4)*(B217))+Carátula!M258-Carátula!N258))</f>
        <v>4505.550722959515</v>
      </c>
      <c r="E217" s="85">
        <f>IF(A217="","",PPMT($H$2/360*30.4,1,$H$1-A217+1,-B217)+Carátula!M258-Carátula!N258)</f>
        <v>4505.5507229595241</v>
      </c>
    </row>
    <row r="218" spans="1:5" x14ac:dyDescent="0.25">
      <c r="A218" s="2">
        <f t="shared" si="3"/>
        <v>216</v>
      </c>
      <c r="B218" s="86">
        <f>Carátula!F259</f>
        <v>124684.48189607865</v>
      </c>
      <c r="C218" s="85">
        <f>IF(A218="","",PPMT($H$2/360*30.4,A218,$H$1,-$H$3)+Carátula!M259-Carátula!N259)</f>
        <v>4540.3636115455829</v>
      </c>
      <c r="D218" s="85">
        <f>IF(A218="","",(PMT($H$2/360*30.4,$H$1,-$H$3)-(($H$2/360*30.4)*(B218))+Carátula!M259-Carátula!N259))</f>
        <v>4540.363611545582</v>
      </c>
      <c r="E218" s="85">
        <f>IF(A218="","",PPMT($H$2/360*30.4,1,$H$1-A218+1,-B218)+Carátula!M259-Carátula!N259)</f>
        <v>4540.3636115455911</v>
      </c>
    </row>
    <row r="219" spans="1:5" x14ac:dyDescent="0.25">
      <c r="A219" s="2">
        <f t="shared" si="3"/>
        <v>217</v>
      </c>
      <c r="B219" s="86">
        <f>Carátula!F260</f>
        <v>120144.11828453306</v>
      </c>
      <c r="C219" s="85">
        <f>IF(A219="","",PPMT($H$2/360*30.4,A219,$H$1,-$H$3)+Carátula!M260-Carátula!N260)</f>
        <v>4575.4454877174594</v>
      </c>
      <c r="D219" s="85">
        <f>IF(A219="","",(PMT($H$2/360*30.4,$H$1,-$H$3)-(($H$2/360*30.4)*(B219))+Carátula!M260-Carátula!N260))</f>
        <v>4575.4454877174576</v>
      </c>
      <c r="E219" s="85">
        <f>IF(A219="","",PPMT($H$2/360*30.4,1,$H$1-A219+1,-B219)+Carátula!M260-Carátula!N260)</f>
        <v>4575.4454877174676</v>
      </c>
    </row>
    <row r="220" spans="1:5" x14ac:dyDescent="0.25">
      <c r="A220" s="2">
        <f t="shared" si="3"/>
        <v>218</v>
      </c>
      <c r="B220" s="86">
        <f>Carátula!F261</f>
        <v>115568.6727968156</v>
      </c>
      <c r="C220" s="85">
        <f>IF(A220="","",PPMT($H$2/360*30.4,A220,$H$1,-$H$3)+Carátula!M261-Carátula!N261)</f>
        <v>4610.7984298525571</v>
      </c>
      <c r="D220" s="85">
        <f>IF(A220="","",(PMT($H$2/360*30.4,$H$1,-$H$3)-(($H$2/360*30.4)*(B220))+Carátula!M261-Carátula!N261))</f>
        <v>4610.7984298525544</v>
      </c>
      <c r="E220" s="85">
        <f>IF(A220="","",PPMT($H$2/360*30.4,1,$H$1-A220+1,-B220)+Carátula!M261-Carátula!N261)</f>
        <v>4610.7984298525653</v>
      </c>
    </row>
    <row r="221" spans="1:5" x14ac:dyDescent="0.25">
      <c r="A221" s="2">
        <f t="shared" si="3"/>
        <v>219</v>
      </c>
      <c r="B221" s="86">
        <f>Carátula!F262</f>
        <v>110957.87436696305</v>
      </c>
      <c r="C221" s="85">
        <f>IF(A221="","",PPMT($H$2/360*30.4,A221,$H$1,-$H$3)+Carátula!M262-Carátula!N262)</f>
        <v>4646.4245323872165</v>
      </c>
      <c r="D221" s="85">
        <f>IF(A221="","",(PMT($H$2/360*30.4,$H$1,-$H$3)-(($H$2/360*30.4)*(B221))+Carátula!M262-Carátula!N262))</f>
        <v>4646.4245323872155</v>
      </c>
      <c r="E221" s="85">
        <f>IF(A221="","",PPMT($H$2/360*30.4,1,$H$1-A221+1,-B221)+Carátula!M262-Carátula!N262)</f>
        <v>4646.4245323872265</v>
      </c>
    </row>
    <row r="222" spans="1:5" x14ac:dyDescent="0.25">
      <c r="A222" s="2">
        <f t="shared" si="3"/>
        <v>220</v>
      </c>
      <c r="B222" s="86">
        <f>Carátula!F263</f>
        <v>106311.44983457583</v>
      </c>
      <c r="C222" s="85">
        <f>IF(A222="","",PPMT($H$2/360*30.4,A222,$H$1,-$H$3)+Carátula!M263-Carátula!N263)</f>
        <v>4682.3259059407947</v>
      </c>
      <c r="D222" s="85">
        <f>IF(A222="","",(PMT($H$2/360*30.4,$H$1,-$H$3)-(($H$2/360*30.4)*(B222))+Carátula!M263-Carátula!N263))</f>
        <v>4682.3259059407937</v>
      </c>
      <c r="E222" s="85">
        <f>IF(A222="","",PPMT($H$2/360*30.4,1,$H$1-A222+1,-B222)+Carátula!M263-Carátula!N263)</f>
        <v>4682.3259059408047</v>
      </c>
    </row>
    <row r="223" spans="1:5" x14ac:dyDescent="0.25">
      <c r="A223" s="2">
        <f t="shared" si="3"/>
        <v>221</v>
      </c>
      <c r="B223" s="86">
        <f>Carátula!F264</f>
        <v>101629.12392863503</v>
      </c>
      <c r="C223" s="85">
        <f>IF(A223="","",PPMT($H$2/360*30.4,A223,$H$1,-$H$3)+Carátula!M264-Carátula!N264)</f>
        <v>4718.5046774406983</v>
      </c>
      <c r="D223" s="85">
        <f>IF(A223="","",(PMT($H$2/360*30.4,$H$1,-$H$3)-(($H$2/360*30.4)*(B223))+Carátula!M264-Carátula!N264))</f>
        <v>4718.5046774406965</v>
      </c>
      <c r="E223" s="85">
        <f>IF(A223="","",PPMT($H$2/360*30.4,1,$H$1-A223+1,-B223)+Carátula!M264-Carátula!N264)</f>
        <v>4718.5046774407083</v>
      </c>
    </row>
    <row r="224" spans="1:5" x14ac:dyDescent="0.25">
      <c r="A224" s="2">
        <f t="shared" si="3"/>
        <v>222</v>
      </c>
      <c r="B224" s="86">
        <f>Carátula!F265</f>
        <v>96910.619251194337</v>
      </c>
      <c r="C224" s="85">
        <f>IF(A224="","",PPMT($H$2/360*30.4,A224,$H$1,-$H$3)+Carátula!M265-Carátula!N265)</f>
        <v>4754.9629902483903</v>
      </c>
      <c r="D224" s="85">
        <f>IF(A224="","",(PMT($H$2/360*30.4,$H$1,-$H$3)-(($H$2/360*30.4)*(B224))+Carátula!M265-Carátula!N265))</f>
        <v>4754.9629902483885</v>
      </c>
      <c r="E224" s="85">
        <f>IF(A224="","",PPMT($H$2/360*30.4,1,$H$1-A224+1,-B224)+Carátula!M265-Carátula!N265)</f>
        <v>4754.9629902484012</v>
      </c>
    </row>
    <row r="225" spans="1:5" x14ac:dyDescent="0.25">
      <c r="A225" s="2">
        <f t="shared" si="3"/>
        <v>223</v>
      </c>
      <c r="B225" s="86">
        <f>Carátula!F266</f>
        <v>92155.656260945951</v>
      </c>
      <c r="C225" s="85">
        <f>IF(A225="","",PPMT($H$2/360*30.4,A225,$H$1,-$H$3)+Carátula!M266-Carátula!N266)</f>
        <v>4791.7030042863753</v>
      </c>
      <c r="D225" s="85">
        <f>IF(A225="","",(PMT($H$2/360*30.4,$H$1,-$H$3)-(($H$2/360*30.4)*(B225))+Carátula!M266-Carátula!N266))</f>
        <v>4791.7030042863735</v>
      </c>
      <c r="E225" s="85">
        <f>IF(A225="","",PPMT($H$2/360*30.4,1,$H$1-A225+1,-B225)+Carátula!M266-Carátula!N266)</f>
        <v>4791.7030042863871</v>
      </c>
    </row>
    <row r="226" spans="1:5" x14ac:dyDescent="0.25">
      <c r="A226" s="2">
        <f t="shared" si="3"/>
        <v>224</v>
      </c>
      <c r="B226" s="86">
        <f>Carátula!F267</f>
        <v>87363.953256659574</v>
      </c>
      <c r="C226" s="85">
        <f>IF(A226="","",PPMT($H$2/360*30.4,A226,$H$1,-$H$3)+Carátula!M267-Carátula!N267)</f>
        <v>4828.7268961661621</v>
      </c>
      <c r="D226" s="85">
        <f>IF(A226="","",(PMT($H$2/360*30.4,$H$1,-$H$3)-(($H$2/360*30.4)*(B226))+Carátula!M267-Carátula!N267))</f>
        <v>4828.7268961661603</v>
      </c>
      <c r="E226" s="85">
        <f>IF(A226="","",PPMT($H$2/360*30.4,1,$H$1-A226+1,-B226)+Carátula!M267-Carátula!N267)</f>
        <v>4828.7268961661748</v>
      </c>
    </row>
    <row r="227" spans="1:5" x14ac:dyDescent="0.25">
      <c r="A227" s="2">
        <f t="shared" si="3"/>
        <v>225</v>
      </c>
      <c r="B227" s="86">
        <f>Carátula!F268</f>
        <v>82535.226360493412</v>
      </c>
      <c r="C227" s="85">
        <f>IF(A227="","",PPMT($H$2/360*30.4,A227,$H$1,-$H$3)+Carátula!M268-Carátula!N268)</f>
        <v>4866.0368593172052</v>
      </c>
      <c r="D227" s="85">
        <f>IF(A227="","",(PMT($H$2/360*30.4,$H$1,-$H$3)-(($H$2/360*30.4)*(B227))+Carátula!M268-Carátula!N268))</f>
        <v>4866.0368593172043</v>
      </c>
      <c r="E227" s="85">
        <f>IF(A227="","",PPMT($H$2/360*30.4,1,$H$1-A227+1,-B227)+Carátula!M268-Carátula!N268)</f>
        <v>4866.0368593172188</v>
      </c>
    </row>
    <row r="228" spans="1:5" x14ac:dyDescent="0.25">
      <c r="A228" s="2">
        <f t="shared" si="3"/>
        <v>226</v>
      </c>
      <c r="B228" s="86">
        <f>Carátula!F269</f>
        <v>77669.18950117621</v>
      </c>
      <c r="C228" s="85">
        <f>IF(A228="","",PPMT($H$2/360*30.4,A228,$H$1,-$H$3)+Carátula!M269-Carátula!N269)</f>
        <v>4903.6351041168627</v>
      </c>
      <c r="D228" s="85">
        <f>IF(A228="","",(PMT($H$2/360*30.4,$H$1,-$H$3)-(($H$2/360*30.4)*(B228))+Carátula!M269-Carátula!N269))</f>
        <v>4903.6351041168618</v>
      </c>
      <c r="E228" s="85">
        <f>IF(A228="","",PPMT($H$2/360*30.4,1,$H$1-A228+1,-B228)+Carátula!M269-Carátula!N269)</f>
        <v>4903.6351041168773</v>
      </c>
    </row>
    <row r="229" spans="1:5" x14ac:dyDescent="0.25">
      <c r="A229" s="2">
        <f t="shared" si="3"/>
        <v>227</v>
      </c>
      <c r="B229" s="86">
        <f>Carátula!F270</f>
        <v>72765.554397059343</v>
      </c>
      <c r="C229" s="85">
        <f>IF(A229="","",PPMT($H$2/360*30.4,A229,$H$1,-$H$3)+Carátula!M270-Carátula!N270)</f>
        <v>4941.523858021339</v>
      </c>
      <c r="D229" s="85">
        <f>IF(A229="","",(PMT($H$2/360*30.4,$H$1,-$H$3)-(($H$2/360*30.4)*(B229))+Carátula!M270-Carátula!N270))</f>
        <v>4941.5238580213381</v>
      </c>
      <c r="E229" s="85">
        <f>IF(A229="","",PPMT($H$2/360*30.4,1,$H$1-A229+1,-B229)+Carátula!M270-Carátula!N270)</f>
        <v>4941.5238580213545</v>
      </c>
    </row>
    <row r="230" spans="1:5" x14ac:dyDescent="0.25">
      <c r="A230" s="2">
        <f t="shared" si="3"/>
        <v>228</v>
      </c>
      <c r="B230" s="86">
        <f>Carátula!F271</f>
        <v>67824.030539038009</v>
      </c>
      <c r="C230" s="85">
        <f>IF(A230="","",PPMT($H$2/360*30.4,A230,$H$1,-$H$3)+Carátula!M271-Carátula!N271)</f>
        <v>4979.7053656976504</v>
      </c>
      <c r="D230" s="85">
        <f>IF(A230="","",(PMT($H$2/360*30.4,$H$1,-$H$3)-(($H$2/360*30.4)*(B230))+Carátula!M271-Carátula!N271))</f>
        <v>4979.7053656976495</v>
      </c>
      <c r="E230" s="85">
        <f>IF(A230="","",PPMT($H$2/360*30.4,1,$H$1-A230+1,-B230)+Carátula!M271-Carátula!N271)</f>
        <v>4979.7053656976677</v>
      </c>
    </row>
    <row r="231" spans="1:5" x14ac:dyDescent="0.25">
      <c r="A231" s="2">
        <f t="shared" si="3"/>
        <v>229</v>
      </c>
      <c r="B231" s="86">
        <f>Carátula!F272</f>
        <v>62844.325173340359</v>
      </c>
      <c r="C231" s="85">
        <f>IF(A231="","",PPMT($H$2/360*30.4,A231,$H$1,-$H$3)+Carátula!M272-Carátula!N272)</f>
        <v>5018.181889156609</v>
      </c>
      <c r="D231" s="85">
        <f>IF(A231="","",(PMT($H$2/360*30.4,$H$1,-$H$3)-(($H$2/360*30.4)*(B231))+Carátula!M272-Carátula!N272))</f>
        <v>5018.1818891566063</v>
      </c>
      <c r="E231" s="85">
        <f>IF(A231="","",PPMT($H$2/360*30.4,1,$H$1-A231+1,-B231)+Carátula!M272-Carátula!N272)</f>
        <v>5018.1818891566263</v>
      </c>
    </row>
    <row r="232" spans="1:5" x14ac:dyDescent="0.25">
      <c r="A232" s="2">
        <f t="shared" si="3"/>
        <v>230</v>
      </c>
      <c r="B232" s="86">
        <f>Carátula!F273</f>
        <v>57826.143284183752</v>
      </c>
      <c r="C232" s="85">
        <f>IF(A232="","",PPMT($H$2/360*30.4,A232,$H$1,-$H$3)+Carátula!M273-Carátula!N273)</f>
        <v>5056.9557078868256</v>
      </c>
      <c r="D232" s="85">
        <f>IF(A232="","",(PMT($H$2/360*30.4,$H$1,-$H$3)-(($H$2/360*30.4)*(B232))+Carátula!M273-Carátula!N273))</f>
        <v>5056.9557078868229</v>
      </c>
      <c r="E232" s="85">
        <f>IF(A232="","",PPMT($H$2/360*30.4,1,$H$1-A232+1,-B232)+Carátula!M273-Carátula!N273)</f>
        <v>5056.9557078868456</v>
      </c>
    </row>
    <row r="233" spans="1:5" x14ac:dyDescent="0.25">
      <c r="A233" s="2">
        <f t="shared" si="3"/>
        <v>231</v>
      </c>
      <c r="B233" s="86">
        <f>Carátula!F274</f>
        <v>52769.187576296928</v>
      </c>
      <c r="C233" s="85">
        <f>IF(A233="","",PPMT($H$2/360*30.4,A233,$H$1,-$H$3)+Carátula!M274-Carátula!N274)</f>
        <v>5096.0291189897644</v>
      </c>
      <c r="D233" s="85">
        <f>IF(A233="","",(PMT($H$2/360*30.4,$H$1,-$H$3)-(($H$2/360*30.4)*(B233))+Carátula!M274-Carátula!N274))</f>
        <v>5096.0291189897616</v>
      </c>
      <c r="E233" s="85">
        <f>IF(A233="","",PPMT($H$2/360*30.4,1,$H$1-A233+1,-B233)+Carátula!M274-Carátula!N274)</f>
        <v>5096.0291189897871</v>
      </c>
    </row>
    <row r="234" spans="1:5" x14ac:dyDescent="0.25">
      <c r="A234" s="2">
        <f t="shared" si="3"/>
        <v>232</v>
      </c>
      <c r="B234" s="86">
        <f>Carátula!F275</f>
        <v>47673.158457307167</v>
      </c>
      <c r="C234" s="85">
        <f>IF(A234="","",PPMT($H$2/360*30.4,A234,$H$1,-$H$3)+Carátula!M275-Carátula!N275)</f>
        <v>5135.4044373158249</v>
      </c>
      <c r="D234" s="85">
        <f>IF(A234="","",(PMT($H$2/360*30.4,$H$1,-$H$3)-(($H$2/360*30.4)*(B234))+Carátula!M275-Carátula!N275))</f>
        <v>5135.4044373158231</v>
      </c>
      <c r="E234" s="85">
        <f>IF(A234="","",PPMT($H$2/360*30.4,1,$H$1-A234+1,-B234)+Carátula!M275-Carátula!N275)</f>
        <v>5135.4044373158495</v>
      </c>
    </row>
    <row r="235" spans="1:5" x14ac:dyDescent="0.25">
      <c r="A235" s="2">
        <f t="shared" si="3"/>
        <v>233</v>
      </c>
      <c r="B235" s="86">
        <f>Carátula!F276</f>
        <v>42537.754019991342</v>
      </c>
      <c r="C235" s="85">
        <f>IF(A235="","",PPMT($H$2/360*30.4,A235,$H$1,-$H$3)+Carátula!M276-Carátula!N276)</f>
        <v>5175.0839956014843</v>
      </c>
      <c r="D235" s="85">
        <f>IF(A235="","",(PMT($H$2/360*30.4,$H$1,-$H$3)-(($H$2/360*30.4)*(B235))+Carátula!M276-Carátula!N276))</f>
        <v>5175.0839956014834</v>
      </c>
      <c r="E235" s="85">
        <f>IF(A235="","",PPMT($H$2/360*30.4,1,$H$1-A235+1,-B235)+Carátula!M276-Carátula!N276)</f>
        <v>5175.0839956015134</v>
      </c>
    </row>
    <row r="236" spans="1:5" x14ac:dyDescent="0.25">
      <c r="A236" s="2">
        <f t="shared" si="3"/>
        <v>234</v>
      </c>
      <c r="B236" s="86">
        <f>Carátula!F277</f>
        <v>37362.670024389859</v>
      </c>
      <c r="C236" s="85">
        <f>IF(A236="","",PPMT($H$2/360*30.4,A236,$H$1,-$H$3)+Carátula!M277-Carátula!N277)</f>
        <v>5215.0701446074991</v>
      </c>
      <c r="D236" s="85">
        <f>IF(A236="","",(PMT($H$2/360*30.4,$H$1,-$H$3)-(($H$2/360*30.4)*(B236))+Carátula!M277-Carátula!N277))</f>
        <v>5215.0701446074972</v>
      </c>
      <c r="E236" s="85">
        <f>IF(A236="","",PPMT($H$2/360*30.4,1,$H$1-A236+1,-B236)+Carátula!M277-Carátula!N277)</f>
        <v>5215.0701446075318</v>
      </c>
    </row>
    <row r="237" spans="1:5" x14ac:dyDescent="0.25">
      <c r="A237" s="2">
        <f t="shared" si="3"/>
        <v>235</v>
      </c>
      <c r="B237" s="86">
        <f>Carátula!F278</f>
        <v>32147.599879782359</v>
      </c>
      <c r="C237" s="85">
        <f>IF(A237="","",PPMT($H$2/360*30.4,A237,$H$1,-$H$3)+Carátula!M278-Carátula!N278)</f>
        <v>5255.3652532581655</v>
      </c>
      <c r="D237" s="85">
        <f>IF(A237="","",(PMT($H$2/360*30.4,$H$1,-$H$3)-(($H$2/360*30.4)*(B237))+Carátula!M278-Carátula!N278))</f>
        <v>5255.3652532581646</v>
      </c>
      <c r="E237" s="85">
        <f>IF(A237="","",PPMT($H$2/360*30.4,1,$H$1-A237+1,-B237)+Carátula!M278-Carátula!N278)</f>
        <v>5255.3652532582046</v>
      </c>
    </row>
    <row r="238" spans="1:5" x14ac:dyDescent="0.25">
      <c r="A238" s="2">
        <f t="shared" si="3"/>
        <v>236</v>
      </c>
      <c r="B238" s="86">
        <f>Carátula!F279</f>
        <v>26892.234626524194</v>
      </c>
      <c r="C238" s="85">
        <f>IF(A238="","",PPMT($H$2/360*30.4,A238,$H$1,-$H$3)+Carátula!M279-Carátula!N279)</f>
        <v>5295.9717087816734</v>
      </c>
      <c r="D238" s="85">
        <f>IF(A238="","",(PMT($H$2/360*30.4,$H$1,-$H$3)-(($H$2/360*30.4)*(B238))+Carátula!M279-Carátula!N279))</f>
        <v>5295.9717087816725</v>
      </c>
      <c r="E238" s="85">
        <f>IF(A238="","",PPMT($H$2/360*30.4,1,$H$1-A238+1,-B238)+Carátula!M279-Carátula!N279)</f>
        <v>5295.9717087817207</v>
      </c>
    </row>
    <row r="239" spans="1:5" x14ac:dyDescent="0.25">
      <c r="A239" s="2">
        <f t="shared" si="3"/>
        <v>237</v>
      </c>
      <c r="B239" s="86">
        <f>Carátula!F280</f>
        <v>21596.262917742519</v>
      </c>
      <c r="C239" s="85">
        <f>IF(A239="","",PPMT($H$2/360*30.4,A239,$H$1,-$H$3)+Carátula!M280-Carátula!N280)</f>
        <v>5336.8919168515267</v>
      </c>
      <c r="D239" s="85">
        <f>IF(A239="","",(PMT($H$2/360*30.4,$H$1,-$H$3)-(($H$2/360*30.4)*(B239))+Carátula!M280-Carátula!N280))</f>
        <v>5336.8919168515258</v>
      </c>
      <c r="E239" s="85">
        <f>IF(A239="","",PPMT($H$2/360*30.4,1,$H$1-A239+1,-B239)+Carátula!M280-Carátula!N280)</f>
        <v>5336.891916851584</v>
      </c>
    </row>
    <row r="240" spans="1:5" x14ac:dyDescent="0.25">
      <c r="A240" s="2">
        <f t="shared" si="3"/>
        <v>238</v>
      </c>
      <c r="B240" s="86">
        <f>Carátula!F281</f>
        <v>16259.371000890991</v>
      </c>
      <c r="C240" s="85">
        <f>IF(A240="","",PPMT($H$2/360*30.4,A240,$H$1,-$H$3)+Carátula!M281-Carátula!N281)</f>
        <v>5378.1283017290671</v>
      </c>
      <c r="D240" s="85">
        <f>IF(A240="","",(PMT($H$2/360*30.4,$H$1,-$H$3)-(($H$2/360*30.4)*(B240))+Carátula!M281-Carátula!N281))</f>
        <v>5378.1283017290652</v>
      </c>
      <c r="E240" s="85">
        <f>IF(A240="","",PPMT($H$2/360*30.4,1,$H$1-A240+1,-B240)+Carátula!M281-Carátula!N281)</f>
        <v>5378.1283017291444</v>
      </c>
    </row>
    <row r="241" spans="1:5" x14ac:dyDescent="0.25">
      <c r="A241" s="2">
        <f t="shared" si="3"/>
        <v>239</v>
      </c>
      <c r="B241" s="86">
        <f>Carátula!F282</f>
        <v>10881.242699161925</v>
      </c>
      <c r="C241" s="85">
        <f>IF(A241="","",PPMT($H$2/360*30.4,A241,$H$1,-$H$3)+Carátula!M282-Carátula!N282)</f>
        <v>5419.6833064070934</v>
      </c>
      <c r="D241" s="85">
        <f>IF(A241="","",(PMT($H$2/360*30.4,$H$1,-$H$3)-(($H$2/360*30.4)*(B241))+Carátula!M282-Carátula!N282))</f>
        <v>5419.6833064070915</v>
      </c>
      <c r="E241" s="85">
        <f>IF(A241="","",PPMT($H$2/360*30.4,1,$H$1-A241+1,-B241)+Carátula!M282-Carátula!N282)</f>
        <v>5419.6833064072098</v>
      </c>
    </row>
    <row r="242" spans="1:5" x14ac:dyDescent="0.25">
      <c r="A242" s="2">
        <f t="shared" si="3"/>
        <v>240</v>
      </c>
      <c r="B242" s="86">
        <f>Carátula!F283</f>
        <v>5461.5593927548316</v>
      </c>
      <c r="C242" s="85">
        <f>IF(A242="","",PPMT($H$2/360*30.4,A242,$H$1,-$H$3)+Carátula!M283-Carátula!N283)</f>
        <v>5461.5593927545988</v>
      </c>
      <c r="D242" s="85">
        <f>IF(A242="","",(PMT($H$2/360*30.4,$H$1,-$H$3)-(($H$2/360*30.4)*(B242))+Carátula!M283-Carátula!N283))</f>
        <v>5461.559392754597</v>
      </c>
      <c r="E242" s="85">
        <f>IF(A242="","",PPMT($H$2/360*30.4,1,$H$1-A242+1,-B242)+Carátula!M283-Carátula!N283)</f>
        <v>5461.5593927548316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EE428-6095-4260-87B6-7447AA94DB97}">
  <sheetPr codeName="Hoja7"/>
  <dimension ref="A1:O246"/>
  <sheetViews>
    <sheetView topLeftCell="E1" workbookViewId="0">
      <selection activeCell="O4" sqref="O4"/>
    </sheetView>
  </sheetViews>
  <sheetFormatPr baseColWidth="10" defaultRowHeight="15" x14ac:dyDescent="0.25"/>
  <cols>
    <col min="2" max="2" width="14.140625" bestFit="1" customWidth="1"/>
    <col min="3" max="3" width="16.7109375" customWidth="1"/>
    <col min="4" max="4" width="14.140625" customWidth="1"/>
    <col min="5" max="5" width="15.140625" customWidth="1"/>
    <col min="6" max="6" width="15.42578125" customWidth="1"/>
    <col min="7" max="7" width="15.140625" customWidth="1"/>
    <col min="8" max="8" width="16.85546875" customWidth="1"/>
    <col min="9" max="9" width="15" customWidth="1"/>
    <col min="10" max="10" width="13.140625" bestFit="1" customWidth="1"/>
    <col min="11" max="11" width="11.7109375" customWidth="1"/>
    <col min="12" max="12" width="23.7109375" bestFit="1" customWidth="1"/>
    <col min="15" max="15" width="12" bestFit="1" customWidth="1"/>
  </cols>
  <sheetData>
    <row r="1" spans="1:15" x14ac:dyDescent="0.25">
      <c r="A1" s="2" t="s">
        <v>14</v>
      </c>
      <c r="B1" s="83">
        <f>Carátula!$H$29</f>
        <v>240</v>
      </c>
      <c r="N1" s="394" t="s">
        <v>140</v>
      </c>
      <c r="O1" s="394"/>
    </row>
    <row r="2" spans="1:15" x14ac:dyDescent="0.25">
      <c r="A2" s="2" t="s">
        <v>53</v>
      </c>
      <c r="B2" s="3">
        <f>Carátula!$E$39</f>
        <v>9.1499999999999998E-2</v>
      </c>
      <c r="G2" s="2">
        <f>Catálogos!R12</f>
        <v>1</v>
      </c>
      <c r="N2" s="2" t="s">
        <v>18</v>
      </c>
      <c r="O2" s="84">
        <f>Carátula!$L$26</f>
        <v>0</v>
      </c>
    </row>
    <row r="3" spans="1:15" x14ac:dyDescent="0.25">
      <c r="A3" s="2" t="s">
        <v>131</v>
      </c>
      <c r="B3" s="84">
        <f>Carátula!$F$44</f>
        <v>600000</v>
      </c>
      <c r="N3" s="2" t="s">
        <v>141</v>
      </c>
      <c r="O3" s="88">
        <f>IF(G2=1,Avalúos!I6,0)</f>
        <v>0</v>
      </c>
    </row>
    <row r="4" spans="1:15" x14ac:dyDescent="0.25">
      <c r="A4" s="2" t="s">
        <v>161</v>
      </c>
      <c r="B4" s="84">
        <f>IF(Catálogos!$K$10=2,0,Carátula!$F$17)</f>
        <v>714000</v>
      </c>
      <c r="N4" s="2" t="s">
        <v>142</v>
      </c>
      <c r="O4" s="88">
        <f>IF(G2=1,Carátula!$L$30/1.16,0)</f>
        <v>646.55172413793105</v>
      </c>
    </row>
    <row r="5" spans="1:15" x14ac:dyDescent="0.25">
      <c r="O5" s="87">
        <f>SUM(O2:O4)</f>
        <v>646.55172413793105</v>
      </c>
    </row>
    <row r="6" spans="1:15" x14ac:dyDescent="0.25">
      <c r="B6" s="81" t="s">
        <v>139</v>
      </c>
      <c r="C6" s="81" t="s">
        <v>76</v>
      </c>
      <c r="D6" s="81" t="s">
        <v>133</v>
      </c>
      <c r="E6" s="81" t="s">
        <v>134</v>
      </c>
      <c r="F6" s="81" t="s">
        <v>135</v>
      </c>
      <c r="G6" s="81" t="s">
        <v>136</v>
      </c>
      <c r="H6" s="81" t="s">
        <v>137</v>
      </c>
      <c r="I6" s="81" t="s">
        <v>138</v>
      </c>
      <c r="J6" s="87">
        <f>-B3+O5</f>
        <v>-599353.44827586203</v>
      </c>
      <c r="K6" s="89">
        <f>IRR(J6:J246,0)</f>
        <v>9.3228220536523132E-3</v>
      </c>
      <c r="L6" s="87" t="s">
        <v>143</v>
      </c>
    </row>
    <row r="7" spans="1:15" x14ac:dyDescent="0.25">
      <c r="A7">
        <v>1</v>
      </c>
      <c r="B7" s="87">
        <f>B3</f>
        <v>600000</v>
      </c>
      <c r="C7" s="87">
        <f>IF(A7="","",E7-D7)</f>
        <v>867.75904166261716</v>
      </c>
      <c r="D7" s="84">
        <f>IF(A7="","",($B$2/360*30.4)*B7)</f>
        <v>4635.9999999999991</v>
      </c>
      <c r="E7" s="84">
        <f t="shared" ref="E7:E70" si="0">IF(A7="","",PMT($B$2/360*30.4,$B$1,-$B$3))</f>
        <v>5503.7590416626163</v>
      </c>
      <c r="F7" s="84">
        <f>IF(A7="","",B7*Catálogos!$R$1)</f>
        <v>359.99999999999994</v>
      </c>
      <c r="G7" s="84">
        <f>IF(A7="","",IF(B7=0,0,$B$4*Catálogos!$Q$6))</f>
        <v>172.34482758620689</v>
      </c>
      <c r="H7" s="84">
        <f>IF(A7="","",IF($G$2=1,299,0))</f>
        <v>299</v>
      </c>
      <c r="I7" s="84">
        <f>IF(A7="","",SUM(E7:H7))</f>
        <v>6335.1038692488228</v>
      </c>
      <c r="J7" s="87">
        <f>I7</f>
        <v>6335.1038692488228</v>
      </c>
      <c r="K7" s="55">
        <f>K6*12</f>
        <v>0.11187386464382776</v>
      </c>
      <c r="L7" s="87" t="s">
        <v>144</v>
      </c>
    </row>
    <row r="8" spans="1:15" x14ac:dyDescent="0.25">
      <c r="A8">
        <f t="shared" ref="A8:A71" si="1">IF(A7=$B$1,"",IF(A7="","",A7+1))</f>
        <v>2</v>
      </c>
      <c r="B8" s="87">
        <f>IF(A8="","",B7-C7)</f>
        <v>599132.24095833744</v>
      </c>
      <c r="C8" s="87">
        <f t="shared" ref="C8:C71" si="2">IF(A8="","",E8-D8)</f>
        <v>874.4639265245296</v>
      </c>
      <c r="D8" s="84">
        <f t="shared" ref="D8:D71" si="3">IF(A8="","",($B$2/360*30.4)*B8)</f>
        <v>4629.2951151380867</v>
      </c>
      <c r="E8" s="84">
        <f t="shared" si="0"/>
        <v>5503.7590416626163</v>
      </c>
      <c r="F8" s="84">
        <f>IF(A8="","",B8*Catálogos!$R$1)</f>
        <v>359.47934457500241</v>
      </c>
      <c r="G8" s="84">
        <f>IF(A8="","",IF(B8=0,0,$B$4*Catálogos!$Q$6))</f>
        <v>172.34482758620689</v>
      </c>
      <c r="H8" s="84">
        <f t="shared" ref="H8:H71" si="4">IF(A8="","",IF($G$2=1,299,0))</f>
        <v>299</v>
      </c>
      <c r="I8" s="84">
        <f t="shared" ref="I8:I71" si="5">IF(A8="","",SUM(E8:H8))</f>
        <v>6334.5832138238256</v>
      </c>
      <c r="J8" s="87">
        <f t="shared" ref="J8:J71" si="6">I8</f>
        <v>6334.5832138238256</v>
      </c>
      <c r="K8" s="90">
        <f>EFFECT(K7,12)</f>
        <v>0.11779231560064995</v>
      </c>
      <c r="L8" s="87" t="s">
        <v>145</v>
      </c>
    </row>
    <row r="9" spans="1:15" x14ac:dyDescent="0.25">
      <c r="A9">
        <f t="shared" si="1"/>
        <v>3</v>
      </c>
      <c r="B9" s="87">
        <f t="shared" ref="B9:B72" si="7">IF(A9="","",B8-C8)</f>
        <v>598257.77703181293</v>
      </c>
      <c r="C9" s="87">
        <f t="shared" si="2"/>
        <v>881.22061779680917</v>
      </c>
      <c r="D9" s="84">
        <f t="shared" si="3"/>
        <v>4622.5384238658071</v>
      </c>
      <c r="E9" s="84">
        <f t="shared" si="0"/>
        <v>5503.7590416626163</v>
      </c>
      <c r="F9" s="84">
        <f>IF(A9="","",B9*Catálogos!$R$1)</f>
        <v>358.95466621908776</v>
      </c>
      <c r="G9" s="84">
        <f>IF(A9="","",IF(B9=0,0,$B$4*Catálogos!$Q$6))</f>
        <v>172.34482758620689</v>
      </c>
      <c r="H9" s="84">
        <f t="shared" si="4"/>
        <v>299</v>
      </c>
      <c r="I9" s="84">
        <f t="shared" si="5"/>
        <v>6334.0585354679106</v>
      </c>
      <c r="J9" s="87">
        <f t="shared" si="6"/>
        <v>6334.0585354679106</v>
      </c>
      <c r="K9" s="87"/>
      <c r="L9" s="87"/>
    </row>
    <row r="10" spans="1:15" x14ac:dyDescent="0.25">
      <c r="A10">
        <f t="shared" si="1"/>
        <v>4</v>
      </c>
      <c r="B10" s="87">
        <f t="shared" si="7"/>
        <v>597376.55641401617</v>
      </c>
      <c r="C10" s="87">
        <f t="shared" si="2"/>
        <v>888.02951577031854</v>
      </c>
      <c r="D10" s="84">
        <f t="shared" si="3"/>
        <v>4615.7295258922977</v>
      </c>
      <c r="E10" s="84">
        <f t="shared" si="0"/>
        <v>5503.7590416626163</v>
      </c>
      <c r="F10" s="84">
        <f>IF(A10="","",B10*Catálogos!$R$1)</f>
        <v>358.42593384840967</v>
      </c>
      <c r="G10" s="84">
        <f>IF(A10="","",IF(B10=0,0,$B$4*Catálogos!$Q$6))</f>
        <v>172.34482758620689</v>
      </c>
      <c r="H10" s="84">
        <f t="shared" si="4"/>
        <v>299</v>
      </c>
      <c r="I10" s="84">
        <f t="shared" si="5"/>
        <v>6333.5298030972326</v>
      </c>
      <c r="J10" s="87">
        <f t="shared" si="6"/>
        <v>6333.5298030972326</v>
      </c>
      <c r="K10" s="87"/>
      <c r="L10" s="87"/>
    </row>
    <row r="11" spans="1:15" x14ac:dyDescent="0.25">
      <c r="A11">
        <f t="shared" si="1"/>
        <v>5</v>
      </c>
      <c r="B11" s="87">
        <f t="shared" si="7"/>
        <v>596488.52689824591</v>
      </c>
      <c r="C11" s="87">
        <f t="shared" si="2"/>
        <v>894.89102382883721</v>
      </c>
      <c r="D11" s="84">
        <f t="shared" si="3"/>
        <v>4608.868017833779</v>
      </c>
      <c r="E11" s="84">
        <f t="shared" si="0"/>
        <v>5503.7590416626163</v>
      </c>
      <c r="F11" s="84">
        <f>IF(A11="","",B11*Catálogos!$R$1)</f>
        <v>357.89311613894751</v>
      </c>
      <c r="G11" s="84">
        <f>IF(A11="","",IF(B11=0,0,$B$4*Catálogos!$Q$6))</f>
        <v>172.34482758620689</v>
      </c>
      <c r="H11" s="84">
        <f t="shared" si="4"/>
        <v>299</v>
      </c>
      <c r="I11" s="84">
        <f t="shared" si="5"/>
        <v>6332.9969853877701</v>
      </c>
      <c r="J11" s="87">
        <f t="shared" si="6"/>
        <v>6332.9969853877701</v>
      </c>
      <c r="K11" s="87"/>
      <c r="L11" s="87"/>
    </row>
    <row r="12" spans="1:15" x14ac:dyDescent="0.25">
      <c r="A12">
        <f t="shared" si="1"/>
        <v>6</v>
      </c>
      <c r="B12" s="87">
        <f t="shared" si="7"/>
        <v>595593.63587441703</v>
      </c>
      <c r="C12" s="87">
        <f t="shared" si="2"/>
        <v>901.8055484729548</v>
      </c>
      <c r="D12" s="84">
        <f t="shared" si="3"/>
        <v>4601.9534931896615</v>
      </c>
      <c r="E12" s="84">
        <f t="shared" si="0"/>
        <v>5503.7590416626163</v>
      </c>
      <c r="F12" s="84">
        <f>IF(A12="","",B12*Catálogos!$R$1)</f>
        <v>357.3561815246502</v>
      </c>
      <c r="G12" s="84">
        <f>IF(A12="","",IF(B12=0,0,$B$4*Catálogos!$Q$6))</f>
        <v>172.34482758620689</v>
      </c>
      <c r="H12" s="84">
        <f t="shared" si="4"/>
        <v>299</v>
      </c>
      <c r="I12" s="84">
        <f t="shared" si="5"/>
        <v>6332.4600507734731</v>
      </c>
      <c r="J12" s="87">
        <f t="shared" si="6"/>
        <v>6332.4600507734731</v>
      </c>
      <c r="K12" s="87"/>
      <c r="L12" s="87"/>
    </row>
    <row r="13" spans="1:15" x14ac:dyDescent="0.25">
      <c r="A13">
        <f t="shared" si="1"/>
        <v>7</v>
      </c>
      <c r="B13" s="87">
        <f t="shared" si="7"/>
        <v>594691.83032594412</v>
      </c>
      <c r="C13" s="87">
        <f t="shared" si="2"/>
        <v>908.77349934415543</v>
      </c>
      <c r="D13" s="84">
        <f t="shared" si="3"/>
        <v>4594.9855423184608</v>
      </c>
      <c r="E13" s="84">
        <f t="shared" si="0"/>
        <v>5503.7590416626163</v>
      </c>
      <c r="F13" s="84">
        <f>IF(A13="","",B13*Catálogos!$R$1)</f>
        <v>356.81509819556646</v>
      </c>
      <c r="G13" s="84">
        <f>IF(A13="","",IF(B13=0,0,$B$4*Catálogos!$Q$6))</f>
        <v>172.34482758620689</v>
      </c>
      <c r="H13" s="84">
        <f t="shared" si="4"/>
        <v>299</v>
      </c>
      <c r="I13" s="84">
        <f t="shared" si="5"/>
        <v>6331.9189674443896</v>
      </c>
      <c r="J13" s="87">
        <f t="shared" si="6"/>
        <v>6331.9189674443896</v>
      </c>
      <c r="K13" s="87"/>
      <c r="L13" s="87"/>
    </row>
    <row r="14" spans="1:15" x14ac:dyDescent="0.25">
      <c r="A14">
        <f t="shared" si="1"/>
        <v>8</v>
      </c>
      <c r="B14" s="87">
        <f t="shared" si="7"/>
        <v>593783.05682659999</v>
      </c>
      <c r="C14" s="87">
        <f t="shared" si="2"/>
        <v>915.79528924908755</v>
      </c>
      <c r="D14" s="84">
        <f t="shared" si="3"/>
        <v>4587.9637524135287</v>
      </c>
      <c r="E14" s="84">
        <f t="shared" si="0"/>
        <v>5503.7590416626163</v>
      </c>
      <c r="F14" s="84">
        <f>IF(A14="","",B14*Catálogos!$R$1)</f>
        <v>356.26983409595994</v>
      </c>
      <c r="G14" s="84">
        <f>IF(A14="","",IF(B14=0,0,$B$4*Catálogos!$Q$6))</f>
        <v>172.34482758620689</v>
      </c>
      <c r="H14" s="84">
        <f t="shared" si="4"/>
        <v>299</v>
      </c>
      <c r="I14" s="84">
        <f t="shared" si="5"/>
        <v>6331.3737033447824</v>
      </c>
      <c r="J14" s="87">
        <f t="shared" si="6"/>
        <v>6331.3737033447824</v>
      </c>
      <c r="K14" s="87"/>
      <c r="L14" s="87"/>
    </row>
    <row r="15" spans="1:15" x14ac:dyDescent="0.25">
      <c r="A15">
        <f t="shared" si="1"/>
        <v>9</v>
      </c>
      <c r="B15" s="87">
        <f t="shared" si="7"/>
        <v>592867.26153735095</v>
      </c>
      <c r="C15" s="87">
        <f t="shared" si="2"/>
        <v>922.87133418401845</v>
      </c>
      <c r="D15" s="84">
        <f t="shared" si="3"/>
        <v>4580.8877074785978</v>
      </c>
      <c r="E15" s="84">
        <f t="shared" si="0"/>
        <v>5503.7590416626163</v>
      </c>
      <c r="F15" s="84">
        <f>IF(A15="","",B15*Catálogos!$R$1)</f>
        <v>355.72035692241053</v>
      </c>
      <c r="G15" s="84">
        <f>IF(A15="","",IF(B15=0,0,$B$4*Catálogos!$Q$6))</f>
        <v>172.34482758620689</v>
      </c>
      <c r="H15" s="84">
        <f t="shared" si="4"/>
        <v>299</v>
      </c>
      <c r="I15" s="84">
        <f t="shared" si="5"/>
        <v>6330.824226171233</v>
      </c>
      <c r="J15" s="87">
        <f t="shared" si="6"/>
        <v>6330.824226171233</v>
      </c>
      <c r="K15" s="87"/>
      <c r="L15" s="87"/>
    </row>
    <row r="16" spans="1:15" x14ac:dyDescent="0.25">
      <c r="A16">
        <f t="shared" si="1"/>
        <v>10</v>
      </c>
      <c r="B16" s="87">
        <f t="shared" si="7"/>
        <v>591944.39020316699</v>
      </c>
      <c r="C16" s="87">
        <f t="shared" si="2"/>
        <v>930.00205335947976</v>
      </c>
      <c r="D16" s="84">
        <f t="shared" si="3"/>
        <v>4573.7569883031365</v>
      </c>
      <c r="E16" s="84">
        <f t="shared" si="0"/>
        <v>5503.7590416626163</v>
      </c>
      <c r="F16" s="84">
        <f>IF(A16="","",B16*Catálogos!$R$1)</f>
        <v>355.16663412190019</v>
      </c>
      <c r="G16" s="84">
        <f>IF(A16="","",IF(B16=0,0,$B$4*Catálogos!$Q$6))</f>
        <v>172.34482758620689</v>
      </c>
      <c r="H16" s="84">
        <f t="shared" si="4"/>
        <v>299</v>
      </c>
      <c r="I16" s="84">
        <f t="shared" si="5"/>
        <v>6330.2705033707225</v>
      </c>
      <c r="J16" s="87">
        <f t="shared" si="6"/>
        <v>6330.2705033707225</v>
      </c>
      <c r="K16" s="87"/>
      <c r="L16" s="87"/>
    </row>
    <row r="17" spans="1:12" x14ac:dyDescent="0.25">
      <c r="A17">
        <f t="shared" si="1"/>
        <v>11</v>
      </c>
      <c r="B17" s="87">
        <f t="shared" si="7"/>
        <v>591014.38814980746</v>
      </c>
      <c r="C17" s="87">
        <f t="shared" si="2"/>
        <v>937.18786922510481</v>
      </c>
      <c r="D17" s="84">
        <f t="shared" si="3"/>
        <v>4566.5711724375114</v>
      </c>
      <c r="E17" s="84">
        <f t="shared" si="0"/>
        <v>5503.7590416626163</v>
      </c>
      <c r="F17" s="84">
        <f>IF(A17="","",B17*Catálogos!$R$1)</f>
        <v>354.60863288988446</v>
      </c>
      <c r="G17" s="84">
        <f>IF(A17="","",IF(B17=0,0,$B$4*Catálogos!$Q$6))</f>
        <v>172.34482758620689</v>
      </c>
      <c r="H17" s="84">
        <f t="shared" si="4"/>
        <v>299</v>
      </c>
      <c r="I17" s="84">
        <f t="shared" si="5"/>
        <v>6329.7125021387074</v>
      </c>
      <c r="J17" s="87">
        <f t="shared" si="6"/>
        <v>6329.7125021387074</v>
      </c>
      <c r="K17" s="87"/>
      <c r="L17" s="87"/>
    </row>
    <row r="18" spans="1:12" x14ac:dyDescent="0.25">
      <c r="A18">
        <f t="shared" si="1"/>
        <v>12</v>
      </c>
      <c r="B18" s="87">
        <f t="shared" si="7"/>
        <v>590077.2002805823</v>
      </c>
      <c r="C18" s="87">
        <f t="shared" si="2"/>
        <v>944.42920749465065</v>
      </c>
      <c r="D18" s="84">
        <f t="shared" si="3"/>
        <v>4559.3298341679656</v>
      </c>
      <c r="E18" s="84">
        <f t="shared" si="0"/>
        <v>5503.7590416626163</v>
      </c>
      <c r="F18" s="84">
        <f>IF(A18="","",B18*Catálogos!$R$1)</f>
        <v>354.04632016834933</v>
      </c>
      <c r="G18" s="84">
        <f>IF(A18="","",IF(B18=0,0,$B$4*Catálogos!$Q$6))</f>
        <v>172.34482758620689</v>
      </c>
      <c r="H18" s="84">
        <f t="shared" si="4"/>
        <v>299</v>
      </c>
      <c r="I18" s="84">
        <f t="shared" si="5"/>
        <v>6329.1501894171724</v>
      </c>
      <c r="J18" s="87">
        <f t="shared" si="6"/>
        <v>6329.1501894171724</v>
      </c>
      <c r="K18" s="87"/>
      <c r="L18" s="87"/>
    </row>
    <row r="19" spans="1:12" x14ac:dyDescent="0.25">
      <c r="A19">
        <f t="shared" si="1"/>
        <v>13</v>
      </c>
      <c r="B19" s="87">
        <f t="shared" si="7"/>
        <v>589132.7710730877</v>
      </c>
      <c r="C19" s="87">
        <f t="shared" si="2"/>
        <v>951.72649717122567</v>
      </c>
      <c r="D19" s="84">
        <f t="shared" si="3"/>
        <v>4552.0325444913906</v>
      </c>
      <c r="E19" s="84">
        <f t="shared" si="0"/>
        <v>5503.7590416626163</v>
      </c>
      <c r="F19" s="84">
        <f>IF(A19="","",B19*Catálogos!$R$1)</f>
        <v>353.47966264385258</v>
      </c>
      <c r="G19" s="84">
        <f>IF(A19="","",IF(B19=0,0,$B$4*Catálogos!$Q$6))</f>
        <v>172.34482758620689</v>
      </c>
      <c r="H19" s="84">
        <f t="shared" si="4"/>
        <v>299</v>
      </c>
      <c r="I19" s="84">
        <f t="shared" si="5"/>
        <v>6328.5835318926756</v>
      </c>
      <c r="J19" s="87">
        <f t="shared" si="6"/>
        <v>6328.5835318926756</v>
      </c>
      <c r="K19" s="87"/>
      <c r="L19" s="87"/>
    </row>
    <row r="20" spans="1:12" x14ac:dyDescent="0.25">
      <c r="A20">
        <f t="shared" si="1"/>
        <v>14</v>
      </c>
      <c r="B20" s="87">
        <f t="shared" si="7"/>
        <v>588181.04457591649</v>
      </c>
      <c r="C20" s="87">
        <f t="shared" si="2"/>
        <v>959.08017057270263</v>
      </c>
      <c r="D20" s="84">
        <f t="shared" si="3"/>
        <v>4544.6788710899136</v>
      </c>
      <c r="E20" s="84">
        <f t="shared" si="0"/>
        <v>5503.7590416626163</v>
      </c>
      <c r="F20" s="84">
        <f>IF(A20="","",B20*Catálogos!$R$1)</f>
        <v>352.90862674554984</v>
      </c>
      <c r="G20" s="84">
        <f>IF(A20="","",IF(B20=0,0,$B$4*Catálogos!$Q$6))</f>
        <v>172.34482758620689</v>
      </c>
      <c r="H20" s="84">
        <f t="shared" si="4"/>
        <v>299</v>
      </c>
      <c r="I20" s="84">
        <f t="shared" si="5"/>
        <v>6328.0124959943723</v>
      </c>
      <c r="J20" s="87">
        <f t="shared" si="6"/>
        <v>6328.0124959943723</v>
      </c>
      <c r="K20" s="87"/>
      <c r="L20" s="87"/>
    </row>
    <row r="21" spans="1:12" x14ac:dyDescent="0.25">
      <c r="A21">
        <f t="shared" si="1"/>
        <v>15</v>
      </c>
      <c r="B21" s="87">
        <f t="shared" si="7"/>
        <v>587221.96440534375</v>
      </c>
      <c r="C21" s="87">
        <f t="shared" si="2"/>
        <v>966.49066335732732</v>
      </c>
      <c r="D21" s="84">
        <f t="shared" si="3"/>
        <v>4537.2683783052889</v>
      </c>
      <c r="E21" s="84">
        <f t="shared" si="0"/>
        <v>5503.7590416626163</v>
      </c>
      <c r="F21" s="84">
        <f>IF(A21="","",B21*Catálogos!$R$1)</f>
        <v>352.33317864320622</v>
      </c>
      <c r="G21" s="84">
        <f>IF(A21="","",IF(B21=0,0,$B$4*Catálogos!$Q$6))</f>
        <v>172.34482758620689</v>
      </c>
      <c r="H21" s="84">
        <f t="shared" si="4"/>
        <v>299</v>
      </c>
      <c r="I21" s="84">
        <f t="shared" si="5"/>
        <v>6327.4370478920291</v>
      </c>
      <c r="J21" s="87">
        <f t="shared" si="6"/>
        <v>6327.4370478920291</v>
      </c>
      <c r="K21" s="87"/>
      <c r="L21" s="87"/>
    </row>
    <row r="22" spans="1:12" x14ac:dyDescent="0.25">
      <c r="A22">
        <f t="shared" si="1"/>
        <v>16</v>
      </c>
      <c r="B22" s="87">
        <f t="shared" si="7"/>
        <v>586255.47374198644</v>
      </c>
      <c r="C22" s="87">
        <f t="shared" si="2"/>
        <v>973.95841454953461</v>
      </c>
      <c r="D22" s="84">
        <f t="shared" si="3"/>
        <v>4529.8006271130816</v>
      </c>
      <c r="E22" s="84">
        <f t="shared" si="0"/>
        <v>5503.7590416626163</v>
      </c>
      <c r="F22" s="84">
        <f>IF(A22="","",B22*Catálogos!$R$1)</f>
        <v>351.75328424519182</v>
      </c>
      <c r="G22" s="84">
        <f>IF(A22="","",IF(B22=0,0,$B$4*Catálogos!$Q$6))</f>
        <v>172.34482758620689</v>
      </c>
      <c r="H22" s="84">
        <f t="shared" si="4"/>
        <v>299</v>
      </c>
      <c r="I22" s="84">
        <f t="shared" si="5"/>
        <v>6326.8571534940147</v>
      </c>
      <c r="J22" s="87">
        <f t="shared" si="6"/>
        <v>6326.8571534940147</v>
      </c>
      <c r="K22" s="87"/>
      <c r="L22" s="87"/>
    </row>
    <row r="23" spans="1:12" x14ac:dyDescent="0.25">
      <c r="A23">
        <f t="shared" si="1"/>
        <v>17</v>
      </c>
      <c r="B23" s="87">
        <f t="shared" si="7"/>
        <v>585281.51532743685</v>
      </c>
      <c r="C23" s="87">
        <f t="shared" si="2"/>
        <v>981.48386656595449</v>
      </c>
      <c r="D23" s="84">
        <f t="shared" si="3"/>
        <v>4522.2751750966618</v>
      </c>
      <c r="E23" s="84">
        <f t="shared" si="0"/>
        <v>5503.7590416626163</v>
      </c>
      <c r="F23" s="84">
        <f>IF(A23="","",B23*Catálogos!$R$1)</f>
        <v>351.1689091964621</v>
      </c>
      <c r="G23" s="84">
        <f>IF(A23="","",IF(B23=0,0,$B$4*Catálogos!$Q$6))</f>
        <v>172.34482758620689</v>
      </c>
      <c r="H23" s="84">
        <f t="shared" si="4"/>
        <v>299</v>
      </c>
      <c r="I23" s="84">
        <f t="shared" si="5"/>
        <v>6326.2727784452845</v>
      </c>
      <c r="J23" s="87">
        <f t="shared" si="6"/>
        <v>6326.2727784452845</v>
      </c>
      <c r="K23" s="87"/>
      <c r="L23" s="87"/>
    </row>
    <row r="24" spans="1:12" x14ac:dyDescent="0.25">
      <c r="A24">
        <f t="shared" si="1"/>
        <v>18</v>
      </c>
      <c r="B24" s="87">
        <f t="shared" si="7"/>
        <v>584300.03146087087</v>
      </c>
      <c r="C24" s="87">
        <f t="shared" si="2"/>
        <v>989.06746524162099</v>
      </c>
      <c r="D24" s="84">
        <f t="shared" si="3"/>
        <v>4514.6915764209953</v>
      </c>
      <c r="E24" s="84">
        <f t="shared" si="0"/>
        <v>5503.7590416626163</v>
      </c>
      <c r="F24" s="84">
        <f>IF(A24="","",B24*Catálogos!$R$1)</f>
        <v>350.5800188765225</v>
      </c>
      <c r="G24" s="84">
        <f>IF(A24="","",IF(B24=0,0,$B$4*Catálogos!$Q$6))</f>
        <v>172.34482758620689</v>
      </c>
      <c r="H24" s="84">
        <f t="shared" si="4"/>
        <v>299</v>
      </c>
      <c r="I24" s="84">
        <f t="shared" si="5"/>
        <v>6325.6838881253452</v>
      </c>
      <c r="J24" s="87">
        <f t="shared" si="6"/>
        <v>6325.6838881253452</v>
      </c>
      <c r="K24" s="87"/>
      <c r="L24" s="87"/>
    </row>
    <row r="25" spans="1:12" x14ac:dyDescent="0.25">
      <c r="A25">
        <f t="shared" si="1"/>
        <v>19</v>
      </c>
      <c r="B25" s="87">
        <f t="shared" si="7"/>
        <v>583310.96399562922</v>
      </c>
      <c r="C25" s="87">
        <f t="shared" si="2"/>
        <v>996.7096598563885</v>
      </c>
      <c r="D25" s="84">
        <f t="shared" si="3"/>
        <v>4507.0493818062278</v>
      </c>
      <c r="E25" s="84">
        <f t="shared" si="0"/>
        <v>5503.7590416626163</v>
      </c>
      <c r="F25" s="84">
        <f>IF(A25="","",B25*Catálogos!$R$1)</f>
        <v>349.98657839737751</v>
      </c>
      <c r="G25" s="84">
        <f>IF(A25="","",IF(B25=0,0,$B$4*Catálogos!$Q$6))</f>
        <v>172.34482758620689</v>
      </c>
      <c r="H25" s="84">
        <f t="shared" si="4"/>
        <v>299</v>
      </c>
      <c r="I25" s="84">
        <f t="shared" si="5"/>
        <v>6325.0904476462001</v>
      </c>
      <c r="J25" s="87">
        <f t="shared" si="6"/>
        <v>6325.0904476462001</v>
      </c>
      <c r="K25" s="87"/>
      <c r="L25" s="87"/>
    </row>
    <row r="26" spans="1:12" x14ac:dyDescent="0.25">
      <c r="A26">
        <f t="shared" si="1"/>
        <v>20</v>
      </c>
      <c r="B26" s="87">
        <f t="shared" si="7"/>
        <v>582314.25433577283</v>
      </c>
      <c r="C26" s="87">
        <f t="shared" si="2"/>
        <v>1004.4109031615453</v>
      </c>
      <c r="D26" s="84">
        <f t="shared" si="3"/>
        <v>4499.3481385010709</v>
      </c>
      <c r="E26" s="84">
        <f t="shared" si="0"/>
        <v>5503.7590416626163</v>
      </c>
      <c r="F26" s="84">
        <f>IF(A26="","",B26*Catálogos!$R$1)</f>
        <v>349.38855260146369</v>
      </c>
      <c r="G26" s="84">
        <f>IF(A26="","",IF(B26=0,0,$B$4*Catálogos!$Q$6))</f>
        <v>172.34482758620689</v>
      </c>
      <c r="H26" s="84">
        <f t="shared" si="4"/>
        <v>299</v>
      </c>
      <c r="I26" s="84">
        <f t="shared" si="5"/>
        <v>6324.4924218502865</v>
      </c>
      <c r="J26" s="87">
        <f t="shared" si="6"/>
        <v>6324.4924218502865</v>
      </c>
      <c r="K26" s="87"/>
      <c r="L26" s="87"/>
    </row>
    <row r="27" spans="1:12" x14ac:dyDescent="0.25">
      <c r="A27">
        <f t="shared" si="1"/>
        <v>21</v>
      </c>
      <c r="B27" s="87">
        <f t="shared" si="7"/>
        <v>581309.84343261132</v>
      </c>
      <c r="C27" s="87">
        <f t="shared" si="2"/>
        <v>1012.1716514066402</v>
      </c>
      <c r="D27" s="84">
        <f t="shared" si="3"/>
        <v>4491.5873902559761</v>
      </c>
      <c r="E27" s="84">
        <f t="shared" si="0"/>
        <v>5503.7590416626163</v>
      </c>
      <c r="F27" s="84">
        <f>IF(A27="","",B27*Catálogos!$R$1)</f>
        <v>348.78590605956674</v>
      </c>
      <c r="G27" s="84">
        <f>IF(A27="","",IF(B27=0,0,$B$4*Catálogos!$Q$6))</f>
        <v>172.34482758620689</v>
      </c>
      <c r="H27" s="84">
        <f t="shared" si="4"/>
        <v>299</v>
      </c>
      <c r="I27" s="84">
        <f t="shared" si="5"/>
        <v>6323.8897753083893</v>
      </c>
      <c r="J27" s="87">
        <f t="shared" si="6"/>
        <v>6323.8897753083893</v>
      </c>
      <c r="K27" s="87"/>
      <c r="L27" s="87"/>
    </row>
    <row r="28" spans="1:12" x14ac:dyDescent="0.25">
      <c r="A28">
        <f t="shared" si="1"/>
        <v>22</v>
      </c>
      <c r="B28" s="87">
        <f t="shared" si="7"/>
        <v>580297.67178120464</v>
      </c>
      <c r="C28" s="87">
        <f t="shared" si="2"/>
        <v>1019.9923643665088</v>
      </c>
      <c r="D28" s="84">
        <f t="shared" si="3"/>
        <v>4483.7666772961074</v>
      </c>
      <c r="E28" s="84">
        <f t="shared" si="0"/>
        <v>5503.7590416626163</v>
      </c>
      <c r="F28" s="84">
        <f>IF(A28="","",B28*Catálogos!$R$1)</f>
        <v>348.17860306872274</v>
      </c>
      <c r="G28" s="84">
        <f>IF(A28="","",IF(B28=0,0,$B$4*Catálogos!$Q$6))</f>
        <v>172.34482758620689</v>
      </c>
      <c r="H28" s="84">
        <f t="shared" si="4"/>
        <v>299</v>
      </c>
      <c r="I28" s="84">
        <f t="shared" si="5"/>
        <v>6323.2824723175454</v>
      </c>
      <c r="J28" s="87">
        <f t="shared" si="6"/>
        <v>6323.2824723175454</v>
      </c>
      <c r="K28" s="87"/>
      <c r="L28" s="87"/>
    </row>
    <row r="29" spans="1:12" x14ac:dyDescent="0.25">
      <c r="A29">
        <f t="shared" si="1"/>
        <v>23</v>
      </c>
      <c r="B29" s="87">
        <f t="shared" si="7"/>
        <v>579277.6794168381</v>
      </c>
      <c r="C29" s="87">
        <f t="shared" si="2"/>
        <v>1027.8735053685141</v>
      </c>
      <c r="D29" s="84">
        <f t="shared" si="3"/>
        <v>4475.8855362941022</v>
      </c>
      <c r="E29" s="84">
        <f t="shared" si="0"/>
        <v>5503.7590416626163</v>
      </c>
      <c r="F29" s="84">
        <f>IF(A29="","",B29*Catálogos!$R$1)</f>
        <v>347.56660765010281</v>
      </c>
      <c r="G29" s="84">
        <f>IF(A29="","",IF(B29=0,0,$B$4*Catálogos!$Q$6))</f>
        <v>172.34482758620689</v>
      </c>
      <c r="H29" s="84">
        <f t="shared" si="4"/>
        <v>299</v>
      </c>
      <c r="I29" s="84">
        <f t="shared" si="5"/>
        <v>6322.6704768989257</v>
      </c>
      <c r="J29" s="87">
        <f t="shared" si="6"/>
        <v>6322.6704768989257</v>
      </c>
      <c r="K29" s="87"/>
      <c r="L29" s="87"/>
    </row>
    <row r="30" spans="1:12" x14ac:dyDescent="0.25">
      <c r="A30">
        <f t="shared" si="1"/>
        <v>24</v>
      </c>
      <c r="B30" s="87">
        <f t="shared" si="7"/>
        <v>578249.80591146962</v>
      </c>
      <c r="C30" s="87">
        <f t="shared" si="2"/>
        <v>1035.8155413199947</v>
      </c>
      <c r="D30" s="84">
        <f t="shared" si="3"/>
        <v>4467.9435003426215</v>
      </c>
      <c r="E30" s="84">
        <f t="shared" si="0"/>
        <v>5503.7590416626163</v>
      </c>
      <c r="F30" s="84">
        <f>IF(A30="","",B30*Catálogos!$R$1)</f>
        <v>346.94988354688172</v>
      </c>
      <c r="G30" s="84">
        <f>IF(A30="","",IF(B30=0,0,$B$4*Catálogos!$Q$6))</f>
        <v>172.34482758620689</v>
      </c>
      <c r="H30" s="84">
        <f t="shared" si="4"/>
        <v>299</v>
      </c>
      <c r="I30" s="84">
        <f t="shared" si="5"/>
        <v>6322.0537527957049</v>
      </c>
      <c r="J30" s="87">
        <f t="shared" si="6"/>
        <v>6322.0537527957049</v>
      </c>
      <c r="K30" s="87"/>
      <c r="L30" s="87"/>
    </row>
    <row r="31" spans="1:12" x14ac:dyDescent="0.25">
      <c r="A31">
        <f t="shared" si="1"/>
        <v>25</v>
      </c>
      <c r="B31" s="87">
        <f t="shared" si="7"/>
        <v>577213.99037014961</v>
      </c>
      <c r="C31" s="87">
        <f t="shared" si="2"/>
        <v>1043.8189427359275</v>
      </c>
      <c r="D31" s="84">
        <f t="shared" si="3"/>
        <v>4459.9400989266887</v>
      </c>
      <c r="E31" s="84">
        <f t="shared" si="0"/>
        <v>5503.7590416626163</v>
      </c>
      <c r="F31" s="84">
        <f>IF(A31="","",B31*Catálogos!$R$1)</f>
        <v>346.32839422208974</v>
      </c>
      <c r="G31" s="84">
        <f>IF(A31="","",IF(B31=0,0,$B$4*Catálogos!$Q$6))</f>
        <v>172.34482758620689</v>
      </c>
      <c r="H31" s="84">
        <f t="shared" si="4"/>
        <v>299</v>
      </c>
      <c r="I31" s="84">
        <f t="shared" si="5"/>
        <v>6321.4322634709124</v>
      </c>
      <c r="J31" s="87">
        <f t="shared" si="6"/>
        <v>6321.4322634709124</v>
      </c>
      <c r="K31" s="87"/>
      <c r="L31" s="87"/>
    </row>
    <row r="32" spans="1:12" x14ac:dyDescent="0.25">
      <c r="A32">
        <f t="shared" si="1"/>
        <v>26</v>
      </c>
      <c r="B32" s="87">
        <f t="shared" si="7"/>
        <v>576170.1714274137</v>
      </c>
      <c r="C32" s="87">
        <f t="shared" si="2"/>
        <v>1051.8841837668006</v>
      </c>
      <c r="D32" s="84">
        <f t="shared" si="3"/>
        <v>4451.8748578958157</v>
      </c>
      <c r="E32" s="84">
        <f t="shared" si="0"/>
        <v>5503.7590416626163</v>
      </c>
      <c r="F32" s="84">
        <f>IF(A32="","",B32*Catálogos!$R$1)</f>
        <v>345.70210285644822</v>
      </c>
      <c r="G32" s="84">
        <f>IF(A32="","",IF(B32=0,0,$B$4*Catálogos!$Q$6))</f>
        <v>172.34482758620689</v>
      </c>
      <c r="H32" s="84">
        <f t="shared" si="4"/>
        <v>299</v>
      </c>
      <c r="I32" s="84">
        <f t="shared" si="5"/>
        <v>6320.8059721052714</v>
      </c>
      <c r="J32" s="87">
        <f t="shared" si="6"/>
        <v>6320.8059721052714</v>
      </c>
      <c r="K32" s="87"/>
      <c r="L32" s="87"/>
    </row>
    <row r="33" spans="1:12" x14ac:dyDescent="0.25">
      <c r="A33">
        <f t="shared" si="1"/>
        <v>27</v>
      </c>
      <c r="B33" s="87">
        <f t="shared" si="7"/>
        <v>575118.28724364692</v>
      </c>
      <c r="C33" s="87">
        <f t="shared" si="2"/>
        <v>1060.0117422267049</v>
      </c>
      <c r="D33" s="84">
        <f t="shared" si="3"/>
        <v>4443.7472994359114</v>
      </c>
      <c r="E33" s="84">
        <f t="shared" si="0"/>
        <v>5503.7590416626163</v>
      </c>
      <c r="F33" s="84">
        <f>IF(A33="","",B33*Catálogos!$R$1)</f>
        <v>345.07097234618811</v>
      </c>
      <c r="G33" s="84">
        <f>IF(A33="","",IF(B33=0,0,$B$4*Catálogos!$Q$6))</f>
        <v>172.34482758620689</v>
      </c>
      <c r="H33" s="84">
        <f t="shared" si="4"/>
        <v>299</v>
      </c>
      <c r="I33" s="84">
        <f t="shared" si="5"/>
        <v>6320.1748415950105</v>
      </c>
      <c r="J33" s="87">
        <f t="shared" si="6"/>
        <v>6320.1748415950105</v>
      </c>
      <c r="K33" s="87"/>
      <c r="L33" s="87"/>
    </row>
    <row r="34" spans="1:12" x14ac:dyDescent="0.25">
      <c r="A34">
        <f t="shared" si="1"/>
        <v>28</v>
      </c>
      <c r="B34" s="87">
        <f t="shared" si="7"/>
        <v>574058.27550142026</v>
      </c>
      <c r="C34" s="87">
        <f t="shared" si="2"/>
        <v>1068.2020996216434</v>
      </c>
      <c r="D34" s="84">
        <f t="shared" si="3"/>
        <v>4435.5569420409729</v>
      </c>
      <c r="E34" s="84">
        <f t="shared" si="0"/>
        <v>5503.7590416626163</v>
      </c>
      <c r="F34" s="84">
        <f>IF(A34="","",B34*Catálogos!$R$1)</f>
        <v>344.43496530085213</v>
      </c>
      <c r="G34" s="84">
        <f>IF(A34="","",IF(B34=0,0,$B$4*Catálogos!$Q$6))</f>
        <v>172.34482758620689</v>
      </c>
      <c r="H34" s="84">
        <f t="shared" si="4"/>
        <v>299</v>
      </c>
      <c r="I34" s="84">
        <f t="shared" si="5"/>
        <v>6319.5388345496749</v>
      </c>
      <c r="J34" s="87">
        <f t="shared" si="6"/>
        <v>6319.5388345496749</v>
      </c>
      <c r="K34" s="87"/>
      <c r="L34" s="87"/>
    </row>
    <row r="35" spans="1:12" x14ac:dyDescent="0.25">
      <c r="A35">
        <f t="shared" si="1"/>
        <v>29</v>
      </c>
      <c r="B35" s="87">
        <f t="shared" si="7"/>
        <v>572990.07340179861</v>
      </c>
      <c r="C35" s="87">
        <f t="shared" si="2"/>
        <v>1076.4557411780534</v>
      </c>
      <c r="D35" s="84">
        <f t="shared" si="3"/>
        <v>4427.3033004845629</v>
      </c>
      <c r="E35" s="84">
        <f t="shared" si="0"/>
        <v>5503.7590416626163</v>
      </c>
      <c r="F35" s="84">
        <f>IF(A35="","",B35*Catálogos!$R$1)</f>
        <v>343.79404404107913</v>
      </c>
      <c r="G35" s="84">
        <f>IF(A35="","",IF(B35=0,0,$B$4*Catálogos!$Q$6))</f>
        <v>172.34482758620689</v>
      </c>
      <c r="H35" s="84">
        <f t="shared" si="4"/>
        <v>299</v>
      </c>
      <c r="I35" s="84">
        <f t="shared" si="5"/>
        <v>6318.8979132899021</v>
      </c>
      <c r="J35" s="87">
        <f t="shared" si="6"/>
        <v>6318.8979132899021</v>
      </c>
      <c r="K35" s="87"/>
      <c r="L35" s="87"/>
    </row>
    <row r="36" spans="1:12" x14ac:dyDescent="0.25">
      <c r="A36">
        <f t="shared" si="1"/>
        <v>30</v>
      </c>
      <c r="B36" s="87">
        <f t="shared" si="7"/>
        <v>571913.6176606206</v>
      </c>
      <c r="C36" s="87">
        <f t="shared" si="2"/>
        <v>1084.773155871555</v>
      </c>
      <c r="D36" s="84">
        <f t="shared" si="3"/>
        <v>4418.9858857910613</v>
      </c>
      <c r="E36" s="84">
        <f t="shared" si="0"/>
        <v>5503.7590416626163</v>
      </c>
      <c r="F36" s="84">
        <f>IF(A36="","",B36*Catálogos!$R$1)</f>
        <v>343.14817059637232</v>
      </c>
      <c r="G36" s="84">
        <f>IF(A36="","",IF(B36=0,0,$B$4*Catálogos!$Q$6))</f>
        <v>172.34482758620689</v>
      </c>
      <c r="H36" s="84">
        <f t="shared" si="4"/>
        <v>299</v>
      </c>
      <c r="I36" s="84">
        <f t="shared" si="5"/>
        <v>6318.2520398451952</v>
      </c>
      <c r="J36" s="87">
        <f t="shared" si="6"/>
        <v>6318.2520398451952</v>
      </c>
      <c r="K36" s="87"/>
      <c r="L36" s="87"/>
    </row>
    <row r="37" spans="1:12" x14ac:dyDescent="0.25">
      <c r="A37">
        <f t="shared" si="1"/>
        <v>31</v>
      </c>
      <c r="B37" s="87">
        <f t="shared" si="7"/>
        <v>570828.84450474905</v>
      </c>
      <c r="C37" s="87">
        <f t="shared" si="2"/>
        <v>1093.1548364559221</v>
      </c>
      <c r="D37" s="84">
        <f t="shared" si="3"/>
        <v>4410.6042052066941</v>
      </c>
      <c r="E37" s="84">
        <f t="shared" si="0"/>
        <v>5503.7590416626163</v>
      </c>
      <c r="F37" s="84">
        <f>IF(A37="","",B37*Catálogos!$R$1)</f>
        <v>342.49730670284941</v>
      </c>
      <c r="G37" s="84">
        <f>IF(A37="","",IF(B37=0,0,$B$4*Catálogos!$Q$6))</f>
        <v>172.34482758620689</v>
      </c>
      <c r="H37" s="84">
        <f t="shared" si="4"/>
        <v>299</v>
      </c>
      <c r="I37" s="84">
        <f t="shared" si="5"/>
        <v>6317.6011759516723</v>
      </c>
      <c r="J37" s="87">
        <f t="shared" si="6"/>
        <v>6317.6011759516723</v>
      </c>
      <c r="K37" s="87"/>
      <c r="L37" s="87"/>
    </row>
    <row r="38" spans="1:12" x14ac:dyDescent="0.25">
      <c r="A38">
        <f t="shared" si="1"/>
        <v>32</v>
      </c>
      <c r="B38" s="87">
        <f t="shared" si="7"/>
        <v>569735.68966829311</v>
      </c>
      <c r="C38" s="87">
        <f t="shared" si="2"/>
        <v>1101.6012794922717</v>
      </c>
      <c r="D38" s="84">
        <f t="shared" si="3"/>
        <v>4402.1577621703445</v>
      </c>
      <c r="E38" s="84">
        <f t="shared" si="0"/>
        <v>5503.7590416626163</v>
      </c>
      <c r="F38" s="84">
        <f>IF(A38="","",B38*Catálogos!$R$1)</f>
        <v>341.84141380097583</v>
      </c>
      <c r="G38" s="84">
        <f>IF(A38="","",IF(B38=0,0,$B$4*Catálogos!$Q$6))</f>
        <v>172.34482758620689</v>
      </c>
      <c r="H38" s="84">
        <f t="shared" si="4"/>
        <v>299</v>
      </c>
      <c r="I38" s="84">
        <f t="shared" si="5"/>
        <v>6316.9452830497985</v>
      </c>
      <c r="J38" s="87">
        <f t="shared" si="6"/>
        <v>6316.9452830497985</v>
      </c>
      <c r="K38" s="87"/>
      <c r="L38" s="87"/>
    </row>
    <row r="39" spans="1:12" x14ac:dyDescent="0.25">
      <c r="A39">
        <f t="shared" si="1"/>
        <v>33</v>
      </c>
      <c r="B39" s="87">
        <f t="shared" si="7"/>
        <v>568634.08838880085</v>
      </c>
      <c r="C39" s="87">
        <f t="shared" si="2"/>
        <v>1110.1129853784823</v>
      </c>
      <c r="D39" s="84">
        <f t="shared" si="3"/>
        <v>4393.6460562841339</v>
      </c>
      <c r="E39" s="84">
        <f t="shared" si="0"/>
        <v>5503.7590416626163</v>
      </c>
      <c r="F39" s="84">
        <f>IF(A39="","",B39*Catálogos!$R$1)</f>
        <v>341.18045303328046</v>
      </c>
      <c r="G39" s="84">
        <f>IF(A39="","",IF(B39=0,0,$B$4*Catálogos!$Q$6))</f>
        <v>172.34482758620689</v>
      </c>
      <c r="H39" s="84">
        <f t="shared" si="4"/>
        <v>299</v>
      </c>
      <c r="I39" s="84">
        <f t="shared" si="5"/>
        <v>6316.2843222821029</v>
      </c>
      <c r="J39" s="87">
        <f t="shared" si="6"/>
        <v>6316.2843222821029</v>
      </c>
      <c r="K39" s="87"/>
      <c r="L39" s="87"/>
    </row>
    <row r="40" spans="1:12" x14ac:dyDescent="0.25">
      <c r="A40">
        <f t="shared" si="1"/>
        <v>34</v>
      </c>
      <c r="B40" s="87">
        <f t="shared" si="7"/>
        <v>567523.97540342237</v>
      </c>
      <c r="C40" s="87">
        <f t="shared" si="2"/>
        <v>1118.69045837884</v>
      </c>
      <c r="D40" s="84">
        <f t="shared" si="3"/>
        <v>4385.0685832837762</v>
      </c>
      <c r="E40" s="84">
        <f t="shared" si="0"/>
        <v>5503.7590416626163</v>
      </c>
      <c r="F40" s="84">
        <f>IF(A40="","",B40*Catálogos!$R$1)</f>
        <v>340.51438524205338</v>
      </c>
      <c r="G40" s="84">
        <f>IF(A40="","",IF(B40=0,0,$B$4*Catálogos!$Q$6))</f>
        <v>172.34482758620689</v>
      </c>
      <c r="H40" s="84">
        <f t="shared" si="4"/>
        <v>299</v>
      </c>
      <c r="I40" s="84">
        <f t="shared" si="5"/>
        <v>6315.6182544908761</v>
      </c>
      <c r="J40" s="87">
        <f t="shared" si="6"/>
        <v>6315.6182544908761</v>
      </c>
      <c r="K40" s="87"/>
      <c r="L40" s="87"/>
    </row>
    <row r="41" spans="1:12" x14ac:dyDescent="0.25">
      <c r="A41">
        <f t="shared" si="1"/>
        <v>35</v>
      </c>
      <c r="B41" s="87">
        <f t="shared" si="7"/>
        <v>566405.2849450435</v>
      </c>
      <c r="C41" s="87">
        <f t="shared" si="2"/>
        <v>1127.3342066539144</v>
      </c>
      <c r="D41" s="84">
        <f t="shared" si="3"/>
        <v>4376.4248350087018</v>
      </c>
      <c r="E41" s="84">
        <f t="shared" si="0"/>
        <v>5503.7590416626163</v>
      </c>
      <c r="F41" s="84">
        <f>IF(A41="","",B41*Catálogos!$R$1)</f>
        <v>339.84317096702608</v>
      </c>
      <c r="G41" s="84">
        <f>IF(A41="","",IF(B41=0,0,$B$4*Catálogos!$Q$6))</f>
        <v>172.34482758620689</v>
      </c>
      <c r="H41" s="84">
        <f t="shared" si="4"/>
        <v>299</v>
      </c>
      <c r="I41" s="84">
        <f t="shared" si="5"/>
        <v>6314.9470402158486</v>
      </c>
      <c r="J41" s="87">
        <f t="shared" si="6"/>
        <v>6314.9470402158486</v>
      </c>
      <c r="K41" s="87"/>
      <c r="L41" s="87"/>
    </row>
    <row r="42" spans="1:12" x14ac:dyDescent="0.25">
      <c r="A42">
        <f t="shared" si="1"/>
        <v>36</v>
      </c>
      <c r="B42" s="87">
        <f t="shared" si="7"/>
        <v>565277.95073838963</v>
      </c>
      <c r="C42" s="87">
        <f t="shared" si="2"/>
        <v>1136.04474229066</v>
      </c>
      <c r="D42" s="84">
        <f t="shared" si="3"/>
        <v>4367.7142993719563</v>
      </c>
      <c r="E42" s="84">
        <f t="shared" si="0"/>
        <v>5503.7590416626163</v>
      </c>
      <c r="F42" s="84">
        <f>IF(A42="","",B42*Catálogos!$R$1)</f>
        <v>339.16677044303373</v>
      </c>
      <c r="G42" s="84">
        <f>IF(A42="","",IF(B42=0,0,$B$4*Catálogos!$Q$6))</f>
        <v>172.34482758620689</v>
      </c>
      <c r="H42" s="84">
        <f t="shared" si="4"/>
        <v>299</v>
      </c>
      <c r="I42" s="84">
        <f t="shared" si="5"/>
        <v>6314.2706396918566</v>
      </c>
      <c r="J42" s="87">
        <f t="shared" si="6"/>
        <v>6314.2706396918566</v>
      </c>
      <c r="K42" s="87"/>
      <c r="L42" s="87"/>
    </row>
    <row r="43" spans="1:12" x14ac:dyDescent="0.25">
      <c r="A43">
        <f t="shared" si="1"/>
        <v>37</v>
      </c>
      <c r="B43" s="87">
        <f t="shared" si="7"/>
        <v>564141.905996099</v>
      </c>
      <c r="C43" s="87">
        <f t="shared" si="2"/>
        <v>1144.822581332759</v>
      </c>
      <c r="D43" s="84">
        <f t="shared" si="3"/>
        <v>4358.9364603298573</v>
      </c>
      <c r="E43" s="84">
        <f t="shared" si="0"/>
        <v>5503.7590416626163</v>
      </c>
      <c r="F43" s="84">
        <f>IF(A43="","",B43*Catálogos!$R$1)</f>
        <v>338.48514359765937</v>
      </c>
      <c r="G43" s="84">
        <f>IF(A43="","",IF(B43=0,0,$B$4*Catálogos!$Q$6))</f>
        <v>172.34482758620689</v>
      </c>
      <c r="H43" s="84">
        <f t="shared" si="4"/>
        <v>299</v>
      </c>
      <c r="I43" s="84">
        <f t="shared" si="5"/>
        <v>6313.5890128464825</v>
      </c>
      <c r="J43" s="87">
        <f t="shared" si="6"/>
        <v>6313.5890128464825</v>
      </c>
      <c r="K43" s="87"/>
      <c r="L43" s="87"/>
    </row>
    <row r="44" spans="1:12" x14ac:dyDescent="0.25">
      <c r="A44">
        <f t="shared" si="1"/>
        <v>38</v>
      </c>
      <c r="B44" s="87">
        <f t="shared" si="7"/>
        <v>562997.08341476624</v>
      </c>
      <c r="C44" s="87">
        <f t="shared" si="2"/>
        <v>1153.6682438111893</v>
      </c>
      <c r="D44" s="84">
        <f t="shared" si="3"/>
        <v>4350.0907978514269</v>
      </c>
      <c r="E44" s="84">
        <f t="shared" si="0"/>
        <v>5503.7590416626163</v>
      </c>
      <c r="F44" s="84">
        <f>IF(A44="","",B44*Catálogos!$R$1)</f>
        <v>337.7982500488597</v>
      </c>
      <c r="G44" s="84">
        <f>IF(A44="","",IF(B44=0,0,$B$4*Catálogos!$Q$6))</f>
        <v>172.34482758620689</v>
      </c>
      <c r="H44" s="84">
        <f t="shared" si="4"/>
        <v>299</v>
      </c>
      <c r="I44" s="84">
        <f t="shared" si="5"/>
        <v>6312.9021192976825</v>
      </c>
      <c r="J44" s="87">
        <f t="shared" si="6"/>
        <v>6312.9021192976825</v>
      </c>
      <c r="K44" s="87"/>
      <c r="L44" s="87"/>
    </row>
    <row r="45" spans="1:12" x14ac:dyDescent="0.25">
      <c r="A45">
        <f t="shared" si="1"/>
        <v>39</v>
      </c>
      <c r="B45" s="87">
        <f t="shared" si="7"/>
        <v>561843.41517095501</v>
      </c>
      <c r="C45" s="87">
        <f t="shared" si="2"/>
        <v>1162.5822537750382</v>
      </c>
      <c r="D45" s="84">
        <f t="shared" si="3"/>
        <v>4341.176787887578</v>
      </c>
      <c r="E45" s="84">
        <f t="shared" si="0"/>
        <v>5503.7590416626163</v>
      </c>
      <c r="F45" s="84">
        <f>IF(A45="","",B45*Catálogos!$R$1)</f>
        <v>337.10604910257297</v>
      </c>
      <c r="G45" s="84">
        <f>IF(A45="","",IF(B45=0,0,$B$4*Catálogos!$Q$6))</f>
        <v>172.34482758620689</v>
      </c>
      <c r="H45" s="84">
        <f t="shared" si="4"/>
        <v>299</v>
      </c>
      <c r="I45" s="84">
        <f t="shared" si="5"/>
        <v>6312.2099183513956</v>
      </c>
      <c r="J45" s="87">
        <f t="shared" si="6"/>
        <v>6312.2099183513956</v>
      </c>
      <c r="K45" s="87"/>
      <c r="L45" s="87"/>
    </row>
    <row r="46" spans="1:12" x14ac:dyDescent="0.25">
      <c r="A46">
        <f t="shared" si="1"/>
        <v>40</v>
      </c>
      <c r="B46" s="87">
        <f t="shared" si="7"/>
        <v>560680.83291717991</v>
      </c>
      <c r="C46" s="87">
        <f t="shared" si="2"/>
        <v>1171.5651393225398</v>
      </c>
      <c r="D46" s="84">
        <f t="shared" si="3"/>
        <v>4332.1939023400764</v>
      </c>
      <c r="E46" s="84">
        <f t="shared" si="0"/>
        <v>5503.7590416626163</v>
      </c>
      <c r="F46" s="84">
        <f>IF(A46="","",B46*Catálogos!$R$1)</f>
        <v>336.4084997503079</v>
      </c>
      <c r="G46" s="84">
        <f>IF(A46="","",IF(B46=0,0,$B$4*Catálogos!$Q$6))</f>
        <v>172.34482758620689</v>
      </c>
      <c r="H46" s="84">
        <f t="shared" si="4"/>
        <v>299</v>
      </c>
      <c r="I46" s="84">
        <f t="shared" si="5"/>
        <v>6311.5123689991306</v>
      </c>
      <c r="J46" s="87">
        <f t="shared" si="6"/>
        <v>6311.5123689991306</v>
      </c>
      <c r="K46" s="87"/>
      <c r="L46" s="87"/>
    </row>
    <row r="47" spans="1:12" x14ac:dyDescent="0.25">
      <c r="A47">
        <f t="shared" si="1"/>
        <v>41</v>
      </c>
      <c r="B47" s="87">
        <f t="shared" si="7"/>
        <v>559509.26777785737</v>
      </c>
      <c r="C47" s="87">
        <f t="shared" si="2"/>
        <v>1180.6174326323726</v>
      </c>
      <c r="D47" s="84">
        <f t="shared" si="3"/>
        <v>4323.1416090302437</v>
      </c>
      <c r="E47" s="84">
        <f t="shared" si="0"/>
        <v>5503.7590416626163</v>
      </c>
      <c r="F47" s="84">
        <f>IF(A47="","",B47*Catálogos!$R$1)</f>
        <v>335.7055606667144</v>
      </c>
      <c r="G47" s="84">
        <f>IF(A47="","",IF(B47=0,0,$B$4*Catálogos!$Q$6))</f>
        <v>172.34482758620689</v>
      </c>
      <c r="H47" s="84">
        <f t="shared" si="4"/>
        <v>299</v>
      </c>
      <c r="I47" s="84">
        <f t="shared" si="5"/>
        <v>6310.8094299155373</v>
      </c>
      <c r="J47" s="87">
        <f t="shared" si="6"/>
        <v>6310.8094299155373</v>
      </c>
      <c r="K47" s="87"/>
      <c r="L47" s="87"/>
    </row>
    <row r="48" spans="1:12" x14ac:dyDescent="0.25">
      <c r="A48">
        <f t="shared" si="1"/>
        <v>42</v>
      </c>
      <c r="B48" s="87">
        <f t="shared" si="7"/>
        <v>558328.650345225</v>
      </c>
      <c r="C48" s="87">
        <f t="shared" si="2"/>
        <v>1189.7396699951787</v>
      </c>
      <c r="D48" s="84">
        <f t="shared" si="3"/>
        <v>4314.0193716674376</v>
      </c>
      <c r="E48" s="84">
        <f t="shared" si="0"/>
        <v>5503.7590416626163</v>
      </c>
      <c r="F48" s="84">
        <f>IF(A48="","",B48*Catálogos!$R$1)</f>
        <v>334.99719020713496</v>
      </c>
      <c r="G48" s="84">
        <f>IF(A48="","",IF(B48=0,0,$B$4*Catálogos!$Q$6))</f>
        <v>172.34482758620689</v>
      </c>
      <c r="H48" s="84">
        <f t="shared" si="4"/>
        <v>299</v>
      </c>
      <c r="I48" s="84">
        <f t="shared" si="5"/>
        <v>6310.1010594559575</v>
      </c>
      <c r="J48" s="87">
        <f t="shared" si="6"/>
        <v>6310.1010594559575</v>
      </c>
      <c r="K48" s="87"/>
      <c r="L48" s="87"/>
    </row>
    <row r="49" spans="1:12" x14ac:dyDescent="0.25">
      <c r="A49">
        <f t="shared" si="1"/>
        <v>43</v>
      </c>
      <c r="B49" s="87">
        <f t="shared" si="7"/>
        <v>557138.91067522985</v>
      </c>
      <c r="C49" s="87">
        <f t="shared" si="2"/>
        <v>1198.932391845341</v>
      </c>
      <c r="D49" s="84">
        <f t="shared" si="3"/>
        <v>4304.8266498172752</v>
      </c>
      <c r="E49" s="84">
        <f t="shared" si="0"/>
        <v>5503.7590416626163</v>
      </c>
      <c r="F49" s="84">
        <f>IF(A49="","",B49*Catálogos!$R$1)</f>
        <v>334.28334640513788</v>
      </c>
      <c r="G49" s="84">
        <f>IF(A49="","",IF(B49=0,0,$B$4*Catálogos!$Q$6))</f>
        <v>172.34482758620689</v>
      </c>
      <c r="H49" s="84">
        <f t="shared" si="4"/>
        <v>299</v>
      </c>
      <c r="I49" s="84">
        <f t="shared" si="5"/>
        <v>6309.387215653961</v>
      </c>
      <c r="J49" s="87">
        <f t="shared" si="6"/>
        <v>6309.387215653961</v>
      </c>
      <c r="K49" s="87"/>
      <c r="L49" s="87"/>
    </row>
    <row r="50" spans="1:12" x14ac:dyDescent="0.25">
      <c r="A50">
        <f t="shared" si="1"/>
        <v>44</v>
      </c>
      <c r="B50" s="87">
        <f t="shared" si="7"/>
        <v>555939.97828338447</v>
      </c>
      <c r="C50" s="87">
        <f t="shared" si="2"/>
        <v>1208.1961427929991</v>
      </c>
      <c r="D50" s="84">
        <f t="shared" si="3"/>
        <v>4295.5628988696171</v>
      </c>
      <c r="E50" s="84">
        <f t="shared" si="0"/>
        <v>5503.7590416626163</v>
      </c>
      <c r="F50" s="84">
        <f>IF(A50="","",B50*Catálogos!$R$1)</f>
        <v>333.56398697003067</v>
      </c>
      <c r="G50" s="84">
        <f>IF(A50="","",IF(B50=0,0,$B$4*Catálogos!$Q$6))</f>
        <v>172.34482758620689</v>
      </c>
      <c r="H50" s="84">
        <f t="shared" si="4"/>
        <v>299</v>
      </c>
      <c r="I50" s="84">
        <f t="shared" si="5"/>
        <v>6308.6678562188536</v>
      </c>
      <c r="J50" s="87">
        <f t="shared" si="6"/>
        <v>6308.6678562188536</v>
      </c>
      <c r="K50" s="87"/>
      <c r="L50" s="87"/>
    </row>
    <row r="51" spans="1:12" x14ac:dyDescent="0.25">
      <c r="A51">
        <f t="shared" si="1"/>
        <v>45</v>
      </c>
      <c r="B51" s="87">
        <f t="shared" si="7"/>
        <v>554731.78214059141</v>
      </c>
      <c r="C51" s="87">
        <f t="shared" si="2"/>
        <v>1217.5314716563134</v>
      </c>
      <c r="D51" s="84">
        <f t="shared" si="3"/>
        <v>4286.2275700063028</v>
      </c>
      <c r="E51" s="84">
        <f t="shared" si="0"/>
        <v>5503.7590416626163</v>
      </c>
      <c r="F51" s="84">
        <f>IF(A51="","",B51*Catálogos!$R$1)</f>
        <v>332.83906928435482</v>
      </c>
      <c r="G51" s="84">
        <f>IF(A51="","",IF(B51=0,0,$B$4*Catálogos!$Q$6))</f>
        <v>172.34482758620689</v>
      </c>
      <c r="H51" s="84">
        <f t="shared" si="4"/>
        <v>299</v>
      </c>
      <c r="I51" s="84">
        <f t="shared" si="5"/>
        <v>6307.9429385331778</v>
      </c>
      <c r="J51" s="87">
        <f t="shared" si="6"/>
        <v>6307.9429385331778</v>
      </c>
      <c r="K51" s="87"/>
      <c r="L51" s="87"/>
    </row>
    <row r="52" spans="1:12" x14ac:dyDescent="0.25">
      <c r="A52">
        <f t="shared" si="1"/>
        <v>46</v>
      </c>
      <c r="B52" s="87">
        <f t="shared" si="7"/>
        <v>553514.25066893513</v>
      </c>
      <c r="C52" s="87">
        <f t="shared" si="2"/>
        <v>1226.9389314939781</v>
      </c>
      <c r="D52" s="84">
        <f t="shared" si="3"/>
        <v>4276.8201101686382</v>
      </c>
      <c r="E52" s="84">
        <f t="shared" si="0"/>
        <v>5503.7590416626163</v>
      </c>
      <c r="F52" s="84">
        <f>IF(A52="","",B52*Catálogos!$R$1)</f>
        <v>332.10855040136107</v>
      </c>
      <c r="G52" s="84">
        <f>IF(A52="","",IF(B52=0,0,$B$4*Catálogos!$Q$6))</f>
        <v>172.34482758620689</v>
      </c>
      <c r="H52" s="84">
        <f t="shared" si="4"/>
        <v>299</v>
      </c>
      <c r="I52" s="84">
        <f t="shared" si="5"/>
        <v>6307.2124196501836</v>
      </c>
      <c r="J52" s="87">
        <f t="shared" si="6"/>
        <v>6307.2124196501836</v>
      </c>
      <c r="K52" s="87"/>
      <c r="L52" s="87"/>
    </row>
    <row r="53" spans="1:12" x14ac:dyDescent="0.25">
      <c r="A53">
        <f t="shared" si="1"/>
        <v>47</v>
      </c>
      <c r="B53" s="87">
        <f t="shared" si="7"/>
        <v>552287.31173744111</v>
      </c>
      <c r="C53" s="87">
        <f t="shared" si="2"/>
        <v>1236.4190796379889</v>
      </c>
      <c r="D53" s="84">
        <f t="shared" si="3"/>
        <v>4267.3399620246273</v>
      </c>
      <c r="E53" s="84">
        <f t="shared" si="0"/>
        <v>5503.7590416626163</v>
      </c>
      <c r="F53" s="84">
        <f>IF(A53="","",B53*Catálogos!$R$1)</f>
        <v>331.37238704246465</v>
      </c>
      <c r="G53" s="84">
        <f>IF(A53="","",IF(B53=0,0,$B$4*Catálogos!$Q$6))</f>
        <v>172.34482758620689</v>
      </c>
      <c r="H53" s="84">
        <f t="shared" si="4"/>
        <v>299</v>
      </c>
      <c r="I53" s="84">
        <f t="shared" si="5"/>
        <v>6306.4762562912874</v>
      </c>
      <c r="J53" s="87">
        <f t="shared" si="6"/>
        <v>6306.4762562912874</v>
      </c>
      <c r="K53" s="87"/>
      <c r="L53" s="87"/>
    </row>
    <row r="54" spans="1:12" x14ac:dyDescent="0.25">
      <c r="A54">
        <f t="shared" si="1"/>
        <v>48</v>
      </c>
      <c r="B54" s="87">
        <f t="shared" si="7"/>
        <v>551050.89265780314</v>
      </c>
      <c r="C54" s="87">
        <f t="shared" si="2"/>
        <v>1245.9724777266583</v>
      </c>
      <c r="D54" s="84">
        <f t="shared" si="3"/>
        <v>4257.7865639359579</v>
      </c>
      <c r="E54" s="84">
        <f t="shared" si="0"/>
        <v>5503.7590416626163</v>
      </c>
      <c r="F54" s="84">
        <f>IF(A54="","",B54*Catálogos!$R$1)</f>
        <v>330.63053559468187</v>
      </c>
      <c r="G54" s="84">
        <f>IF(A54="","",IF(B54=0,0,$B$4*Catálogos!$Q$6))</f>
        <v>172.34482758620689</v>
      </c>
      <c r="H54" s="84">
        <f t="shared" si="4"/>
        <v>299</v>
      </c>
      <c r="I54" s="84">
        <f t="shared" si="5"/>
        <v>6305.7344048435043</v>
      </c>
      <c r="J54" s="87">
        <f t="shared" si="6"/>
        <v>6305.7344048435043</v>
      </c>
      <c r="K54" s="87"/>
      <c r="L54" s="87"/>
    </row>
    <row r="55" spans="1:12" x14ac:dyDescent="0.25">
      <c r="A55">
        <f t="shared" si="1"/>
        <v>49</v>
      </c>
      <c r="B55" s="87">
        <f t="shared" si="7"/>
        <v>549804.9201800765</v>
      </c>
      <c r="C55" s="87">
        <f t="shared" si="2"/>
        <v>1255.5996917378925</v>
      </c>
      <c r="D55" s="84">
        <f t="shared" si="3"/>
        <v>4248.1593499247238</v>
      </c>
      <c r="E55" s="84">
        <f t="shared" si="0"/>
        <v>5503.7590416626163</v>
      </c>
      <c r="F55" s="84">
        <f>IF(A55="","",B55*Catálogos!$R$1)</f>
        <v>329.88295210804586</v>
      </c>
      <c r="G55" s="84">
        <f>IF(A55="","",IF(B55=0,0,$B$4*Catálogos!$Q$6))</f>
        <v>172.34482758620689</v>
      </c>
      <c r="H55" s="84">
        <f t="shared" si="4"/>
        <v>299</v>
      </c>
      <c r="I55" s="84">
        <f t="shared" si="5"/>
        <v>6304.9868213568689</v>
      </c>
      <c r="J55" s="87">
        <f t="shared" si="6"/>
        <v>6304.9868213568689</v>
      </c>
      <c r="K55" s="87"/>
      <c r="L55" s="87"/>
    </row>
    <row r="56" spans="1:12" x14ac:dyDescent="0.25">
      <c r="A56">
        <f t="shared" si="1"/>
        <v>50</v>
      </c>
      <c r="B56" s="87">
        <f t="shared" si="7"/>
        <v>548549.32048833859</v>
      </c>
      <c r="C56" s="87">
        <f t="shared" si="2"/>
        <v>1265.3012920227211</v>
      </c>
      <c r="D56" s="84">
        <f t="shared" si="3"/>
        <v>4238.4577496398952</v>
      </c>
      <c r="E56" s="84">
        <f t="shared" si="0"/>
        <v>5503.7590416626163</v>
      </c>
      <c r="F56" s="84">
        <f>IF(A56="","",B56*Catálogos!$R$1)</f>
        <v>329.1295922930031</v>
      </c>
      <c r="G56" s="84">
        <f>IF(A56="","",IF(B56=0,0,$B$4*Catálogos!$Q$6))</f>
        <v>172.34482758620689</v>
      </c>
      <c r="H56" s="84">
        <f t="shared" si="4"/>
        <v>299</v>
      </c>
      <c r="I56" s="84">
        <f t="shared" si="5"/>
        <v>6304.2334615418258</v>
      </c>
      <c r="J56" s="87">
        <f t="shared" si="6"/>
        <v>6304.2334615418258</v>
      </c>
      <c r="K56" s="87"/>
      <c r="L56" s="87"/>
    </row>
    <row r="57" spans="1:12" x14ac:dyDescent="0.25">
      <c r="A57">
        <f t="shared" si="1"/>
        <v>51</v>
      </c>
      <c r="B57" s="87">
        <f t="shared" si="7"/>
        <v>547284.0191963159</v>
      </c>
      <c r="C57" s="87">
        <f t="shared" si="2"/>
        <v>1275.077853339083</v>
      </c>
      <c r="D57" s="84">
        <f t="shared" si="3"/>
        <v>4228.6811883235332</v>
      </c>
      <c r="E57" s="84">
        <f t="shared" si="0"/>
        <v>5503.7590416626163</v>
      </c>
      <c r="F57" s="84">
        <f>IF(A57="","",B57*Catálogos!$R$1)</f>
        <v>328.37041151778953</v>
      </c>
      <c r="G57" s="84">
        <f>IF(A57="","",IF(B57=0,0,$B$4*Catálogos!$Q$6))</f>
        <v>172.34482758620689</v>
      </c>
      <c r="H57" s="84">
        <f t="shared" si="4"/>
        <v>299</v>
      </c>
      <c r="I57" s="84">
        <f t="shared" si="5"/>
        <v>6303.4742807666125</v>
      </c>
      <c r="J57" s="87">
        <f t="shared" si="6"/>
        <v>6303.4742807666125</v>
      </c>
      <c r="K57" s="87"/>
      <c r="L57" s="87"/>
    </row>
    <row r="58" spans="1:12" x14ac:dyDescent="0.25">
      <c r="A58">
        <f t="shared" si="1"/>
        <v>52</v>
      </c>
      <c r="B58" s="87">
        <f t="shared" si="7"/>
        <v>546008.94134297688</v>
      </c>
      <c r="C58" s="87">
        <f t="shared" si="2"/>
        <v>1284.9299548858826</v>
      </c>
      <c r="D58" s="84">
        <f t="shared" si="3"/>
        <v>4218.8290867767337</v>
      </c>
      <c r="E58" s="84">
        <f t="shared" si="0"/>
        <v>5503.7590416626163</v>
      </c>
      <c r="F58" s="84">
        <f>IF(A58="","",B58*Catálogos!$R$1)</f>
        <v>327.60536480578611</v>
      </c>
      <c r="G58" s="84">
        <f>IF(A58="","",IF(B58=0,0,$B$4*Catálogos!$Q$6))</f>
        <v>172.34482758620689</v>
      </c>
      <c r="H58" s="84">
        <f t="shared" si="4"/>
        <v>299</v>
      </c>
      <c r="I58" s="84">
        <f t="shared" si="5"/>
        <v>6302.7092340546087</v>
      </c>
      <c r="J58" s="87">
        <f t="shared" si="6"/>
        <v>6302.7092340546087</v>
      </c>
      <c r="K58" s="87"/>
      <c r="L58" s="87"/>
    </row>
    <row r="59" spans="1:12" x14ac:dyDescent="0.25">
      <c r="A59">
        <f t="shared" si="1"/>
        <v>53</v>
      </c>
      <c r="B59" s="87">
        <f t="shared" si="7"/>
        <v>544724.01138809102</v>
      </c>
      <c r="C59" s="87">
        <f t="shared" si="2"/>
        <v>1294.8581803372999</v>
      </c>
      <c r="D59" s="84">
        <f t="shared" si="3"/>
        <v>4208.9008613253163</v>
      </c>
      <c r="E59" s="84">
        <f t="shared" si="0"/>
        <v>5503.7590416626163</v>
      </c>
      <c r="F59" s="84">
        <f>IF(A59="","",B59*Catálogos!$R$1)</f>
        <v>326.8344068328546</v>
      </c>
      <c r="G59" s="84">
        <f>IF(A59="","",IF(B59=0,0,$B$4*Catálogos!$Q$6))</f>
        <v>172.34482758620689</v>
      </c>
      <c r="H59" s="84">
        <f t="shared" si="4"/>
        <v>299</v>
      </c>
      <c r="I59" s="84">
        <f t="shared" si="5"/>
        <v>6301.938276081677</v>
      </c>
      <c r="J59" s="87">
        <f t="shared" si="6"/>
        <v>6301.938276081677</v>
      </c>
      <c r="K59" s="87"/>
      <c r="L59" s="87"/>
    </row>
    <row r="60" spans="1:12" x14ac:dyDescent="0.25">
      <c r="A60">
        <f t="shared" si="1"/>
        <v>54</v>
      </c>
      <c r="B60" s="87">
        <f t="shared" si="7"/>
        <v>543429.15320775367</v>
      </c>
      <c r="C60" s="87">
        <f t="shared" si="2"/>
        <v>1304.863117877374</v>
      </c>
      <c r="D60" s="84">
        <f t="shared" si="3"/>
        <v>4198.8959237852423</v>
      </c>
      <c r="E60" s="84">
        <f t="shared" si="0"/>
        <v>5503.7590416626163</v>
      </c>
      <c r="F60" s="84">
        <f>IF(A60="","",B60*Catálogos!$R$1)</f>
        <v>326.0574919246522</v>
      </c>
      <c r="G60" s="84">
        <f>IF(A60="","",IF(B60=0,0,$B$4*Catálogos!$Q$6))</f>
        <v>172.34482758620689</v>
      </c>
      <c r="H60" s="84">
        <f t="shared" si="4"/>
        <v>299</v>
      </c>
      <c r="I60" s="84">
        <f t="shared" si="5"/>
        <v>6301.1613611734747</v>
      </c>
      <c r="J60" s="87">
        <f t="shared" si="6"/>
        <v>6301.1613611734747</v>
      </c>
      <c r="K60" s="87"/>
      <c r="L60" s="87"/>
    </row>
    <row r="61" spans="1:12" x14ac:dyDescent="0.25">
      <c r="A61">
        <f t="shared" si="1"/>
        <v>55</v>
      </c>
      <c r="B61" s="87">
        <f t="shared" si="7"/>
        <v>542124.29008987627</v>
      </c>
      <c r="C61" s="87">
        <f t="shared" si="2"/>
        <v>1314.9453602348394</v>
      </c>
      <c r="D61" s="84">
        <f t="shared" si="3"/>
        <v>4188.8136814277768</v>
      </c>
      <c r="E61" s="84">
        <f t="shared" si="0"/>
        <v>5503.7590416626163</v>
      </c>
      <c r="F61" s="84">
        <f>IF(A61="","",B61*Catálogos!$R$1)</f>
        <v>325.27457405392573</v>
      </c>
      <c r="G61" s="84">
        <f>IF(A61="","",IF(B61=0,0,$B$4*Catálogos!$Q$6))</f>
        <v>172.34482758620689</v>
      </c>
      <c r="H61" s="84">
        <f t="shared" si="4"/>
        <v>299</v>
      </c>
      <c r="I61" s="84">
        <f t="shared" si="5"/>
        <v>6300.3784433027486</v>
      </c>
      <c r="J61" s="87">
        <f t="shared" si="6"/>
        <v>6300.3784433027486</v>
      </c>
      <c r="K61" s="87"/>
      <c r="L61" s="87"/>
    </row>
    <row r="62" spans="1:12" x14ac:dyDescent="0.25">
      <c r="A62">
        <f t="shared" si="1"/>
        <v>56</v>
      </c>
      <c r="B62" s="87">
        <f t="shared" si="7"/>
        <v>540809.34472964145</v>
      </c>
      <c r="C62" s="87">
        <f t="shared" si="2"/>
        <v>1325.1055047182535</v>
      </c>
      <c r="D62" s="84">
        <f t="shared" si="3"/>
        <v>4178.6535369443627</v>
      </c>
      <c r="E62" s="84">
        <f t="shared" si="0"/>
        <v>5503.7590416626163</v>
      </c>
      <c r="F62" s="84">
        <f>IF(A62="","",B62*Catálogos!$R$1)</f>
        <v>324.48560683778487</v>
      </c>
      <c r="G62" s="84">
        <f>IF(A62="","",IF(B62=0,0,$B$4*Catálogos!$Q$6))</f>
        <v>172.34482758620689</v>
      </c>
      <c r="H62" s="84">
        <f t="shared" si="4"/>
        <v>299</v>
      </c>
      <c r="I62" s="84">
        <f t="shared" si="5"/>
        <v>6299.5894760866076</v>
      </c>
      <c r="J62" s="87">
        <f t="shared" si="6"/>
        <v>6299.5894760866076</v>
      </c>
      <c r="K62" s="87"/>
      <c r="L62" s="87"/>
    </row>
    <row r="63" spans="1:12" x14ac:dyDescent="0.25">
      <c r="A63">
        <f t="shared" si="1"/>
        <v>57</v>
      </c>
      <c r="B63" s="87">
        <f t="shared" si="7"/>
        <v>539484.23922492319</v>
      </c>
      <c r="C63" s="87">
        <f t="shared" si="2"/>
        <v>1335.3441532513771</v>
      </c>
      <c r="D63" s="84">
        <f t="shared" si="3"/>
        <v>4168.4148884112392</v>
      </c>
      <c r="E63" s="84">
        <f t="shared" si="0"/>
        <v>5503.7590416626163</v>
      </c>
      <c r="F63" s="84">
        <f>IF(A63="","",B63*Catálogos!$R$1)</f>
        <v>323.69054353495386</v>
      </c>
      <c r="G63" s="84">
        <f>IF(A63="","",IF(B63=0,0,$B$4*Catálogos!$Q$6))</f>
        <v>172.34482758620689</v>
      </c>
      <c r="H63" s="84">
        <f t="shared" si="4"/>
        <v>299</v>
      </c>
      <c r="I63" s="84">
        <f t="shared" si="5"/>
        <v>6298.7944127837764</v>
      </c>
      <c r="J63" s="87">
        <f t="shared" si="6"/>
        <v>6298.7944127837764</v>
      </c>
      <c r="K63" s="87"/>
      <c r="L63" s="87"/>
    </row>
    <row r="64" spans="1:12" x14ac:dyDescent="0.25">
      <c r="A64">
        <f t="shared" si="1"/>
        <v>58</v>
      </c>
      <c r="B64" s="87">
        <f t="shared" si="7"/>
        <v>538148.89507167181</v>
      </c>
      <c r="C64" s="87">
        <f t="shared" si="2"/>
        <v>1345.6619124088329</v>
      </c>
      <c r="D64" s="84">
        <f t="shared" si="3"/>
        <v>4158.0971292537834</v>
      </c>
      <c r="E64" s="84">
        <f t="shared" si="0"/>
        <v>5503.7590416626163</v>
      </c>
      <c r="F64" s="84">
        <f>IF(A64="","",B64*Catálogos!$R$1)</f>
        <v>322.88933704300308</v>
      </c>
      <c r="G64" s="84">
        <f>IF(A64="","",IF(B64=0,0,$B$4*Catálogos!$Q$6))</f>
        <v>172.34482758620689</v>
      </c>
      <c r="H64" s="84">
        <f t="shared" si="4"/>
        <v>299</v>
      </c>
      <c r="I64" s="84">
        <f t="shared" si="5"/>
        <v>6297.993206291826</v>
      </c>
      <c r="J64" s="87">
        <f t="shared" si="6"/>
        <v>6297.993206291826</v>
      </c>
      <c r="K64" s="87"/>
      <c r="L64" s="87"/>
    </row>
    <row r="65" spans="1:12" x14ac:dyDescent="0.25">
      <c r="A65">
        <f t="shared" si="1"/>
        <v>59</v>
      </c>
      <c r="B65" s="87">
        <f t="shared" si="7"/>
        <v>536803.23315926292</v>
      </c>
      <c r="C65" s="87">
        <f t="shared" si="2"/>
        <v>1356.0593934520457</v>
      </c>
      <c r="D65" s="84">
        <f t="shared" si="3"/>
        <v>4147.6996482105706</v>
      </c>
      <c r="E65" s="84">
        <f t="shared" si="0"/>
        <v>5503.7590416626163</v>
      </c>
      <c r="F65" s="84">
        <f>IF(A65="","",B65*Catálogos!$R$1)</f>
        <v>322.0819398955577</v>
      </c>
      <c r="G65" s="84">
        <f>IF(A65="","",IF(B65=0,0,$B$4*Catálogos!$Q$6))</f>
        <v>172.34482758620689</v>
      </c>
      <c r="H65" s="84">
        <f t="shared" si="4"/>
        <v>299</v>
      </c>
      <c r="I65" s="84">
        <f t="shared" si="5"/>
        <v>6297.1858091443801</v>
      </c>
      <c r="J65" s="87">
        <f t="shared" si="6"/>
        <v>6297.1858091443801</v>
      </c>
      <c r="K65" s="87"/>
      <c r="L65" s="87"/>
    </row>
    <row r="66" spans="1:12" x14ac:dyDescent="0.25">
      <c r="A66">
        <f t="shared" si="1"/>
        <v>60</v>
      </c>
      <c r="B66" s="87">
        <f t="shared" si="7"/>
        <v>535447.17376581091</v>
      </c>
      <c r="C66" s="87">
        <f t="shared" si="2"/>
        <v>1366.5372123654515</v>
      </c>
      <c r="D66" s="84">
        <f t="shared" si="3"/>
        <v>4137.2218292971647</v>
      </c>
      <c r="E66" s="84">
        <f t="shared" si="0"/>
        <v>5503.7590416626163</v>
      </c>
      <c r="F66" s="84">
        <f>IF(A66="","",B66*Catálogos!$R$1)</f>
        <v>321.26830425948651</v>
      </c>
      <c r="G66" s="84">
        <f>IF(A66="","",IF(B66=0,0,$B$4*Catálogos!$Q$6))</f>
        <v>172.34482758620689</v>
      </c>
      <c r="H66" s="84">
        <f t="shared" si="4"/>
        <v>299</v>
      </c>
      <c r="I66" s="84">
        <f t="shared" si="5"/>
        <v>6296.3721735083091</v>
      </c>
      <c r="J66" s="87">
        <f t="shared" si="6"/>
        <v>6296.3721735083091</v>
      </c>
      <c r="K66" s="87"/>
      <c r="L66" s="87"/>
    </row>
    <row r="67" spans="1:12" x14ac:dyDescent="0.25">
      <c r="A67">
        <f t="shared" si="1"/>
        <v>61</v>
      </c>
      <c r="B67" s="87">
        <f t="shared" si="7"/>
        <v>534080.63655344548</v>
      </c>
      <c r="C67" s="87">
        <f t="shared" si="2"/>
        <v>1377.095989892995</v>
      </c>
      <c r="D67" s="84">
        <f t="shared" si="3"/>
        <v>4126.6630517696212</v>
      </c>
      <c r="E67" s="84">
        <f t="shared" si="0"/>
        <v>5503.7590416626163</v>
      </c>
      <c r="F67" s="84">
        <f>IF(A67="","",B67*Catálogos!$R$1)</f>
        <v>320.44838193206726</v>
      </c>
      <c r="G67" s="84">
        <f>IF(A67="","",IF(B67=0,0,$B$4*Catálogos!$Q$6))</f>
        <v>172.34482758620689</v>
      </c>
      <c r="H67" s="84">
        <f t="shared" si="4"/>
        <v>299</v>
      </c>
      <c r="I67" s="84">
        <f t="shared" si="5"/>
        <v>6295.5522511808904</v>
      </c>
      <c r="J67" s="87">
        <f t="shared" si="6"/>
        <v>6295.5522511808904</v>
      </c>
      <c r="K67" s="87"/>
      <c r="L67" s="87"/>
    </row>
    <row r="68" spans="1:12" x14ac:dyDescent="0.25">
      <c r="A68">
        <f t="shared" si="1"/>
        <v>62</v>
      </c>
      <c r="B68" s="87">
        <f t="shared" si="7"/>
        <v>532703.54056355252</v>
      </c>
      <c r="C68" s="87">
        <f t="shared" si="2"/>
        <v>1387.7363515749012</v>
      </c>
      <c r="D68" s="84">
        <f t="shared" si="3"/>
        <v>4116.0226900877151</v>
      </c>
      <c r="E68" s="84">
        <f t="shared" si="0"/>
        <v>5503.7590416626163</v>
      </c>
      <c r="F68" s="84">
        <f>IF(A68="","",B68*Catálogos!$R$1)</f>
        <v>319.62212433813147</v>
      </c>
      <c r="G68" s="84">
        <f>IF(A68="","",IF(B68=0,0,$B$4*Catálogos!$Q$6))</f>
        <v>172.34482758620689</v>
      </c>
      <c r="H68" s="84">
        <f t="shared" si="4"/>
        <v>299</v>
      </c>
      <c r="I68" s="84">
        <f t="shared" si="5"/>
        <v>6294.7259935869542</v>
      </c>
      <c r="J68" s="87">
        <f t="shared" si="6"/>
        <v>6294.7259935869542</v>
      </c>
      <c r="K68" s="87"/>
      <c r="L68" s="87"/>
    </row>
    <row r="69" spans="1:12" x14ac:dyDescent="0.25">
      <c r="A69">
        <f t="shared" si="1"/>
        <v>63</v>
      </c>
      <c r="B69" s="87">
        <f t="shared" si="7"/>
        <v>531315.80421197764</v>
      </c>
      <c r="C69" s="87">
        <f t="shared" si="2"/>
        <v>1398.4589277847363</v>
      </c>
      <c r="D69" s="84">
        <f t="shared" si="3"/>
        <v>4105.30011387788</v>
      </c>
      <c r="E69" s="84">
        <f t="shared" si="0"/>
        <v>5503.7590416626163</v>
      </c>
      <c r="F69" s="84">
        <f>IF(A69="","",B69*Catálogos!$R$1)</f>
        <v>318.78948252718658</v>
      </c>
      <c r="G69" s="84">
        <f>IF(A69="","",IF(B69=0,0,$B$4*Catálogos!$Q$6))</f>
        <v>172.34482758620689</v>
      </c>
      <c r="H69" s="84">
        <f t="shared" si="4"/>
        <v>299</v>
      </c>
      <c r="I69" s="84">
        <f t="shared" si="5"/>
        <v>6293.8933517760097</v>
      </c>
      <c r="J69" s="87">
        <f t="shared" si="6"/>
        <v>6293.8933517760097</v>
      </c>
      <c r="K69" s="87"/>
      <c r="L69" s="87"/>
    </row>
    <row r="70" spans="1:12" x14ac:dyDescent="0.25">
      <c r="A70">
        <f t="shared" si="1"/>
        <v>64</v>
      </c>
      <c r="B70" s="87">
        <f t="shared" si="7"/>
        <v>529917.34528419294</v>
      </c>
      <c r="C70" s="87">
        <f t="shared" si="2"/>
        <v>1409.2643537667527</v>
      </c>
      <c r="D70" s="84">
        <f t="shared" si="3"/>
        <v>4094.4946878958635</v>
      </c>
      <c r="E70" s="84">
        <f t="shared" si="0"/>
        <v>5503.7590416626163</v>
      </c>
      <c r="F70" s="84">
        <f>IF(A70="","",B70*Catálogos!$R$1)</f>
        <v>317.95040717051575</v>
      </c>
      <c r="G70" s="84">
        <f>IF(A70="","",IF(B70=0,0,$B$4*Catálogos!$Q$6))</f>
        <v>172.34482758620689</v>
      </c>
      <c r="H70" s="84">
        <f t="shared" si="4"/>
        <v>299</v>
      </c>
      <c r="I70" s="84">
        <f t="shared" si="5"/>
        <v>6293.0542764193387</v>
      </c>
      <c r="J70" s="87">
        <f t="shared" si="6"/>
        <v>6293.0542764193387</v>
      </c>
      <c r="K70" s="87"/>
      <c r="L70" s="87"/>
    </row>
    <row r="71" spans="1:12" x14ac:dyDescent="0.25">
      <c r="A71">
        <f t="shared" si="1"/>
        <v>65</v>
      </c>
      <c r="B71" s="87">
        <f t="shared" si="7"/>
        <v>528508.08093042613</v>
      </c>
      <c r="C71" s="87">
        <f t="shared" si="2"/>
        <v>1420.1532696735244</v>
      </c>
      <c r="D71" s="84">
        <f t="shared" si="3"/>
        <v>4083.6057719890919</v>
      </c>
      <c r="E71" s="84">
        <f t="shared" ref="E71:E134" si="8">IF(A71="","",PMT($B$2/360*30.4,$B$1,-$B$3))</f>
        <v>5503.7590416626163</v>
      </c>
      <c r="F71" s="84">
        <f>IF(A71="","",B71*Catálogos!$R$1)</f>
        <v>317.10484855825564</v>
      </c>
      <c r="G71" s="84">
        <f>IF(A71="","",IF(B71=0,0,$B$4*Catálogos!$Q$6))</f>
        <v>172.34482758620689</v>
      </c>
      <c r="H71" s="84">
        <f t="shared" si="4"/>
        <v>299</v>
      </c>
      <c r="I71" s="84">
        <f t="shared" si="5"/>
        <v>6292.2087178070788</v>
      </c>
      <c r="J71" s="87">
        <f t="shared" si="6"/>
        <v>6292.2087178070788</v>
      </c>
      <c r="K71" s="87"/>
      <c r="L71" s="87"/>
    </row>
    <row r="72" spans="1:12" x14ac:dyDescent="0.25">
      <c r="A72">
        <f t="shared" ref="A72:A135" si="9">IF(A71=$B$1,"",IF(A71="","",A71+1))</f>
        <v>66</v>
      </c>
      <c r="B72" s="87">
        <f t="shared" si="7"/>
        <v>527087.92766075255</v>
      </c>
      <c r="C72" s="87">
        <f t="shared" ref="C72:C135" si="10">IF(A72="","",E72-D72)</f>
        <v>1431.1263206038689</v>
      </c>
      <c r="D72" s="84">
        <f t="shared" ref="D72:D135" si="11">IF(A72="","",($B$2/360*30.4)*B72)</f>
        <v>4072.6327210587474</v>
      </c>
      <c r="E72" s="84">
        <f t="shared" si="8"/>
        <v>5503.7590416626163</v>
      </c>
      <c r="F72" s="84">
        <f>IF(A72="","",B72*Catálogos!$R$1)</f>
        <v>316.25275659645149</v>
      </c>
      <c r="G72" s="84">
        <f>IF(A72="","",IF(B72=0,0,$B$4*Catálogos!$Q$6))</f>
        <v>172.34482758620689</v>
      </c>
      <c r="H72" s="84">
        <f t="shared" ref="H72:H135" si="12">IF(A72="","",IF($G$2=1,299,0))</f>
        <v>299</v>
      </c>
      <c r="I72" s="84">
        <f t="shared" ref="I72:I135" si="13">IF(A72="","",SUM(E72:H72))</f>
        <v>6291.3566258452738</v>
      </c>
      <c r="J72" s="87">
        <f t="shared" ref="J72:J135" si="14">I72</f>
        <v>6291.3566258452738</v>
      </c>
      <c r="K72" s="87"/>
      <c r="L72" s="87"/>
    </row>
    <row r="73" spans="1:12" x14ac:dyDescent="0.25">
      <c r="A73">
        <f t="shared" si="9"/>
        <v>67</v>
      </c>
      <c r="B73" s="87">
        <f t="shared" ref="B73:B136" si="15">IF(A73="","",B72-C72)</f>
        <v>525656.80134014867</v>
      </c>
      <c r="C73" s="87">
        <f t="shared" si="10"/>
        <v>1442.1841566410681</v>
      </c>
      <c r="D73" s="84">
        <f t="shared" si="11"/>
        <v>4061.5748850215482</v>
      </c>
      <c r="E73" s="84">
        <f t="shared" si="8"/>
        <v>5503.7590416626163</v>
      </c>
      <c r="F73" s="84">
        <f>IF(A73="","",B73*Catálogos!$R$1)</f>
        <v>315.39408080408919</v>
      </c>
      <c r="G73" s="84">
        <f>IF(A73="","",IF(B73=0,0,$B$4*Catálogos!$Q$6))</f>
        <v>172.34482758620689</v>
      </c>
      <c r="H73" s="84">
        <f t="shared" si="12"/>
        <v>299</v>
      </c>
      <c r="I73" s="84">
        <f t="shared" si="13"/>
        <v>6290.4979500529116</v>
      </c>
      <c r="J73" s="87">
        <f t="shared" si="14"/>
        <v>6290.4979500529116</v>
      </c>
      <c r="K73" s="87"/>
      <c r="L73" s="87"/>
    </row>
    <row r="74" spans="1:12" x14ac:dyDescent="0.25">
      <c r="A74">
        <f t="shared" si="9"/>
        <v>68</v>
      </c>
      <c r="B74" s="87">
        <f t="shared" si="15"/>
        <v>524214.61718350759</v>
      </c>
      <c r="C74" s="87">
        <f t="shared" si="10"/>
        <v>1453.3274328913817</v>
      </c>
      <c r="D74" s="84">
        <f t="shared" si="11"/>
        <v>4050.4316087712346</v>
      </c>
      <c r="E74" s="84">
        <f t="shared" si="8"/>
        <v>5503.7590416626163</v>
      </c>
      <c r="F74" s="84">
        <f>IF(A74="","",B74*Catálogos!$R$1)</f>
        <v>314.52877031010451</v>
      </c>
      <c r="G74" s="84">
        <f>IF(A74="","",IF(B74=0,0,$B$4*Catálogos!$Q$6))</f>
        <v>172.34482758620689</v>
      </c>
      <c r="H74" s="84">
        <f t="shared" si="12"/>
        <v>299</v>
      </c>
      <c r="I74" s="84">
        <f t="shared" si="13"/>
        <v>6289.6326395589276</v>
      </c>
      <c r="J74" s="87">
        <f t="shared" si="14"/>
        <v>6289.6326395589276</v>
      </c>
      <c r="K74" s="87"/>
      <c r="L74" s="87"/>
    </row>
    <row r="75" spans="1:12" x14ac:dyDescent="0.25">
      <c r="A75">
        <f t="shared" si="9"/>
        <v>69</v>
      </c>
      <c r="B75" s="87">
        <f t="shared" si="15"/>
        <v>522761.28975061624</v>
      </c>
      <c r="C75" s="87">
        <f t="shared" si="10"/>
        <v>1464.5568095228555</v>
      </c>
      <c r="D75" s="84">
        <f t="shared" si="11"/>
        <v>4039.2022321397608</v>
      </c>
      <c r="E75" s="84">
        <f t="shared" si="8"/>
        <v>5503.7590416626163</v>
      </c>
      <c r="F75" s="84">
        <f>IF(A75="","",B75*Catálogos!$R$1)</f>
        <v>313.65677385036969</v>
      </c>
      <c r="G75" s="84">
        <f>IF(A75="","",IF(B75=0,0,$B$4*Catálogos!$Q$6))</f>
        <v>172.34482758620689</v>
      </c>
      <c r="H75" s="84">
        <f t="shared" si="12"/>
        <v>299</v>
      </c>
      <c r="I75" s="84">
        <f t="shared" si="13"/>
        <v>6288.7606430991927</v>
      </c>
      <c r="J75" s="87">
        <f t="shared" si="14"/>
        <v>6288.7606430991927</v>
      </c>
      <c r="K75" s="87"/>
      <c r="L75" s="87"/>
    </row>
    <row r="76" spans="1:12" x14ac:dyDescent="0.25">
      <c r="A76">
        <f t="shared" si="9"/>
        <v>70</v>
      </c>
      <c r="B76" s="87">
        <f t="shared" si="15"/>
        <v>521296.73294109339</v>
      </c>
      <c r="C76" s="87">
        <f t="shared" si="10"/>
        <v>1475.8729518044352</v>
      </c>
      <c r="D76" s="84">
        <f t="shared" si="11"/>
        <v>4027.8860898581811</v>
      </c>
      <c r="E76" s="84">
        <f t="shared" si="8"/>
        <v>5503.7590416626163</v>
      </c>
      <c r="F76" s="84">
        <f>IF(A76="","",B76*Catálogos!$R$1)</f>
        <v>312.778039764656</v>
      </c>
      <c r="G76" s="84">
        <f>IF(A76="","",IF(B76=0,0,$B$4*Catálogos!$Q$6))</f>
        <v>172.34482758620689</v>
      </c>
      <c r="H76" s="84">
        <f t="shared" si="12"/>
        <v>299</v>
      </c>
      <c r="I76" s="84">
        <f t="shared" si="13"/>
        <v>6287.8819090134784</v>
      </c>
      <c r="J76" s="87">
        <f t="shared" si="14"/>
        <v>6287.8819090134784</v>
      </c>
      <c r="K76" s="87"/>
      <c r="L76" s="87"/>
    </row>
    <row r="77" spans="1:12" x14ac:dyDescent="0.25">
      <c r="A77">
        <f t="shared" si="9"/>
        <v>71</v>
      </c>
      <c r="B77" s="87">
        <f t="shared" si="15"/>
        <v>519820.85998928896</v>
      </c>
      <c r="C77" s="87">
        <f t="shared" si="10"/>
        <v>1487.2765301453774</v>
      </c>
      <c r="D77" s="84">
        <f t="shared" si="11"/>
        <v>4016.4825115172389</v>
      </c>
      <c r="E77" s="84">
        <f t="shared" si="8"/>
        <v>5503.7590416626163</v>
      </c>
      <c r="F77" s="84">
        <f>IF(A77="","",B77*Catálogos!$R$1)</f>
        <v>311.89251599357334</v>
      </c>
      <c r="G77" s="84">
        <f>IF(A77="","",IF(B77=0,0,$B$4*Catálogos!$Q$6))</f>
        <v>172.34482758620689</v>
      </c>
      <c r="H77" s="84">
        <f t="shared" si="12"/>
        <v>299</v>
      </c>
      <c r="I77" s="84">
        <f t="shared" si="13"/>
        <v>6286.9963852423962</v>
      </c>
      <c r="J77" s="87">
        <f t="shared" si="14"/>
        <v>6286.9963852423962</v>
      </c>
      <c r="K77" s="87"/>
      <c r="L77" s="87"/>
    </row>
    <row r="78" spans="1:12" x14ac:dyDescent="0.25">
      <c r="A78">
        <f t="shared" si="9"/>
        <v>72</v>
      </c>
      <c r="B78" s="87">
        <f t="shared" si="15"/>
        <v>518333.58345914359</v>
      </c>
      <c r="C78" s="87">
        <f t="shared" si="10"/>
        <v>1498.7682201349676</v>
      </c>
      <c r="D78" s="84">
        <f t="shared" si="11"/>
        <v>4004.9908215276487</v>
      </c>
      <c r="E78" s="84">
        <f t="shared" si="8"/>
        <v>5503.7590416626163</v>
      </c>
      <c r="F78" s="84">
        <f>IF(A78="","",B78*Catálogos!$R$1)</f>
        <v>311.00015007548615</v>
      </c>
      <c r="G78" s="84">
        <f>IF(A78="","",IF(B78=0,0,$B$4*Catálogos!$Q$6))</f>
        <v>172.34482758620689</v>
      </c>
      <c r="H78" s="84">
        <f t="shared" si="12"/>
        <v>299</v>
      </c>
      <c r="I78" s="84">
        <f t="shared" si="13"/>
        <v>6286.1040193243089</v>
      </c>
      <c r="J78" s="87">
        <f t="shared" si="14"/>
        <v>6286.1040193243089</v>
      </c>
      <c r="K78" s="87"/>
      <c r="L78" s="87"/>
    </row>
    <row r="79" spans="1:12" x14ac:dyDescent="0.25">
      <c r="A79">
        <f t="shared" si="9"/>
        <v>73</v>
      </c>
      <c r="B79" s="87">
        <f t="shared" si="15"/>
        <v>516834.81523900863</v>
      </c>
      <c r="C79" s="87">
        <f t="shared" si="10"/>
        <v>1510.3487025825434</v>
      </c>
      <c r="D79" s="84">
        <f t="shared" si="11"/>
        <v>3993.4103390800728</v>
      </c>
      <c r="E79" s="84">
        <f t="shared" si="8"/>
        <v>5503.7590416626163</v>
      </c>
      <c r="F79" s="84">
        <f>IF(A79="","",B79*Catálogos!$R$1)</f>
        <v>310.10088914340514</v>
      </c>
      <c r="G79" s="84">
        <f>IF(A79="","",IF(B79=0,0,$B$4*Catálogos!$Q$6))</f>
        <v>172.34482758620689</v>
      </c>
      <c r="H79" s="84">
        <f t="shared" si="12"/>
        <v>299</v>
      </c>
      <c r="I79" s="84">
        <f t="shared" si="13"/>
        <v>6285.2047583922276</v>
      </c>
      <c r="J79" s="87">
        <f t="shared" si="14"/>
        <v>6285.2047583922276</v>
      </c>
      <c r="K79" s="87"/>
      <c r="L79" s="87"/>
    </row>
    <row r="80" spans="1:12" x14ac:dyDescent="0.25">
      <c r="A80">
        <f t="shared" si="9"/>
        <v>74</v>
      </c>
      <c r="B80" s="87">
        <f t="shared" si="15"/>
        <v>515324.4665364261</v>
      </c>
      <c r="C80" s="87">
        <f t="shared" si="10"/>
        <v>1522.0186635578311</v>
      </c>
      <c r="D80" s="84">
        <f t="shared" si="11"/>
        <v>3981.7403781047851</v>
      </c>
      <c r="E80" s="84">
        <f t="shared" si="8"/>
        <v>5503.7590416626163</v>
      </c>
      <c r="F80" s="84">
        <f>IF(A80="","",B80*Catálogos!$R$1)</f>
        <v>309.19467992185565</v>
      </c>
      <c r="G80" s="84">
        <f>IF(A80="","",IF(B80=0,0,$B$4*Catálogos!$Q$6))</f>
        <v>172.34482758620689</v>
      </c>
      <c r="H80" s="84">
        <f t="shared" si="12"/>
        <v>299</v>
      </c>
      <c r="I80" s="84">
        <f t="shared" si="13"/>
        <v>6284.2985491706786</v>
      </c>
      <c r="J80" s="87">
        <f t="shared" si="14"/>
        <v>6284.2985491706786</v>
      </c>
      <c r="K80" s="87"/>
      <c r="L80" s="87"/>
    </row>
    <row r="81" spans="1:12" x14ac:dyDescent="0.25">
      <c r="A81">
        <f t="shared" si="9"/>
        <v>75</v>
      </c>
      <c r="B81" s="87">
        <f t="shared" si="15"/>
        <v>513802.44787286827</v>
      </c>
      <c r="C81" s="87">
        <f t="shared" si="10"/>
        <v>1533.7787944315878</v>
      </c>
      <c r="D81" s="84">
        <f t="shared" si="11"/>
        <v>3969.9802472310284</v>
      </c>
      <c r="E81" s="84">
        <f t="shared" si="8"/>
        <v>5503.7590416626163</v>
      </c>
      <c r="F81" s="84">
        <f>IF(A81="","",B81*Catálogos!$R$1)</f>
        <v>308.28146872372093</v>
      </c>
      <c r="G81" s="84">
        <f>IF(A81="","",IF(B81=0,0,$B$4*Catálogos!$Q$6))</f>
        <v>172.34482758620689</v>
      </c>
      <c r="H81" s="84">
        <f t="shared" si="12"/>
        <v>299</v>
      </c>
      <c r="I81" s="84">
        <f t="shared" si="13"/>
        <v>6283.3853379725433</v>
      </c>
      <c r="J81" s="87">
        <f t="shared" si="14"/>
        <v>6283.3853379725433</v>
      </c>
      <c r="K81" s="87"/>
      <c r="L81" s="87"/>
    </row>
    <row r="82" spans="1:12" x14ac:dyDescent="0.25">
      <c r="A82">
        <f t="shared" si="9"/>
        <v>76</v>
      </c>
      <c r="B82" s="87">
        <f t="shared" si="15"/>
        <v>512268.66907843668</v>
      </c>
      <c r="C82" s="87">
        <f t="shared" si="10"/>
        <v>1545.6297919165627</v>
      </c>
      <c r="D82" s="84">
        <f t="shared" si="11"/>
        <v>3958.1292497460536</v>
      </c>
      <c r="E82" s="84">
        <f t="shared" si="8"/>
        <v>5503.7590416626163</v>
      </c>
      <c r="F82" s="84">
        <f>IF(A82="","",B82*Catálogos!$R$1)</f>
        <v>307.361201447062</v>
      </c>
      <c r="G82" s="84">
        <f>IF(A82="","",IF(B82=0,0,$B$4*Catálogos!$Q$6))</f>
        <v>172.34482758620689</v>
      </c>
      <c r="H82" s="84">
        <f t="shared" si="12"/>
        <v>299</v>
      </c>
      <c r="I82" s="84">
        <f t="shared" si="13"/>
        <v>6282.4650706958846</v>
      </c>
      <c r="J82" s="87">
        <f t="shared" si="14"/>
        <v>6282.4650706958846</v>
      </c>
      <c r="K82" s="87"/>
      <c r="L82" s="87"/>
    </row>
    <row r="83" spans="1:12" x14ac:dyDescent="0.25">
      <c r="A83">
        <f t="shared" si="9"/>
        <v>77</v>
      </c>
      <c r="B83" s="87">
        <f t="shared" si="15"/>
        <v>510723.0392865201</v>
      </c>
      <c r="C83" s="87">
        <f t="shared" si="10"/>
        <v>1557.5723581087714</v>
      </c>
      <c r="D83" s="84">
        <f t="shared" si="11"/>
        <v>3946.1866835538449</v>
      </c>
      <c r="E83" s="84">
        <f t="shared" si="8"/>
        <v>5503.7590416626163</v>
      </c>
      <c r="F83" s="84">
        <f>IF(A83="","",B83*Catálogos!$R$1)</f>
        <v>306.43382357191206</v>
      </c>
      <c r="G83" s="84">
        <f>IF(A83="","",IF(B83=0,0,$B$4*Catálogos!$Q$6))</f>
        <v>172.34482758620689</v>
      </c>
      <c r="H83" s="84">
        <f t="shared" si="12"/>
        <v>299</v>
      </c>
      <c r="I83" s="84">
        <f t="shared" si="13"/>
        <v>6281.5376928207352</v>
      </c>
      <c r="J83" s="87">
        <f t="shared" si="14"/>
        <v>6281.5376928207352</v>
      </c>
      <c r="K83" s="87"/>
      <c r="L83" s="87"/>
    </row>
    <row r="84" spans="1:12" x14ac:dyDescent="0.25">
      <c r="A84">
        <f t="shared" si="9"/>
        <v>78</v>
      </c>
      <c r="B84" s="87">
        <f t="shared" si="15"/>
        <v>509165.46692841133</v>
      </c>
      <c r="C84" s="87">
        <f t="shared" si="10"/>
        <v>1569.6072005290921</v>
      </c>
      <c r="D84" s="84">
        <f t="shared" si="11"/>
        <v>3934.1518411335242</v>
      </c>
      <c r="E84" s="84">
        <f t="shared" si="8"/>
        <v>5503.7590416626163</v>
      </c>
      <c r="F84" s="84">
        <f>IF(A84="","",B84*Catálogos!$R$1)</f>
        <v>305.49928015704677</v>
      </c>
      <c r="G84" s="84">
        <f>IF(A84="","",IF(B84=0,0,$B$4*Catálogos!$Q$6))</f>
        <v>172.34482758620689</v>
      </c>
      <c r="H84" s="84">
        <f t="shared" si="12"/>
        <v>299</v>
      </c>
      <c r="I84" s="84">
        <f t="shared" si="13"/>
        <v>6280.6031494058698</v>
      </c>
      <c r="J84" s="87">
        <f t="shared" si="14"/>
        <v>6280.6031494058698</v>
      </c>
      <c r="K84" s="87"/>
      <c r="L84" s="87"/>
    </row>
    <row r="85" spans="1:12" x14ac:dyDescent="0.25">
      <c r="A85">
        <f t="shared" si="9"/>
        <v>79</v>
      </c>
      <c r="B85" s="87">
        <f t="shared" si="15"/>
        <v>507595.85972788226</v>
      </c>
      <c r="C85" s="87">
        <f t="shared" si="10"/>
        <v>1581.7350321651797</v>
      </c>
      <c r="D85" s="84">
        <f t="shared" si="11"/>
        <v>3922.0240094974365</v>
      </c>
      <c r="E85" s="84">
        <f t="shared" si="8"/>
        <v>5503.7590416626163</v>
      </c>
      <c r="F85" s="84">
        <f>IF(A85="","",B85*Catálogos!$R$1)</f>
        <v>304.55751583672935</v>
      </c>
      <c r="G85" s="84">
        <f>IF(A85="","",IF(B85=0,0,$B$4*Catálogos!$Q$6))</f>
        <v>172.34482758620689</v>
      </c>
      <c r="H85" s="84">
        <f t="shared" si="12"/>
        <v>299</v>
      </c>
      <c r="I85" s="84">
        <f t="shared" si="13"/>
        <v>6279.661385085552</v>
      </c>
      <c r="J85" s="87">
        <f t="shared" si="14"/>
        <v>6279.661385085552</v>
      </c>
      <c r="K85" s="87"/>
      <c r="L85" s="87"/>
    </row>
    <row r="86" spans="1:12" x14ac:dyDescent="0.25">
      <c r="A86">
        <f t="shared" si="9"/>
        <v>80</v>
      </c>
      <c r="B86" s="87">
        <f t="shared" si="15"/>
        <v>506014.12469571707</v>
      </c>
      <c r="C86" s="87">
        <f t="shared" si="10"/>
        <v>1593.9565715137096</v>
      </c>
      <c r="D86" s="84">
        <f t="shared" si="11"/>
        <v>3909.8024701489067</v>
      </c>
      <c r="E86" s="84">
        <f t="shared" si="8"/>
        <v>5503.7590416626163</v>
      </c>
      <c r="F86" s="84">
        <f>IF(A86="","",B86*Catálogos!$R$1)</f>
        <v>303.60847481743019</v>
      </c>
      <c r="G86" s="84">
        <f>IF(A86="","",IF(B86=0,0,$B$4*Catálogos!$Q$6))</f>
        <v>172.34482758620689</v>
      </c>
      <c r="H86" s="84">
        <f t="shared" si="12"/>
        <v>299</v>
      </c>
      <c r="I86" s="84">
        <f t="shared" si="13"/>
        <v>6278.7123440662526</v>
      </c>
      <c r="J86" s="87">
        <f t="shared" si="14"/>
        <v>6278.7123440662526</v>
      </c>
      <c r="K86" s="87"/>
      <c r="L86" s="87"/>
    </row>
    <row r="87" spans="1:12" x14ac:dyDescent="0.25">
      <c r="A87">
        <f t="shared" si="9"/>
        <v>81</v>
      </c>
      <c r="B87" s="87">
        <f t="shared" si="15"/>
        <v>504420.16812420334</v>
      </c>
      <c r="C87" s="87">
        <f t="shared" si="10"/>
        <v>1606.272542622939</v>
      </c>
      <c r="D87" s="84">
        <f t="shared" si="11"/>
        <v>3897.4864990396773</v>
      </c>
      <c r="E87" s="84">
        <f t="shared" si="8"/>
        <v>5503.7590416626163</v>
      </c>
      <c r="F87" s="84">
        <f>IF(A87="","",B87*Catálogos!$R$1)</f>
        <v>302.65210087452198</v>
      </c>
      <c r="G87" s="84">
        <f>IF(A87="","",IF(B87=0,0,$B$4*Catálogos!$Q$6))</f>
        <v>172.34482758620689</v>
      </c>
      <c r="H87" s="84">
        <f t="shared" si="12"/>
        <v>299</v>
      </c>
      <c r="I87" s="84">
        <f t="shared" si="13"/>
        <v>6277.7559701233449</v>
      </c>
      <c r="J87" s="87">
        <f t="shared" si="14"/>
        <v>6277.7559701233449</v>
      </c>
      <c r="K87" s="87"/>
      <c r="L87" s="87"/>
    </row>
    <row r="88" spans="1:12" x14ac:dyDescent="0.25">
      <c r="A88">
        <f t="shared" si="9"/>
        <v>82</v>
      </c>
      <c r="B88" s="87">
        <f t="shared" si="15"/>
        <v>502813.89558158041</v>
      </c>
      <c r="C88" s="87">
        <f t="shared" si="10"/>
        <v>1618.6836751356054</v>
      </c>
      <c r="D88" s="84">
        <f t="shared" si="11"/>
        <v>3885.0753665270108</v>
      </c>
      <c r="E88" s="84">
        <f t="shared" si="8"/>
        <v>5503.7590416626163</v>
      </c>
      <c r="F88" s="84">
        <f>IF(A88="","",B88*Catálogos!$R$1)</f>
        <v>301.68833734894821</v>
      </c>
      <c r="G88" s="84">
        <f>IF(A88="","",IF(B88=0,0,$B$4*Catálogos!$Q$6))</f>
        <v>172.34482758620689</v>
      </c>
      <c r="H88" s="84">
        <f t="shared" si="12"/>
        <v>299</v>
      </c>
      <c r="I88" s="84">
        <f t="shared" si="13"/>
        <v>6276.7922065977709</v>
      </c>
      <c r="J88" s="87">
        <f t="shared" si="14"/>
        <v>6276.7922065977709</v>
      </c>
      <c r="K88" s="87"/>
      <c r="L88" s="87"/>
    </row>
    <row r="89" spans="1:12" x14ac:dyDescent="0.25">
      <c r="A89">
        <f t="shared" si="9"/>
        <v>83</v>
      </c>
      <c r="B89" s="87">
        <f t="shared" si="15"/>
        <v>501195.21190644481</v>
      </c>
      <c r="C89" s="87">
        <f t="shared" si="10"/>
        <v>1631.1907043321535</v>
      </c>
      <c r="D89" s="84">
        <f t="shared" si="11"/>
        <v>3872.5683373304628</v>
      </c>
      <c r="E89" s="84">
        <f t="shared" si="8"/>
        <v>5503.7590416626163</v>
      </c>
      <c r="F89" s="84">
        <f>IF(A89="","",B89*Catálogos!$R$1)</f>
        <v>300.71712714386683</v>
      </c>
      <c r="G89" s="84">
        <f>IF(A89="","",IF(B89=0,0,$B$4*Catálogos!$Q$6))</f>
        <v>172.34482758620689</v>
      </c>
      <c r="H89" s="84">
        <f t="shared" si="12"/>
        <v>299</v>
      </c>
      <c r="I89" s="84">
        <f t="shared" si="13"/>
        <v>6275.8209963926893</v>
      </c>
      <c r="J89" s="87">
        <f t="shared" si="14"/>
        <v>6275.8209963926893</v>
      </c>
      <c r="K89" s="87"/>
      <c r="L89" s="87"/>
    </row>
    <row r="90" spans="1:12" x14ac:dyDescent="0.25">
      <c r="A90">
        <f t="shared" si="9"/>
        <v>84</v>
      </c>
      <c r="B90" s="87">
        <f t="shared" si="15"/>
        <v>499564.02120211266</v>
      </c>
      <c r="C90" s="87">
        <f t="shared" si="10"/>
        <v>1643.7943711742928</v>
      </c>
      <c r="D90" s="84">
        <f t="shared" si="11"/>
        <v>3859.9646704883235</v>
      </c>
      <c r="E90" s="84">
        <f t="shared" si="8"/>
        <v>5503.7590416626163</v>
      </c>
      <c r="F90" s="84">
        <f>IF(A90="","",B90*Catálogos!$R$1)</f>
        <v>299.73841272126759</v>
      </c>
      <c r="G90" s="84">
        <f>IF(A90="","",IF(B90=0,0,$B$4*Catálogos!$Q$6))</f>
        <v>172.34482758620689</v>
      </c>
      <c r="H90" s="84">
        <f t="shared" si="12"/>
        <v>299</v>
      </c>
      <c r="I90" s="84">
        <f t="shared" si="13"/>
        <v>6274.84228197009</v>
      </c>
      <c r="J90" s="87">
        <f t="shared" si="14"/>
        <v>6274.84228197009</v>
      </c>
      <c r="K90" s="87"/>
      <c r="L90" s="87"/>
    </row>
    <row r="91" spans="1:12" x14ac:dyDescent="0.25">
      <c r="A91">
        <f t="shared" si="9"/>
        <v>85</v>
      </c>
      <c r="B91" s="87">
        <f t="shared" si="15"/>
        <v>497920.22683093837</v>
      </c>
      <c r="C91" s="87">
        <f t="shared" si="10"/>
        <v>1656.4954223488999</v>
      </c>
      <c r="D91" s="84">
        <f t="shared" si="11"/>
        <v>3847.2636193137164</v>
      </c>
      <c r="E91" s="84">
        <f t="shared" si="8"/>
        <v>5503.7590416626163</v>
      </c>
      <c r="F91" s="84">
        <f>IF(A91="","",B91*Catálogos!$R$1)</f>
        <v>298.75213609856297</v>
      </c>
      <c r="G91" s="84">
        <f>IF(A91="","",IF(B91=0,0,$B$4*Catálogos!$Q$6))</f>
        <v>172.34482758620689</v>
      </c>
      <c r="H91" s="84">
        <f t="shared" si="12"/>
        <v>299</v>
      </c>
      <c r="I91" s="84">
        <f t="shared" si="13"/>
        <v>6273.8560053473857</v>
      </c>
      <c r="J91" s="87">
        <f t="shared" si="14"/>
        <v>6273.8560053473857</v>
      </c>
      <c r="K91" s="87"/>
      <c r="L91" s="87"/>
    </row>
    <row r="92" spans="1:12" x14ac:dyDescent="0.25">
      <c r="A92">
        <f t="shared" si="9"/>
        <v>86</v>
      </c>
      <c r="B92" s="87">
        <f t="shared" si="15"/>
        <v>496263.73140858946</v>
      </c>
      <c r="C92" s="87">
        <f t="shared" si="10"/>
        <v>1669.294610312249</v>
      </c>
      <c r="D92" s="84">
        <f t="shared" si="11"/>
        <v>3834.4644313503672</v>
      </c>
      <c r="E92" s="84">
        <f t="shared" si="8"/>
        <v>5503.7590416626163</v>
      </c>
      <c r="F92" s="84">
        <f>IF(A92="","",B92*Catálogos!$R$1)</f>
        <v>297.75823884515364</v>
      </c>
      <c r="G92" s="84">
        <f>IF(A92="","",IF(B92=0,0,$B$4*Catálogos!$Q$6))</f>
        <v>172.34482758620689</v>
      </c>
      <c r="H92" s="84">
        <f t="shared" si="12"/>
        <v>299</v>
      </c>
      <c r="I92" s="84">
        <f t="shared" si="13"/>
        <v>6272.8621080939765</v>
      </c>
      <c r="J92" s="87">
        <f t="shared" si="14"/>
        <v>6272.8621080939765</v>
      </c>
      <c r="K92" s="87"/>
      <c r="L92" s="87"/>
    </row>
    <row r="93" spans="1:12" x14ac:dyDescent="0.25">
      <c r="A93">
        <f t="shared" si="9"/>
        <v>87</v>
      </c>
      <c r="B93" s="87">
        <f t="shared" si="15"/>
        <v>494594.43679827719</v>
      </c>
      <c r="C93" s="87">
        <f t="shared" si="10"/>
        <v>1682.1926933345949</v>
      </c>
      <c r="D93" s="84">
        <f t="shared" si="11"/>
        <v>3821.5663483280214</v>
      </c>
      <c r="E93" s="84">
        <f t="shared" si="8"/>
        <v>5503.7590416626163</v>
      </c>
      <c r="F93" s="84">
        <f>IF(A93="","",B93*Catálogos!$R$1)</f>
        <v>296.75666207896631</v>
      </c>
      <c r="G93" s="84">
        <f>IF(A93="","",IF(B93=0,0,$B$4*Catálogos!$Q$6))</f>
        <v>172.34482758620689</v>
      </c>
      <c r="H93" s="84">
        <f t="shared" si="12"/>
        <v>299</v>
      </c>
      <c r="I93" s="84">
        <f t="shared" si="13"/>
        <v>6271.8605313277894</v>
      </c>
      <c r="J93" s="87">
        <f t="shared" si="14"/>
        <v>6271.8605313277894</v>
      </c>
      <c r="K93" s="87"/>
      <c r="L93" s="87"/>
    </row>
    <row r="94" spans="1:12" x14ac:dyDescent="0.25">
      <c r="A94">
        <f t="shared" si="9"/>
        <v>88</v>
      </c>
      <c r="B94" s="87">
        <f t="shared" si="15"/>
        <v>492912.2441049426</v>
      </c>
      <c r="C94" s="87">
        <f t="shared" si="10"/>
        <v>1695.1904355450938</v>
      </c>
      <c r="D94" s="84">
        <f t="shared" si="11"/>
        <v>3808.5686061175224</v>
      </c>
      <c r="E94" s="84">
        <f t="shared" si="8"/>
        <v>5503.7590416626163</v>
      </c>
      <c r="F94" s="84">
        <f>IF(A94="","",B94*Catálogos!$R$1)</f>
        <v>295.74734646296554</v>
      </c>
      <c r="G94" s="84">
        <f>IF(A94="","",IF(B94=0,0,$B$4*Catálogos!$Q$6))</f>
        <v>172.34482758620689</v>
      </c>
      <c r="H94" s="84">
        <f t="shared" si="12"/>
        <v>299</v>
      </c>
      <c r="I94" s="84">
        <f t="shared" si="13"/>
        <v>6270.8512157117884</v>
      </c>
      <c r="J94" s="87">
        <f t="shared" si="14"/>
        <v>6270.8512157117884</v>
      </c>
      <c r="K94" s="87"/>
      <c r="L94" s="87"/>
    </row>
    <row r="95" spans="1:12" x14ac:dyDescent="0.25">
      <c r="A95">
        <f t="shared" si="9"/>
        <v>89</v>
      </c>
      <c r="B95" s="87">
        <f t="shared" si="15"/>
        <v>491217.05366939749</v>
      </c>
      <c r="C95" s="87">
        <f t="shared" si="10"/>
        <v>1708.288606977072</v>
      </c>
      <c r="D95" s="84">
        <f t="shared" si="11"/>
        <v>3795.4704346855442</v>
      </c>
      <c r="E95" s="84">
        <f t="shared" si="8"/>
        <v>5503.7590416626163</v>
      </c>
      <c r="F95" s="84">
        <f>IF(A95="","",B95*Catálogos!$R$1)</f>
        <v>294.73023220163844</v>
      </c>
      <c r="G95" s="84">
        <f>IF(A95="","",IF(B95=0,0,$B$4*Catálogos!$Q$6))</f>
        <v>172.34482758620689</v>
      </c>
      <c r="H95" s="84">
        <f t="shared" si="12"/>
        <v>299</v>
      </c>
      <c r="I95" s="84">
        <f t="shared" si="13"/>
        <v>6269.8341014504613</v>
      </c>
      <c r="J95" s="87">
        <f t="shared" si="14"/>
        <v>6269.8341014504613</v>
      </c>
      <c r="K95" s="87"/>
      <c r="L95" s="87"/>
    </row>
    <row r="96" spans="1:12" x14ac:dyDescent="0.25">
      <c r="A96">
        <f t="shared" si="9"/>
        <v>90</v>
      </c>
      <c r="B96" s="87">
        <f t="shared" si="15"/>
        <v>489508.7650624204</v>
      </c>
      <c r="C96" s="87">
        <f t="shared" si="10"/>
        <v>1721.4879836136483</v>
      </c>
      <c r="D96" s="84">
        <f t="shared" si="11"/>
        <v>3782.2710580489679</v>
      </c>
      <c r="E96" s="84">
        <f t="shared" si="8"/>
        <v>5503.7590416626163</v>
      </c>
      <c r="F96" s="84">
        <f>IF(A96="","",B96*Catálogos!$R$1)</f>
        <v>293.70525903745221</v>
      </c>
      <c r="G96" s="84">
        <f>IF(A96="","",IF(B96=0,0,$B$4*Catálogos!$Q$6))</f>
        <v>172.34482758620689</v>
      </c>
      <c r="H96" s="84">
        <f t="shared" si="12"/>
        <v>299</v>
      </c>
      <c r="I96" s="84">
        <f t="shared" si="13"/>
        <v>6268.8091282862752</v>
      </c>
      <c r="J96" s="87">
        <f t="shared" si="14"/>
        <v>6268.8091282862752</v>
      </c>
      <c r="K96" s="87"/>
      <c r="L96" s="87"/>
    </row>
    <row r="97" spans="1:12" x14ac:dyDescent="0.25">
      <c r="A97">
        <f t="shared" si="9"/>
        <v>91</v>
      </c>
      <c r="B97" s="87">
        <f t="shared" si="15"/>
        <v>487787.27707880677</v>
      </c>
      <c r="C97" s="87">
        <f t="shared" si="10"/>
        <v>1734.7893474337034</v>
      </c>
      <c r="D97" s="84">
        <f t="shared" si="11"/>
        <v>3768.9696942289129</v>
      </c>
      <c r="E97" s="84">
        <f t="shared" si="8"/>
        <v>5503.7590416626163</v>
      </c>
      <c r="F97" s="84">
        <f>IF(A97="","",B97*Catálogos!$R$1)</f>
        <v>292.67236624728406</v>
      </c>
      <c r="G97" s="84">
        <f>IF(A97="","",IF(B97=0,0,$B$4*Catálogos!$Q$6))</f>
        <v>172.34482758620689</v>
      </c>
      <c r="H97" s="84">
        <f t="shared" si="12"/>
        <v>299</v>
      </c>
      <c r="I97" s="84">
        <f t="shared" si="13"/>
        <v>6267.7762354961069</v>
      </c>
      <c r="J97" s="87">
        <f t="shared" si="14"/>
        <v>6267.7762354961069</v>
      </c>
      <c r="K97" s="87"/>
      <c r="L97" s="87"/>
    </row>
    <row r="98" spans="1:12" x14ac:dyDescent="0.25">
      <c r="A98">
        <f t="shared" si="9"/>
        <v>92</v>
      </c>
      <c r="B98" s="87">
        <f t="shared" si="15"/>
        <v>486052.48773137305</v>
      </c>
      <c r="C98" s="87">
        <f t="shared" si="10"/>
        <v>1748.1934864582076</v>
      </c>
      <c r="D98" s="84">
        <f t="shared" si="11"/>
        <v>3755.5655552044086</v>
      </c>
      <c r="E98" s="84">
        <f t="shared" si="8"/>
        <v>5503.7590416626163</v>
      </c>
      <c r="F98" s="84">
        <f>IF(A98="","",B98*Catálogos!$R$1)</f>
        <v>291.63149263882383</v>
      </c>
      <c r="G98" s="84">
        <f>IF(A98="","",IF(B98=0,0,$B$4*Catálogos!$Q$6))</f>
        <v>172.34482758620689</v>
      </c>
      <c r="H98" s="84">
        <f t="shared" si="12"/>
        <v>299</v>
      </c>
      <c r="I98" s="84">
        <f t="shared" si="13"/>
        <v>6266.7353618876468</v>
      </c>
      <c r="J98" s="87">
        <f t="shared" si="14"/>
        <v>6266.7353618876468</v>
      </c>
      <c r="K98" s="87"/>
      <c r="L98" s="87"/>
    </row>
    <row r="99" spans="1:12" x14ac:dyDescent="0.25">
      <c r="A99">
        <f t="shared" si="9"/>
        <v>93</v>
      </c>
      <c r="B99" s="87">
        <f t="shared" si="15"/>
        <v>484304.29424491484</v>
      </c>
      <c r="C99" s="87">
        <f t="shared" si="10"/>
        <v>1761.7011947969081</v>
      </c>
      <c r="D99" s="84">
        <f t="shared" si="11"/>
        <v>3742.0578468657081</v>
      </c>
      <c r="E99" s="84">
        <f t="shared" si="8"/>
        <v>5503.7590416626163</v>
      </c>
      <c r="F99" s="84">
        <f>IF(A99="","",B99*Catálogos!$R$1)</f>
        <v>290.58257654694887</v>
      </c>
      <c r="G99" s="84">
        <f>IF(A99="","",IF(B99=0,0,$B$4*Catálogos!$Q$6))</f>
        <v>172.34482758620689</v>
      </c>
      <c r="H99" s="84">
        <f t="shared" si="12"/>
        <v>299</v>
      </c>
      <c r="I99" s="84">
        <f t="shared" si="13"/>
        <v>6265.6864457957718</v>
      </c>
      <c r="J99" s="87">
        <f t="shared" si="14"/>
        <v>6265.6864457957718</v>
      </c>
      <c r="K99" s="87"/>
      <c r="L99" s="87"/>
    </row>
    <row r="100" spans="1:12" x14ac:dyDescent="0.25">
      <c r="A100">
        <f t="shared" si="9"/>
        <v>94</v>
      </c>
      <c r="B100" s="87">
        <f t="shared" si="15"/>
        <v>482542.59305011795</v>
      </c>
      <c r="C100" s="87">
        <f t="shared" si="10"/>
        <v>1775.3132726953722</v>
      </c>
      <c r="D100" s="84">
        <f t="shared" si="11"/>
        <v>3728.445768967244</v>
      </c>
      <c r="E100" s="84">
        <f t="shared" si="8"/>
        <v>5503.7590416626163</v>
      </c>
      <c r="F100" s="84">
        <f>IF(A100="","",B100*Catálogos!$R$1)</f>
        <v>289.52555583007074</v>
      </c>
      <c r="G100" s="84">
        <f>IF(A100="","",IF(B100=0,0,$B$4*Catálogos!$Q$6))</f>
        <v>172.34482758620689</v>
      </c>
      <c r="H100" s="84">
        <f t="shared" si="12"/>
        <v>299</v>
      </c>
      <c r="I100" s="84">
        <f t="shared" si="13"/>
        <v>6264.6294250788933</v>
      </c>
      <c r="J100" s="87">
        <f t="shared" si="14"/>
        <v>6264.6294250788933</v>
      </c>
      <c r="K100" s="87"/>
      <c r="L100" s="87"/>
    </row>
    <row r="101" spans="1:12" x14ac:dyDescent="0.25">
      <c r="A101">
        <f t="shared" si="9"/>
        <v>95</v>
      </c>
      <c r="B101" s="87">
        <f t="shared" si="15"/>
        <v>480767.27977742261</v>
      </c>
      <c r="C101" s="87">
        <f t="shared" si="10"/>
        <v>1789.0305265823981</v>
      </c>
      <c r="D101" s="84">
        <f t="shared" si="11"/>
        <v>3714.7285150802181</v>
      </c>
      <c r="E101" s="84">
        <f t="shared" si="8"/>
        <v>5503.7590416626163</v>
      </c>
      <c r="F101" s="84">
        <f>IF(A101="","",B101*Catálogos!$R$1)</f>
        <v>288.46036786645357</v>
      </c>
      <c r="G101" s="84">
        <f>IF(A101="","",IF(B101=0,0,$B$4*Catálogos!$Q$6))</f>
        <v>172.34482758620689</v>
      </c>
      <c r="H101" s="84">
        <f t="shared" si="12"/>
        <v>299</v>
      </c>
      <c r="I101" s="84">
        <f t="shared" si="13"/>
        <v>6263.5642371152762</v>
      </c>
      <c r="J101" s="87">
        <f t="shared" si="14"/>
        <v>6263.5642371152762</v>
      </c>
      <c r="K101" s="87"/>
      <c r="L101" s="87"/>
    </row>
    <row r="102" spans="1:12" x14ac:dyDescent="0.25">
      <c r="A102">
        <f t="shared" si="9"/>
        <v>96</v>
      </c>
      <c r="B102" s="87">
        <f t="shared" si="15"/>
        <v>478978.24925084022</v>
      </c>
      <c r="C102" s="87">
        <f t="shared" si="10"/>
        <v>1802.8537691177912</v>
      </c>
      <c r="D102" s="84">
        <f t="shared" si="11"/>
        <v>3700.905272544825</v>
      </c>
      <c r="E102" s="84">
        <f t="shared" si="8"/>
        <v>5503.7590416626163</v>
      </c>
      <c r="F102" s="84">
        <f>IF(A102="","",B102*Catálogos!$R$1)</f>
        <v>287.38694955050408</v>
      </c>
      <c r="G102" s="84">
        <f>IF(A102="","",IF(B102=0,0,$B$4*Catálogos!$Q$6))</f>
        <v>172.34482758620689</v>
      </c>
      <c r="H102" s="84">
        <f t="shared" si="12"/>
        <v>299</v>
      </c>
      <c r="I102" s="84">
        <f t="shared" si="13"/>
        <v>6262.4908187993269</v>
      </c>
      <c r="J102" s="87">
        <f t="shared" si="14"/>
        <v>6262.4908187993269</v>
      </c>
      <c r="K102" s="87"/>
      <c r="L102" s="87"/>
    </row>
    <row r="103" spans="1:12" x14ac:dyDescent="0.25">
      <c r="A103">
        <f t="shared" si="9"/>
        <v>97</v>
      </c>
      <c r="B103" s="87">
        <f t="shared" si="15"/>
        <v>477175.39548172243</v>
      </c>
      <c r="C103" s="87">
        <f t="shared" si="10"/>
        <v>1816.7838192405084</v>
      </c>
      <c r="D103" s="84">
        <f t="shared" si="11"/>
        <v>3686.9752224221079</v>
      </c>
      <c r="E103" s="84">
        <f t="shared" si="8"/>
        <v>5503.7590416626163</v>
      </c>
      <c r="F103" s="84">
        <f>IF(A103="","",B103*Catálogos!$R$1)</f>
        <v>286.30523728903341</v>
      </c>
      <c r="G103" s="84">
        <f>IF(A103="","",IF(B103=0,0,$B$4*Catálogos!$Q$6))</f>
        <v>172.34482758620689</v>
      </c>
      <c r="H103" s="84">
        <f t="shared" si="12"/>
        <v>299</v>
      </c>
      <c r="I103" s="84">
        <f t="shared" si="13"/>
        <v>6261.4091065378561</v>
      </c>
      <c r="J103" s="87">
        <f t="shared" si="14"/>
        <v>6261.4091065378561</v>
      </c>
      <c r="K103" s="87"/>
      <c r="L103" s="87"/>
    </row>
    <row r="104" spans="1:12" x14ac:dyDescent="0.25">
      <c r="A104">
        <f t="shared" si="9"/>
        <v>98</v>
      </c>
      <c r="B104" s="87">
        <f t="shared" si="15"/>
        <v>475358.61166248191</v>
      </c>
      <c r="C104" s="87">
        <f t="shared" si="10"/>
        <v>1830.821502217173</v>
      </c>
      <c r="D104" s="84">
        <f t="shared" si="11"/>
        <v>3672.9375394454432</v>
      </c>
      <c r="E104" s="84">
        <f t="shared" si="8"/>
        <v>5503.7590416626163</v>
      </c>
      <c r="F104" s="84">
        <f>IF(A104="","",B104*Catálogos!$R$1)</f>
        <v>285.21516699748912</v>
      </c>
      <c r="G104" s="84">
        <f>IF(A104="","",IF(B104=0,0,$B$4*Catálogos!$Q$6))</f>
        <v>172.34482758620689</v>
      </c>
      <c r="H104" s="84">
        <f t="shared" si="12"/>
        <v>299</v>
      </c>
      <c r="I104" s="84">
        <f t="shared" si="13"/>
        <v>6260.319036246312</v>
      </c>
      <c r="J104" s="87">
        <f t="shared" si="14"/>
        <v>6260.319036246312</v>
      </c>
      <c r="K104" s="87"/>
      <c r="L104" s="87"/>
    </row>
    <row r="105" spans="1:12" x14ac:dyDescent="0.25">
      <c r="A105">
        <f t="shared" si="9"/>
        <v>99</v>
      </c>
      <c r="B105" s="87">
        <f t="shared" si="15"/>
        <v>473527.79016026476</v>
      </c>
      <c r="C105" s="87">
        <f t="shared" si="10"/>
        <v>1844.967649690971</v>
      </c>
      <c r="D105" s="84">
        <f t="shared" si="11"/>
        <v>3658.7913919716452</v>
      </c>
      <c r="E105" s="84">
        <f t="shared" si="8"/>
        <v>5503.7590416626163</v>
      </c>
      <c r="F105" s="84">
        <f>IF(A105="","",B105*Catálogos!$R$1)</f>
        <v>284.11667409615882</v>
      </c>
      <c r="G105" s="84">
        <f>IF(A105="","",IF(B105=0,0,$B$4*Catálogos!$Q$6))</f>
        <v>172.34482758620689</v>
      </c>
      <c r="H105" s="84">
        <f t="shared" si="12"/>
        <v>299</v>
      </c>
      <c r="I105" s="84">
        <f t="shared" si="13"/>
        <v>6259.2205433449817</v>
      </c>
      <c r="J105" s="87">
        <f t="shared" si="14"/>
        <v>6259.2205433449817</v>
      </c>
      <c r="K105" s="87"/>
      <c r="L105" s="87"/>
    </row>
    <row r="106" spans="1:12" x14ac:dyDescent="0.25">
      <c r="A106">
        <f t="shared" si="9"/>
        <v>100</v>
      </c>
      <c r="B106" s="87">
        <f t="shared" si="15"/>
        <v>471682.82251057378</v>
      </c>
      <c r="C106" s="87">
        <f t="shared" si="10"/>
        <v>1859.2230997309166</v>
      </c>
      <c r="D106" s="84">
        <f t="shared" si="11"/>
        <v>3644.5359419316997</v>
      </c>
      <c r="E106" s="84">
        <f t="shared" si="8"/>
        <v>5503.7590416626163</v>
      </c>
      <c r="F106" s="84">
        <f>IF(A106="","",B106*Catálogos!$R$1)</f>
        <v>283.00969350634426</v>
      </c>
      <c r="G106" s="84">
        <f>IF(A106="","",IF(B106=0,0,$B$4*Catálogos!$Q$6))</f>
        <v>172.34482758620689</v>
      </c>
      <c r="H106" s="84">
        <f t="shared" si="12"/>
        <v>299</v>
      </c>
      <c r="I106" s="84">
        <f t="shared" si="13"/>
        <v>6258.1135627551666</v>
      </c>
      <c r="J106" s="87">
        <f t="shared" si="14"/>
        <v>6258.1135627551666</v>
      </c>
      <c r="K106" s="87"/>
      <c r="L106" s="87"/>
    </row>
    <row r="107" spans="1:12" x14ac:dyDescent="0.25">
      <c r="A107">
        <f t="shared" si="9"/>
        <v>101</v>
      </c>
      <c r="B107" s="87">
        <f t="shared" si="15"/>
        <v>469823.59941084287</v>
      </c>
      <c r="C107" s="87">
        <f t="shared" si="10"/>
        <v>1873.5886968815043</v>
      </c>
      <c r="D107" s="84">
        <f t="shared" si="11"/>
        <v>3630.1703447811119</v>
      </c>
      <c r="E107" s="84">
        <f t="shared" si="8"/>
        <v>5503.7590416626163</v>
      </c>
      <c r="F107" s="84">
        <f>IF(A107="","",B107*Catálogos!$R$1)</f>
        <v>281.89415964650567</v>
      </c>
      <c r="G107" s="84">
        <f>IF(A107="","",IF(B107=0,0,$B$4*Catálogos!$Q$6))</f>
        <v>172.34482758620689</v>
      </c>
      <c r="H107" s="84">
        <f t="shared" si="12"/>
        <v>299</v>
      </c>
      <c r="I107" s="84">
        <f t="shared" si="13"/>
        <v>6256.9980288953284</v>
      </c>
      <c r="J107" s="87">
        <f t="shared" si="14"/>
        <v>6256.9980288953284</v>
      </c>
      <c r="K107" s="87"/>
      <c r="L107" s="87"/>
    </row>
    <row r="108" spans="1:12" x14ac:dyDescent="0.25">
      <c r="A108">
        <f t="shared" si="9"/>
        <v>102</v>
      </c>
      <c r="B108" s="87">
        <f t="shared" si="15"/>
        <v>467950.01071396138</v>
      </c>
      <c r="C108" s="87">
        <f t="shared" si="10"/>
        <v>1888.065292212742</v>
      </c>
      <c r="D108" s="84">
        <f t="shared" si="11"/>
        <v>3615.6937494498743</v>
      </c>
      <c r="E108" s="84">
        <f t="shared" si="8"/>
        <v>5503.7590416626163</v>
      </c>
      <c r="F108" s="84">
        <f>IF(A108="","",B108*Catálogos!$R$1)</f>
        <v>280.7700064283768</v>
      </c>
      <c r="G108" s="84">
        <f>IF(A108="","",IF(B108=0,0,$B$4*Catálogos!$Q$6))</f>
        <v>172.34482758620689</v>
      </c>
      <c r="H108" s="84">
        <f t="shared" si="12"/>
        <v>299</v>
      </c>
      <c r="I108" s="84">
        <f t="shared" si="13"/>
        <v>6255.8738756772</v>
      </c>
      <c r="J108" s="87">
        <f t="shared" si="14"/>
        <v>6255.8738756772</v>
      </c>
      <c r="K108" s="87"/>
      <c r="L108" s="87"/>
    </row>
    <row r="109" spans="1:12" x14ac:dyDescent="0.25">
      <c r="A109">
        <f t="shared" si="9"/>
        <v>103</v>
      </c>
      <c r="B109" s="87">
        <f t="shared" si="15"/>
        <v>466061.94542174862</v>
      </c>
      <c r="C109" s="87">
        <f t="shared" si="10"/>
        <v>1902.6537433705726</v>
      </c>
      <c r="D109" s="84">
        <f t="shared" si="11"/>
        <v>3601.1052982920437</v>
      </c>
      <c r="E109" s="84">
        <f t="shared" si="8"/>
        <v>5503.7590416626163</v>
      </c>
      <c r="F109" s="84">
        <f>IF(A109="","",B109*Catálogos!$R$1)</f>
        <v>279.63716725304914</v>
      </c>
      <c r="G109" s="84">
        <f>IF(A109="","",IF(B109=0,0,$B$4*Catálogos!$Q$6))</f>
        <v>172.34482758620689</v>
      </c>
      <c r="H109" s="84">
        <f t="shared" si="12"/>
        <v>299</v>
      </c>
      <c r="I109" s="84">
        <f t="shared" si="13"/>
        <v>6254.7410365018723</v>
      </c>
      <c r="J109" s="87">
        <f t="shared" si="14"/>
        <v>6254.7410365018723</v>
      </c>
      <c r="K109" s="87"/>
      <c r="L109" s="87"/>
    </row>
    <row r="110" spans="1:12" x14ac:dyDescent="0.25">
      <c r="A110">
        <f t="shared" si="9"/>
        <v>104</v>
      </c>
      <c r="B110" s="87">
        <f t="shared" si="15"/>
        <v>464159.29167837807</v>
      </c>
      <c r="C110" s="87">
        <f t="shared" si="10"/>
        <v>1917.3549146276823</v>
      </c>
      <c r="D110" s="84">
        <f t="shared" si="11"/>
        <v>3586.4041270349339</v>
      </c>
      <c r="E110" s="84">
        <f t="shared" si="8"/>
        <v>5503.7590416626163</v>
      </c>
      <c r="F110" s="84">
        <f>IF(A110="","",B110*Catálogos!$R$1)</f>
        <v>278.49557500702684</v>
      </c>
      <c r="G110" s="84">
        <f>IF(A110="","",IF(B110=0,0,$B$4*Catálogos!$Q$6))</f>
        <v>172.34482758620689</v>
      </c>
      <c r="H110" s="84">
        <f t="shared" si="12"/>
        <v>299</v>
      </c>
      <c r="I110" s="84">
        <f t="shared" si="13"/>
        <v>6253.5994442558494</v>
      </c>
      <c r="J110" s="87">
        <f t="shared" si="14"/>
        <v>6253.5994442558494</v>
      </c>
      <c r="K110" s="87"/>
      <c r="L110" s="87"/>
    </row>
    <row r="111" spans="1:12" x14ac:dyDescent="0.25">
      <c r="A111">
        <f t="shared" si="9"/>
        <v>105</v>
      </c>
      <c r="B111" s="87">
        <f t="shared" si="15"/>
        <v>462241.93676375039</v>
      </c>
      <c r="C111" s="87">
        <f t="shared" si="10"/>
        <v>1932.1696769347054</v>
      </c>
      <c r="D111" s="84">
        <f t="shared" si="11"/>
        <v>3571.5893647279108</v>
      </c>
      <c r="E111" s="84">
        <f t="shared" si="8"/>
        <v>5503.7590416626163</v>
      </c>
      <c r="F111" s="84">
        <f>IF(A111="","",B111*Catálogos!$R$1)</f>
        <v>277.3451620582502</v>
      </c>
      <c r="G111" s="84">
        <f>IF(A111="","",IF(B111=0,0,$B$4*Catálogos!$Q$6))</f>
        <v>172.34482758620689</v>
      </c>
      <c r="H111" s="84">
        <f t="shared" si="12"/>
        <v>299</v>
      </c>
      <c r="I111" s="84">
        <f t="shared" si="13"/>
        <v>6252.4490313070728</v>
      </c>
      <c r="J111" s="87">
        <f t="shared" si="14"/>
        <v>6252.4490313070728</v>
      </c>
      <c r="K111" s="87"/>
      <c r="L111" s="87"/>
    </row>
    <row r="112" spans="1:12" x14ac:dyDescent="0.25">
      <c r="A112">
        <f t="shared" si="9"/>
        <v>106</v>
      </c>
      <c r="B112" s="87">
        <f t="shared" si="15"/>
        <v>460309.76708681567</v>
      </c>
      <c r="C112" s="87">
        <f t="shared" si="10"/>
        <v>1947.0989079718211</v>
      </c>
      <c r="D112" s="84">
        <f t="shared" si="11"/>
        <v>3556.6601336907952</v>
      </c>
      <c r="E112" s="84">
        <f t="shared" si="8"/>
        <v>5503.7590416626163</v>
      </c>
      <c r="F112" s="84">
        <f>IF(A112="","",B112*Catálogos!$R$1)</f>
        <v>276.18586025208936</v>
      </c>
      <c r="G112" s="84">
        <f>IF(A112="","",IF(B112=0,0,$B$4*Catálogos!$Q$6))</f>
        <v>172.34482758620689</v>
      </c>
      <c r="H112" s="84">
        <f t="shared" si="12"/>
        <v>299</v>
      </c>
      <c r="I112" s="84">
        <f t="shared" si="13"/>
        <v>6251.2897295009125</v>
      </c>
      <c r="J112" s="87">
        <f t="shared" si="14"/>
        <v>6251.2897295009125</v>
      </c>
      <c r="K112" s="87"/>
      <c r="L112" s="87"/>
    </row>
    <row r="113" spans="1:12" x14ac:dyDescent="0.25">
      <c r="A113">
        <f t="shared" si="9"/>
        <v>107</v>
      </c>
      <c r="B113" s="87">
        <f t="shared" si="15"/>
        <v>458362.66817884386</v>
      </c>
      <c r="C113" s="87">
        <f t="shared" si="10"/>
        <v>1962.1434922007497</v>
      </c>
      <c r="D113" s="84">
        <f t="shared" si="11"/>
        <v>3541.6155494618665</v>
      </c>
      <c r="E113" s="84">
        <f t="shared" si="8"/>
        <v>5503.7590416626163</v>
      </c>
      <c r="F113" s="84">
        <f>IF(A113="","",B113*Catálogos!$R$1)</f>
        <v>275.0176009073063</v>
      </c>
      <c r="G113" s="84">
        <f>IF(A113="","",IF(B113=0,0,$B$4*Catálogos!$Q$6))</f>
        <v>172.34482758620689</v>
      </c>
      <c r="H113" s="84">
        <f t="shared" si="12"/>
        <v>299</v>
      </c>
      <c r="I113" s="84">
        <f t="shared" si="13"/>
        <v>6250.1214701561294</v>
      </c>
      <c r="J113" s="87">
        <f t="shared" si="14"/>
        <v>6250.1214701561294</v>
      </c>
      <c r="K113" s="87"/>
      <c r="L113" s="87"/>
    </row>
    <row r="114" spans="1:12" x14ac:dyDescent="0.25">
      <c r="A114">
        <f t="shared" si="9"/>
        <v>108</v>
      </c>
      <c r="B114" s="87">
        <f t="shared" si="15"/>
        <v>456400.5246866431</v>
      </c>
      <c r="C114" s="87">
        <f t="shared" si="10"/>
        <v>1977.3043209171547</v>
      </c>
      <c r="D114" s="84">
        <f t="shared" si="11"/>
        <v>3526.4547207454616</v>
      </c>
      <c r="E114" s="84">
        <f t="shared" si="8"/>
        <v>5503.7590416626163</v>
      </c>
      <c r="F114" s="84">
        <f>IF(A114="","",B114*Catálogos!$R$1)</f>
        <v>273.84031481198582</v>
      </c>
      <c r="G114" s="84">
        <f>IF(A114="","",IF(B114=0,0,$B$4*Catálogos!$Q$6))</f>
        <v>172.34482758620689</v>
      </c>
      <c r="H114" s="84">
        <f t="shared" si="12"/>
        <v>299</v>
      </c>
      <c r="I114" s="84">
        <f t="shared" si="13"/>
        <v>6248.9441840608088</v>
      </c>
      <c r="J114" s="87">
        <f t="shared" si="14"/>
        <v>6248.9441840608088</v>
      </c>
      <c r="K114" s="87"/>
      <c r="L114" s="87"/>
    </row>
    <row r="115" spans="1:12" x14ac:dyDescent="0.25">
      <c r="A115">
        <f t="shared" si="9"/>
        <v>109</v>
      </c>
      <c r="B115" s="87">
        <f t="shared" si="15"/>
        <v>454423.22036572592</v>
      </c>
      <c r="C115" s="87">
        <f t="shared" si="10"/>
        <v>1992.5822923034411</v>
      </c>
      <c r="D115" s="84">
        <f t="shared" si="11"/>
        <v>3511.1767493591751</v>
      </c>
      <c r="E115" s="84">
        <f t="shared" si="8"/>
        <v>5503.7590416626163</v>
      </c>
      <c r="F115" s="84">
        <f>IF(A115="","",B115*Catálogos!$R$1)</f>
        <v>272.65393221943555</v>
      </c>
      <c r="G115" s="84">
        <f>IF(A115="","",IF(B115=0,0,$B$4*Catálogos!$Q$6))</f>
        <v>172.34482758620689</v>
      </c>
      <c r="H115" s="84">
        <f t="shared" si="12"/>
        <v>299</v>
      </c>
      <c r="I115" s="84">
        <f t="shared" si="13"/>
        <v>6247.7578014682585</v>
      </c>
      <c r="J115" s="87">
        <f t="shared" si="14"/>
        <v>6247.7578014682585</v>
      </c>
      <c r="K115" s="87"/>
      <c r="L115" s="87"/>
    </row>
    <row r="116" spans="1:12" x14ac:dyDescent="0.25">
      <c r="A116">
        <f t="shared" si="9"/>
        <v>110</v>
      </c>
      <c r="B116" s="87">
        <f t="shared" si="15"/>
        <v>452430.63807342248</v>
      </c>
      <c r="C116" s="87">
        <f t="shared" si="10"/>
        <v>2007.9783114819725</v>
      </c>
      <c r="D116" s="84">
        <f t="shared" si="11"/>
        <v>3495.7807301806438</v>
      </c>
      <c r="E116" s="84">
        <f t="shared" si="8"/>
        <v>5503.7590416626163</v>
      </c>
      <c r="F116" s="84">
        <f>IF(A116="","",B116*Catálogos!$R$1)</f>
        <v>271.45838284405346</v>
      </c>
      <c r="G116" s="84">
        <f>IF(A116="","",IF(B116=0,0,$B$4*Catálogos!$Q$6))</f>
        <v>172.34482758620689</v>
      </c>
      <c r="H116" s="84">
        <f t="shared" si="12"/>
        <v>299</v>
      </c>
      <c r="I116" s="84">
        <f t="shared" si="13"/>
        <v>6246.5622520928764</v>
      </c>
      <c r="J116" s="87">
        <f t="shared" si="14"/>
        <v>6246.5622520928764</v>
      </c>
      <c r="K116" s="87"/>
      <c r="L116" s="87"/>
    </row>
    <row r="117" spans="1:12" x14ac:dyDescent="0.25">
      <c r="A117">
        <f t="shared" si="9"/>
        <v>111</v>
      </c>
      <c r="B117" s="87">
        <f t="shared" si="15"/>
        <v>450422.65976194054</v>
      </c>
      <c r="C117" s="87">
        <f t="shared" si="10"/>
        <v>2023.4932905686896</v>
      </c>
      <c r="D117" s="84">
        <f t="shared" si="11"/>
        <v>3480.2657510939266</v>
      </c>
      <c r="E117" s="84">
        <f t="shared" si="8"/>
        <v>5503.7590416626163</v>
      </c>
      <c r="F117" s="84">
        <f>IF(A117="","",B117*Catálogos!$R$1)</f>
        <v>270.25359585716427</v>
      </c>
      <c r="G117" s="84">
        <f>IF(A117="","",IF(B117=0,0,$B$4*Catálogos!$Q$6))</f>
        <v>172.34482758620689</v>
      </c>
      <c r="H117" s="84">
        <f t="shared" si="12"/>
        <v>299</v>
      </c>
      <c r="I117" s="84">
        <f t="shared" si="13"/>
        <v>6245.3574651059871</v>
      </c>
      <c r="J117" s="87">
        <f t="shared" si="14"/>
        <v>6245.3574651059871</v>
      </c>
      <c r="K117" s="87"/>
      <c r="L117" s="87"/>
    </row>
    <row r="118" spans="1:12" x14ac:dyDescent="0.25">
      <c r="A118">
        <f t="shared" si="9"/>
        <v>112</v>
      </c>
      <c r="B118" s="87">
        <f t="shared" si="15"/>
        <v>448399.16647137183</v>
      </c>
      <c r="C118" s="87">
        <f t="shared" si="10"/>
        <v>2039.1281487271503</v>
      </c>
      <c r="D118" s="84">
        <f t="shared" si="11"/>
        <v>3464.6308929354659</v>
      </c>
      <c r="E118" s="84">
        <f t="shared" si="8"/>
        <v>5503.7590416626163</v>
      </c>
      <c r="F118" s="84">
        <f>IF(A118="","",B118*Catálogos!$R$1)</f>
        <v>269.03949988282307</v>
      </c>
      <c r="G118" s="84">
        <f>IF(A118="","",IF(B118=0,0,$B$4*Catálogos!$Q$6))</f>
        <v>172.34482758620689</v>
      </c>
      <c r="H118" s="84">
        <f t="shared" si="12"/>
        <v>299</v>
      </c>
      <c r="I118" s="84">
        <f t="shared" si="13"/>
        <v>6244.1433691316461</v>
      </c>
      <c r="J118" s="87">
        <f t="shared" si="14"/>
        <v>6244.1433691316461</v>
      </c>
      <c r="K118" s="87"/>
      <c r="L118" s="87"/>
    </row>
    <row r="119" spans="1:12" x14ac:dyDescent="0.25">
      <c r="A119">
        <f t="shared" si="9"/>
        <v>113</v>
      </c>
      <c r="B119" s="87">
        <f t="shared" si="15"/>
        <v>446360.03832264466</v>
      </c>
      <c r="C119" s="87">
        <f t="shared" si="10"/>
        <v>2054.8838122229822</v>
      </c>
      <c r="D119" s="84">
        <f t="shared" si="11"/>
        <v>3448.875229439634</v>
      </c>
      <c r="E119" s="84">
        <f t="shared" si="8"/>
        <v>5503.7590416626163</v>
      </c>
      <c r="F119" s="84">
        <f>IF(A119="","",B119*Catálogos!$R$1)</f>
        <v>267.81602299358678</v>
      </c>
      <c r="G119" s="84">
        <f>IF(A119="","",IF(B119=0,0,$B$4*Catálogos!$Q$6))</f>
        <v>172.34482758620689</v>
      </c>
      <c r="H119" s="84">
        <f t="shared" si="12"/>
        <v>299</v>
      </c>
      <c r="I119" s="84">
        <f t="shared" si="13"/>
        <v>6242.9198922424093</v>
      </c>
      <c r="J119" s="87">
        <f t="shared" si="14"/>
        <v>6242.9198922424093</v>
      </c>
      <c r="K119" s="87"/>
      <c r="L119" s="87"/>
    </row>
    <row r="120" spans="1:12" x14ac:dyDescent="0.25">
      <c r="A120">
        <f t="shared" si="9"/>
        <v>114</v>
      </c>
      <c r="B120" s="87">
        <f t="shared" si="15"/>
        <v>444305.15451042168</v>
      </c>
      <c r="C120" s="87">
        <f t="shared" si="10"/>
        <v>2070.7612144787586</v>
      </c>
      <c r="D120" s="84">
        <f t="shared" si="11"/>
        <v>3432.9978271838577</v>
      </c>
      <c r="E120" s="84">
        <f t="shared" si="8"/>
        <v>5503.7590416626163</v>
      </c>
      <c r="F120" s="84">
        <f>IF(A120="","",B120*Catálogos!$R$1)</f>
        <v>266.58309270625296</v>
      </c>
      <c r="G120" s="84">
        <f>IF(A120="","",IF(B120=0,0,$B$4*Catálogos!$Q$6))</f>
        <v>172.34482758620689</v>
      </c>
      <c r="H120" s="84">
        <f t="shared" si="12"/>
        <v>299</v>
      </c>
      <c r="I120" s="84">
        <f t="shared" si="13"/>
        <v>6241.6869619550762</v>
      </c>
      <c r="J120" s="87">
        <f t="shared" si="14"/>
        <v>6241.6869619550762</v>
      </c>
      <c r="K120" s="87"/>
      <c r="L120" s="87"/>
    </row>
    <row r="121" spans="1:12" x14ac:dyDescent="0.25">
      <c r="A121">
        <f t="shared" si="9"/>
        <v>115</v>
      </c>
      <c r="B121" s="87">
        <f t="shared" si="15"/>
        <v>442234.39329594292</v>
      </c>
      <c r="C121" s="87">
        <f t="shared" si="10"/>
        <v>2086.761296129298</v>
      </c>
      <c r="D121" s="84">
        <f t="shared" si="11"/>
        <v>3416.9977455333183</v>
      </c>
      <c r="E121" s="84">
        <f t="shared" si="8"/>
        <v>5503.7590416626163</v>
      </c>
      <c r="F121" s="84">
        <f>IF(A121="","",B121*Catálogos!$R$1)</f>
        <v>265.34063597756574</v>
      </c>
      <c r="G121" s="84">
        <f>IF(A121="","",IF(B121=0,0,$B$4*Catálogos!$Q$6))</f>
        <v>172.34482758620689</v>
      </c>
      <c r="H121" s="84">
        <f t="shared" si="12"/>
        <v>299</v>
      </c>
      <c r="I121" s="84">
        <f t="shared" si="13"/>
        <v>6240.4445052263882</v>
      </c>
      <c r="J121" s="87">
        <f t="shared" si="14"/>
        <v>6240.4445052263882</v>
      </c>
      <c r="K121" s="87"/>
      <c r="L121" s="87"/>
    </row>
    <row r="122" spans="1:12" x14ac:dyDescent="0.25">
      <c r="A122">
        <f t="shared" si="9"/>
        <v>116</v>
      </c>
      <c r="B122" s="87">
        <f t="shared" si="15"/>
        <v>440147.6319998136</v>
      </c>
      <c r="C122" s="87">
        <f t="shared" si="10"/>
        <v>2102.8850050773904</v>
      </c>
      <c r="D122" s="84">
        <f t="shared" si="11"/>
        <v>3400.8740365852259</v>
      </c>
      <c r="E122" s="84">
        <f t="shared" si="8"/>
        <v>5503.7590416626163</v>
      </c>
      <c r="F122" s="84">
        <f>IF(A122="","",B122*Catálogos!$R$1)</f>
        <v>264.08857919988816</v>
      </c>
      <c r="G122" s="84">
        <f>IF(A122="","",IF(B122=0,0,$B$4*Catálogos!$Q$6))</f>
        <v>172.34482758620689</v>
      </c>
      <c r="H122" s="84">
        <f t="shared" si="12"/>
        <v>299</v>
      </c>
      <c r="I122" s="84">
        <f t="shared" si="13"/>
        <v>6239.1924484487108</v>
      </c>
      <c r="J122" s="87">
        <f t="shared" si="14"/>
        <v>6239.1924484487108</v>
      </c>
      <c r="K122" s="87"/>
      <c r="L122" s="87"/>
    </row>
    <row r="123" spans="1:12" x14ac:dyDescent="0.25">
      <c r="A123">
        <f t="shared" si="9"/>
        <v>117</v>
      </c>
      <c r="B123" s="87">
        <f t="shared" si="15"/>
        <v>438044.7469947362</v>
      </c>
      <c r="C123" s="87">
        <f t="shared" si="10"/>
        <v>2119.133296549955</v>
      </c>
      <c r="D123" s="84">
        <f t="shared" si="11"/>
        <v>3384.6257451126612</v>
      </c>
      <c r="E123" s="84">
        <f t="shared" si="8"/>
        <v>5503.7590416626163</v>
      </c>
      <c r="F123" s="84">
        <f>IF(A123="","",B123*Catálogos!$R$1)</f>
        <v>262.82684819684169</v>
      </c>
      <c r="G123" s="84">
        <f>IF(A123="","",IF(B123=0,0,$B$4*Catálogos!$Q$6))</f>
        <v>172.34482758620689</v>
      </c>
      <c r="H123" s="84">
        <f t="shared" si="12"/>
        <v>299</v>
      </c>
      <c r="I123" s="84">
        <f t="shared" si="13"/>
        <v>6237.9307174456644</v>
      </c>
      <c r="J123" s="87">
        <f t="shared" si="14"/>
        <v>6237.9307174456644</v>
      </c>
      <c r="K123" s="87"/>
      <c r="L123" s="87"/>
    </row>
    <row r="124" spans="1:12" x14ac:dyDescent="0.25">
      <c r="A124">
        <f t="shared" si="9"/>
        <v>118</v>
      </c>
      <c r="B124" s="87">
        <f t="shared" si="15"/>
        <v>435925.61369818624</v>
      </c>
      <c r="C124" s="87">
        <f t="shared" si="10"/>
        <v>2135.507133154631</v>
      </c>
      <c r="D124" s="84">
        <f t="shared" si="11"/>
        <v>3368.2519085079853</v>
      </c>
      <c r="E124" s="84">
        <f t="shared" si="8"/>
        <v>5503.7590416626163</v>
      </c>
      <c r="F124" s="84">
        <f>IF(A124="","",B124*Catálogos!$R$1)</f>
        <v>261.55536821891172</v>
      </c>
      <c r="G124" s="84">
        <f>IF(A124="","",IF(B124=0,0,$B$4*Catálogos!$Q$6))</f>
        <v>172.34482758620689</v>
      </c>
      <c r="H124" s="84">
        <f t="shared" si="12"/>
        <v>299</v>
      </c>
      <c r="I124" s="84">
        <f t="shared" si="13"/>
        <v>6236.6592374677348</v>
      </c>
      <c r="J124" s="87">
        <f t="shared" si="14"/>
        <v>6236.6592374677348</v>
      </c>
      <c r="K124" s="87"/>
      <c r="L124" s="87"/>
    </row>
    <row r="125" spans="1:12" x14ac:dyDescent="0.25">
      <c r="A125">
        <f t="shared" si="9"/>
        <v>119</v>
      </c>
      <c r="B125" s="87">
        <f t="shared" si="15"/>
        <v>433790.10656503163</v>
      </c>
      <c r="C125" s="87">
        <f t="shared" si="10"/>
        <v>2152.0074849368057</v>
      </c>
      <c r="D125" s="84">
        <f t="shared" si="11"/>
        <v>3351.7515567258106</v>
      </c>
      <c r="E125" s="84">
        <f t="shared" si="8"/>
        <v>5503.7590416626163</v>
      </c>
      <c r="F125" s="84">
        <f>IF(A125="","",B125*Catálogos!$R$1)</f>
        <v>260.27406393901896</v>
      </c>
      <c r="G125" s="84">
        <f>IF(A125="","",IF(B125=0,0,$B$4*Catálogos!$Q$6))</f>
        <v>172.34482758620689</v>
      </c>
      <c r="H125" s="84">
        <f t="shared" si="12"/>
        <v>299</v>
      </c>
      <c r="I125" s="84">
        <f t="shared" si="13"/>
        <v>6235.3779331878413</v>
      </c>
      <c r="J125" s="87">
        <f t="shared" si="14"/>
        <v>6235.3779331878413</v>
      </c>
      <c r="K125" s="87"/>
      <c r="L125" s="87"/>
    </row>
    <row r="126" spans="1:12" x14ac:dyDescent="0.25">
      <c r="A126">
        <f t="shared" si="9"/>
        <v>120</v>
      </c>
      <c r="B126" s="87">
        <f t="shared" si="15"/>
        <v>431638.09908009483</v>
      </c>
      <c r="C126" s="87">
        <f t="shared" si="10"/>
        <v>2168.6353294370838</v>
      </c>
      <c r="D126" s="84">
        <f t="shared" si="11"/>
        <v>3335.1237122255325</v>
      </c>
      <c r="E126" s="84">
        <f t="shared" si="8"/>
        <v>5503.7590416626163</v>
      </c>
      <c r="F126" s="84">
        <f>IF(A126="","",B126*Catálogos!$R$1)</f>
        <v>258.9828594480569</v>
      </c>
      <c r="G126" s="84">
        <f>IF(A126="","",IF(B126=0,0,$B$4*Catálogos!$Q$6))</f>
        <v>172.34482758620689</v>
      </c>
      <c r="H126" s="84">
        <f t="shared" si="12"/>
        <v>299</v>
      </c>
      <c r="I126" s="84">
        <f t="shared" si="13"/>
        <v>6234.0867286968796</v>
      </c>
      <c r="J126" s="87">
        <f t="shared" si="14"/>
        <v>6234.0867286968796</v>
      </c>
      <c r="K126" s="87"/>
      <c r="L126" s="87"/>
    </row>
    <row r="127" spans="1:12" x14ac:dyDescent="0.25">
      <c r="A127">
        <f t="shared" si="9"/>
        <v>121</v>
      </c>
      <c r="B127" s="87">
        <f t="shared" si="15"/>
        <v>429469.46375065774</v>
      </c>
      <c r="C127" s="87">
        <f t="shared" si="10"/>
        <v>2185.3916517492012</v>
      </c>
      <c r="D127" s="84">
        <f t="shared" si="11"/>
        <v>3318.3673899134151</v>
      </c>
      <c r="E127" s="84">
        <f t="shared" si="8"/>
        <v>5503.7590416626163</v>
      </c>
      <c r="F127" s="84">
        <f>IF(A127="","",B127*Catálogos!$R$1)</f>
        <v>257.68167825039461</v>
      </c>
      <c r="G127" s="84">
        <f>IF(A127="","",IF(B127=0,0,$B$4*Catálogos!$Q$6))</f>
        <v>172.34482758620689</v>
      </c>
      <c r="H127" s="84">
        <f t="shared" si="12"/>
        <v>299</v>
      </c>
      <c r="I127" s="84">
        <f t="shared" si="13"/>
        <v>6232.7855474992175</v>
      </c>
      <c r="J127" s="87">
        <f t="shared" si="14"/>
        <v>6232.7855474992175</v>
      </c>
      <c r="K127" s="87"/>
      <c r="L127" s="87"/>
    </row>
    <row r="128" spans="1:12" x14ac:dyDescent="0.25">
      <c r="A128">
        <f t="shared" si="9"/>
        <v>122</v>
      </c>
      <c r="B128" s="87">
        <f t="shared" si="15"/>
        <v>427284.07209890854</v>
      </c>
      <c r="C128" s="87">
        <f t="shared" si="10"/>
        <v>2202.2774445783834</v>
      </c>
      <c r="D128" s="84">
        <f t="shared" si="11"/>
        <v>3301.4815970842328</v>
      </c>
      <c r="E128" s="84">
        <f t="shared" si="8"/>
        <v>5503.7590416626163</v>
      </c>
      <c r="F128" s="84">
        <f>IF(A128="","",B128*Catálogos!$R$1)</f>
        <v>256.37044325934511</v>
      </c>
      <c r="G128" s="84">
        <f>IF(A128="","",IF(B128=0,0,$B$4*Catálogos!$Q$6))</f>
        <v>172.34482758620689</v>
      </c>
      <c r="H128" s="84">
        <f t="shared" si="12"/>
        <v>299</v>
      </c>
      <c r="I128" s="84">
        <f t="shared" si="13"/>
        <v>6231.4743125081677</v>
      </c>
      <c r="J128" s="87">
        <f t="shared" si="14"/>
        <v>6231.4743125081677</v>
      </c>
      <c r="K128" s="87"/>
      <c r="L128" s="87"/>
    </row>
    <row r="129" spans="1:12" x14ac:dyDescent="0.25">
      <c r="A129">
        <f t="shared" si="9"/>
        <v>123</v>
      </c>
      <c r="B129" s="87">
        <f t="shared" si="15"/>
        <v>425081.79465433018</v>
      </c>
      <c r="C129" s="87">
        <f t="shared" si="10"/>
        <v>2219.2937083001589</v>
      </c>
      <c r="D129" s="84">
        <f t="shared" si="11"/>
        <v>3284.4653333624574</v>
      </c>
      <c r="E129" s="84">
        <f t="shared" si="8"/>
        <v>5503.7590416626163</v>
      </c>
      <c r="F129" s="84">
        <f>IF(A129="","",B129*Catálogos!$R$1)</f>
        <v>255.04907679259807</v>
      </c>
      <c r="G129" s="84">
        <f>IF(A129="","",IF(B129=0,0,$B$4*Catálogos!$Q$6))</f>
        <v>172.34482758620689</v>
      </c>
      <c r="H129" s="84">
        <f t="shared" si="12"/>
        <v>299</v>
      </c>
      <c r="I129" s="84">
        <f t="shared" si="13"/>
        <v>6230.1529460414213</v>
      </c>
      <c r="J129" s="87">
        <f t="shared" si="14"/>
        <v>6230.1529460414213</v>
      </c>
      <c r="K129" s="87"/>
      <c r="L129" s="87"/>
    </row>
    <row r="130" spans="1:12" x14ac:dyDescent="0.25">
      <c r="A130">
        <f t="shared" si="9"/>
        <v>124</v>
      </c>
      <c r="B130" s="87">
        <f t="shared" si="15"/>
        <v>422862.50094603002</v>
      </c>
      <c r="C130" s="87">
        <f t="shared" si="10"/>
        <v>2236.4414510196248</v>
      </c>
      <c r="D130" s="84">
        <f t="shared" si="11"/>
        <v>3267.3175906429915</v>
      </c>
      <c r="E130" s="84">
        <f t="shared" si="8"/>
        <v>5503.7590416626163</v>
      </c>
      <c r="F130" s="84">
        <f>IF(A130="","",B130*Catálogos!$R$1)</f>
        <v>253.717500567618</v>
      </c>
      <c r="G130" s="84">
        <f>IF(A130="","",IF(B130=0,0,$B$4*Catálogos!$Q$6))</f>
        <v>172.34482758620689</v>
      </c>
      <c r="H130" s="84">
        <f t="shared" si="12"/>
        <v>299</v>
      </c>
      <c r="I130" s="84">
        <f t="shared" si="13"/>
        <v>6228.8213698164409</v>
      </c>
      <c r="J130" s="87">
        <f t="shared" si="14"/>
        <v>6228.8213698164409</v>
      </c>
      <c r="K130" s="87"/>
      <c r="L130" s="87"/>
    </row>
    <row r="131" spans="1:12" x14ac:dyDescent="0.25">
      <c r="A131">
        <f t="shared" si="9"/>
        <v>125</v>
      </c>
      <c r="B131" s="87">
        <f t="shared" si="15"/>
        <v>420626.05949501041</v>
      </c>
      <c r="C131" s="87">
        <f t="shared" si="10"/>
        <v>2253.7216886311694</v>
      </c>
      <c r="D131" s="84">
        <f t="shared" si="11"/>
        <v>3250.0373530314469</v>
      </c>
      <c r="E131" s="84">
        <f t="shared" si="8"/>
        <v>5503.7590416626163</v>
      </c>
      <c r="F131" s="84">
        <f>IF(A131="","",B131*Catálogos!$R$1)</f>
        <v>252.37563569700623</v>
      </c>
      <c r="G131" s="84">
        <f>IF(A131="","",IF(B131=0,0,$B$4*Catálogos!$Q$6))</f>
        <v>172.34482758620689</v>
      </c>
      <c r="H131" s="84">
        <f t="shared" si="12"/>
        <v>299</v>
      </c>
      <c r="I131" s="84">
        <f t="shared" si="13"/>
        <v>6227.4795049458289</v>
      </c>
      <c r="J131" s="87">
        <f t="shared" si="14"/>
        <v>6227.4795049458289</v>
      </c>
      <c r="K131" s="87"/>
      <c r="L131" s="87"/>
    </row>
    <row r="132" spans="1:12" x14ac:dyDescent="0.25">
      <c r="A132">
        <f t="shared" si="9"/>
        <v>126</v>
      </c>
      <c r="B132" s="87">
        <f t="shared" si="15"/>
        <v>418372.33780637925</v>
      </c>
      <c r="C132" s="87">
        <f t="shared" si="10"/>
        <v>2271.1354448786597</v>
      </c>
      <c r="D132" s="84">
        <f t="shared" si="11"/>
        <v>3232.6235967839566</v>
      </c>
      <c r="E132" s="84">
        <f t="shared" si="8"/>
        <v>5503.7590416626163</v>
      </c>
      <c r="F132" s="84">
        <f>IF(A132="","",B132*Catálogos!$R$1)</f>
        <v>251.02340268382753</v>
      </c>
      <c r="G132" s="84">
        <f>IF(A132="","",IF(B132=0,0,$B$4*Catálogos!$Q$6))</f>
        <v>172.34482758620689</v>
      </c>
      <c r="H132" s="84">
        <f t="shared" si="12"/>
        <v>299</v>
      </c>
      <c r="I132" s="84">
        <f t="shared" si="13"/>
        <v>6226.1272719326507</v>
      </c>
      <c r="J132" s="87">
        <f t="shared" si="14"/>
        <v>6226.1272719326507</v>
      </c>
      <c r="K132" s="87"/>
      <c r="L132" s="87"/>
    </row>
    <row r="133" spans="1:12" x14ac:dyDescent="0.25">
      <c r="A133">
        <f t="shared" si="9"/>
        <v>127</v>
      </c>
      <c r="B133" s="87">
        <f t="shared" si="15"/>
        <v>416101.20236150059</v>
      </c>
      <c r="C133" s="87">
        <f t="shared" si="10"/>
        <v>2288.6837514160889</v>
      </c>
      <c r="D133" s="84">
        <f t="shared" si="11"/>
        <v>3215.0752902465274</v>
      </c>
      <c r="E133" s="84">
        <f t="shared" si="8"/>
        <v>5503.7590416626163</v>
      </c>
      <c r="F133" s="84">
        <f>IF(A133="","",B133*Catálogos!$R$1)</f>
        <v>249.66072141690034</v>
      </c>
      <c r="G133" s="84">
        <f>IF(A133="","",IF(B133=0,0,$B$4*Catálogos!$Q$6))</f>
        <v>172.34482758620689</v>
      </c>
      <c r="H133" s="84">
        <f t="shared" si="12"/>
        <v>299</v>
      </c>
      <c r="I133" s="84">
        <f t="shared" si="13"/>
        <v>6224.7645906657235</v>
      </c>
      <c r="J133" s="87">
        <f t="shared" si="14"/>
        <v>6224.7645906657235</v>
      </c>
      <c r="K133" s="87"/>
      <c r="L133" s="87"/>
    </row>
    <row r="134" spans="1:12" x14ac:dyDescent="0.25">
      <c r="A134">
        <f t="shared" si="9"/>
        <v>128</v>
      </c>
      <c r="B134" s="87">
        <f t="shared" si="15"/>
        <v>413812.51861008449</v>
      </c>
      <c r="C134" s="87">
        <f t="shared" si="10"/>
        <v>2306.3676478686971</v>
      </c>
      <c r="D134" s="84">
        <f t="shared" si="11"/>
        <v>3197.3913937939192</v>
      </c>
      <c r="E134" s="84">
        <f t="shared" si="8"/>
        <v>5503.7590416626163</v>
      </c>
      <c r="F134" s="84">
        <f>IF(A134="","",B134*Catálogos!$R$1)</f>
        <v>248.28751116605068</v>
      </c>
      <c r="G134" s="84">
        <f>IF(A134="","",IF(B134=0,0,$B$4*Catálogos!$Q$6))</f>
        <v>172.34482758620689</v>
      </c>
      <c r="H134" s="84">
        <f t="shared" si="12"/>
        <v>299</v>
      </c>
      <c r="I134" s="84">
        <f t="shared" si="13"/>
        <v>6223.3913804148733</v>
      </c>
      <c r="J134" s="87">
        <f t="shared" si="14"/>
        <v>6223.3913804148733</v>
      </c>
      <c r="K134" s="87"/>
      <c r="L134" s="87"/>
    </row>
    <row r="135" spans="1:12" x14ac:dyDescent="0.25">
      <c r="A135">
        <f t="shared" si="9"/>
        <v>129</v>
      </c>
      <c r="B135" s="87">
        <f t="shared" si="15"/>
        <v>411506.15096221579</v>
      </c>
      <c r="C135" s="87">
        <f t="shared" si="10"/>
        <v>2324.1881818945626</v>
      </c>
      <c r="D135" s="84">
        <f t="shared" si="11"/>
        <v>3179.5708597680537</v>
      </c>
      <c r="E135" s="84">
        <f t="shared" ref="E135:E198" si="16">IF(A135="","",PMT($B$2/360*30.4,$B$1,-$B$3))</f>
        <v>5503.7590416626163</v>
      </c>
      <c r="F135" s="84">
        <f>IF(A135="","",B135*Catálogos!$R$1)</f>
        <v>246.90369057732946</v>
      </c>
      <c r="G135" s="84">
        <f>IF(A135="","",IF(B135=0,0,$B$4*Catálogos!$Q$6))</f>
        <v>172.34482758620689</v>
      </c>
      <c r="H135" s="84">
        <f t="shared" si="12"/>
        <v>299</v>
      </c>
      <c r="I135" s="84">
        <f t="shared" si="13"/>
        <v>6222.0075598261519</v>
      </c>
      <c r="J135" s="87">
        <f t="shared" si="14"/>
        <v>6222.0075598261519</v>
      </c>
      <c r="K135" s="87"/>
      <c r="L135" s="87"/>
    </row>
    <row r="136" spans="1:12" x14ac:dyDescent="0.25">
      <c r="A136">
        <f t="shared" ref="A136:A199" si="17">IF(A135=$B$1,"",IF(A135="","",A135+1))</f>
        <v>130</v>
      </c>
      <c r="B136" s="87">
        <f t="shared" si="15"/>
        <v>409181.96278032125</v>
      </c>
      <c r="C136" s="87">
        <f t="shared" ref="C136:C199" si="18">IF(A136="","",E136-D136)</f>
        <v>2342.1464092466676</v>
      </c>
      <c r="D136" s="84">
        <f t="shared" ref="D136:D199" si="19">IF(A136="","",($B$2/360*30.4)*B136)</f>
        <v>3161.6126324159486</v>
      </c>
      <c r="E136" s="84">
        <f t="shared" si="16"/>
        <v>5503.7590416626163</v>
      </c>
      <c r="F136" s="84">
        <f>IF(A136="","",B136*Catálogos!$R$1)</f>
        <v>245.50917766819273</v>
      </c>
      <c r="G136" s="84">
        <f>IF(A136="","",IF(B136=0,0,$B$4*Catálogos!$Q$6))</f>
        <v>172.34482758620689</v>
      </c>
      <c r="H136" s="84">
        <f t="shared" ref="H136:H199" si="20">IF(A136="","",IF($G$2=1,299,0))</f>
        <v>299</v>
      </c>
      <c r="I136" s="84">
        <f t="shared" ref="I136:I199" si="21">IF(A136="","",SUM(E136:H136))</f>
        <v>6220.6130469170157</v>
      </c>
      <c r="J136" s="87">
        <f t="shared" ref="J136:J199" si="22">I136</f>
        <v>6220.6130469170157</v>
      </c>
      <c r="K136" s="87"/>
      <c r="L136" s="87"/>
    </row>
    <row r="137" spans="1:12" x14ac:dyDescent="0.25">
      <c r="A137">
        <f t="shared" si="17"/>
        <v>131</v>
      </c>
      <c r="B137" s="87">
        <f t="shared" ref="B137:B200" si="23">IF(A137="","",B136-C136)</f>
        <v>406839.81637107459</v>
      </c>
      <c r="C137" s="87">
        <f t="shared" si="18"/>
        <v>2360.243393835447</v>
      </c>
      <c r="D137" s="84">
        <f t="shared" si="19"/>
        <v>3143.5156478271692</v>
      </c>
      <c r="E137" s="84">
        <f t="shared" si="16"/>
        <v>5503.7590416626163</v>
      </c>
      <c r="F137" s="84">
        <f>IF(A137="","",B137*Catálogos!$R$1)</f>
        <v>244.10388982264473</v>
      </c>
      <c r="G137" s="84">
        <f>IF(A137="","",IF(B137=0,0,$B$4*Catálogos!$Q$6))</f>
        <v>172.34482758620689</v>
      </c>
      <c r="H137" s="84">
        <f t="shared" si="20"/>
        <v>299</v>
      </c>
      <c r="I137" s="84">
        <f t="shared" si="21"/>
        <v>6219.2077590714671</v>
      </c>
      <c r="J137" s="87">
        <f t="shared" si="22"/>
        <v>6219.2077590714671</v>
      </c>
      <c r="K137" s="87"/>
      <c r="L137" s="87"/>
    </row>
    <row r="138" spans="1:12" x14ac:dyDescent="0.25">
      <c r="A138">
        <f t="shared" si="17"/>
        <v>132</v>
      </c>
      <c r="B138" s="87">
        <f t="shared" si="23"/>
        <v>404479.57297723915</v>
      </c>
      <c r="C138" s="87">
        <f t="shared" si="18"/>
        <v>2378.4802077918157</v>
      </c>
      <c r="D138" s="84">
        <f t="shared" si="19"/>
        <v>3125.2788338708006</v>
      </c>
      <c r="E138" s="84">
        <f t="shared" si="16"/>
        <v>5503.7590416626163</v>
      </c>
      <c r="F138" s="84">
        <f>IF(A138="","",B138*Catálogos!$R$1)</f>
        <v>242.68774378634347</v>
      </c>
      <c r="G138" s="84">
        <f>IF(A138="","",IF(B138=0,0,$B$4*Catálogos!$Q$6))</f>
        <v>172.34482758620689</v>
      </c>
      <c r="H138" s="84">
        <f t="shared" si="20"/>
        <v>299</v>
      </c>
      <c r="I138" s="84">
        <f t="shared" si="21"/>
        <v>6217.7916130351659</v>
      </c>
      <c r="J138" s="87">
        <f t="shared" si="22"/>
        <v>6217.7916130351659</v>
      </c>
      <c r="K138" s="87"/>
      <c r="L138" s="87"/>
    </row>
    <row r="139" spans="1:12" x14ac:dyDescent="0.25">
      <c r="A139">
        <f t="shared" si="17"/>
        <v>133</v>
      </c>
      <c r="B139" s="87">
        <f t="shared" si="23"/>
        <v>402101.09276944731</v>
      </c>
      <c r="C139" s="87">
        <f t="shared" si="18"/>
        <v>2396.857931530687</v>
      </c>
      <c r="D139" s="84">
        <f t="shared" si="19"/>
        <v>3106.9011101319293</v>
      </c>
      <c r="E139" s="84">
        <f t="shared" si="16"/>
        <v>5503.7590416626163</v>
      </c>
      <c r="F139" s="84">
        <f>IF(A139="","",B139*Catálogos!$R$1)</f>
        <v>241.26065566166835</v>
      </c>
      <c r="G139" s="84">
        <f>IF(A139="","",IF(B139=0,0,$B$4*Catálogos!$Q$6))</f>
        <v>172.34482758620689</v>
      </c>
      <c r="H139" s="84">
        <f t="shared" si="20"/>
        <v>299</v>
      </c>
      <c r="I139" s="84">
        <f t="shared" si="21"/>
        <v>6216.3645249104911</v>
      </c>
      <c r="J139" s="87">
        <f t="shared" si="22"/>
        <v>6216.3645249104911</v>
      </c>
      <c r="K139" s="87"/>
      <c r="L139" s="87"/>
    </row>
    <row r="140" spans="1:12" x14ac:dyDescent="0.25">
      <c r="A140">
        <f t="shared" si="17"/>
        <v>134</v>
      </c>
      <c r="B140" s="87">
        <f t="shared" si="23"/>
        <v>399704.23483791662</v>
      </c>
      <c r="C140" s="87">
        <f t="shared" si="18"/>
        <v>2415.3776538149809</v>
      </c>
      <c r="D140" s="84">
        <f t="shared" si="19"/>
        <v>3088.3813878476353</v>
      </c>
      <c r="E140" s="84">
        <f t="shared" si="16"/>
        <v>5503.7590416626163</v>
      </c>
      <c r="F140" s="84">
        <f>IF(A140="","",B140*Catálogos!$R$1)</f>
        <v>239.82254090274995</v>
      </c>
      <c r="G140" s="84">
        <f>IF(A140="","",IF(B140=0,0,$B$4*Catálogos!$Q$6))</f>
        <v>172.34482758620689</v>
      </c>
      <c r="H140" s="84">
        <f t="shared" si="20"/>
        <v>299</v>
      </c>
      <c r="I140" s="84">
        <f t="shared" si="21"/>
        <v>6214.9264101515728</v>
      </c>
      <c r="J140" s="87">
        <f t="shared" si="22"/>
        <v>6214.9264101515728</v>
      </c>
      <c r="K140" s="87"/>
      <c r="L140" s="87"/>
    </row>
    <row r="141" spans="1:12" x14ac:dyDescent="0.25">
      <c r="A141">
        <f t="shared" si="17"/>
        <v>135</v>
      </c>
      <c r="B141" s="87">
        <f t="shared" si="23"/>
        <v>397288.85718410165</v>
      </c>
      <c r="C141" s="87">
        <f t="shared" si="18"/>
        <v>2434.0404718201248</v>
      </c>
      <c r="D141" s="84">
        <f t="shared" si="19"/>
        <v>3069.7185698424914</v>
      </c>
      <c r="E141" s="84">
        <f t="shared" si="16"/>
        <v>5503.7590416626163</v>
      </c>
      <c r="F141" s="84">
        <f>IF(A141="","",B141*Catálogos!$R$1)</f>
        <v>238.37331431046098</v>
      </c>
      <c r="G141" s="84">
        <f>IF(A141="","",IF(B141=0,0,$B$4*Catálogos!$Q$6))</f>
        <v>172.34482758620689</v>
      </c>
      <c r="H141" s="84">
        <f t="shared" si="20"/>
        <v>299</v>
      </c>
      <c r="I141" s="84">
        <f t="shared" si="21"/>
        <v>6213.4771835592837</v>
      </c>
      <c r="J141" s="87">
        <f t="shared" si="22"/>
        <v>6213.4771835592837</v>
      </c>
      <c r="K141" s="87"/>
      <c r="L141" s="87"/>
    </row>
    <row r="142" spans="1:12" x14ac:dyDescent="0.25">
      <c r="A142">
        <f t="shared" si="17"/>
        <v>136</v>
      </c>
      <c r="B142" s="87">
        <f t="shared" si="23"/>
        <v>394854.81671228155</v>
      </c>
      <c r="C142" s="87">
        <f t="shared" si="18"/>
        <v>2452.8474911990547</v>
      </c>
      <c r="D142" s="84">
        <f t="shared" si="19"/>
        <v>3050.9115504635615</v>
      </c>
      <c r="E142" s="84">
        <f t="shared" si="16"/>
        <v>5503.7590416626163</v>
      </c>
      <c r="F142" s="84">
        <f>IF(A142="","",B142*Catálogos!$R$1)</f>
        <v>236.91289002736892</v>
      </c>
      <c r="G142" s="84">
        <f>IF(A142="","",IF(B142=0,0,$B$4*Catálogos!$Q$6))</f>
        <v>172.34482758620689</v>
      </c>
      <c r="H142" s="84">
        <f t="shared" si="20"/>
        <v>299</v>
      </c>
      <c r="I142" s="84">
        <f t="shared" si="21"/>
        <v>6212.0167592761918</v>
      </c>
      <c r="J142" s="87">
        <f t="shared" si="22"/>
        <v>6212.0167592761918</v>
      </c>
      <c r="K142" s="87"/>
      <c r="L142" s="87"/>
    </row>
    <row r="143" spans="1:12" x14ac:dyDescent="0.25">
      <c r="A143">
        <f t="shared" si="17"/>
        <v>137</v>
      </c>
      <c r="B143" s="87">
        <f t="shared" si="23"/>
        <v>392401.96922108252</v>
      </c>
      <c r="C143" s="87">
        <f t="shared" si="18"/>
        <v>2471.7998261477192</v>
      </c>
      <c r="D143" s="84">
        <f t="shared" si="19"/>
        <v>3031.9592155148971</v>
      </c>
      <c r="E143" s="84">
        <f t="shared" si="16"/>
        <v>5503.7590416626163</v>
      </c>
      <c r="F143" s="84">
        <f>IF(A143="","",B143*Catálogos!$R$1)</f>
        <v>235.44118153264949</v>
      </c>
      <c r="G143" s="84">
        <f>IF(A143="","",IF(B143=0,0,$B$4*Catálogos!$Q$6))</f>
        <v>172.34482758620689</v>
      </c>
      <c r="H143" s="84">
        <f t="shared" si="20"/>
        <v>299</v>
      </c>
      <c r="I143" s="84">
        <f t="shared" si="21"/>
        <v>6210.5450507814721</v>
      </c>
      <c r="J143" s="87">
        <f t="shared" si="22"/>
        <v>6210.5450507814721</v>
      </c>
      <c r="K143" s="87"/>
      <c r="L143" s="87"/>
    </row>
    <row r="144" spans="1:12" x14ac:dyDescent="0.25">
      <c r="A144">
        <f t="shared" si="17"/>
        <v>138</v>
      </c>
      <c r="B144" s="87">
        <f t="shared" si="23"/>
        <v>389930.16939493478</v>
      </c>
      <c r="C144" s="87">
        <f t="shared" si="18"/>
        <v>2490.8985994710874</v>
      </c>
      <c r="D144" s="84">
        <f t="shared" si="19"/>
        <v>3012.8604421915288</v>
      </c>
      <c r="E144" s="84">
        <f t="shared" si="16"/>
        <v>5503.7590416626163</v>
      </c>
      <c r="F144" s="84">
        <f>IF(A144="","",B144*Catálogos!$R$1)</f>
        <v>233.95810163696086</v>
      </c>
      <c r="G144" s="84">
        <f>IF(A144="","",IF(B144=0,0,$B$4*Catálogos!$Q$6))</f>
        <v>172.34482758620689</v>
      </c>
      <c r="H144" s="84">
        <f t="shared" si="20"/>
        <v>299</v>
      </c>
      <c r="I144" s="84">
        <f t="shared" si="21"/>
        <v>6209.0619708857839</v>
      </c>
      <c r="J144" s="87">
        <f t="shared" si="22"/>
        <v>6209.0619708857839</v>
      </c>
      <c r="K144" s="87"/>
      <c r="L144" s="87"/>
    </row>
    <row r="145" spans="1:12" x14ac:dyDescent="0.25">
      <c r="A145">
        <f t="shared" si="17"/>
        <v>139</v>
      </c>
      <c r="B145" s="87">
        <f t="shared" si="23"/>
        <v>387439.2707954637</v>
      </c>
      <c r="C145" s="87">
        <f t="shared" si="18"/>
        <v>2510.144942649667</v>
      </c>
      <c r="D145" s="84">
        <f t="shared" si="19"/>
        <v>2993.6140990129493</v>
      </c>
      <c r="E145" s="84">
        <f t="shared" si="16"/>
        <v>5503.7590416626163</v>
      </c>
      <c r="F145" s="84">
        <f>IF(A145="","",B145*Catálogos!$R$1)</f>
        <v>232.4635624772782</v>
      </c>
      <c r="G145" s="84">
        <f>IF(A145="","",IF(B145=0,0,$B$4*Catálogos!$Q$6))</f>
        <v>172.34482758620689</v>
      </c>
      <c r="H145" s="84">
        <f t="shared" si="20"/>
        <v>299</v>
      </c>
      <c r="I145" s="84">
        <f t="shared" si="21"/>
        <v>6207.5674317261009</v>
      </c>
      <c r="J145" s="87">
        <f t="shared" si="22"/>
        <v>6207.5674317261009</v>
      </c>
      <c r="K145" s="87"/>
      <c r="L145" s="87"/>
    </row>
    <row r="146" spans="1:12" x14ac:dyDescent="0.25">
      <c r="A146">
        <f t="shared" si="17"/>
        <v>140</v>
      </c>
      <c r="B146" s="87">
        <f t="shared" si="23"/>
        <v>384929.12585281406</v>
      </c>
      <c r="C146" s="87">
        <f t="shared" si="18"/>
        <v>2529.5399959065398</v>
      </c>
      <c r="D146" s="84">
        <f t="shared" si="19"/>
        <v>2974.2190457560764</v>
      </c>
      <c r="E146" s="84">
        <f t="shared" si="16"/>
        <v>5503.7590416626163</v>
      </c>
      <c r="F146" s="84">
        <f>IF(A146="","",B146*Catálogos!$R$1)</f>
        <v>230.95747551168841</v>
      </c>
      <c r="G146" s="84">
        <f>IF(A146="","",IF(B146=0,0,$B$4*Catálogos!$Q$6))</f>
        <v>172.34482758620689</v>
      </c>
      <c r="H146" s="84">
        <f t="shared" si="20"/>
        <v>299</v>
      </c>
      <c r="I146" s="84">
        <f t="shared" si="21"/>
        <v>6206.061344760511</v>
      </c>
      <c r="J146" s="87">
        <f t="shared" si="22"/>
        <v>6206.061344760511</v>
      </c>
      <c r="K146" s="87"/>
      <c r="L146" s="87"/>
    </row>
    <row r="147" spans="1:12" x14ac:dyDescent="0.25">
      <c r="A147">
        <f t="shared" si="17"/>
        <v>141</v>
      </c>
      <c r="B147" s="87">
        <f t="shared" si="23"/>
        <v>382399.58585690754</v>
      </c>
      <c r="C147" s="87">
        <f t="shared" si="18"/>
        <v>2549.084908274911</v>
      </c>
      <c r="D147" s="84">
        <f t="shared" si="19"/>
        <v>2954.6741333877053</v>
      </c>
      <c r="E147" s="84">
        <f t="shared" si="16"/>
        <v>5503.7590416626163</v>
      </c>
      <c r="F147" s="84">
        <f>IF(A147="","",B147*Catálogos!$R$1)</f>
        <v>229.43975151414449</v>
      </c>
      <c r="G147" s="84">
        <f>IF(A147="","",IF(B147=0,0,$B$4*Catálogos!$Q$6))</f>
        <v>172.34482758620689</v>
      </c>
      <c r="H147" s="84">
        <f t="shared" si="20"/>
        <v>299</v>
      </c>
      <c r="I147" s="84">
        <f t="shared" si="21"/>
        <v>6204.5436207629673</v>
      </c>
      <c r="J147" s="87">
        <f t="shared" si="22"/>
        <v>6204.5436207629673</v>
      </c>
      <c r="K147" s="87"/>
      <c r="L147" s="87"/>
    </row>
    <row r="148" spans="1:12" x14ac:dyDescent="0.25">
      <c r="A148">
        <f t="shared" si="17"/>
        <v>142</v>
      </c>
      <c r="B148" s="87">
        <f t="shared" si="23"/>
        <v>379850.5009486326</v>
      </c>
      <c r="C148" s="87">
        <f t="shared" si="18"/>
        <v>2568.7808376661819</v>
      </c>
      <c r="D148" s="84">
        <f t="shared" si="19"/>
        <v>2934.9782039964343</v>
      </c>
      <c r="E148" s="84">
        <f t="shared" si="16"/>
        <v>5503.7590416626163</v>
      </c>
      <c r="F148" s="84">
        <f>IF(A148="","",B148*Catálogos!$R$1)</f>
        <v>227.91030056917955</v>
      </c>
      <c r="G148" s="84">
        <f>IF(A148="","",IF(B148=0,0,$B$4*Catálogos!$Q$6))</f>
        <v>172.34482758620689</v>
      </c>
      <c r="H148" s="84">
        <f t="shared" si="20"/>
        <v>299</v>
      </c>
      <c r="I148" s="84">
        <f t="shared" si="21"/>
        <v>6203.0141698180023</v>
      </c>
      <c r="J148" s="87">
        <f t="shared" si="22"/>
        <v>6203.0141698180023</v>
      </c>
      <c r="K148" s="87"/>
      <c r="L148" s="87"/>
    </row>
    <row r="149" spans="1:12" x14ac:dyDescent="0.25">
      <c r="A149">
        <f t="shared" si="17"/>
        <v>143</v>
      </c>
      <c r="B149" s="87">
        <f t="shared" si="23"/>
        <v>377281.72011096642</v>
      </c>
      <c r="C149" s="87">
        <f t="shared" si="18"/>
        <v>2588.6289509385497</v>
      </c>
      <c r="D149" s="84">
        <f t="shared" si="19"/>
        <v>2915.1300907240666</v>
      </c>
      <c r="E149" s="84">
        <f t="shared" si="16"/>
        <v>5503.7590416626163</v>
      </c>
      <c r="F149" s="84">
        <f>IF(A149="","",B149*Catálogos!$R$1)</f>
        <v>226.36903206657982</v>
      </c>
      <c r="G149" s="84">
        <f>IF(A149="","",IF(B149=0,0,$B$4*Catálogos!$Q$6))</f>
        <v>172.34482758620689</v>
      </c>
      <c r="H149" s="84">
        <f t="shared" si="20"/>
        <v>299</v>
      </c>
      <c r="I149" s="84">
        <f t="shared" si="21"/>
        <v>6201.4729013154029</v>
      </c>
      <c r="J149" s="87">
        <f t="shared" si="22"/>
        <v>6201.4729013154029</v>
      </c>
      <c r="K149" s="87"/>
      <c r="L149" s="87"/>
    </row>
    <row r="150" spans="1:12" x14ac:dyDescent="0.25">
      <c r="A150">
        <f t="shared" si="17"/>
        <v>144</v>
      </c>
      <c r="B150" s="87">
        <f t="shared" si="23"/>
        <v>374693.09116002789</v>
      </c>
      <c r="C150" s="87">
        <f t="shared" si="18"/>
        <v>2608.6304239661345</v>
      </c>
      <c r="D150" s="84">
        <f t="shared" si="19"/>
        <v>2895.1286176964818</v>
      </c>
      <c r="E150" s="84">
        <f t="shared" si="16"/>
        <v>5503.7590416626163</v>
      </c>
      <c r="F150" s="84">
        <f>IF(A150="","",B150*Catálogos!$R$1)</f>
        <v>224.81585469601671</v>
      </c>
      <c r="G150" s="84">
        <f>IF(A150="","",IF(B150=0,0,$B$4*Catálogos!$Q$6))</f>
        <v>172.34482758620689</v>
      </c>
      <c r="H150" s="84">
        <f t="shared" si="20"/>
        <v>299</v>
      </c>
      <c r="I150" s="84">
        <f t="shared" si="21"/>
        <v>6199.9197239448395</v>
      </c>
      <c r="J150" s="87">
        <f t="shared" si="22"/>
        <v>6199.9197239448395</v>
      </c>
      <c r="K150" s="87"/>
      <c r="L150" s="87"/>
    </row>
    <row r="151" spans="1:12" x14ac:dyDescent="0.25">
      <c r="A151">
        <f t="shared" si="17"/>
        <v>145</v>
      </c>
      <c r="B151" s="87">
        <f t="shared" si="23"/>
        <v>372084.46073606174</v>
      </c>
      <c r="C151" s="87">
        <f t="shared" si="18"/>
        <v>2628.7864417086462</v>
      </c>
      <c r="D151" s="84">
        <f t="shared" si="19"/>
        <v>2874.9725999539701</v>
      </c>
      <c r="E151" s="84">
        <f t="shared" si="16"/>
        <v>5503.7590416626163</v>
      </c>
      <c r="F151" s="84">
        <f>IF(A151="","",B151*Catálogos!$R$1)</f>
        <v>223.25067644163701</v>
      </c>
      <c r="G151" s="84">
        <f>IF(A151="","",IF(B151=0,0,$B$4*Catálogos!$Q$6))</f>
        <v>172.34482758620689</v>
      </c>
      <c r="H151" s="84">
        <f t="shared" si="20"/>
        <v>299</v>
      </c>
      <c r="I151" s="84">
        <f t="shared" si="21"/>
        <v>6198.3545456904594</v>
      </c>
      <c r="J151" s="87">
        <f t="shared" si="22"/>
        <v>6198.3545456904594</v>
      </c>
      <c r="K151" s="87"/>
      <c r="L151" s="87"/>
    </row>
    <row r="152" spans="1:12" x14ac:dyDescent="0.25">
      <c r="A152">
        <f t="shared" si="17"/>
        <v>146</v>
      </c>
      <c r="B152" s="87">
        <f t="shared" si="23"/>
        <v>369455.67429435311</v>
      </c>
      <c r="C152" s="87">
        <f t="shared" si="18"/>
        <v>2649.0981982815815</v>
      </c>
      <c r="D152" s="84">
        <f t="shared" si="19"/>
        <v>2854.6608433810347</v>
      </c>
      <c r="E152" s="84">
        <f t="shared" si="16"/>
        <v>5503.7590416626163</v>
      </c>
      <c r="F152" s="84">
        <f>IF(A152="","",B152*Catálogos!$R$1)</f>
        <v>221.67340457661186</v>
      </c>
      <c r="G152" s="84">
        <f>IF(A152="","",IF(B152=0,0,$B$4*Catálogos!$Q$6))</f>
        <v>172.34482758620689</v>
      </c>
      <c r="H152" s="84">
        <f t="shared" si="20"/>
        <v>299</v>
      </c>
      <c r="I152" s="84">
        <f t="shared" si="21"/>
        <v>6196.7772738254343</v>
      </c>
      <c r="J152" s="87">
        <f t="shared" si="22"/>
        <v>6196.7772738254343</v>
      </c>
      <c r="K152" s="87"/>
      <c r="L152" s="87"/>
    </row>
    <row r="153" spans="1:12" x14ac:dyDescent="0.25">
      <c r="A153">
        <f t="shared" si="17"/>
        <v>147</v>
      </c>
      <c r="B153" s="87">
        <f t="shared" si="23"/>
        <v>366806.57609607151</v>
      </c>
      <c r="C153" s="87">
        <f t="shared" si="18"/>
        <v>2669.5668970269708</v>
      </c>
      <c r="D153" s="84">
        <f t="shared" si="19"/>
        <v>2834.1921446356455</v>
      </c>
      <c r="E153" s="84">
        <f t="shared" si="16"/>
        <v>5503.7590416626163</v>
      </c>
      <c r="F153" s="84">
        <f>IF(A153="","",B153*Catálogos!$R$1)</f>
        <v>220.08394565764289</v>
      </c>
      <c r="G153" s="84">
        <f>IF(A153="","",IF(B153=0,0,$B$4*Catálogos!$Q$6))</f>
        <v>172.34482758620689</v>
      </c>
      <c r="H153" s="84">
        <f t="shared" si="20"/>
        <v>299</v>
      </c>
      <c r="I153" s="84">
        <f t="shared" si="21"/>
        <v>6195.187814906466</v>
      </c>
      <c r="J153" s="87">
        <f t="shared" si="22"/>
        <v>6195.187814906466</v>
      </c>
      <c r="K153" s="87"/>
      <c r="L153" s="87"/>
    </row>
    <row r="154" spans="1:12" x14ac:dyDescent="0.25">
      <c r="A154">
        <f t="shared" si="17"/>
        <v>148</v>
      </c>
      <c r="B154" s="87">
        <f t="shared" si="23"/>
        <v>364137.00919904455</v>
      </c>
      <c r="C154" s="87">
        <f t="shared" si="18"/>
        <v>2690.1937505846658</v>
      </c>
      <c r="D154" s="84">
        <f t="shared" si="19"/>
        <v>2813.5652910779504</v>
      </c>
      <c r="E154" s="84">
        <f t="shared" si="16"/>
        <v>5503.7590416626163</v>
      </c>
      <c r="F154" s="84">
        <f>IF(A154="","",B154*Catálogos!$R$1)</f>
        <v>218.48220551942671</v>
      </c>
      <c r="G154" s="84">
        <f>IF(A154="","",IF(B154=0,0,$B$4*Catálogos!$Q$6))</f>
        <v>172.34482758620689</v>
      </c>
      <c r="H154" s="84">
        <f t="shared" si="20"/>
        <v>299</v>
      </c>
      <c r="I154" s="84">
        <f t="shared" si="21"/>
        <v>6193.5860747682491</v>
      </c>
      <c r="J154" s="87">
        <f t="shared" si="22"/>
        <v>6193.5860747682491</v>
      </c>
      <c r="K154" s="87"/>
      <c r="L154" s="87"/>
    </row>
    <row r="155" spans="1:12" x14ac:dyDescent="0.25">
      <c r="A155">
        <f t="shared" si="17"/>
        <v>149</v>
      </c>
      <c r="B155" s="87">
        <f t="shared" si="23"/>
        <v>361446.81544845988</v>
      </c>
      <c r="C155" s="87">
        <f t="shared" si="18"/>
        <v>2710.9799809641831</v>
      </c>
      <c r="D155" s="84">
        <f t="shared" si="19"/>
        <v>2792.7790606984331</v>
      </c>
      <c r="E155" s="84">
        <f t="shared" si="16"/>
        <v>5503.7590416626163</v>
      </c>
      <c r="F155" s="84">
        <f>IF(A155="","",B155*Catálogos!$R$1)</f>
        <v>216.86808926907591</v>
      </c>
      <c r="G155" s="84">
        <f>IF(A155="","",IF(B155=0,0,$B$4*Catálogos!$Q$6))</f>
        <v>172.34482758620689</v>
      </c>
      <c r="H155" s="84">
        <f t="shared" si="20"/>
        <v>299</v>
      </c>
      <c r="I155" s="84">
        <f t="shared" si="21"/>
        <v>6191.9719585178991</v>
      </c>
      <c r="J155" s="87">
        <f t="shared" si="22"/>
        <v>6191.9719585178991</v>
      </c>
      <c r="K155" s="87"/>
      <c r="L155" s="87"/>
    </row>
    <row r="156" spans="1:12" x14ac:dyDescent="0.25">
      <c r="A156">
        <f t="shared" si="17"/>
        <v>150</v>
      </c>
      <c r="B156" s="87">
        <f t="shared" si="23"/>
        <v>358735.83546749572</v>
      </c>
      <c r="C156" s="87">
        <f t="shared" si="18"/>
        <v>2731.9268196170997</v>
      </c>
      <c r="D156" s="84">
        <f t="shared" si="19"/>
        <v>2771.8322220455166</v>
      </c>
      <c r="E156" s="84">
        <f t="shared" si="16"/>
        <v>5503.7590416626163</v>
      </c>
      <c r="F156" s="84">
        <f>IF(A156="","",B156*Catálogos!$R$1)</f>
        <v>215.2415012804974</v>
      </c>
      <c r="G156" s="84">
        <f>IF(A156="","",IF(B156=0,0,$B$4*Catálogos!$Q$6))</f>
        <v>172.34482758620689</v>
      </c>
      <c r="H156" s="84">
        <f t="shared" si="20"/>
        <v>299</v>
      </c>
      <c r="I156" s="84">
        <f t="shared" si="21"/>
        <v>6190.3453705293205</v>
      </c>
      <c r="J156" s="87">
        <f t="shared" si="22"/>
        <v>6190.3453705293205</v>
      </c>
      <c r="K156" s="87"/>
      <c r="L156" s="87"/>
    </row>
    <row r="157" spans="1:12" x14ac:dyDescent="0.25">
      <c r="A157">
        <f t="shared" si="17"/>
        <v>151</v>
      </c>
      <c r="B157" s="87">
        <f t="shared" si="23"/>
        <v>356003.90864787862</v>
      </c>
      <c r="C157" s="87">
        <f t="shared" si="18"/>
        <v>2753.0355075100078</v>
      </c>
      <c r="D157" s="84">
        <f t="shared" si="19"/>
        <v>2750.7235341526084</v>
      </c>
      <c r="E157" s="84">
        <f t="shared" si="16"/>
        <v>5503.7590416626163</v>
      </c>
      <c r="F157" s="84">
        <f>IF(A157="","",B157*Catálogos!$R$1)</f>
        <v>213.60234518872716</v>
      </c>
      <c r="G157" s="84">
        <f>IF(A157="","",IF(B157=0,0,$B$4*Catálogos!$Q$6))</f>
        <v>172.34482758620689</v>
      </c>
      <c r="H157" s="84">
        <f t="shared" si="20"/>
        <v>299</v>
      </c>
      <c r="I157" s="84">
        <f t="shared" si="21"/>
        <v>6188.7062144375495</v>
      </c>
      <c r="J157" s="87">
        <f t="shared" si="22"/>
        <v>6188.7062144375495</v>
      </c>
      <c r="K157" s="87"/>
      <c r="L157" s="87"/>
    </row>
    <row r="158" spans="1:12" x14ac:dyDescent="0.25">
      <c r="A158">
        <f t="shared" si="17"/>
        <v>152</v>
      </c>
      <c r="B158" s="87">
        <f t="shared" si="23"/>
        <v>353250.87314036861</v>
      </c>
      <c r="C158" s="87">
        <f t="shared" si="18"/>
        <v>2774.3072951980353</v>
      </c>
      <c r="D158" s="84">
        <f t="shared" si="19"/>
        <v>2729.451746464581</v>
      </c>
      <c r="E158" s="84">
        <f t="shared" si="16"/>
        <v>5503.7590416626163</v>
      </c>
      <c r="F158" s="84">
        <f>IF(A158="","",B158*Catálogos!$R$1)</f>
        <v>211.95052388422116</v>
      </c>
      <c r="G158" s="84">
        <f>IF(A158="","",IF(B158=0,0,$B$4*Catálogos!$Q$6))</f>
        <v>172.34482758620689</v>
      </c>
      <c r="H158" s="84">
        <f t="shared" si="20"/>
        <v>299</v>
      </c>
      <c r="I158" s="84">
        <f t="shared" si="21"/>
        <v>6187.054393133044</v>
      </c>
      <c r="J158" s="87">
        <f t="shared" si="22"/>
        <v>6187.054393133044</v>
      </c>
      <c r="K158" s="87"/>
      <c r="L158" s="87"/>
    </row>
    <row r="159" spans="1:12" x14ac:dyDescent="0.25">
      <c r="A159">
        <f t="shared" si="17"/>
        <v>153</v>
      </c>
      <c r="B159" s="87">
        <f t="shared" si="23"/>
        <v>350476.56584517058</v>
      </c>
      <c r="C159" s="87">
        <f t="shared" si="18"/>
        <v>2795.7434428989318</v>
      </c>
      <c r="D159" s="84">
        <f t="shared" si="19"/>
        <v>2708.0155987636845</v>
      </c>
      <c r="E159" s="84">
        <f t="shared" si="16"/>
        <v>5503.7590416626163</v>
      </c>
      <c r="F159" s="84">
        <f>IF(A159="","",B159*Catálogos!$R$1)</f>
        <v>210.28593950710234</v>
      </c>
      <c r="G159" s="84">
        <f>IF(A159="","",IF(B159=0,0,$B$4*Catálogos!$Q$6))</f>
        <v>172.34482758620689</v>
      </c>
      <c r="H159" s="84">
        <f t="shared" si="20"/>
        <v>299</v>
      </c>
      <c r="I159" s="84">
        <f t="shared" si="21"/>
        <v>6185.3898087559255</v>
      </c>
      <c r="J159" s="87">
        <f t="shared" si="22"/>
        <v>6185.3898087559255</v>
      </c>
      <c r="K159" s="87"/>
      <c r="L159" s="87"/>
    </row>
    <row r="160" spans="1:12" x14ac:dyDescent="0.25">
      <c r="A160">
        <f t="shared" si="17"/>
        <v>154</v>
      </c>
      <c r="B160" s="87">
        <f t="shared" si="23"/>
        <v>347680.82240227167</v>
      </c>
      <c r="C160" s="87">
        <f t="shared" si="18"/>
        <v>2817.3452205677308</v>
      </c>
      <c r="D160" s="84">
        <f t="shared" si="19"/>
        <v>2686.4138210948854</v>
      </c>
      <c r="E160" s="84">
        <f t="shared" si="16"/>
        <v>5503.7590416626163</v>
      </c>
      <c r="F160" s="84">
        <f>IF(A160="","",B160*Catálogos!$R$1)</f>
        <v>208.60849344136298</v>
      </c>
      <c r="G160" s="84">
        <f>IF(A160="","",IF(B160=0,0,$B$4*Catálogos!$Q$6))</f>
        <v>172.34482758620689</v>
      </c>
      <c r="H160" s="84">
        <f t="shared" si="20"/>
        <v>299</v>
      </c>
      <c r="I160" s="84">
        <f t="shared" si="21"/>
        <v>6183.7123626901857</v>
      </c>
      <c r="J160" s="87">
        <f t="shared" si="22"/>
        <v>6183.7123626901857</v>
      </c>
      <c r="K160" s="87"/>
      <c r="L160" s="87"/>
    </row>
    <row r="161" spans="1:12" x14ac:dyDescent="0.25">
      <c r="A161">
        <f t="shared" si="17"/>
        <v>155</v>
      </c>
      <c r="B161" s="87">
        <f t="shared" si="23"/>
        <v>344863.47718170396</v>
      </c>
      <c r="C161" s="87">
        <f t="shared" si="18"/>
        <v>2839.1139079719842</v>
      </c>
      <c r="D161" s="84">
        <f t="shared" si="19"/>
        <v>2664.6451336906321</v>
      </c>
      <c r="E161" s="84">
        <f t="shared" si="16"/>
        <v>5503.7590416626163</v>
      </c>
      <c r="F161" s="84">
        <f>IF(A161="","",B161*Catálogos!$R$1)</f>
        <v>206.91808630902236</v>
      </c>
      <c r="G161" s="84">
        <f>IF(A161="","",IF(B161=0,0,$B$4*Catálogos!$Q$6))</f>
        <v>172.34482758620689</v>
      </c>
      <c r="H161" s="84">
        <f t="shared" si="20"/>
        <v>299</v>
      </c>
      <c r="I161" s="84">
        <f t="shared" si="21"/>
        <v>6182.0219555578451</v>
      </c>
      <c r="J161" s="87">
        <f t="shared" si="22"/>
        <v>6182.0219555578451</v>
      </c>
      <c r="K161" s="87"/>
      <c r="L161" s="87"/>
    </row>
    <row r="162" spans="1:12" x14ac:dyDescent="0.25">
      <c r="A162">
        <f t="shared" si="17"/>
        <v>156</v>
      </c>
      <c r="B162" s="87">
        <f t="shared" si="23"/>
        <v>342024.36327373196</v>
      </c>
      <c r="C162" s="87">
        <f t="shared" si="18"/>
        <v>2861.050794767581</v>
      </c>
      <c r="D162" s="84">
        <f t="shared" si="19"/>
        <v>2642.7082468950352</v>
      </c>
      <c r="E162" s="84">
        <f t="shared" si="16"/>
        <v>5503.7590416626163</v>
      </c>
      <c r="F162" s="84">
        <f>IF(A162="","",B162*Catálogos!$R$1)</f>
        <v>205.21461796423915</v>
      </c>
      <c r="G162" s="84">
        <f>IF(A162="","",IF(B162=0,0,$B$4*Catálogos!$Q$6))</f>
        <v>172.34482758620689</v>
      </c>
      <c r="H162" s="84">
        <f t="shared" si="20"/>
        <v>299</v>
      </c>
      <c r="I162" s="84">
        <f t="shared" si="21"/>
        <v>6180.3184872130623</v>
      </c>
      <c r="J162" s="87">
        <f t="shared" si="22"/>
        <v>6180.3184872130623</v>
      </c>
      <c r="K162" s="87"/>
      <c r="L162" s="87"/>
    </row>
    <row r="163" spans="1:12" x14ac:dyDescent="0.25">
      <c r="A163">
        <f t="shared" si="17"/>
        <v>157</v>
      </c>
      <c r="B163" s="87">
        <f t="shared" si="23"/>
        <v>339163.31247896439</v>
      </c>
      <c r="C163" s="87">
        <f t="shared" si="18"/>
        <v>2883.1571805751519</v>
      </c>
      <c r="D163" s="84">
        <f t="shared" si="19"/>
        <v>2620.6018610874644</v>
      </c>
      <c r="E163" s="84">
        <f t="shared" si="16"/>
        <v>5503.7590416626163</v>
      </c>
      <c r="F163" s="84">
        <f>IF(A163="","",B163*Catálogos!$R$1)</f>
        <v>203.49798748737862</v>
      </c>
      <c r="G163" s="84">
        <f>IF(A163="","",IF(B163=0,0,$B$4*Catálogos!$Q$6))</f>
        <v>172.34482758620689</v>
      </c>
      <c r="H163" s="84">
        <f t="shared" si="20"/>
        <v>299</v>
      </c>
      <c r="I163" s="84">
        <f t="shared" si="21"/>
        <v>6178.6018567362016</v>
      </c>
      <c r="J163" s="87">
        <f t="shared" si="22"/>
        <v>6178.6018567362016</v>
      </c>
      <c r="K163" s="87"/>
      <c r="L163" s="87"/>
    </row>
    <row r="164" spans="1:12" x14ac:dyDescent="0.25">
      <c r="A164">
        <f t="shared" si="17"/>
        <v>158</v>
      </c>
      <c r="B164" s="87">
        <f t="shared" si="23"/>
        <v>336280.15529838926</v>
      </c>
      <c r="C164" s="87">
        <f t="shared" si="18"/>
        <v>2905.4343750570624</v>
      </c>
      <c r="D164" s="84">
        <f t="shared" si="19"/>
        <v>2598.3246666055538</v>
      </c>
      <c r="E164" s="84">
        <f t="shared" si="16"/>
        <v>5503.7590416626163</v>
      </c>
      <c r="F164" s="84">
        <f>IF(A164="","",B164*Catálogos!$R$1)</f>
        <v>201.76809317903354</v>
      </c>
      <c r="G164" s="84">
        <f>IF(A164="","",IF(B164=0,0,$B$4*Catálogos!$Q$6))</f>
        <v>172.34482758620689</v>
      </c>
      <c r="H164" s="84">
        <f t="shared" si="20"/>
        <v>299</v>
      </c>
      <c r="I164" s="84">
        <f t="shared" si="21"/>
        <v>6176.8719624278565</v>
      </c>
      <c r="J164" s="87">
        <f t="shared" si="22"/>
        <v>6176.8719624278565</v>
      </c>
      <c r="K164" s="87"/>
      <c r="L164" s="87"/>
    </row>
    <row r="165" spans="1:12" x14ac:dyDescent="0.25">
      <c r="A165">
        <f t="shared" si="17"/>
        <v>159</v>
      </c>
      <c r="B165" s="87">
        <f t="shared" si="23"/>
        <v>333374.72092333221</v>
      </c>
      <c r="C165" s="87">
        <f t="shared" si="18"/>
        <v>2927.8836979950033</v>
      </c>
      <c r="D165" s="84">
        <f t="shared" si="19"/>
        <v>2575.8753436676129</v>
      </c>
      <c r="E165" s="84">
        <f t="shared" si="16"/>
        <v>5503.7590416626163</v>
      </c>
      <c r="F165" s="84">
        <f>IF(A165="","",B165*Catálogos!$R$1)</f>
        <v>200.02483255399932</v>
      </c>
      <c r="G165" s="84">
        <f>IF(A165="","",IF(B165=0,0,$B$4*Catálogos!$Q$6))</f>
        <v>172.34482758620689</v>
      </c>
      <c r="H165" s="84">
        <f t="shared" si="20"/>
        <v>299</v>
      </c>
      <c r="I165" s="84">
        <f t="shared" si="21"/>
        <v>6175.1287018028224</v>
      </c>
      <c r="J165" s="87">
        <f t="shared" si="22"/>
        <v>6175.1287018028224</v>
      </c>
      <c r="K165" s="87"/>
      <c r="L165" s="87"/>
    </row>
    <row r="166" spans="1:12" x14ac:dyDescent="0.25">
      <c r="A166">
        <f t="shared" si="17"/>
        <v>160</v>
      </c>
      <c r="B166" s="87">
        <f t="shared" si="23"/>
        <v>330446.83722533722</v>
      </c>
      <c r="C166" s="87">
        <f t="shared" si="18"/>
        <v>2950.5064793681777</v>
      </c>
      <c r="D166" s="84">
        <f t="shared" si="19"/>
        <v>2553.2525622944386</v>
      </c>
      <c r="E166" s="84">
        <f t="shared" si="16"/>
        <v>5503.7590416626163</v>
      </c>
      <c r="F166" s="84">
        <f>IF(A166="","",B166*Catálogos!$R$1)</f>
        <v>198.26810233520231</v>
      </c>
      <c r="G166" s="84">
        <f>IF(A166="","",IF(B166=0,0,$B$4*Catálogos!$Q$6))</f>
        <v>172.34482758620689</v>
      </c>
      <c r="H166" s="84">
        <f t="shared" si="20"/>
        <v>299</v>
      </c>
      <c r="I166" s="84">
        <f t="shared" si="21"/>
        <v>6173.3719715840252</v>
      </c>
      <c r="J166" s="87">
        <f t="shared" si="22"/>
        <v>6173.3719715840252</v>
      </c>
      <c r="K166" s="87"/>
      <c r="L166" s="87"/>
    </row>
    <row r="167" spans="1:12" x14ac:dyDescent="0.25">
      <c r="A167">
        <f t="shared" si="17"/>
        <v>161</v>
      </c>
      <c r="B167" s="87">
        <f t="shared" si="23"/>
        <v>327496.33074596903</v>
      </c>
      <c r="C167" s="87">
        <f t="shared" si="18"/>
        <v>2973.304059432096</v>
      </c>
      <c r="D167" s="84">
        <f t="shared" si="19"/>
        <v>2530.4549822305203</v>
      </c>
      <c r="E167" s="84">
        <f t="shared" si="16"/>
        <v>5503.7590416626163</v>
      </c>
      <c r="F167" s="84">
        <f>IF(A167="","",B167*Catálogos!$R$1)</f>
        <v>196.4977984475814</v>
      </c>
      <c r="G167" s="84">
        <f>IF(A167="","",IF(B167=0,0,$B$4*Catálogos!$Q$6))</f>
        <v>172.34482758620689</v>
      </c>
      <c r="H167" s="84">
        <f t="shared" si="20"/>
        <v>299</v>
      </c>
      <c r="I167" s="84">
        <f t="shared" si="21"/>
        <v>6171.6016676964045</v>
      </c>
      <c r="J167" s="87">
        <f t="shared" si="22"/>
        <v>6171.6016676964045</v>
      </c>
      <c r="K167" s="87"/>
      <c r="L167" s="87"/>
    </row>
    <row r="168" spans="1:12" x14ac:dyDescent="0.25">
      <c r="A168">
        <f t="shared" si="17"/>
        <v>162</v>
      </c>
      <c r="B168" s="87">
        <f t="shared" si="23"/>
        <v>324523.0266865369</v>
      </c>
      <c r="C168" s="87">
        <f t="shared" si="18"/>
        <v>2996.2777887979746</v>
      </c>
      <c r="D168" s="84">
        <f t="shared" si="19"/>
        <v>2507.4812528646416</v>
      </c>
      <c r="E168" s="84">
        <f t="shared" si="16"/>
        <v>5503.7590416626163</v>
      </c>
      <c r="F168" s="84">
        <f>IF(A168="","",B168*Catálogos!$R$1)</f>
        <v>194.71381601192212</v>
      </c>
      <c r="G168" s="84">
        <f>IF(A168="","",IF(B168=0,0,$B$4*Catálogos!$Q$6))</f>
        <v>172.34482758620689</v>
      </c>
      <c r="H168" s="84">
        <f t="shared" si="20"/>
        <v>299</v>
      </c>
      <c r="I168" s="84">
        <f t="shared" si="21"/>
        <v>6169.8176852607448</v>
      </c>
      <c r="J168" s="87">
        <f t="shared" si="22"/>
        <v>6169.8176852607448</v>
      </c>
      <c r="K168" s="87"/>
      <c r="L168" s="87"/>
    </row>
    <row r="169" spans="1:12" x14ac:dyDescent="0.25">
      <c r="A169">
        <f t="shared" si="17"/>
        <v>163</v>
      </c>
      <c r="B169" s="87">
        <f t="shared" si="23"/>
        <v>321526.74889773893</v>
      </c>
      <c r="C169" s="87">
        <f t="shared" si="18"/>
        <v>3019.429028512754</v>
      </c>
      <c r="D169" s="84">
        <f t="shared" si="19"/>
        <v>2484.3300131498622</v>
      </c>
      <c r="E169" s="84">
        <f t="shared" si="16"/>
        <v>5503.7590416626163</v>
      </c>
      <c r="F169" s="84">
        <f>IF(A169="","",B169*Catálogos!$R$1)</f>
        <v>192.91604933864335</v>
      </c>
      <c r="G169" s="84">
        <f>IF(A169="","",IF(B169=0,0,$B$4*Catálogos!$Q$6))</f>
        <v>172.34482758620689</v>
      </c>
      <c r="H169" s="84">
        <f t="shared" si="20"/>
        <v>299</v>
      </c>
      <c r="I169" s="84">
        <f t="shared" si="21"/>
        <v>6168.0199185874662</v>
      </c>
      <c r="J169" s="87">
        <f t="shared" si="22"/>
        <v>6168.0199185874662</v>
      </c>
      <c r="K169" s="87"/>
      <c r="L169" s="87"/>
    </row>
    <row r="170" spans="1:12" x14ac:dyDescent="0.25">
      <c r="A170">
        <f t="shared" si="17"/>
        <v>164</v>
      </c>
      <c r="B170" s="87">
        <f t="shared" si="23"/>
        <v>318507.31986922619</v>
      </c>
      <c r="C170" s="87">
        <f t="shared" si="18"/>
        <v>3042.7591501397287</v>
      </c>
      <c r="D170" s="84">
        <f t="shared" si="19"/>
        <v>2460.9998915228875</v>
      </c>
      <c r="E170" s="84">
        <f t="shared" si="16"/>
        <v>5503.7590416626163</v>
      </c>
      <c r="F170" s="84">
        <f>IF(A170="","",B170*Catálogos!$R$1)</f>
        <v>191.10439192153569</v>
      </c>
      <c r="G170" s="84">
        <f>IF(A170="","",IF(B170=0,0,$B$4*Catálogos!$Q$6))</f>
        <v>172.34482758620689</v>
      </c>
      <c r="H170" s="84">
        <f t="shared" si="20"/>
        <v>299</v>
      </c>
      <c r="I170" s="84">
        <f t="shared" si="21"/>
        <v>6166.2082611703581</v>
      </c>
      <c r="J170" s="87">
        <f t="shared" si="22"/>
        <v>6166.2082611703581</v>
      </c>
      <c r="K170" s="87"/>
      <c r="L170" s="87"/>
    </row>
    <row r="171" spans="1:12" x14ac:dyDescent="0.25">
      <c r="A171">
        <f t="shared" si="17"/>
        <v>165</v>
      </c>
      <c r="B171" s="87">
        <f t="shared" si="23"/>
        <v>315464.56071908644</v>
      </c>
      <c r="C171" s="87">
        <f t="shared" si="18"/>
        <v>3066.2695358398087</v>
      </c>
      <c r="D171" s="84">
        <f t="shared" si="19"/>
        <v>2437.4895058228076</v>
      </c>
      <c r="E171" s="84">
        <f t="shared" si="16"/>
        <v>5503.7590416626163</v>
      </c>
      <c r="F171" s="84">
        <f>IF(A171="","",B171*Catálogos!$R$1)</f>
        <v>189.27873643145185</v>
      </c>
      <c r="G171" s="84">
        <f>IF(A171="","",IF(B171=0,0,$B$4*Catálogos!$Q$6))</f>
        <v>172.34482758620689</v>
      </c>
      <c r="H171" s="84">
        <f t="shared" si="20"/>
        <v>299</v>
      </c>
      <c r="I171" s="84">
        <f t="shared" si="21"/>
        <v>6164.3826056802745</v>
      </c>
      <c r="J171" s="87">
        <f t="shared" si="22"/>
        <v>6164.3826056802745</v>
      </c>
      <c r="K171" s="87"/>
      <c r="L171" s="87"/>
    </row>
    <row r="172" spans="1:12" x14ac:dyDescent="0.25">
      <c r="A172">
        <f t="shared" si="17"/>
        <v>166</v>
      </c>
      <c r="B172" s="87">
        <f t="shared" si="23"/>
        <v>312398.29118324665</v>
      </c>
      <c r="C172" s="87">
        <f t="shared" si="18"/>
        <v>3089.9615784533976</v>
      </c>
      <c r="D172" s="84">
        <f t="shared" si="19"/>
        <v>2413.7974632092187</v>
      </c>
      <c r="E172" s="84">
        <f t="shared" si="16"/>
        <v>5503.7590416626163</v>
      </c>
      <c r="F172" s="84">
        <f>IF(A172="","",B172*Catálogos!$R$1)</f>
        <v>187.43897470994798</v>
      </c>
      <c r="G172" s="84">
        <f>IF(A172="","",IF(B172=0,0,$B$4*Catálogos!$Q$6))</f>
        <v>172.34482758620689</v>
      </c>
      <c r="H172" s="84">
        <f t="shared" si="20"/>
        <v>299</v>
      </c>
      <c r="I172" s="84">
        <f t="shared" si="21"/>
        <v>6162.5428439587704</v>
      </c>
      <c r="J172" s="87">
        <f t="shared" si="22"/>
        <v>6162.5428439587704</v>
      </c>
      <c r="K172" s="87"/>
      <c r="L172" s="87"/>
    </row>
    <row r="173" spans="1:12" x14ac:dyDescent="0.25">
      <c r="A173">
        <f t="shared" si="17"/>
        <v>167</v>
      </c>
      <c r="B173" s="87">
        <f t="shared" si="23"/>
        <v>309308.32960479322</v>
      </c>
      <c r="C173" s="87">
        <f t="shared" si="18"/>
        <v>3113.8366815829145</v>
      </c>
      <c r="D173" s="84">
        <f t="shared" si="19"/>
        <v>2389.9223600797018</v>
      </c>
      <c r="E173" s="84">
        <f t="shared" si="16"/>
        <v>5503.7590416626163</v>
      </c>
      <c r="F173" s="84">
        <f>IF(A173="","",B173*Catálogos!$R$1)</f>
        <v>185.58499776287593</v>
      </c>
      <c r="G173" s="84">
        <f>IF(A173="","",IF(B173=0,0,$B$4*Catálogos!$Q$6))</f>
        <v>172.34482758620689</v>
      </c>
      <c r="H173" s="84">
        <f t="shared" si="20"/>
        <v>299</v>
      </c>
      <c r="I173" s="84">
        <f t="shared" si="21"/>
        <v>6160.6888670116987</v>
      </c>
      <c r="J173" s="87">
        <f t="shared" si="22"/>
        <v>6160.6888670116987</v>
      </c>
      <c r="K173" s="87"/>
      <c r="L173" s="87"/>
    </row>
    <row r="174" spans="1:12" x14ac:dyDescent="0.25">
      <c r="A174">
        <f t="shared" si="17"/>
        <v>168</v>
      </c>
      <c r="B174" s="87">
        <f t="shared" si="23"/>
        <v>306194.49292321032</v>
      </c>
      <c r="C174" s="87">
        <f t="shared" si="18"/>
        <v>3137.8962596759447</v>
      </c>
      <c r="D174" s="84">
        <f t="shared" si="19"/>
        <v>2365.8627819866715</v>
      </c>
      <c r="E174" s="84">
        <f t="shared" si="16"/>
        <v>5503.7590416626163</v>
      </c>
      <c r="F174" s="84">
        <f>IF(A174="","",B174*Catálogos!$R$1)</f>
        <v>183.71669575392616</v>
      </c>
      <c r="G174" s="84">
        <f>IF(A174="","",IF(B174=0,0,$B$4*Catálogos!$Q$6))</f>
        <v>172.34482758620689</v>
      </c>
      <c r="H174" s="84">
        <f t="shared" si="20"/>
        <v>299</v>
      </c>
      <c r="I174" s="84">
        <f t="shared" si="21"/>
        <v>6158.8205650027485</v>
      </c>
      <c r="J174" s="87">
        <f t="shared" si="22"/>
        <v>6158.8205650027485</v>
      </c>
      <c r="K174" s="87"/>
      <c r="L174" s="87"/>
    </row>
    <row r="175" spans="1:12" x14ac:dyDescent="0.25">
      <c r="A175">
        <f t="shared" si="17"/>
        <v>169</v>
      </c>
      <c r="B175" s="87">
        <f t="shared" si="23"/>
        <v>303056.59666353435</v>
      </c>
      <c r="C175" s="87">
        <f t="shared" si="18"/>
        <v>3162.1417381090414</v>
      </c>
      <c r="D175" s="84">
        <f t="shared" si="19"/>
        <v>2341.6173035535749</v>
      </c>
      <c r="E175" s="84">
        <f t="shared" si="16"/>
        <v>5503.7590416626163</v>
      </c>
      <c r="F175" s="84">
        <f>IF(A175="","",B175*Catálogos!$R$1)</f>
        <v>181.83395799812058</v>
      </c>
      <c r="G175" s="84">
        <f>IF(A175="","",IF(B175=0,0,$B$4*Catálogos!$Q$6))</f>
        <v>172.34482758620689</v>
      </c>
      <c r="H175" s="84">
        <f t="shared" si="20"/>
        <v>299</v>
      </c>
      <c r="I175" s="84">
        <f t="shared" si="21"/>
        <v>6156.937827246943</v>
      </c>
      <c r="J175" s="87">
        <f t="shared" si="22"/>
        <v>6156.937827246943</v>
      </c>
      <c r="K175" s="87"/>
      <c r="L175" s="87"/>
    </row>
    <row r="176" spans="1:12" x14ac:dyDescent="0.25">
      <c r="A176">
        <f t="shared" si="17"/>
        <v>170</v>
      </c>
      <c r="B176" s="87">
        <f t="shared" si="23"/>
        <v>299894.45492542529</v>
      </c>
      <c r="C176" s="87">
        <f t="shared" si="18"/>
        <v>3186.5745532721639</v>
      </c>
      <c r="D176" s="84">
        <f t="shared" si="19"/>
        <v>2317.1844883904523</v>
      </c>
      <c r="E176" s="84">
        <f t="shared" si="16"/>
        <v>5503.7590416626163</v>
      </c>
      <c r="F176" s="84">
        <f>IF(A176="","",B176*Catálogos!$R$1)</f>
        <v>179.93667295525515</v>
      </c>
      <c r="G176" s="84">
        <f>IF(A176="","",IF(B176=0,0,$B$4*Catálogos!$Q$6))</f>
        <v>172.34482758620689</v>
      </c>
      <c r="H176" s="84">
        <f t="shared" si="20"/>
        <v>299</v>
      </c>
      <c r="I176" s="84">
        <f t="shared" si="21"/>
        <v>6155.0405422040776</v>
      </c>
      <c r="J176" s="87">
        <f t="shared" si="22"/>
        <v>6155.0405422040776</v>
      </c>
      <c r="K176" s="87"/>
      <c r="L176" s="87"/>
    </row>
    <row r="177" spans="1:12" x14ac:dyDescent="0.25">
      <c r="A177">
        <f t="shared" si="17"/>
        <v>171</v>
      </c>
      <c r="B177" s="87">
        <f t="shared" si="23"/>
        <v>296707.88037215313</v>
      </c>
      <c r="C177" s="87">
        <f t="shared" si="18"/>
        <v>3211.1961526537802</v>
      </c>
      <c r="D177" s="84">
        <f t="shared" si="19"/>
        <v>2292.562889008836</v>
      </c>
      <c r="E177" s="84">
        <f t="shared" si="16"/>
        <v>5503.7590416626163</v>
      </c>
      <c r="F177" s="84">
        <f>IF(A177="","",B177*Catálogos!$R$1)</f>
        <v>178.02472822329187</v>
      </c>
      <c r="G177" s="84">
        <f>IF(A177="","",IF(B177=0,0,$B$4*Catálogos!$Q$6))</f>
        <v>172.34482758620689</v>
      </c>
      <c r="H177" s="84">
        <f t="shared" si="20"/>
        <v>299</v>
      </c>
      <c r="I177" s="84">
        <f t="shared" si="21"/>
        <v>6153.128597472115</v>
      </c>
      <c r="J177" s="87">
        <f t="shared" si="22"/>
        <v>6153.128597472115</v>
      </c>
      <c r="K177" s="87"/>
      <c r="L177" s="87"/>
    </row>
    <row r="178" spans="1:12" x14ac:dyDescent="0.25">
      <c r="A178">
        <f t="shared" si="17"/>
        <v>172</v>
      </c>
      <c r="B178" s="87">
        <f t="shared" si="23"/>
        <v>293496.68421949935</v>
      </c>
      <c r="C178" s="87">
        <f t="shared" si="18"/>
        <v>3236.0079949266183</v>
      </c>
      <c r="D178" s="84">
        <f t="shared" si="19"/>
        <v>2267.751046735998</v>
      </c>
      <c r="E178" s="84">
        <f t="shared" si="16"/>
        <v>5503.7590416626163</v>
      </c>
      <c r="F178" s="84">
        <f>IF(A178="","",B178*Catálogos!$R$1)</f>
        <v>176.0980105316996</v>
      </c>
      <c r="G178" s="84">
        <f>IF(A178="","",IF(B178=0,0,$B$4*Catálogos!$Q$6))</f>
        <v>172.34482758620689</v>
      </c>
      <c r="H178" s="84">
        <f t="shared" si="20"/>
        <v>299</v>
      </c>
      <c r="I178" s="84">
        <f t="shared" si="21"/>
        <v>6151.2018797805222</v>
      </c>
      <c r="J178" s="87">
        <f t="shared" si="22"/>
        <v>6151.2018797805222</v>
      </c>
      <c r="K178" s="87"/>
      <c r="L178" s="87"/>
    </row>
    <row r="179" spans="1:12" x14ac:dyDescent="0.25">
      <c r="A179">
        <f t="shared" si="17"/>
        <v>173</v>
      </c>
      <c r="B179" s="87">
        <f t="shared" si="23"/>
        <v>290260.67622457276</v>
      </c>
      <c r="C179" s="87">
        <f t="shared" si="18"/>
        <v>3261.0115500340844</v>
      </c>
      <c r="D179" s="84">
        <f t="shared" si="19"/>
        <v>2242.7474916285319</v>
      </c>
      <c r="E179" s="84">
        <f t="shared" si="16"/>
        <v>5503.7590416626163</v>
      </c>
      <c r="F179" s="84">
        <f>IF(A179="","",B179*Catálogos!$R$1)</f>
        <v>174.15640573474363</v>
      </c>
      <c r="G179" s="84">
        <f>IF(A179="","",IF(B179=0,0,$B$4*Catálogos!$Q$6))</f>
        <v>172.34482758620689</v>
      </c>
      <c r="H179" s="84">
        <f t="shared" si="20"/>
        <v>299</v>
      </c>
      <c r="I179" s="84">
        <f t="shared" si="21"/>
        <v>6149.260274983566</v>
      </c>
      <c r="J179" s="87">
        <f t="shared" si="22"/>
        <v>6149.260274983566</v>
      </c>
      <c r="K179" s="87"/>
      <c r="L179" s="87"/>
    </row>
    <row r="180" spans="1:12" x14ac:dyDescent="0.25">
      <c r="A180">
        <f t="shared" si="17"/>
        <v>174</v>
      </c>
      <c r="B180" s="87">
        <f t="shared" si="23"/>
        <v>286999.66467453865</v>
      </c>
      <c r="C180" s="87">
        <f t="shared" si="18"/>
        <v>3286.208299277348</v>
      </c>
      <c r="D180" s="84">
        <f t="shared" si="19"/>
        <v>2217.5507423852682</v>
      </c>
      <c r="E180" s="84">
        <f t="shared" si="16"/>
        <v>5503.7590416626163</v>
      </c>
      <c r="F180" s="84">
        <f>IF(A180="","",B180*Catálogos!$R$1)</f>
        <v>172.19979880472317</v>
      </c>
      <c r="G180" s="84">
        <f>IF(A180="","",IF(B180=0,0,$B$4*Catálogos!$Q$6))</f>
        <v>172.34482758620689</v>
      </c>
      <c r="H180" s="84">
        <f t="shared" si="20"/>
        <v>299</v>
      </c>
      <c r="I180" s="84">
        <f t="shared" si="21"/>
        <v>6147.3036680535461</v>
      </c>
      <c r="J180" s="87">
        <f t="shared" si="22"/>
        <v>6147.3036680535461</v>
      </c>
      <c r="K180" s="87"/>
      <c r="L180" s="87"/>
    </row>
    <row r="181" spans="1:12" x14ac:dyDescent="0.25">
      <c r="A181">
        <f t="shared" si="17"/>
        <v>175</v>
      </c>
      <c r="B181" s="87">
        <f t="shared" si="23"/>
        <v>283713.4563752613</v>
      </c>
      <c r="C181" s="87">
        <f t="shared" si="18"/>
        <v>3311.5997354030974</v>
      </c>
      <c r="D181" s="84">
        <f t="shared" si="19"/>
        <v>2192.1593062595189</v>
      </c>
      <c r="E181" s="84">
        <f t="shared" si="16"/>
        <v>5503.7590416626163</v>
      </c>
      <c r="F181" s="84">
        <f>IF(A181="","",B181*Catálogos!$R$1)</f>
        <v>170.22807382515677</v>
      </c>
      <c r="G181" s="84">
        <f>IF(A181="","",IF(B181=0,0,$B$4*Catálogos!$Q$6))</f>
        <v>172.34482758620689</v>
      </c>
      <c r="H181" s="84">
        <f t="shared" si="20"/>
        <v>299</v>
      </c>
      <c r="I181" s="84">
        <f t="shared" si="21"/>
        <v>6145.3319430739793</v>
      </c>
      <c r="J181" s="87">
        <f t="shared" si="22"/>
        <v>6145.3319430739793</v>
      </c>
      <c r="K181" s="87"/>
      <c r="L181" s="87"/>
    </row>
    <row r="182" spans="1:12" x14ac:dyDescent="0.25">
      <c r="A182">
        <f t="shared" si="17"/>
        <v>176</v>
      </c>
      <c r="B182" s="87">
        <f t="shared" si="23"/>
        <v>280401.85663985822</v>
      </c>
      <c r="C182" s="87">
        <f t="shared" si="18"/>
        <v>3337.1873626919787</v>
      </c>
      <c r="D182" s="84">
        <f t="shared" si="19"/>
        <v>2166.5716789706375</v>
      </c>
      <c r="E182" s="84">
        <f t="shared" si="16"/>
        <v>5503.7590416626163</v>
      </c>
      <c r="F182" s="84">
        <f>IF(A182="","",B182*Catálogos!$R$1)</f>
        <v>168.24111398391491</v>
      </c>
      <c r="G182" s="84">
        <f>IF(A182="","",IF(B182=0,0,$B$4*Catálogos!$Q$6))</f>
        <v>172.34482758620689</v>
      </c>
      <c r="H182" s="84">
        <f t="shared" si="20"/>
        <v>299</v>
      </c>
      <c r="I182" s="84">
        <f t="shared" si="21"/>
        <v>6143.3449832327378</v>
      </c>
      <c r="J182" s="87">
        <f t="shared" si="22"/>
        <v>6143.3449832327378</v>
      </c>
      <c r="K182" s="87"/>
      <c r="L182" s="87"/>
    </row>
    <row r="183" spans="1:12" x14ac:dyDescent="0.25">
      <c r="A183">
        <f t="shared" si="17"/>
        <v>177</v>
      </c>
      <c r="B183" s="87">
        <f t="shared" si="23"/>
        <v>277064.66927716625</v>
      </c>
      <c r="C183" s="87">
        <f t="shared" si="18"/>
        <v>3362.9726970477118</v>
      </c>
      <c r="D183" s="84">
        <f t="shared" si="19"/>
        <v>2140.7863446149045</v>
      </c>
      <c r="E183" s="84">
        <f t="shared" si="16"/>
        <v>5503.7590416626163</v>
      </c>
      <c r="F183" s="84">
        <f>IF(A183="","",B183*Catálogos!$R$1)</f>
        <v>166.23880156629974</v>
      </c>
      <c r="G183" s="84">
        <f>IF(A183="","",IF(B183=0,0,$B$4*Catálogos!$Q$6))</f>
        <v>172.34482758620689</v>
      </c>
      <c r="H183" s="84">
        <f t="shared" si="20"/>
        <v>299</v>
      </c>
      <c r="I183" s="84">
        <f t="shared" si="21"/>
        <v>6141.3426708151228</v>
      </c>
      <c r="J183" s="87">
        <f t="shared" si="22"/>
        <v>6141.3426708151228</v>
      </c>
      <c r="K183" s="87"/>
      <c r="L183" s="87"/>
    </row>
    <row r="184" spans="1:12" x14ac:dyDescent="0.25">
      <c r="A184">
        <f t="shared" si="17"/>
        <v>178</v>
      </c>
      <c r="B184" s="87">
        <f t="shared" si="23"/>
        <v>273701.69658011856</v>
      </c>
      <c r="C184" s="87">
        <f t="shared" si="18"/>
        <v>3388.9572660869003</v>
      </c>
      <c r="D184" s="84">
        <f t="shared" si="19"/>
        <v>2114.801775575716</v>
      </c>
      <c r="E184" s="84">
        <f t="shared" si="16"/>
        <v>5503.7590416626163</v>
      </c>
      <c r="F184" s="84">
        <f>IF(A184="","",B184*Catálogos!$R$1)</f>
        <v>164.22101794807111</v>
      </c>
      <c r="G184" s="84">
        <f>IF(A184="","",IF(B184=0,0,$B$4*Catálogos!$Q$6))</f>
        <v>172.34482758620689</v>
      </c>
      <c r="H184" s="84">
        <f t="shared" si="20"/>
        <v>299</v>
      </c>
      <c r="I184" s="84">
        <f t="shared" si="21"/>
        <v>6139.3248871968935</v>
      </c>
      <c r="J184" s="87">
        <f t="shared" si="22"/>
        <v>6139.3248871968935</v>
      </c>
      <c r="K184" s="87"/>
      <c r="L184" s="87"/>
    </row>
    <row r="185" spans="1:12" x14ac:dyDescent="0.25">
      <c r="A185">
        <f t="shared" si="17"/>
        <v>179</v>
      </c>
      <c r="B185" s="87">
        <f t="shared" si="23"/>
        <v>270312.73931403167</v>
      </c>
      <c r="C185" s="87">
        <f t="shared" si="18"/>
        <v>3415.1426092295319</v>
      </c>
      <c r="D185" s="84">
        <f t="shared" si="19"/>
        <v>2088.6164324330844</v>
      </c>
      <c r="E185" s="84">
        <f t="shared" si="16"/>
        <v>5503.7590416626163</v>
      </c>
      <c r="F185" s="84">
        <f>IF(A185="","",B185*Catálogos!$R$1)</f>
        <v>162.18764358841898</v>
      </c>
      <c r="G185" s="84">
        <f>IF(A185="","",IF(B185=0,0,$B$4*Catálogos!$Q$6))</f>
        <v>172.34482758620689</v>
      </c>
      <c r="H185" s="84">
        <f t="shared" si="20"/>
        <v>299</v>
      </c>
      <c r="I185" s="84">
        <f t="shared" si="21"/>
        <v>6137.2915128372415</v>
      </c>
      <c r="J185" s="87">
        <f t="shared" si="22"/>
        <v>6137.2915128372415</v>
      </c>
      <c r="K185" s="87"/>
      <c r="L185" s="87"/>
    </row>
    <row r="186" spans="1:12" x14ac:dyDescent="0.25">
      <c r="A186">
        <f t="shared" si="17"/>
        <v>180</v>
      </c>
      <c r="B186" s="87">
        <f t="shared" si="23"/>
        <v>266897.59670480213</v>
      </c>
      <c r="C186" s="87">
        <f t="shared" si="18"/>
        <v>3441.5302777901788</v>
      </c>
      <c r="D186" s="84">
        <f t="shared" si="19"/>
        <v>2062.2287638724374</v>
      </c>
      <c r="E186" s="84">
        <f t="shared" si="16"/>
        <v>5503.7590416626163</v>
      </c>
      <c r="F186" s="84">
        <f>IF(A186="","",B186*Catálogos!$R$1)</f>
        <v>160.13855802288126</v>
      </c>
      <c r="G186" s="84">
        <f>IF(A186="","",IF(B186=0,0,$B$4*Catálogos!$Q$6))</f>
        <v>172.34482758620689</v>
      </c>
      <c r="H186" s="84">
        <f t="shared" si="20"/>
        <v>299</v>
      </c>
      <c r="I186" s="84">
        <f t="shared" si="21"/>
        <v>6135.2424272717044</v>
      </c>
      <c r="J186" s="87">
        <f t="shared" si="22"/>
        <v>6135.2424272717044</v>
      </c>
      <c r="K186" s="87"/>
      <c r="L186" s="87"/>
    </row>
    <row r="187" spans="1:12" x14ac:dyDescent="0.25">
      <c r="A187">
        <f t="shared" si="17"/>
        <v>181</v>
      </c>
      <c r="B187" s="87">
        <f t="shared" si="23"/>
        <v>263456.06642701197</v>
      </c>
      <c r="C187" s="87">
        <f t="shared" si="18"/>
        <v>3468.1218350699041</v>
      </c>
      <c r="D187" s="84">
        <f t="shared" si="19"/>
        <v>2035.6372065927121</v>
      </c>
      <c r="E187" s="84">
        <f t="shared" si="16"/>
        <v>5503.7590416626163</v>
      </c>
      <c r="F187" s="84">
        <f>IF(A187="","",B187*Catálogos!$R$1)</f>
        <v>158.07363985620717</v>
      </c>
      <c r="G187" s="84">
        <f>IF(A187="","",IF(B187=0,0,$B$4*Catálogos!$Q$6))</f>
        <v>172.34482758620689</v>
      </c>
      <c r="H187" s="84">
        <f t="shared" si="20"/>
        <v>299</v>
      </c>
      <c r="I187" s="84">
        <f t="shared" si="21"/>
        <v>6133.1775091050304</v>
      </c>
      <c r="J187" s="87">
        <f t="shared" si="22"/>
        <v>6133.1775091050304</v>
      </c>
      <c r="K187" s="87"/>
      <c r="L187" s="87"/>
    </row>
    <row r="188" spans="1:12" x14ac:dyDescent="0.25">
      <c r="A188">
        <f t="shared" si="17"/>
        <v>182</v>
      </c>
      <c r="B188" s="87">
        <f t="shared" si="23"/>
        <v>259987.94459194207</v>
      </c>
      <c r="C188" s="87">
        <f t="shared" si="18"/>
        <v>3494.9188564488777</v>
      </c>
      <c r="D188" s="84">
        <f t="shared" si="19"/>
        <v>2008.8401852137388</v>
      </c>
      <c r="E188" s="84">
        <f t="shared" si="16"/>
        <v>5503.7590416626163</v>
      </c>
      <c r="F188" s="84">
        <f>IF(A188="","",B188*Catálogos!$R$1)</f>
        <v>155.99276675516523</v>
      </c>
      <c r="G188" s="84">
        <f>IF(A188="","",IF(B188=0,0,$B$4*Catálogos!$Q$6))</f>
        <v>172.34482758620689</v>
      </c>
      <c r="H188" s="84">
        <f t="shared" si="20"/>
        <v>299</v>
      </c>
      <c r="I188" s="84">
        <f t="shared" si="21"/>
        <v>6131.0966360039884</v>
      </c>
      <c r="J188" s="87">
        <f t="shared" si="22"/>
        <v>6131.0966360039884</v>
      </c>
      <c r="K188" s="87"/>
      <c r="L188" s="87"/>
    </row>
    <row r="189" spans="1:12" x14ac:dyDescent="0.25">
      <c r="A189">
        <f t="shared" si="17"/>
        <v>183</v>
      </c>
      <c r="B189" s="87">
        <f t="shared" si="23"/>
        <v>256493.0257354932</v>
      </c>
      <c r="C189" s="87">
        <f t="shared" si="18"/>
        <v>3521.922929479706</v>
      </c>
      <c r="D189" s="84">
        <f t="shared" si="19"/>
        <v>1981.8361121829105</v>
      </c>
      <c r="E189" s="84">
        <f t="shared" si="16"/>
        <v>5503.7590416626163</v>
      </c>
      <c r="F189" s="84">
        <f>IF(A189="","",B189*Catálogos!$R$1)</f>
        <v>153.89581544129589</v>
      </c>
      <c r="G189" s="84">
        <f>IF(A189="","",IF(B189=0,0,$B$4*Catálogos!$Q$6))</f>
        <v>172.34482758620689</v>
      </c>
      <c r="H189" s="84">
        <f t="shared" si="20"/>
        <v>299</v>
      </c>
      <c r="I189" s="84">
        <f t="shared" si="21"/>
        <v>6128.9996846901186</v>
      </c>
      <c r="J189" s="87">
        <f t="shared" si="22"/>
        <v>6128.9996846901186</v>
      </c>
      <c r="K189" s="87"/>
      <c r="L189" s="87"/>
    </row>
    <row r="190" spans="1:12" x14ac:dyDescent="0.25">
      <c r="A190">
        <f t="shared" si="17"/>
        <v>184</v>
      </c>
      <c r="B190" s="87">
        <f t="shared" si="23"/>
        <v>252971.10280601348</v>
      </c>
      <c r="C190" s="87">
        <f t="shared" si="18"/>
        <v>3549.1356539814856</v>
      </c>
      <c r="D190" s="84">
        <f t="shared" si="19"/>
        <v>1954.6233876811307</v>
      </c>
      <c r="E190" s="84">
        <f t="shared" si="16"/>
        <v>5503.7590416626163</v>
      </c>
      <c r="F190" s="84">
        <f>IF(A190="","",B190*Catálogos!$R$1)</f>
        <v>151.78266168360807</v>
      </c>
      <c r="G190" s="84">
        <f>IF(A190="","",IF(B190=0,0,$B$4*Catálogos!$Q$6))</f>
        <v>172.34482758620689</v>
      </c>
      <c r="H190" s="84">
        <f t="shared" si="20"/>
        <v>299</v>
      </c>
      <c r="I190" s="84">
        <f t="shared" si="21"/>
        <v>6126.886530932431</v>
      </c>
      <c r="J190" s="87">
        <f t="shared" si="22"/>
        <v>6126.886530932431</v>
      </c>
      <c r="K190" s="87"/>
      <c r="L190" s="87"/>
    </row>
    <row r="191" spans="1:12" x14ac:dyDescent="0.25">
      <c r="A191">
        <f t="shared" si="17"/>
        <v>185</v>
      </c>
      <c r="B191" s="87">
        <f t="shared" si="23"/>
        <v>249421.96715203201</v>
      </c>
      <c r="C191" s="87">
        <f t="shared" si="18"/>
        <v>3576.5586421345824</v>
      </c>
      <c r="D191" s="84">
        <f t="shared" si="19"/>
        <v>1927.2003995280338</v>
      </c>
      <c r="E191" s="84">
        <f t="shared" si="16"/>
        <v>5503.7590416626163</v>
      </c>
      <c r="F191" s="84">
        <f>IF(A191="","",B191*Catálogos!$R$1)</f>
        <v>149.6531802912192</v>
      </c>
      <c r="G191" s="84">
        <f>IF(A191="","",IF(B191=0,0,$B$4*Catálogos!$Q$6))</f>
        <v>172.34482758620689</v>
      </c>
      <c r="H191" s="84">
        <f t="shared" si="20"/>
        <v>299</v>
      </c>
      <c r="I191" s="84">
        <f t="shared" si="21"/>
        <v>6124.7570495400423</v>
      </c>
      <c r="J191" s="87">
        <f t="shared" si="22"/>
        <v>6124.7570495400423</v>
      </c>
      <c r="K191" s="87"/>
      <c r="L191" s="87"/>
    </row>
    <row r="192" spans="1:12" x14ac:dyDescent="0.25">
      <c r="A192">
        <f t="shared" si="17"/>
        <v>186</v>
      </c>
      <c r="B192" s="87">
        <f t="shared" si="23"/>
        <v>245845.40850989742</v>
      </c>
      <c r="C192" s="87">
        <f t="shared" si="18"/>
        <v>3604.1935185761422</v>
      </c>
      <c r="D192" s="84">
        <f t="shared" si="19"/>
        <v>1899.5655230864738</v>
      </c>
      <c r="E192" s="84">
        <f t="shared" si="16"/>
        <v>5503.7590416626163</v>
      </c>
      <c r="F192" s="84">
        <f>IF(A192="","",B192*Catálogos!$R$1)</f>
        <v>147.50724510593844</v>
      </c>
      <c r="G192" s="84">
        <f>IF(A192="","",IF(B192=0,0,$B$4*Catálogos!$Q$6))</f>
        <v>172.34482758620689</v>
      </c>
      <c r="H192" s="84">
        <f t="shared" si="20"/>
        <v>299</v>
      </c>
      <c r="I192" s="84">
        <f t="shared" si="21"/>
        <v>6122.6111143547614</v>
      </c>
      <c r="J192" s="87">
        <f t="shared" si="22"/>
        <v>6122.6111143547614</v>
      </c>
      <c r="K192" s="87"/>
      <c r="L192" s="87"/>
    </row>
    <row r="193" spans="1:12" x14ac:dyDescent="0.25">
      <c r="A193">
        <f t="shared" si="17"/>
        <v>187</v>
      </c>
      <c r="B193" s="87">
        <f t="shared" si="23"/>
        <v>242241.21499132126</v>
      </c>
      <c r="C193" s="87">
        <f t="shared" si="18"/>
        <v>3632.0419204963409</v>
      </c>
      <c r="D193" s="84">
        <f t="shared" si="19"/>
        <v>1871.7171211662753</v>
      </c>
      <c r="E193" s="84">
        <f t="shared" si="16"/>
        <v>5503.7590416626163</v>
      </c>
      <c r="F193" s="84">
        <f>IF(A193="","",B193*Catálogos!$R$1)</f>
        <v>145.34472899479275</v>
      </c>
      <c r="G193" s="84">
        <f>IF(A193="","",IF(B193=0,0,$B$4*Catálogos!$Q$6))</f>
        <v>172.34482758620689</v>
      </c>
      <c r="H193" s="84">
        <f t="shared" si="20"/>
        <v>299</v>
      </c>
      <c r="I193" s="84">
        <f t="shared" si="21"/>
        <v>6120.4485982436154</v>
      </c>
      <c r="J193" s="87">
        <f t="shared" si="22"/>
        <v>6120.4485982436154</v>
      </c>
      <c r="K193" s="87"/>
      <c r="L193" s="87"/>
    </row>
    <row r="194" spans="1:12" x14ac:dyDescent="0.25">
      <c r="A194">
        <f t="shared" si="17"/>
        <v>188</v>
      </c>
      <c r="B194" s="87">
        <f t="shared" si="23"/>
        <v>238609.17307082491</v>
      </c>
      <c r="C194" s="87">
        <f t="shared" si="18"/>
        <v>3660.105497735376</v>
      </c>
      <c r="D194" s="84">
        <f t="shared" si="19"/>
        <v>1843.6535439272402</v>
      </c>
      <c r="E194" s="84">
        <f t="shared" si="16"/>
        <v>5503.7590416626163</v>
      </c>
      <c r="F194" s="84">
        <f>IF(A194="","",B194*Catálogos!$R$1)</f>
        <v>143.16550384249493</v>
      </c>
      <c r="G194" s="84">
        <f>IF(A194="","",IF(B194=0,0,$B$4*Catálogos!$Q$6))</f>
        <v>172.34482758620689</v>
      </c>
      <c r="H194" s="84">
        <f t="shared" si="20"/>
        <v>299</v>
      </c>
      <c r="I194" s="84">
        <f t="shared" si="21"/>
        <v>6118.2693730913179</v>
      </c>
      <c r="J194" s="87">
        <f t="shared" si="22"/>
        <v>6118.2693730913179</v>
      </c>
      <c r="K194" s="87"/>
      <c r="L194" s="87"/>
    </row>
    <row r="195" spans="1:12" x14ac:dyDescent="0.25">
      <c r="A195">
        <f t="shared" si="17"/>
        <v>189</v>
      </c>
      <c r="B195" s="87">
        <f t="shared" si="23"/>
        <v>234949.06757308953</v>
      </c>
      <c r="C195" s="87">
        <f t="shared" si="18"/>
        <v>3688.3859128812114</v>
      </c>
      <c r="D195" s="84">
        <f t="shared" si="19"/>
        <v>1815.3731287814048</v>
      </c>
      <c r="E195" s="84">
        <f t="shared" si="16"/>
        <v>5503.7590416626163</v>
      </c>
      <c r="F195" s="84">
        <f>IF(A195="","",B195*Catálogos!$R$1)</f>
        <v>140.96944054385369</v>
      </c>
      <c r="G195" s="84">
        <f>IF(A195="","",IF(B195=0,0,$B$4*Catálogos!$Q$6))</f>
        <v>172.34482758620689</v>
      </c>
      <c r="H195" s="84">
        <f t="shared" si="20"/>
        <v>299</v>
      </c>
      <c r="I195" s="84">
        <f t="shared" si="21"/>
        <v>6116.0733097926768</v>
      </c>
      <c r="J195" s="87">
        <f t="shared" si="22"/>
        <v>6116.0733097926768</v>
      </c>
      <c r="K195" s="87"/>
      <c r="L195" s="87"/>
    </row>
    <row r="196" spans="1:12" x14ac:dyDescent="0.25">
      <c r="A196">
        <f t="shared" si="17"/>
        <v>190</v>
      </c>
      <c r="B196" s="87">
        <f t="shared" si="23"/>
        <v>231260.68166020833</v>
      </c>
      <c r="C196" s="87">
        <f t="shared" si="18"/>
        <v>3716.8848413680735</v>
      </c>
      <c r="D196" s="84">
        <f t="shared" si="19"/>
        <v>1786.8742002945428</v>
      </c>
      <c r="E196" s="84">
        <f t="shared" si="16"/>
        <v>5503.7590416626163</v>
      </c>
      <c r="F196" s="84">
        <f>IF(A196="","",B196*Catálogos!$R$1)</f>
        <v>138.75640899612497</v>
      </c>
      <c r="G196" s="84">
        <f>IF(A196="","",IF(B196=0,0,$B$4*Catálogos!$Q$6))</f>
        <v>172.34482758620689</v>
      </c>
      <c r="H196" s="84">
        <f t="shared" si="20"/>
        <v>299</v>
      </c>
      <c r="I196" s="84">
        <f t="shared" si="21"/>
        <v>6113.8602782449479</v>
      </c>
      <c r="J196" s="87">
        <f t="shared" si="22"/>
        <v>6113.8602782449479</v>
      </c>
      <c r="K196" s="87"/>
      <c r="L196" s="87"/>
    </row>
    <row r="197" spans="1:12" x14ac:dyDescent="0.25">
      <c r="A197">
        <f t="shared" si="17"/>
        <v>191</v>
      </c>
      <c r="B197" s="87">
        <f t="shared" si="23"/>
        <v>227543.79681884026</v>
      </c>
      <c r="C197" s="87">
        <f t="shared" si="18"/>
        <v>3745.6039715757106</v>
      </c>
      <c r="D197" s="84">
        <f t="shared" si="19"/>
        <v>1758.1550700869054</v>
      </c>
      <c r="E197" s="84">
        <f t="shared" si="16"/>
        <v>5503.7590416626163</v>
      </c>
      <c r="F197" s="84">
        <f>IF(A197="","",B197*Catálogos!$R$1)</f>
        <v>136.52627809130414</v>
      </c>
      <c r="G197" s="84">
        <f>IF(A197="","",IF(B197=0,0,$B$4*Catálogos!$Q$6))</f>
        <v>172.34482758620689</v>
      </c>
      <c r="H197" s="84">
        <f t="shared" si="20"/>
        <v>299</v>
      </c>
      <c r="I197" s="84">
        <f t="shared" si="21"/>
        <v>6111.6301473401272</v>
      </c>
      <c r="J197" s="87">
        <f t="shared" si="22"/>
        <v>6111.6301473401272</v>
      </c>
      <c r="K197" s="87"/>
      <c r="L197" s="87"/>
    </row>
    <row r="198" spans="1:12" x14ac:dyDescent="0.25">
      <c r="A198">
        <f t="shared" si="17"/>
        <v>192</v>
      </c>
      <c r="B198" s="87">
        <f t="shared" si="23"/>
        <v>223798.19284726455</v>
      </c>
      <c r="C198" s="87">
        <f t="shared" si="18"/>
        <v>3774.5450049294191</v>
      </c>
      <c r="D198" s="84">
        <f t="shared" si="19"/>
        <v>1729.2140367331972</v>
      </c>
      <c r="E198" s="84">
        <f t="shared" si="16"/>
        <v>5503.7590416626163</v>
      </c>
      <c r="F198" s="84">
        <f>IF(A198="","",B198*Catálogos!$R$1)</f>
        <v>134.27891570835871</v>
      </c>
      <c r="G198" s="84">
        <f>IF(A198="","",IF(B198=0,0,$B$4*Catálogos!$Q$6))</f>
        <v>172.34482758620689</v>
      </c>
      <c r="H198" s="84">
        <f t="shared" si="20"/>
        <v>299</v>
      </c>
      <c r="I198" s="84">
        <f t="shared" si="21"/>
        <v>6109.3827849571817</v>
      </c>
      <c r="J198" s="87">
        <f t="shared" si="22"/>
        <v>6109.3827849571817</v>
      </c>
      <c r="K198" s="87"/>
      <c r="L198" s="87"/>
    </row>
    <row r="199" spans="1:12" x14ac:dyDescent="0.25">
      <c r="A199">
        <f t="shared" si="17"/>
        <v>193</v>
      </c>
      <c r="B199" s="87">
        <f t="shared" si="23"/>
        <v>220023.64784233514</v>
      </c>
      <c r="C199" s="87">
        <f t="shared" si="18"/>
        <v>3803.7096560008404</v>
      </c>
      <c r="D199" s="84">
        <f t="shared" si="19"/>
        <v>1700.0493856617759</v>
      </c>
      <c r="E199" s="84">
        <f t="shared" ref="E199:E246" si="24">IF(A199="","",PMT($B$2/360*30.4,$B$1,-$B$3))</f>
        <v>5503.7590416626163</v>
      </c>
      <c r="F199" s="84">
        <f>IF(A199="","",B199*Catálogos!$R$1)</f>
        <v>132.01418870540107</v>
      </c>
      <c r="G199" s="84">
        <f>IF(A199="","",IF(B199=0,0,$B$4*Catálogos!$Q$6))</f>
        <v>172.34482758620689</v>
      </c>
      <c r="H199" s="84">
        <f t="shared" si="20"/>
        <v>299</v>
      </c>
      <c r="I199" s="84">
        <f t="shared" si="21"/>
        <v>6107.1180579542242</v>
      </c>
      <c r="J199" s="87">
        <f t="shared" si="22"/>
        <v>6107.1180579542242</v>
      </c>
      <c r="K199" s="87"/>
      <c r="L199" s="87"/>
    </row>
    <row r="200" spans="1:12" x14ac:dyDescent="0.25">
      <c r="A200">
        <f t="shared" ref="A200:A246" si="25">IF(A199=$B$1,"",IF(A199="","",A199+1))</f>
        <v>194</v>
      </c>
      <c r="B200" s="87">
        <f t="shared" si="23"/>
        <v>216219.9381863343</v>
      </c>
      <c r="C200" s="87">
        <f t="shared" ref="C200:C246" si="26">IF(A200="","",E200-D200)</f>
        <v>3833.09965260954</v>
      </c>
      <c r="D200" s="84">
        <f t="shared" ref="D200:D246" si="27">IF(A200="","",($B$2/360*30.4)*B200)</f>
        <v>1670.6593890530762</v>
      </c>
      <c r="E200" s="84">
        <f t="shared" si="24"/>
        <v>5503.7590416626163</v>
      </c>
      <c r="F200" s="84">
        <f>IF(A200="","",B200*Catálogos!$R$1)</f>
        <v>129.73196291180057</v>
      </c>
      <c r="G200" s="84">
        <f>IF(A200="","",IF(B200=0,0,$B$4*Catálogos!$Q$6))</f>
        <v>172.34482758620689</v>
      </c>
      <c r="H200" s="84">
        <f t="shared" ref="H200:H246" si="28">IF(A200="","",IF($G$2=1,299,0))</f>
        <v>299</v>
      </c>
      <c r="I200" s="84">
        <f t="shared" ref="I200:I246" si="29">IF(A200="","",SUM(E200:H200))</f>
        <v>6104.8358321606229</v>
      </c>
      <c r="J200" s="87">
        <f t="shared" ref="J200:J246" si="30">I200</f>
        <v>6104.8358321606229</v>
      </c>
      <c r="K200" s="87"/>
      <c r="L200" s="87"/>
    </row>
    <row r="201" spans="1:12" x14ac:dyDescent="0.25">
      <c r="A201">
        <f t="shared" si="25"/>
        <v>195</v>
      </c>
      <c r="B201" s="87">
        <f t="shared" ref="B201:B246" si="31">IF(A201="","",B200-C200)</f>
        <v>212386.83853372477</v>
      </c>
      <c r="C201" s="87">
        <f t="shared" si="26"/>
        <v>3862.7167359253699</v>
      </c>
      <c r="D201" s="84">
        <f t="shared" si="27"/>
        <v>1641.0423057372466</v>
      </c>
      <c r="E201" s="84">
        <f t="shared" si="24"/>
        <v>5503.7590416626163</v>
      </c>
      <c r="F201" s="84">
        <f>IF(A201="","",B201*Catálogos!$R$1)</f>
        <v>127.43210312023486</v>
      </c>
      <c r="G201" s="84">
        <f>IF(A201="","",IF(B201=0,0,$B$4*Catálogos!$Q$6))</f>
        <v>172.34482758620689</v>
      </c>
      <c r="H201" s="84">
        <f t="shared" si="28"/>
        <v>299</v>
      </c>
      <c r="I201" s="84">
        <f t="shared" si="29"/>
        <v>6102.5359723690581</v>
      </c>
      <c r="J201" s="87">
        <f t="shared" si="30"/>
        <v>6102.5359723690581</v>
      </c>
      <c r="K201" s="87"/>
      <c r="L201" s="87"/>
    </row>
    <row r="202" spans="1:12" x14ac:dyDescent="0.25">
      <c r="A202">
        <f t="shared" si="25"/>
        <v>196</v>
      </c>
      <c r="B202" s="87">
        <f t="shared" si="31"/>
        <v>208524.12179779939</v>
      </c>
      <c r="C202" s="87">
        <f t="shared" si="26"/>
        <v>3892.5626605716197</v>
      </c>
      <c r="D202" s="84">
        <f t="shared" si="27"/>
        <v>1611.1963810909965</v>
      </c>
      <c r="E202" s="84">
        <f t="shared" si="24"/>
        <v>5503.7590416626163</v>
      </c>
      <c r="F202" s="84">
        <f>IF(A202="","",B202*Catálogos!$R$1)</f>
        <v>125.11447307867962</v>
      </c>
      <c r="G202" s="84">
        <f>IF(A202="","",IF(B202=0,0,$B$4*Catálogos!$Q$6))</f>
        <v>172.34482758620689</v>
      </c>
      <c r="H202" s="84">
        <f t="shared" si="28"/>
        <v>299</v>
      </c>
      <c r="I202" s="84">
        <f t="shared" si="29"/>
        <v>6100.2183423275028</v>
      </c>
      <c r="J202" s="87">
        <f t="shared" si="30"/>
        <v>6100.2183423275028</v>
      </c>
      <c r="K202" s="87"/>
      <c r="L202" s="87"/>
    </row>
    <row r="203" spans="1:12" x14ac:dyDescent="0.25">
      <c r="A203">
        <f t="shared" si="25"/>
        <v>197</v>
      </c>
      <c r="B203" s="87">
        <f t="shared" si="31"/>
        <v>204631.55913722777</v>
      </c>
      <c r="C203" s="87">
        <f t="shared" si="26"/>
        <v>3922.6391947289699</v>
      </c>
      <c r="D203" s="84">
        <f t="shared" si="27"/>
        <v>1581.1198469336464</v>
      </c>
      <c r="E203" s="84">
        <f t="shared" si="24"/>
        <v>5503.7590416626163</v>
      </c>
      <c r="F203" s="84">
        <f>IF(A203="","",B203*Catálogos!$R$1)</f>
        <v>122.77893548233665</v>
      </c>
      <c r="G203" s="84">
        <f>IF(A203="","",IF(B203=0,0,$B$4*Catálogos!$Q$6))</f>
        <v>172.34482758620689</v>
      </c>
      <c r="H203" s="84">
        <f t="shared" si="28"/>
        <v>299</v>
      </c>
      <c r="I203" s="84">
        <f t="shared" si="29"/>
        <v>6097.882804731159</v>
      </c>
      <c r="J203" s="87">
        <f t="shared" si="30"/>
        <v>6097.882804731159</v>
      </c>
      <c r="K203" s="87"/>
      <c r="L203" s="87"/>
    </row>
    <row r="204" spans="1:12" x14ac:dyDescent="0.25">
      <c r="A204">
        <f t="shared" si="25"/>
        <v>198</v>
      </c>
      <c r="B204" s="87">
        <f t="shared" si="31"/>
        <v>200708.91994249879</v>
      </c>
      <c r="C204" s="87">
        <f t="shared" si="26"/>
        <v>3952.9481202402426</v>
      </c>
      <c r="D204" s="84">
        <f t="shared" si="27"/>
        <v>1550.8109214223737</v>
      </c>
      <c r="E204" s="84">
        <f t="shared" si="24"/>
        <v>5503.7590416626163</v>
      </c>
      <c r="F204" s="84">
        <f>IF(A204="","",B204*Catálogos!$R$1)</f>
        <v>120.42535196549926</v>
      </c>
      <c r="G204" s="84">
        <f>IF(A204="","",IF(B204=0,0,$B$4*Catálogos!$Q$6))</f>
        <v>172.34482758620689</v>
      </c>
      <c r="H204" s="84">
        <f t="shared" si="28"/>
        <v>299</v>
      </c>
      <c r="I204" s="84">
        <f t="shared" si="29"/>
        <v>6095.5292212143222</v>
      </c>
      <c r="J204" s="87">
        <f t="shared" si="30"/>
        <v>6095.5292212143222</v>
      </c>
      <c r="K204" s="87"/>
      <c r="L204" s="87"/>
    </row>
    <row r="205" spans="1:12" x14ac:dyDescent="0.25">
      <c r="A205">
        <f t="shared" si="25"/>
        <v>199</v>
      </c>
      <c r="B205" s="87">
        <f t="shared" si="31"/>
        <v>196755.97182225855</v>
      </c>
      <c r="C205" s="87">
        <f t="shared" si="26"/>
        <v>3983.4912327159655</v>
      </c>
      <c r="D205" s="84">
        <f t="shared" si="27"/>
        <v>1520.2678089466508</v>
      </c>
      <c r="E205" s="84">
        <f t="shared" si="24"/>
        <v>5503.7590416626163</v>
      </c>
      <c r="F205" s="84">
        <f>IF(A205="","",B205*Catálogos!$R$1)</f>
        <v>118.05358309335512</v>
      </c>
      <c r="G205" s="84">
        <f>IF(A205="","",IF(B205=0,0,$B$4*Catálogos!$Q$6))</f>
        <v>172.34482758620689</v>
      </c>
      <c r="H205" s="84">
        <f t="shared" si="28"/>
        <v>299</v>
      </c>
      <c r="I205" s="84">
        <f t="shared" si="29"/>
        <v>6093.1574523421777</v>
      </c>
      <c r="J205" s="87">
        <f t="shared" si="30"/>
        <v>6093.1574523421777</v>
      </c>
      <c r="K205" s="87"/>
      <c r="L205" s="87"/>
    </row>
    <row r="206" spans="1:12" x14ac:dyDescent="0.25">
      <c r="A206">
        <f t="shared" si="25"/>
        <v>200</v>
      </c>
      <c r="B206" s="87">
        <f t="shared" si="31"/>
        <v>192772.4805895426</v>
      </c>
      <c r="C206" s="87">
        <f t="shared" si="26"/>
        <v>4014.2703416407508</v>
      </c>
      <c r="D206" s="84">
        <f t="shared" si="27"/>
        <v>1489.4887000218655</v>
      </c>
      <c r="E206" s="84">
        <f t="shared" si="24"/>
        <v>5503.7590416626163</v>
      </c>
      <c r="F206" s="84">
        <f>IF(A206="","",B206*Catálogos!$R$1)</f>
        <v>115.66348835372554</v>
      </c>
      <c r="G206" s="84">
        <f>IF(A206="","",IF(B206=0,0,$B$4*Catálogos!$Q$6))</f>
        <v>172.34482758620689</v>
      </c>
      <c r="H206" s="84">
        <f t="shared" si="28"/>
        <v>299</v>
      </c>
      <c r="I206" s="84">
        <f t="shared" si="29"/>
        <v>6090.7673576025481</v>
      </c>
      <c r="J206" s="87">
        <f t="shared" si="30"/>
        <v>6090.7673576025481</v>
      </c>
      <c r="K206" s="87"/>
      <c r="L206" s="87"/>
    </row>
    <row r="207" spans="1:12" x14ac:dyDescent="0.25">
      <c r="A207">
        <f t="shared" si="25"/>
        <v>201</v>
      </c>
      <c r="B207" s="87">
        <f t="shared" si="31"/>
        <v>188758.21024790185</v>
      </c>
      <c r="C207" s="87">
        <f t="shared" si="26"/>
        <v>4045.287270480495</v>
      </c>
      <c r="D207" s="84">
        <f t="shared" si="27"/>
        <v>1458.4717711821215</v>
      </c>
      <c r="E207" s="84">
        <f t="shared" si="24"/>
        <v>5503.7590416626163</v>
      </c>
      <c r="F207" s="84">
        <f>IF(A207="","",B207*Catálogos!$R$1)</f>
        <v>113.25492614874111</v>
      </c>
      <c r="G207" s="84">
        <f>IF(A207="","",IF(B207=0,0,$B$4*Catálogos!$Q$6))</f>
        <v>172.34482758620689</v>
      </c>
      <c r="H207" s="84">
        <f t="shared" si="28"/>
        <v>299</v>
      </c>
      <c r="I207" s="84">
        <f t="shared" si="29"/>
        <v>6088.3587953975639</v>
      </c>
      <c r="J207" s="87">
        <f t="shared" si="30"/>
        <v>6088.3587953975639</v>
      </c>
      <c r="K207" s="87"/>
      <c r="L207" s="87"/>
    </row>
    <row r="208" spans="1:12" x14ac:dyDescent="0.25">
      <c r="A208">
        <f t="shared" si="25"/>
        <v>202</v>
      </c>
      <c r="B208" s="87">
        <f t="shared" si="31"/>
        <v>184712.92297742135</v>
      </c>
      <c r="C208" s="87">
        <f t="shared" si="26"/>
        <v>4076.5438567904075</v>
      </c>
      <c r="D208" s="84">
        <f t="shared" si="27"/>
        <v>1427.2151848722087</v>
      </c>
      <c r="E208" s="84">
        <f t="shared" si="24"/>
        <v>5503.7590416626163</v>
      </c>
      <c r="F208" s="84">
        <f>IF(A208="","",B208*Catálogos!$R$1)</f>
        <v>110.8277537864528</v>
      </c>
      <c r="G208" s="84">
        <f>IF(A208="","",IF(B208=0,0,$B$4*Catálogos!$Q$6))</f>
        <v>172.34482758620689</v>
      </c>
      <c r="H208" s="84">
        <f t="shared" si="28"/>
        <v>299</v>
      </c>
      <c r="I208" s="84">
        <f t="shared" si="29"/>
        <v>6085.9316230352752</v>
      </c>
      <c r="J208" s="87">
        <f t="shared" si="30"/>
        <v>6085.9316230352752</v>
      </c>
      <c r="K208" s="87"/>
      <c r="L208" s="87"/>
    </row>
    <row r="209" spans="1:12" x14ac:dyDescent="0.25">
      <c r="A209">
        <f t="shared" si="25"/>
        <v>203</v>
      </c>
      <c r="B209" s="87">
        <f t="shared" si="31"/>
        <v>180636.37912063094</v>
      </c>
      <c r="C209" s="87">
        <f t="shared" si="26"/>
        <v>4108.0419523238743</v>
      </c>
      <c r="D209" s="84">
        <f t="shared" si="27"/>
        <v>1395.7170893387415</v>
      </c>
      <c r="E209" s="84">
        <f t="shared" si="24"/>
        <v>5503.7590416626163</v>
      </c>
      <c r="F209" s="84">
        <f>IF(A209="","",B209*Catálogos!$R$1)</f>
        <v>108.38182747237856</v>
      </c>
      <c r="G209" s="84">
        <f>IF(A209="","",IF(B209=0,0,$B$4*Catálogos!$Q$6))</f>
        <v>172.34482758620689</v>
      </c>
      <c r="H209" s="84">
        <f t="shared" si="28"/>
        <v>299</v>
      </c>
      <c r="I209" s="84">
        <f t="shared" si="29"/>
        <v>6083.4856967212017</v>
      </c>
      <c r="J209" s="87">
        <f t="shared" si="30"/>
        <v>6083.4856967212017</v>
      </c>
      <c r="K209" s="87"/>
      <c r="L209" s="87"/>
    </row>
    <row r="210" spans="1:12" x14ac:dyDescent="0.25">
      <c r="A210">
        <f t="shared" si="25"/>
        <v>204</v>
      </c>
      <c r="B210" s="87">
        <f t="shared" si="31"/>
        <v>176528.33716830707</v>
      </c>
      <c r="C210" s="87">
        <f t="shared" si="26"/>
        <v>4139.7834231421639</v>
      </c>
      <c r="D210" s="84">
        <f t="shared" si="27"/>
        <v>1363.9756185204524</v>
      </c>
      <c r="E210" s="84">
        <f t="shared" si="24"/>
        <v>5503.7590416626163</v>
      </c>
      <c r="F210" s="84">
        <f>IF(A210="","",B210*Catálogos!$R$1)</f>
        <v>105.91700230098424</v>
      </c>
      <c r="G210" s="84">
        <f>IF(A210="","",IF(B210=0,0,$B$4*Catálogos!$Q$6))</f>
        <v>172.34482758620689</v>
      </c>
      <c r="H210" s="84">
        <f t="shared" si="28"/>
        <v>299</v>
      </c>
      <c r="I210" s="84">
        <f t="shared" si="29"/>
        <v>6081.0208715498075</v>
      </c>
      <c r="J210" s="87">
        <f t="shared" si="30"/>
        <v>6081.0208715498075</v>
      </c>
      <c r="K210" s="87"/>
      <c r="L210" s="87"/>
    </row>
    <row r="211" spans="1:12" x14ac:dyDescent="0.25">
      <c r="A211">
        <f t="shared" si="25"/>
        <v>205</v>
      </c>
      <c r="B211" s="87">
        <f t="shared" si="31"/>
        <v>172388.55374516491</v>
      </c>
      <c r="C211" s="87">
        <f t="shared" si="26"/>
        <v>4171.7701497249755</v>
      </c>
      <c r="D211" s="84">
        <f t="shared" si="27"/>
        <v>1331.9888919376408</v>
      </c>
      <c r="E211" s="84">
        <f t="shared" si="24"/>
        <v>5503.7590416626163</v>
      </c>
      <c r="F211" s="84">
        <f>IF(A211="","",B211*Catálogos!$R$1)</f>
        <v>103.43313224709894</v>
      </c>
      <c r="G211" s="84">
        <f>IF(A211="","",IF(B211=0,0,$B$4*Catálogos!$Q$6))</f>
        <v>172.34482758620689</v>
      </c>
      <c r="H211" s="84">
        <f t="shared" si="28"/>
        <v>299</v>
      </c>
      <c r="I211" s="84">
        <f t="shared" si="29"/>
        <v>6078.5370014959217</v>
      </c>
      <c r="J211" s="87">
        <f t="shared" si="30"/>
        <v>6078.5370014959217</v>
      </c>
      <c r="K211" s="87"/>
      <c r="L211" s="87"/>
    </row>
    <row r="212" spans="1:12" x14ac:dyDescent="0.25">
      <c r="A212">
        <f t="shared" si="25"/>
        <v>206</v>
      </c>
      <c r="B212" s="87">
        <f t="shared" si="31"/>
        <v>168216.78359543995</v>
      </c>
      <c r="C212" s="87">
        <f t="shared" si="26"/>
        <v>4204.0040270818499</v>
      </c>
      <c r="D212" s="84">
        <f t="shared" si="27"/>
        <v>1299.7550145807659</v>
      </c>
      <c r="E212" s="84">
        <f t="shared" si="24"/>
        <v>5503.7590416626163</v>
      </c>
      <c r="F212" s="84">
        <f>IF(A212="","",B212*Catálogos!$R$1)</f>
        <v>100.93007015726396</v>
      </c>
      <c r="G212" s="84">
        <f>IF(A212="","",IF(B212=0,0,$B$4*Catálogos!$Q$6))</f>
        <v>172.34482758620689</v>
      </c>
      <c r="H212" s="84">
        <f t="shared" si="28"/>
        <v>299</v>
      </c>
      <c r="I212" s="84">
        <f t="shared" si="29"/>
        <v>6076.0339394060866</v>
      </c>
      <c r="J212" s="87">
        <f t="shared" si="30"/>
        <v>6076.0339394060866</v>
      </c>
      <c r="K212" s="87"/>
      <c r="L212" s="87"/>
    </row>
    <row r="213" spans="1:12" x14ac:dyDescent="0.25">
      <c r="A213">
        <f t="shared" si="25"/>
        <v>207</v>
      </c>
      <c r="B213" s="87">
        <f t="shared" si="31"/>
        <v>164012.77956835809</v>
      </c>
      <c r="C213" s="87">
        <f t="shared" si="26"/>
        <v>4236.4869648644362</v>
      </c>
      <c r="D213" s="84">
        <f t="shared" si="27"/>
        <v>1267.27207679818</v>
      </c>
      <c r="E213" s="84">
        <f t="shared" si="24"/>
        <v>5503.7590416626163</v>
      </c>
      <c r="F213" s="84">
        <f>IF(A213="","",B213*Catálogos!$R$1)</f>
        <v>98.407667741014848</v>
      </c>
      <c r="G213" s="84">
        <f>IF(A213="","",IF(B213=0,0,$B$4*Catálogos!$Q$6))</f>
        <v>172.34482758620689</v>
      </c>
      <c r="H213" s="84">
        <f t="shared" si="28"/>
        <v>299</v>
      </c>
      <c r="I213" s="84">
        <f t="shared" si="29"/>
        <v>6073.5115369898376</v>
      </c>
      <c r="J213" s="87">
        <f t="shared" si="30"/>
        <v>6073.5115369898376</v>
      </c>
      <c r="K213" s="87"/>
      <c r="L213" s="87"/>
    </row>
    <row r="214" spans="1:12" x14ac:dyDescent="0.25">
      <c r="A214">
        <f t="shared" si="25"/>
        <v>208</v>
      </c>
      <c r="B214" s="87">
        <f t="shared" si="31"/>
        <v>159776.29260349367</v>
      </c>
      <c r="C214" s="87">
        <f t="shared" si="26"/>
        <v>4269.2208874796215</v>
      </c>
      <c r="D214" s="84">
        <f t="shared" si="27"/>
        <v>1234.5381541829943</v>
      </c>
      <c r="E214" s="84">
        <f t="shared" si="24"/>
        <v>5503.7590416626163</v>
      </c>
      <c r="F214" s="84">
        <f>IF(A214="","",B214*Catálogos!$R$1)</f>
        <v>95.865775562096189</v>
      </c>
      <c r="G214" s="84">
        <f>IF(A214="","",IF(B214=0,0,$B$4*Catálogos!$Q$6))</f>
        <v>172.34482758620689</v>
      </c>
      <c r="H214" s="84">
        <f t="shared" si="28"/>
        <v>299</v>
      </c>
      <c r="I214" s="84">
        <f t="shared" si="29"/>
        <v>6070.9696448109189</v>
      </c>
      <c r="J214" s="87">
        <f t="shared" si="30"/>
        <v>6070.9696448109189</v>
      </c>
      <c r="K214" s="87"/>
      <c r="L214" s="87"/>
    </row>
    <row r="215" spans="1:12" x14ac:dyDescent="0.25">
      <c r="A215">
        <f t="shared" si="25"/>
        <v>209</v>
      </c>
      <c r="B215" s="87">
        <f t="shared" si="31"/>
        <v>155507.07171601403</v>
      </c>
      <c r="C215" s="87">
        <f t="shared" si="26"/>
        <v>4302.2077342035482</v>
      </c>
      <c r="D215" s="84">
        <f t="shared" si="27"/>
        <v>1201.5513074590683</v>
      </c>
      <c r="E215" s="84">
        <f t="shared" si="24"/>
        <v>5503.7590416626163</v>
      </c>
      <c r="F215" s="84">
        <f>IF(A215="","",B215*Catálogos!$R$1)</f>
        <v>93.304243029608415</v>
      </c>
      <c r="G215" s="84">
        <f>IF(A215="","",IF(B215=0,0,$B$4*Catálogos!$Q$6))</f>
        <v>172.34482758620689</v>
      </c>
      <c r="H215" s="84">
        <f t="shared" si="28"/>
        <v>299</v>
      </c>
      <c r="I215" s="84">
        <f t="shared" si="29"/>
        <v>6068.408112278431</v>
      </c>
      <c r="J215" s="87">
        <f t="shared" si="30"/>
        <v>6068.408112278431</v>
      </c>
      <c r="K215" s="87"/>
      <c r="L215" s="87"/>
    </row>
    <row r="216" spans="1:12" x14ac:dyDescent="0.25">
      <c r="A216">
        <f t="shared" si="25"/>
        <v>210</v>
      </c>
      <c r="B216" s="87">
        <f t="shared" si="31"/>
        <v>151204.86398181049</v>
      </c>
      <c r="C216" s="87">
        <f t="shared" si="26"/>
        <v>4335.4494592964938</v>
      </c>
      <c r="D216" s="84">
        <f t="shared" si="27"/>
        <v>1168.3095823661222</v>
      </c>
      <c r="E216" s="84">
        <f t="shared" si="24"/>
        <v>5503.7590416626163</v>
      </c>
      <c r="F216" s="84">
        <f>IF(A216="","",B216*Catálogos!$R$1)</f>
        <v>90.722918389086288</v>
      </c>
      <c r="G216" s="84">
        <f>IF(A216="","",IF(B216=0,0,$B$4*Catálogos!$Q$6))</f>
        <v>172.34482758620689</v>
      </c>
      <c r="H216" s="84">
        <f t="shared" si="28"/>
        <v>299</v>
      </c>
      <c r="I216" s="84">
        <f t="shared" si="29"/>
        <v>6065.8267876379086</v>
      </c>
      <c r="J216" s="87">
        <f t="shared" si="30"/>
        <v>6065.8267876379086</v>
      </c>
      <c r="K216" s="87"/>
      <c r="L216" s="87"/>
    </row>
    <row r="217" spans="1:12" x14ac:dyDescent="0.25">
      <c r="A217">
        <f t="shared" si="25"/>
        <v>211</v>
      </c>
      <c r="B217" s="87">
        <f t="shared" si="31"/>
        <v>146869.41452251398</v>
      </c>
      <c r="C217" s="87">
        <f t="shared" si="26"/>
        <v>4368.9480321186584</v>
      </c>
      <c r="D217" s="84">
        <f t="shared" si="27"/>
        <v>1134.8110095439579</v>
      </c>
      <c r="E217" s="84">
        <f t="shared" si="24"/>
        <v>5503.7590416626163</v>
      </c>
      <c r="F217" s="84">
        <f>IF(A217="","",B217*Catálogos!$R$1)</f>
        <v>88.121648713508378</v>
      </c>
      <c r="G217" s="84">
        <f>IF(A217="","",IF(B217=0,0,$B$4*Catálogos!$Q$6))</f>
        <v>172.34482758620689</v>
      </c>
      <c r="H217" s="84">
        <f t="shared" si="28"/>
        <v>299</v>
      </c>
      <c r="I217" s="84">
        <f t="shared" si="29"/>
        <v>6063.2255179623307</v>
      </c>
      <c r="J217" s="87">
        <f t="shared" si="30"/>
        <v>6063.2255179623307</v>
      </c>
      <c r="K217" s="87"/>
      <c r="L217" s="87"/>
    </row>
    <row r="218" spans="1:12" x14ac:dyDescent="0.25">
      <c r="A218">
        <f t="shared" si="25"/>
        <v>212</v>
      </c>
      <c r="B218" s="87">
        <f t="shared" si="31"/>
        <v>142500.46649039531</v>
      </c>
      <c r="C218" s="87">
        <f t="shared" si="26"/>
        <v>4402.7054372468283</v>
      </c>
      <c r="D218" s="84">
        <f t="shared" si="27"/>
        <v>1101.0536044157875</v>
      </c>
      <c r="E218" s="84">
        <f t="shared" si="24"/>
        <v>5503.7590416626163</v>
      </c>
      <c r="F218" s="84">
        <f>IF(A218="","",B218*Catálogos!$R$1)</f>
        <v>85.500279894237181</v>
      </c>
      <c r="G218" s="84">
        <f>IF(A218="","",IF(B218=0,0,$B$4*Catálogos!$Q$6))</f>
        <v>172.34482758620689</v>
      </c>
      <c r="H218" s="84">
        <f t="shared" si="28"/>
        <v>299</v>
      </c>
      <c r="I218" s="84">
        <f t="shared" si="29"/>
        <v>6060.6041491430597</v>
      </c>
      <c r="J218" s="87">
        <f t="shared" si="30"/>
        <v>6060.6041491430597</v>
      </c>
      <c r="K218" s="87"/>
      <c r="L218" s="87"/>
    </row>
    <row r="219" spans="1:12" x14ac:dyDescent="0.25">
      <c r="A219">
        <f t="shared" si="25"/>
        <v>213</v>
      </c>
      <c r="B219" s="87">
        <f t="shared" si="31"/>
        <v>138097.76105314848</v>
      </c>
      <c r="C219" s="87">
        <f t="shared" si="26"/>
        <v>4436.7236745919563</v>
      </c>
      <c r="D219" s="84">
        <f t="shared" si="27"/>
        <v>1067.0353670706604</v>
      </c>
      <c r="E219" s="84">
        <f t="shared" si="24"/>
        <v>5503.7590416626163</v>
      </c>
      <c r="F219" s="84">
        <f>IF(A219="","",B219*Catálogos!$R$1)</f>
        <v>82.858656631889076</v>
      </c>
      <c r="G219" s="84">
        <f>IF(A219="","",IF(B219=0,0,$B$4*Catálogos!$Q$6))</f>
        <v>172.34482758620689</v>
      </c>
      <c r="H219" s="84">
        <f t="shared" si="28"/>
        <v>299</v>
      </c>
      <c r="I219" s="84">
        <f t="shared" si="29"/>
        <v>6057.9625258807118</v>
      </c>
      <c r="J219" s="87">
        <f t="shared" si="30"/>
        <v>6057.9625258807118</v>
      </c>
      <c r="K219" s="87"/>
      <c r="L219" s="87"/>
    </row>
    <row r="220" spans="1:12" x14ac:dyDescent="0.25">
      <c r="A220">
        <f t="shared" si="25"/>
        <v>214</v>
      </c>
      <c r="B220" s="87">
        <f t="shared" si="31"/>
        <v>133661.03737855653</v>
      </c>
      <c r="C220" s="87">
        <f t="shared" si="26"/>
        <v>4471.0047595176366</v>
      </c>
      <c r="D220" s="84">
        <f t="shared" si="27"/>
        <v>1032.7542821449799</v>
      </c>
      <c r="E220" s="84">
        <f t="shared" si="24"/>
        <v>5503.7590416626163</v>
      </c>
      <c r="F220" s="84">
        <f>IF(A220="","",B220*Catálogos!$R$1)</f>
        <v>80.196622427133917</v>
      </c>
      <c r="G220" s="84">
        <f>IF(A220="","",IF(B220=0,0,$B$4*Catálogos!$Q$6))</f>
        <v>172.34482758620689</v>
      </c>
      <c r="H220" s="84">
        <f t="shared" si="28"/>
        <v>299</v>
      </c>
      <c r="I220" s="84">
        <f t="shared" si="29"/>
        <v>6055.3004916759564</v>
      </c>
      <c r="J220" s="87">
        <f t="shared" si="30"/>
        <v>6055.3004916759564</v>
      </c>
      <c r="K220" s="87"/>
      <c r="L220" s="87"/>
    </row>
    <row r="221" spans="1:12" x14ac:dyDescent="0.25">
      <c r="A221">
        <f t="shared" si="25"/>
        <v>215</v>
      </c>
      <c r="B221" s="87">
        <f t="shared" si="31"/>
        <v>129190.03261903889</v>
      </c>
      <c r="C221" s="87">
        <f t="shared" si="26"/>
        <v>4505.5507229595096</v>
      </c>
      <c r="D221" s="84">
        <f t="shared" si="27"/>
        <v>998.20831870310701</v>
      </c>
      <c r="E221" s="84">
        <f t="shared" si="24"/>
        <v>5503.7590416626163</v>
      </c>
      <c r="F221" s="84">
        <f>IF(A221="","",B221*Catálogos!$R$1)</f>
        <v>77.514019571423333</v>
      </c>
      <c r="G221" s="84">
        <f>IF(A221="","",IF(B221=0,0,$B$4*Catálogos!$Q$6))</f>
        <v>172.34482758620689</v>
      </c>
      <c r="H221" s="84">
        <f t="shared" si="28"/>
        <v>299</v>
      </c>
      <c r="I221" s="84">
        <f t="shared" si="29"/>
        <v>6052.6178888202458</v>
      </c>
      <c r="J221" s="87">
        <f t="shared" si="30"/>
        <v>6052.6178888202458</v>
      </c>
      <c r="K221" s="87"/>
      <c r="L221" s="87"/>
    </row>
    <row r="222" spans="1:12" x14ac:dyDescent="0.25">
      <c r="A222">
        <f t="shared" si="25"/>
        <v>216</v>
      </c>
      <c r="B222" s="87">
        <f t="shared" si="31"/>
        <v>124684.48189607938</v>
      </c>
      <c r="C222" s="87">
        <f t="shared" si="26"/>
        <v>4540.3636115455765</v>
      </c>
      <c r="D222" s="84">
        <f t="shared" si="27"/>
        <v>963.39543011703984</v>
      </c>
      <c r="E222" s="84">
        <f t="shared" si="24"/>
        <v>5503.7590416626163</v>
      </c>
      <c r="F222" s="84">
        <f>IF(A222="","",B222*Catálogos!$R$1)</f>
        <v>74.810689137647614</v>
      </c>
      <c r="G222" s="84">
        <f>IF(A222="","",IF(B222=0,0,$B$4*Catálogos!$Q$6))</f>
        <v>172.34482758620689</v>
      </c>
      <c r="H222" s="84">
        <f t="shared" si="28"/>
        <v>299</v>
      </c>
      <c r="I222" s="84">
        <f t="shared" si="29"/>
        <v>6049.9145583864702</v>
      </c>
      <c r="J222" s="87">
        <f t="shared" si="30"/>
        <v>6049.9145583864702</v>
      </c>
      <c r="K222" s="87"/>
      <c r="L222" s="87"/>
    </row>
    <row r="223" spans="1:12" x14ac:dyDescent="0.25">
      <c r="A223">
        <f t="shared" si="25"/>
        <v>217</v>
      </c>
      <c r="B223" s="87">
        <f t="shared" si="31"/>
        <v>120144.1182845338</v>
      </c>
      <c r="C223" s="87">
        <f t="shared" si="26"/>
        <v>4575.4454877174521</v>
      </c>
      <c r="D223" s="84">
        <f t="shared" si="27"/>
        <v>928.31355394516436</v>
      </c>
      <c r="E223" s="84">
        <f t="shared" si="24"/>
        <v>5503.7590416626163</v>
      </c>
      <c r="F223" s="84">
        <f>IF(A223="","",B223*Catálogos!$R$1)</f>
        <v>72.086470970720271</v>
      </c>
      <c r="G223" s="84">
        <f>IF(A223="","",IF(B223=0,0,$B$4*Catálogos!$Q$6))</f>
        <v>172.34482758620689</v>
      </c>
      <c r="H223" s="84">
        <f t="shared" si="28"/>
        <v>299</v>
      </c>
      <c r="I223" s="84">
        <f t="shared" si="29"/>
        <v>6047.190340219543</v>
      </c>
      <c r="J223" s="87">
        <f t="shared" si="30"/>
        <v>6047.190340219543</v>
      </c>
      <c r="K223" s="87"/>
      <c r="L223" s="87"/>
    </row>
    <row r="224" spans="1:12" x14ac:dyDescent="0.25">
      <c r="A224">
        <f t="shared" si="25"/>
        <v>218</v>
      </c>
      <c r="B224" s="87">
        <f t="shared" si="31"/>
        <v>115568.67279681635</v>
      </c>
      <c r="C224" s="87">
        <f t="shared" si="26"/>
        <v>4610.7984298525489</v>
      </c>
      <c r="D224" s="84">
        <f t="shared" si="27"/>
        <v>892.96061181006746</v>
      </c>
      <c r="E224" s="84">
        <f t="shared" si="24"/>
        <v>5503.7590416626163</v>
      </c>
      <c r="F224" s="84">
        <f>IF(A224="","",B224*Catálogos!$R$1)</f>
        <v>69.341203678089798</v>
      </c>
      <c r="G224" s="84">
        <f>IF(A224="","",IF(B224=0,0,$B$4*Catálogos!$Q$6))</f>
        <v>172.34482758620689</v>
      </c>
      <c r="H224" s="84">
        <f t="shared" si="28"/>
        <v>299</v>
      </c>
      <c r="I224" s="84">
        <f t="shared" si="29"/>
        <v>6044.4450729269129</v>
      </c>
      <c r="J224" s="87">
        <f t="shared" si="30"/>
        <v>6044.4450729269129</v>
      </c>
      <c r="K224" s="87"/>
      <c r="L224" s="87"/>
    </row>
    <row r="225" spans="1:12" x14ac:dyDescent="0.25">
      <c r="A225">
        <f t="shared" si="25"/>
        <v>219</v>
      </c>
      <c r="B225" s="87">
        <f t="shared" si="31"/>
        <v>110957.87436696379</v>
      </c>
      <c r="C225" s="87">
        <f t="shared" si="26"/>
        <v>4646.4245323872092</v>
      </c>
      <c r="D225" s="84">
        <f t="shared" si="27"/>
        <v>857.33450927540673</v>
      </c>
      <c r="E225" s="84">
        <f t="shared" si="24"/>
        <v>5503.7590416626163</v>
      </c>
      <c r="F225" s="84">
        <f>IF(A225="","",B225*Catálogos!$R$1)</f>
        <v>66.574724620178273</v>
      </c>
      <c r="G225" s="84">
        <f>IF(A225="","",IF(B225=0,0,$B$4*Catálogos!$Q$6))</f>
        <v>172.34482758620689</v>
      </c>
      <c r="H225" s="84">
        <f t="shared" si="28"/>
        <v>299</v>
      </c>
      <c r="I225" s="84">
        <f t="shared" si="29"/>
        <v>6041.6785938690009</v>
      </c>
      <c r="J225" s="87">
        <f t="shared" si="30"/>
        <v>6041.6785938690009</v>
      </c>
      <c r="K225" s="87"/>
      <c r="L225" s="87"/>
    </row>
    <row r="226" spans="1:12" x14ac:dyDescent="0.25">
      <c r="A226">
        <f t="shared" si="25"/>
        <v>220</v>
      </c>
      <c r="B226" s="87">
        <f t="shared" si="31"/>
        <v>106311.44983457658</v>
      </c>
      <c r="C226" s="87">
        <f t="shared" si="26"/>
        <v>4682.3259059407883</v>
      </c>
      <c r="D226" s="84">
        <f t="shared" si="27"/>
        <v>821.43313572182819</v>
      </c>
      <c r="E226" s="84">
        <f t="shared" si="24"/>
        <v>5503.7590416626163</v>
      </c>
      <c r="F226" s="84">
        <f>IF(A226="","",B226*Catálogos!$R$1)</f>
        <v>63.786869900745941</v>
      </c>
      <c r="G226" s="84">
        <f>IF(A226="","",IF(B226=0,0,$B$4*Catálogos!$Q$6))</f>
        <v>172.34482758620689</v>
      </c>
      <c r="H226" s="84">
        <f t="shared" si="28"/>
        <v>299</v>
      </c>
      <c r="I226" s="84">
        <f t="shared" si="29"/>
        <v>6038.8907391495686</v>
      </c>
      <c r="J226" s="87">
        <f t="shared" si="30"/>
        <v>6038.8907391495686</v>
      </c>
      <c r="K226" s="87"/>
      <c r="L226" s="87"/>
    </row>
    <row r="227" spans="1:12" x14ac:dyDescent="0.25">
      <c r="A227">
        <f t="shared" si="25"/>
        <v>221</v>
      </c>
      <c r="B227" s="87">
        <f t="shared" si="31"/>
        <v>101629.12392863579</v>
      </c>
      <c r="C227" s="87">
        <f t="shared" si="26"/>
        <v>4718.504677440691</v>
      </c>
      <c r="D227" s="84">
        <f t="shared" si="27"/>
        <v>785.2543642219257</v>
      </c>
      <c r="E227" s="84">
        <f t="shared" si="24"/>
        <v>5503.7590416626163</v>
      </c>
      <c r="F227" s="84">
        <f>IF(A227="","",B227*Catálogos!$R$1)</f>
        <v>60.977474357181471</v>
      </c>
      <c r="G227" s="84">
        <f>IF(A227="","",IF(B227=0,0,$B$4*Catálogos!$Q$6))</f>
        <v>172.34482758620689</v>
      </c>
      <c r="H227" s="84">
        <f t="shared" si="28"/>
        <v>299</v>
      </c>
      <c r="I227" s="84">
        <f t="shared" si="29"/>
        <v>6036.0813436060043</v>
      </c>
      <c r="J227" s="87">
        <f t="shared" si="30"/>
        <v>6036.0813436060043</v>
      </c>
      <c r="K227" s="87"/>
      <c r="L227" s="87"/>
    </row>
    <row r="228" spans="1:12" x14ac:dyDescent="0.25">
      <c r="A228">
        <f t="shared" si="25"/>
        <v>222</v>
      </c>
      <c r="B228" s="87">
        <f t="shared" si="31"/>
        <v>96910.619251195094</v>
      </c>
      <c r="C228" s="87">
        <f t="shared" si="26"/>
        <v>4754.9629902483821</v>
      </c>
      <c r="D228" s="84">
        <f t="shared" si="27"/>
        <v>748.79605141423394</v>
      </c>
      <c r="E228" s="84">
        <f t="shared" si="24"/>
        <v>5503.7590416626163</v>
      </c>
      <c r="F228" s="84">
        <f>IF(A228="","",B228*Catálogos!$R$1)</f>
        <v>58.146371550717049</v>
      </c>
      <c r="G228" s="84">
        <f>IF(A228="","",IF(B228=0,0,$B$4*Catálogos!$Q$6))</f>
        <v>172.34482758620689</v>
      </c>
      <c r="H228" s="84">
        <f t="shared" si="28"/>
        <v>299</v>
      </c>
      <c r="I228" s="84">
        <f t="shared" si="29"/>
        <v>6033.2502407995398</v>
      </c>
      <c r="J228" s="87">
        <f t="shared" si="30"/>
        <v>6033.2502407995398</v>
      </c>
      <c r="K228" s="87"/>
      <c r="L228" s="87"/>
    </row>
    <row r="229" spans="1:12" x14ac:dyDescent="0.25">
      <c r="A229">
        <f t="shared" si="25"/>
        <v>223</v>
      </c>
      <c r="B229" s="87">
        <f t="shared" si="31"/>
        <v>92155.656260946707</v>
      </c>
      <c r="C229" s="87">
        <f t="shared" si="26"/>
        <v>4791.703004286368</v>
      </c>
      <c r="D229" s="84">
        <f t="shared" si="27"/>
        <v>712.05603737624813</v>
      </c>
      <c r="E229" s="84">
        <f t="shared" si="24"/>
        <v>5503.7590416626163</v>
      </c>
      <c r="F229" s="84">
        <f>IF(A229="","",B229*Catálogos!$R$1)</f>
        <v>55.293393756568022</v>
      </c>
      <c r="G229" s="84">
        <f>IF(A229="","",IF(B229=0,0,$B$4*Catálogos!$Q$6))</f>
        <v>172.34482758620689</v>
      </c>
      <c r="H229" s="84">
        <f t="shared" si="28"/>
        <v>299</v>
      </c>
      <c r="I229" s="84">
        <f t="shared" si="29"/>
        <v>6030.3972630053904</v>
      </c>
      <c r="J229" s="87">
        <f t="shared" si="30"/>
        <v>6030.3972630053904</v>
      </c>
      <c r="K229" s="87"/>
      <c r="L229" s="87"/>
    </row>
    <row r="230" spans="1:12" x14ac:dyDescent="0.25">
      <c r="A230">
        <f t="shared" si="25"/>
        <v>224</v>
      </c>
      <c r="B230" s="87">
        <f t="shared" si="31"/>
        <v>87363.953256660345</v>
      </c>
      <c r="C230" s="87">
        <f t="shared" si="26"/>
        <v>4828.7268961661539</v>
      </c>
      <c r="D230" s="84">
        <f t="shared" si="27"/>
        <v>675.03214549646214</v>
      </c>
      <c r="E230" s="84">
        <f t="shared" si="24"/>
        <v>5503.7590416626163</v>
      </c>
      <c r="F230" s="84">
        <f>IF(A230="","",B230*Catálogos!$R$1)</f>
        <v>52.4183719539962</v>
      </c>
      <c r="G230" s="84">
        <f>IF(A230="","",IF(B230=0,0,$B$4*Catálogos!$Q$6))</f>
        <v>172.34482758620689</v>
      </c>
      <c r="H230" s="84">
        <f t="shared" si="28"/>
        <v>299</v>
      </c>
      <c r="I230" s="84">
        <f t="shared" si="29"/>
        <v>6027.5222412028188</v>
      </c>
      <c r="J230" s="87">
        <f t="shared" si="30"/>
        <v>6027.5222412028188</v>
      </c>
      <c r="K230" s="87"/>
      <c r="L230" s="87"/>
    </row>
    <row r="231" spans="1:12" x14ac:dyDescent="0.25">
      <c r="A231">
        <f t="shared" si="25"/>
        <v>225</v>
      </c>
      <c r="B231" s="87">
        <f t="shared" si="31"/>
        <v>82535.226360494184</v>
      </c>
      <c r="C231" s="87">
        <f t="shared" si="26"/>
        <v>4866.0368593171979</v>
      </c>
      <c r="D231" s="84">
        <f t="shared" si="27"/>
        <v>637.72218234541833</v>
      </c>
      <c r="E231" s="84">
        <f t="shared" si="24"/>
        <v>5503.7590416626163</v>
      </c>
      <c r="F231" s="84">
        <f>IF(A231="","",B231*Catálogos!$R$1)</f>
        <v>49.521135816296507</v>
      </c>
      <c r="G231" s="84">
        <f>IF(A231="","",IF(B231=0,0,$B$4*Catálogos!$Q$6))</f>
        <v>172.34482758620689</v>
      </c>
      <c r="H231" s="84">
        <f t="shared" si="28"/>
        <v>299</v>
      </c>
      <c r="I231" s="84">
        <f t="shared" si="29"/>
        <v>6024.6250050651197</v>
      </c>
      <c r="J231" s="87">
        <f t="shared" si="30"/>
        <v>6024.6250050651197</v>
      </c>
      <c r="K231" s="87"/>
      <c r="L231" s="87"/>
    </row>
    <row r="232" spans="1:12" x14ac:dyDescent="0.25">
      <c r="A232">
        <f t="shared" si="25"/>
        <v>226</v>
      </c>
      <c r="B232" s="87">
        <f t="shared" si="31"/>
        <v>77669.189501176981</v>
      </c>
      <c r="C232" s="87">
        <f t="shared" si="26"/>
        <v>4903.6351041168555</v>
      </c>
      <c r="D232" s="84">
        <f t="shared" si="27"/>
        <v>600.12393754576067</v>
      </c>
      <c r="E232" s="84">
        <f t="shared" si="24"/>
        <v>5503.7590416626163</v>
      </c>
      <c r="F232" s="84">
        <f>IF(A232="","",B232*Catálogos!$R$1)</f>
        <v>46.601513700706185</v>
      </c>
      <c r="G232" s="84">
        <f>IF(A232="","",IF(B232=0,0,$B$4*Catálogos!$Q$6))</f>
        <v>172.34482758620689</v>
      </c>
      <c r="H232" s="84">
        <f t="shared" si="28"/>
        <v>299</v>
      </c>
      <c r="I232" s="84">
        <f t="shared" si="29"/>
        <v>6021.7053829495289</v>
      </c>
      <c r="J232" s="87">
        <f t="shared" si="30"/>
        <v>6021.7053829495289</v>
      </c>
      <c r="K232" s="87"/>
      <c r="L232" s="87"/>
    </row>
    <row r="233" spans="1:12" x14ac:dyDescent="0.25">
      <c r="A233">
        <f t="shared" si="25"/>
        <v>227</v>
      </c>
      <c r="B233" s="87">
        <f t="shared" si="31"/>
        <v>72765.554397060128</v>
      </c>
      <c r="C233" s="87">
        <f t="shared" si="26"/>
        <v>4941.5238580213318</v>
      </c>
      <c r="D233" s="84">
        <f t="shared" si="27"/>
        <v>562.23518364128449</v>
      </c>
      <c r="E233" s="84">
        <f t="shared" si="24"/>
        <v>5503.7590416626163</v>
      </c>
      <c r="F233" s="84">
        <f>IF(A233="","",B233*Catálogos!$R$1)</f>
        <v>43.659332638236073</v>
      </c>
      <c r="G233" s="84">
        <f>IF(A233="","",IF(B233=0,0,$B$4*Catálogos!$Q$6))</f>
        <v>172.34482758620689</v>
      </c>
      <c r="H233" s="84">
        <f t="shared" si="28"/>
        <v>299</v>
      </c>
      <c r="I233" s="84">
        <f t="shared" si="29"/>
        <v>6018.763201887059</v>
      </c>
      <c r="J233" s="87">
        <f t="shared" si="30"/>
        <v>6018.763201887059</v>
      </c>
      <c r="K233" s="87"/>
      <c r="L233" s="87"/>
    </row>
    <row r="234" spans="1:12" x14ac:dyDescent="0.25">
      <c r="A234">
        <f t="shared" si="25"/>
        <v>228</v>
      </c>
      <c r="B234" s="87">
        <f t="shared" si="31"/>
        <v>67824.030539038795</v>
      </c>
      <c r="C234" s="87">
        <f t="shared" si="26"/>
        <v>4979.7053656976432</v>
      </c>
      <c r="D234" s="84">
        <f t="shared" si="27"/>
        <v>524.05367596497297</v>
      </c>
      <c r="E234" s="84">
        <f t="shared" si="24"/>
        <v>5503.7590416626163</v>
      </c>
      <c r="F234" s="84">
        <f>IF(A234="","",B234*Catálogos!$R$1)</f>
        <v>40.694418323423271</v>
      </c>
      <c r="G234" s="84">
        <f>IF(A234="","",IF(B234=0,0,$B$4*Catálogos!$Q$6))</f>
        <v>172.34482758620689</v>
      </c>
      <c r="H234" s="84">
        <f t="shared" si="28"/>
        <v>299</v>
      </c>
      <c r="I234" s="84">
        <f t="shared" si="29"/>
        <v>6015.7982875722464</v>
      </c>
      <c r="J234" s="87">
        <f t="shared" si="30"/>
        <v>6015.7982875722464</v>
      </c>
      <c r="K234" s="87"/>
      <c r="L234" s="87"/>
    </row>
    <row r="235" spans="1:12" x14ac:dyDescent="0.25">
      <c r="A235">
        <f t="shared" si="25"/>
        <v>229</v>
      </c>
      <c r="B235" s="87">
        <f t="shared" si="31"/>
        <v>62844.325173341153</v>
      </c>
      <c r="C235" s="87">
        <f t="shared" si="26"/>
        <v>5018.1818891565999</v>
      </c>
      <c r="D235" s="84">
        <f t="shared" si="27"/>
        <v>485.57715250601592</v>
      </c>
      <c r="E235" s="84">
        <f t="shared" si="24"/>
        <v>5503.7590416626163</v>
      </c>
      <c r="F235" s="84">
        <f>IF(A235="","",B235*Catálogos!$R$1)</f>
        <v>37.706595104004691</v>
      </c>
      <c r="G235" s="84">
        <f>IF(A235="","",IF(B235=0,0,$B$4*Catálogos!$Q$6))</f>
        <v>172.34482758620689</v>
      </c>
      <c r="H235" s="84">
        <f t="shared" si="28"/>
        <v>299</v>
      </c>
      <c r="I235" s="84">
        <f t="shared" si="29"/>
        <v>6012.8104643528277</v>
      </c>
      <c r="J235" s="87">
        <f t="shared" si="30"/>
        <v>6012.8104643528277</v>
      </c>
      <c r="K235" s="87"/>
      <c r="L235" s="87"/>
    </row>
    <row r="236" spans="1:12" x14ac:dyDescent="0.25">
      <c r="A236">
        <f t="shared" si="25"/>
        <v>230</v>
      </c>
      <c r="B236" s="87">
        <f t="shared" si="31"/>
        <v>57826.143284184553</v>
      </c>
      <c r="C236" s="87">
        <f t="shared" si="26"/>
        <v>5056.9557078868174</v>
      </c>
      <c r="D236" s="84">
        <f t="shared" si="27"/>
        <v>446.80333377579922</v>
      </c>
      <c r="E236" s="84">
        <f t="shared" si="24"/>
        <v>5503.7590416626163</v>
      </c>
      <c r="F236" s="84">
        <f>IF(A236="","",B236*Catálogos!$R$1)</f>
        <v>34.695685970510731</v>
      </c>
      <c r="G236" s="84">
        <f>IF(A236="","",IF(B236=0,0,$B$4*Catálogos!$Q$6))</f>
        <v>172.34482758620689</v>
      </c>
      <c r="H236" s="84">
        <f t="shared" si="28"/>
        <v>299</v>
      </c>
      <c r="I236" s="84">
        <f t="shared" si="29"/>
        <v>6009.7995552193333</v>
      </c>
      <c r="J236" s="87">
        <f t="shared" si="30"/>
        <v>6009.7995552193333</v>
      </c>
      <c r="K236" s="87"/>
      <c r="L236" s="87"/>
    </row>
    <row r="237" spans="1:12" x14ac:dyDescent="0.25">
      <c r="A237">
        <f t="shared" si="25"/>
        <v>231</v>
      </c>
      <c r="B237" s="87">
        <f t="shared" si="31"/>
        <v>52769.187576297736</v>
      </c>
      <c r="C237" s="87">
        <f t="shared" si="26"/>
        <v>5096.0291189897562</v>
      </c>
      <c r="D237" s="84">
        <f t="shared" si="27"/>
        <v>407.72992267286043</v>
      </c>
      <c r="E237" s="84">
        <f t="shared" si="24"/>
        <v>5503.7590416626163</v>
      </c>
      <c r="F237" s="84">
        <f>IF(A237="","",B237*Catálogos!$R$1)</f>
        <v>31.661512545778638</v>
      </c>
      <c r="G237" s="84">
        <f>IF(A237="","",IF(B237=0,0,$B$4*Catálogos!$Q$6))</f>
        <v>172.34482758620689</v>
      </c>
      <c r="H237" s="84">
        <f t="shared" si="28"/>
        <v>299</v>
      </c>
      <c r="I237" s="84">
        <f t="shared" si="29"/>
        <v>6006.7653817946011</v>
      </c>
      <c r="J237" s="87">
        <f t="shared" si="30"/>
        <v>6006.7653817946011</v>
      </c>
      <c r="K237" s="87"/>
      <c r="L237" s="87"/>
    </row>
    <row r="238" spans="1:12" x14ac:dyDescent="0.25">
      <c r="A238">
        <f t="shared" si="25"/>
        <v>232</v>
      </c>
      <c r="B238" s="87">
        <f t="shared" si="31"/>
        <v>47673.158457307982</v>
      </c>
      <c r="C238" s="87">
        <f t="shared" si="26"/>
        <v>5135.4044373158167</v>
      </c>
      <c r="D238" s="84">
        <f t="shared" si="27"/>
        <v>368.35460434679959</v>
      </c>
      <c r="E238" s="84">
        <f t="shared" si="24"/>
        <v>5503.7590416626163</v>
      </c>
      <c r="F238" s="84">
        <f>IF(A238="","",B238*Catálogos!$R$1)</f>
        <v>28.603895074384788</v>
      </c>
      <c r="G238" s="84">
        <f>IF(A238="","",IF(B238=0,0,$B$4*Catálogos!$Q$6))</f>
        <v>172.34482758620689</v>
      </c>
      <c r="H238" s="84">
        <f t="shared" si="28"/>
        <v>299</v>
      </c>
      <c r="I238" s="84">
        <f t="shared" si="29"/>
        <v>6003.7077643232078</v>
      </c>
      <c r="J238" s="87">
        <f t="shared" si="30"/>
        <v>6003.7077643232078</v>
      </c>
      <c r="K238" s="87"/>
      <c r="L238" s="87"/>
    </row>
    <row r="239" spans="1:12" x14ac:dyDescent="0.25">
      <c r="A239">
        <f t="shared" si="25"/>
        <v>233</v>
      </c>
      <c r="B239" s="87">
        <f t="shared" si="31"/>
        <v>42537.754019992164</v>
      </c>
      <c r="C239" s="87">
        <f t="shared" si="26"/>
        <v>5175.083995601477</v>
      </c>
      <c r="D239" s="84">
        <f t="shared" si="27"/>
        <v>328.67504606113943</v>
      </c>
      <c r="E239" s="84">
        <f t="shared" si="24"/>
        <v>5503.7590416626163</v>
      </c>
      <c r="F239" s="84">
        <f>IF(A239="","",B239*Catálogos!$R$1)</f>
        <v>25.522652411995296</v>
      </c>
      <c r="G239" s="84">
        <f>IF(A239="","",IF(B239=0,0,$B$4*Catálogos!$Q$6))</f>
        <v>172.34482758620689</v>
      </c>
      <c r="H239" s="84">
        <f t="shared" si="28"/>
        <v>299</v>
      </c>
      <c r="I239" s="84">
        <f t="shared" si="29"/>
        <v>6000.6265216608181</v>
      </c>
      <c r="J239" s="87">
        <f t="shared" si="30"/>
        <v>6000.6265216608181</v>
      </c>
      <c r="K239" s="87"/>
      <c r="L239" s="87"/>
    </row>
    <row r="240" spans="1:12" x14ac:dyDescent="0.25">
      <c r="A240">
        <f t="shared" si="25"/>
        <v>234</v>
      </c>
      <c r="B240" s="87">
        <f t="shared" si="31"/>
        <v>37362.670024390689</v>
      </c>
      <c r="C240" s="87">
        <f t="shared" si="26"/>
        <v>5215.0701446074909</v>
      </c>
      <c r="D240" s="84">
        <f t="shared" si="27"/>
        <v>288.68889705512532</v>
      </c>
      <c r="E240" s="84">
        <f t="shared" si="24"/>
        <v>5503.7590416626163</v>
      </c>
      <c r="F240" s="84">
        <f>IF(A240="","",B240*Catálogos!$R$1)</f>
        <v>22.417602014634411</v>
      </c>
      <c r="G240" s="84">
        <f>IF(A240="","",IF(B240=0,0,$B$4*Catálogos!$Q$6))</f>
        <v>172.34482758620689</v>
      </c>
      <c r="H240" s="84">
        <f t="shared" si="28"/>
        <v>299</v>
      </c>
      <c r="I240" s="84">
        <f t="shared" si="29"/>
        <v>5997.521471263457</v>
      </c>
      <c r="J240" s="87">
        <f t="shared" si="30"/>
        <v>5997.521471263457</v>
      </c>
      <c r="K240" s="87"/>
      <c r="L240" s="87"/>
    </row>
    <row r="241" spans="1:12" x14ac:dyDescent="0.25">
      <c r="A241">
        <f t="shared" si="25"/>
        <v>235</v>
      </c>
      <c r="B241" s="87">
        <f t="shared" si="31"/>
        <v>32147.5998797832</v>
      </c>
      <c r="C241" s="87">
        <f t="shared" si="26"/>
        <v>5255.3652532581582</v>
      </c>
      <c r="D241" s="84">
        <f t="shared" si="27"/>
        <v>248.39378840445815</v>
      </c>
      <c r="E241" s="84">
        <f t="shared" si="24"/>
        <v>5503.7590416626163</v>
      </c>
      <c r="F241" s="84">
        <f>IF(A241="","",B241*Catálogos!$R$1)</f>
        <v>19.288559927869919</v>
      </c>
      <c r="G241" s="84">
        <f>IF(A241="","",IF(B241=0,0,$B$4*Catálogos!$Q$6))</f>
        <v>172.34482758620689</v>
      </c>
      <c r="H241" s="84">
        <f t="shared" si="28"/>
        <v>299</v>
      </c>
      <c r="I241" s="84">
        <f t="shared" si="29"/>
        <v>5994.3924291766925</v>
      </c>
      <c r="J241" s="87">
        <f t="shared" si="30"/>
        <v>5994.3924291766925</v>
      </c>
      <c r="K241" s="87"/>
      <c r="L241" s="87"/>
    </row>
    <row r="242" spans="1:12" x14ac:dyDescent="0.25">
      <c r="A242">
        <f t="shared" si="25"/>
        <v>236</v>
      </c>
      <c r="B242" s="87">
        <f t="shared" si="31"/>
        <v>26892.234626525042</v>
      </c>
      <c r="C242" s="87">
        <f t="shared" si="26"/>
        <v>5295.9717087816662</v>
      </c>
      <c r="D242" s="84">
        <f t="shared" si="27"/>
        <v>207.78733288095012</v>
      </c>
      <c r="E242" s="84">
        <f t="shared" si="24"/>
        <v>5503.7590416626163</v>
      </c>
      <c r="F242" s="84">
        <f>IF(A242="","",B242*Catálogos!$R$1)</f>
        <v>16.135340775915022</v>
      </c>
      <c r="G242" s="84">
        <f>IF(A242="","",IF(B242=0,0,$B$4*Catálogos!$Q$6))</f>
        <v>172.34482758620689</v>
      </c>
      <c r="H242" s="84">
        <f t="shared" si="28"/>
        <v>299</v>
      </c>
      <c r="I242" s="84">
        <f t="shared" si="29"/>
        <v>5991.239210024738</v>
      </c>
      <c r="J242" s="87">
        <f t="shared" si="30"/>
        <v>5991.239210024738</v>
      </c>
      <c r="K242" s="87"/>
      <c r="L242" s="87"/>
    </row>
    <row r="243" spans="1:12" x14ac:dyDescent="0.25">
      <c r="A243">
        <f t="shared" si="25"/>
        <v>237</v>
      </c>
      <c r="B243" s="87">
        <f t="shared" si="31"/>
        <v>21596.262917743377</v>
      </c>
      <c r="C243" s="87">
        <f t="shared" si="26"/>
        <v>5336.8919168515195</v>
      </c>
      <c r="D243" s="84">
        <f t="shared" si="27"/>
        <v>166.86712481109714</v>
      </c>
      <c r="E243" s="84">
        <f t="shared" si="24"/>
        <v>5503.7590416626163</v>
      </c>
      <c r="F243" s="84">
        <f>IF(A243="","",B243*Catálogos!$R$1)</f>
        <v>12.957757750646024</v>
      </c>
      <c r="G243" s="84">
        <f>IF(A243="","",IF(B243=0,0,$B$4*Catálogos!$Q$6))</f>
        <v>172.34482758620689</v>
      </c>
      <c r="H243" s="84">
        <f t="shared" si="28"/>
        <v>299</v>
      </c>
      <c r="I243" s="84">
        <f t="shared" si="29"/>
        <v>5988.0616269994689</v>
      </c>
      <c r="J243" s="87">
        <f t="shared" si="30"/>
        <v>5988.0616269994689</v>
      </c>
      <c r="K243" s="87"/>
      <c r="L243" s="87"/>
    </row>
    <row r="244" spans="1:12" x14ac:dyDescent="0.25">
      <c r="A244">
        <f t="shared" si="25"/>
        <v>238</v>
      </c>
      <c r="B244" s="87">
        <f t="shared" si="31"/>
        <v>16259.371000891857</v>
      </c>
      <c r="C244" s="87">
        <f t="shared" si="26"/>
        <v>5378.1283017290589</v>
      </c>
      <c r="D244" s="84">
        <f t="shared" si="27"/>
        <v>125.63073993355773</v>
      </c>
      <c r="E244" s="84">
        <f t="shared" si="24"/>
        <v>5503.7590416626163</v>
      </c>
      <c r="F244" s="84">
        <f>IF(A244="","",B244*Catálogos!$R$1)</f>
        <v>9.7556226005351139</v>
      </c>
      <c r="G244" s="84">
        <f>IF(A244="","",IF(B244=0,0,$B$4*Catálogos!$Q$6))</f>
        <v>172.34482758620689</v>
      </c>
      <c r="H244" s="84">
        <f t="shared" si="28"/>
        <v>299</v>
      </c>
      <c r="I244" s="84">
        <f t="shared" si="29"/>
        <v>5984.8594918493582</v>
      </c>
      <c r="J244" s="87">
        <f t="shared" si="30"/>
        <v>5984.8594918493582</v>
      </c>
      <c r="K244" s="87"/>
      <c r="L244" s="87"/>
    </row>
    <row r="245" spans="1:12" x14ac:dyDescent="0.25">
      <c r="A245">
        <f t="shared" si="25"/>
        <v>239</v>
      </c>
      <c r="B245" s="87">
        <f t="shared" si="31"/>
        <v>10881.242699162798</v>
      </c>
      <c r="C245" s="87">
        <f t="shared" si="26"/>
        <v>5419.6833064070852</v>
      </c>
      <c r="D245" s="84">
        <f t="shared" si="27"/>
        <v>84.075735255531214</v>
      </c>
      <c r="E245" s="84">
        <f t="shared" si="24"/>
        <v>5503.7590416626163</v>
      </c>
      <c r="F245" s="84">
        <f>IF(A245="","",B245*Catálogos!$R$1)</f>
        <v>6.5287456194976778</v>
      </c>
      <c r="G245" s="84">
        <f>IF(A245="","",IF(B245=0,0,$B$4*Catálogos!$Q$6))</f>
        <v>172.34482758620689</v>
      </c>
      <c r="H245" s="84">
        <f t="shared" si="28"/>
        <v>299</v>
      </c>
      <c r="I245" s="84">
        <f t="shared" si="29"/>
        <v>5981.6326148683202</v>
      </c>
      <c r="J245" s="87">
        <f t="shared" si="30"/>
        <v>5981.6326148683202</v>
      </c>
      <c r="K245" s="87"/>
      <c r="L245" s="87"/>
    </row>
    <row r="246" spans="1:12" x14ac:dyDescent="0.25">
      <c r="A246">
        <f t="shared" si="25"/>
        <v>240</v>
      </c>
      <c r="B246" s="87">
        <f t="shared" si="31"/>
        <v>5461.5593927557129</v>
      </c>
      <c r="C246" s="87">
        <f t="shared" si="26"/>
        <v>5461.5593927545906</v>
      </c>
      <c r="D246" s="84">
        <f t="shared" si="27"/>
        <v>42.1996489080258</v>
      </c>
      <c r="E246" s="84">
        <f t="shared" si="24"/>
        <v>5503.7590416626163</v>
      </c>
      <c r="F246" s="84">
        <f>IF(A246="","",B246*Catálogos!$R$1)</f>
        <v>3.2769356356534276</v>
      </c>
      <c r="G246" s="84">
        <f>IF(A246="","",IF(B246=0,0,$B$4*Catálogos!$Q$6))</f>
        <v>172.34482758620689</v>
      </c>
      <c r="H246" s="84">
        <f t="shared" si="28"/>
        <v>299</v>
      </c>
      <c r="I246" s="84">
        <f t="shared" si="29"/>
        <v>5978.3808048844758</v>
      </c>
      <c r="J246" s="87">
        <f t="shared" si="30"/>
        <v>5978.3808048844758</v>
      </c>
      <c r="K246" s="87"/>
      <c r="L246" s="87"/>
    </row>
  </sheetData>
  <mergeCells count="1">
    <mergeCell ref="N1:O1"/>
  </mergeCells>
  <pageMargins left="0.7" right="0.7" top="0.75" bottom="0.75" header="0.3" footer="0.3"/>
</worksheet>
</file>

<file path=docMetadata/LabelInfo.xml><?xml version="1.0" encoding="utf-8"?>
<clbl:labelList xmlns:clbl="http://schemas.microsoft.com/office/2020/mipLabelMetadata">
  <clbl:label id="{f553da26-04fc-4848-a738-5684ab93d77b}" enabled="1" method="Standard" siteId="{5d638bf1-7afd-4f6e-a308-2245d53ac2db}"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29</vt:i4>
      </vt:variant>
    </vt:vector>
  </HeadingPairs>
  <TitlesOfParts>
    <vt:vector size="38" baseType="lpstr">
      <vt:lpstr>Carátula</vt:lpstr>
      <vt:lpstr>Tabla Notaría</vt:lpstr>
      <vt:lpstr>Oferta Vinculante</vt:lpstr>
      <vt:lpstr>Fecha Pago</vt:lpstr>
      <vt:lpstr>Notariales Estados</vt:lpstr>
      <vt:lpstr>Catálogos</vt:lpstr>
      <vt:lpstr>Avalúos</vt:lpstr>
      <vt:lpstr>Prepagos</vt:lpstr>
      <vt:lpstr>CAT</vt:lpstr>
      <vt:lpstr>'Oferta Vinculante'!_Inciso_Apoyo</vt:lpstr>
      <vt:lpstr>'Oferta Vinculante'!_Inciso_Cofinavit</vt:lpstr>
      <vt:lpstr>'Oferta Vinculante'!_Inciso_Gravamen_Separado</vt:lpstr>
      <vt:lpstr>'Oferta Vinculante'!_Inciso_Vigilancia</vt:lpstr>
      <vt:lpstr>'Oferta Vinculante'!Aforo</vt:lpstr>
      <vt:lpstr>'Fecha Pago'!Anterior</vt:lpstr>
      <vt:lpstr>Carátula!Área_de_impresión</vt:lpstr>
      <vt:lpstr>'Oferta Vinculante'!Área_de_impresión</vt:lpstr>
      <vt:lpstr>'Tabla Notaría'!Área_de_impresión</vt:lpstr>
      <vt:lpstr>'Oferta Vinculante'!Cálculo_Interés_CAT</vt:lpstr>
      <vt:lpstr>'Oferta Vinculante'!Contenido_Notarial</vt:lpstr>
      <vt:lpstr>'Oferta Vinculante'!i.Aclaración_Tasa</vt:lpstr>
      <vt:lpstr>'Oferta Vinculante'!i.CAT</vt:lpstr>
      <vt:lpstr>'Oferta Vinculante'!i.Com_Inv_Etiqueta</vt:lpstr>
      <vt:lpstr>'Oferta Vinculante'!i.Comisión_Autorización</vt:lpstr>
      <vt:lpstr>'Oferta Vinculante'!i.Comisión_Investigación</vt:lpstr>
      <vt:lpstr>'Oferta Vinculante'!i.Comisión_Supervisión_Obra</vt:lpstr>
      <vt:lpstr>'Oferta Vinculante'!i.Destino</vt:lpstr>
      <vt:lpstr>'Oferta Vinculante'!i.Etiqueta_Tasas_Interés</vt:lpstr>
      <vt:lpstr>'Oferta Vinculante'!i.Fecha_Cotización</vt:lpstr>
      <vt:lpstr>'Oferta Vinculante'!i.Importe_Solicitado</vt:lpstr>
      <vt:lpstr>'Oferta Vinculante'!i.Nomenclatura_Notarial</vt:lpstr>
      <vt:lpstr>'Oferta Vinculante'!i.Plazo_en_Años</vt:lpstr>
      <vt:lpstr>'Oferta Vinculante'!i.Tasa_Ordinaria</vt:lpstr>
      <vt:lpstr>'Oferta Vinculante'!i.Valor_Garantía</vt:lpstr>
      <vt:lpstr>'Oferta Vinculante'!Nombre_Cliente</vt:lpstr>
      <vt:lpstr>'Oferta Vinculante'!Tasa_Moratoria</vt:lpstr>
      <vt:lpstr>Carátula!Títulos_a_imprimir</vt:lpstr>
      <vt:lpstr>'Tabla Notaría'!Títulos_a_imprimir</vt:lpstr>
    </vt:vector>
  </TitlesOfParts>
  <Company>Banco Mercantil del Norte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ARTURO GUADARRAMA GUADARRAMA</dc:creator>
  <cp:lastModifiedBy>CINERET ROSAS MONTIEL</cp:lastModifiedBy>
  <cp:lastPrinted>2025-04-15T17:13:44Z</cp:lastPrinted>
  <dcterms:created xsi:type="dcterms:W3CDTF">2024-07-25T22:00:27Z</dcterms:created>
  <dcterms:modified xsi:type="dcterms:W3CDTF">2026-04-28T21:40:53Z</dcterms:modified>
</cp:coreProperties>
</file>