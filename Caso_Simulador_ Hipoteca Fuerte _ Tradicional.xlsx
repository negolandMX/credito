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 Romero\Documents\GIMNASIO\BANORTE\TEMAS\SIMULADOR\CASOS\CASO HIPOTECA FUERTE\"/>
    </mc:Choice>
  </mc:AlternateContent>
  <xr:revisionPtr revIDLastSave="0" documentId="13_ncr:1_{D71A5BF0-DC98-4362-8BEC-3202CC868ED6}" xr6:coauthVersionLast="47" xr6:coauthVersionMax="47" xr10:uidLastSave="{00000000-0000-0000-0000-000000000000}"/>
  <bookViews>
    <workbookView xWindow="-108" yWindow="-108" windowWidth="23256" windowHeight="12456" activeTab="1" xr2:uid="{DD725471-7F83-424A-AF20-5713A129CEAF}"/>
  </bookViews>
  <sheets>
    <sheet name="Instrucciones" sheetId="2" r:id="rId1"/>
    <sheet name="Hoja de trabaj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</calcChain>
</file>

<file path=xl/sharedStrings.xml><?xml version="1.0" encoding="utf-8"?>
<sst xmlns="http://schemas.openxmlformats.org/spreadsheetml/2006/main" count="81" uniqueCount="68">
  <si>
    <t>HOJA DE TRABAJO</t>
  </si>
  <si>
    <t xml:space="preserve">5 minutos </t>
  </si>
  <si>
    <t>Lectura</t>
  </si>
  <si>
    <t>SI</t>
  </si>
  <si>
    <t>NO</t>
  </si>
  <si>
    <t>a.</t>
  </si>
  <si>
    <t>b.</t>
  </si>
  <si>
    <t>Interés</t>
  </si>
  <si>
    <t>c.</t>
  </si>
  <si>
    <t>Seguro vida</t>
  </si>
  <si>
    <t>d.</t>
  </si>
  <si>
    <t xml:space="preserve">Seguro daños </t>
  </si>
  <si>
    <t>e.</t>
  </si>
  <si>
    <t xml:space="preserve">Morado </t>
  </si>
  <si>
    <t>Naranja</t>
  </si>
  <si>
    <t>Rojo</t>
  </si>
  <si>
    <t>Verde</t>
  </si>
  <si>
    <t>Amarillo</t>
  </si>
  <si>
    <t>Intrucciones</t>
  </si>
  <si>
    <t>Azul</t>
  </si>
  <si>
    <t>¿El prepago puede reducir la mensualidad?</t>
  </si>
  <si>
    <t>¿Cómo debo informar al banco los pagos anticipados?</t>
  </si>
  <si>
    <t>Inciso</t>
  </si>
  <si>
    <t>Pregunta</t>
  </si>
  <si>
    <t>Pregunta 1: Inciso a y b</t>
  </si>
  <si>
    <t>Pregunta 1: Inciso c, d y e</t>
  </si>
  <si>
    <t>Capital</t>
  </si>
  <si>
    <r>
      <t xml:space="preserve">¿Cuál sería el </t>
    </r>
    <r>
      <rPr>
        <b/>
        <sz val="12"/>
        <color theme="1"/>
        <rFont val="Calibri"/>
        <family val="2"/>
        <scheme val="minor"/>
      </rPr>
      <t>costo total</t>
    </r>
    <r>
      <rPr>
        <sz val="12"/>
        <color theme="1"/>
        <rFont val="Calibri"/>
        <family val="2"/>
        <scheme val="minor"/>
      </rPr>
      <t xml:space="preserve"> de mi Crédito con esas dos aportaciones?</t>
    </r>
  </si>
  <si>
    <r>
      <rPr>
        <sz val="14"/>
        <color theme="1"/>
        <rFont val="Calibri"/>
        <family val="2"/>
        <scheme val="minor"/>
      </rPr>
      <t xml:space="preserve">1. De la </t>
    </r>
    <r>
      <rPr>
        <b/>
        <sz val="14"/>
        <color theme="1"/>
        <rFont val="Calibri"/>
        <family val="2"/>
        <scheme val="minor"/>
      </rPr>
      <t>mensualidad</t>
    </r>
    <r>
      <rPr>
        <sz val="14"/>
        <color theme="1"/>
        <rFont val="Calibri"/>
        <family val="2"/>
        <scheme val="minor"/>
      </rPr>
      <t xml:space="preserve"> presentada en la </t>
    </r>
    <r>
      <rPr>
        <b/>
        <sz val="14"/>
        <color theme="1"/>
        <rFont val="Calibri"/>
        <family val="2"/>
        <scheme val="minor"/>
      </rPr>
      <t>propuesta hipotecaria</t>
    </r>
    <r>
      <rPr>
        <sz val="14"/>
        <color theme="1"/>
        <rFont val="Calibri"/>
        <family val="2"/>
        <scheme val="minor"/>
      </rPr>
      <t xml:space="preserve">, desglosar en cantidad los siguientes datos: </t>
    </r>
  </si>
  <si>
    <t>Pregunta 4: Todos los incisos</t>
  </si>
  <si>
    <t>Pregunta 3: Todos los incisos</t>
  </si>
  <si>
    <t>Pregunta 2: Inciso d y e</t>
  </si>
  <si>
    <t>Pregunta 2: Inciso a, b y c</t>
  </si>
  <si>
    <t>Respuesta</t>
  </si>
  <si>
    <t>Desembolso inicial</t>
  </si>
  <si>
    <t>Banco</t>
  </si>
  <si>
    <t>Valor de vivienda</t>
  </si>
  <si>
    <t>Crédito solicitado</t>
  </si>
  <si>
    <t>Tasa de interes</t>
  </si>
  <si>
    <t>Mensualidad</t>
  </si>
  <si>
    <t>Plazo</t>
  </si>
  <si>
    <t>Total del Crédito</t>
  </si>
  <si>
    <t>Ingreso Mínimo</t>
  </si>
  <si>
    <t>Enganche</t>
  </si>
  <si>
    <t>Avalúo</t>
  </si>
  <si>
    <t>Comisión por apertura</t>
  </si>
  <si>
    <t>Comisión por investigación</t>
  </si>
  <si>
    <t>Gastos notariales</t>
  </si>
  <si>
    <t>Total de desembolso</t>
  </si>
  <si>
    <t>Actividad económica</t>
  </si>
  <si>
    <t>Esquema fijo</t>
  </si>
  <si>
    <t xml:space="preserve">Mensualidad : </t>
  </si>
  <si>
    <r>
      <t xml:space="preserve">Mensualidad </t>
    </r>
    <r>
      <rPr>
        <b/>
        <sz val="12"/>
        <color theme="1"/>
        <rFont val="Calibri"/>
        <family val="2"/>
        <scheme val="minor"/>
      </rPr>
      <t>inicial</t>
    </r>
    <r>
      <rPr>
        <sz val="12"/>
        <color theme="1"/>
        <rFont val="Calibri"/>
        <family val="2"/>
        <scheme val="minor"/>
      </rPr>
      <t xml:space="preserve">: </t>
    </r>
  </si>
  <si>
    <r>
      <t xml:space="preserve">Mensualidad </t>
    </r>
    <r>
      <rPr>
        <b/>
        <sz val="12"/>
        <color theme="1"/>
        <rFont val="Calibri"/>
        <family val="2"/>
        <scheme val="minor"/>
      </rPr>
      <t>final</t>
    </r>
    <r>
      <rPr>
        <sz val="12"/>
        <color theme="1"/>
        <rFont val="Calibri"/>
        <family val="2"/>
        <scheme val="minor"/>
      </rPr>
      <t>:</t>
    </r>
  </si>
  <si>
    <t>BANORTE</t>
  </si>
  <si>
    <t>¿Cuanto tendría que pagar en el mes 73?</t>
  </si>
  <si>
    <r>
      <t xml:space="preserve">¿Cuanto tendría que pagar en </t>
    </r>
    <r>
      <rPr>
        <b/>
        <sz val="12"/>
        <color theme="1"/>
        <rFont val="Calibri"/>
        <family val="2"/>
        <scheme val="minor"/>
      </rPr>
      <t>el mes 97</t>
    </r>
    <r>
      <rPr>
        <sz val="12"/>
        <color theme="1"/>
        <rFont val="Calibri"/>
        <family val="2"/>
        <scheme val="minor"/>
      </rPr>
      <t>?</t>
    </r>
  </si>
  <si>
    <t xml:space="preserve">Pago total del crédito con el nuevo producto </t>
  </si>
  <si>
    <r>
      <t xml:space="preserve">4. Si Gabriela realiza los siguientes </t>
    </r>
    <r>
      <rPr>
        <b/>
        <sz val="14"/>
        <color theme="1"/>
        <rFont val="Calibri"/>
        <family val="2"/>
        <scheme val="minor"/>
      </rPr>
      <t>movimientos</t>
    </r>
    <r>
      <rPr>
        <sz val="14"/>
        <color theme="1"/>
        <rFont val="Calibri"/>
        <family val="2"/>
        <scheme val="minor"/>
      </rPr>
      <t>, ¿Qué cambios tendría su crédito?:</t>
    </r>
  </si>
  <si>
    <t>Asalariado</t>
  </si>
  <si>
    <t>Ingresos comprobables para el nuevo esquema</t>
  </si>
  <si>
    <t>Pago total del crédito con el nuevo producto y con las aportaciones a capital( mes 72 y 96)</t>
  </si>
  <si>
    <t>3.Gabriela quiere saber como quedaría su créditos si cambia a Hipoteca Fuerte Cero Banorte   :</t>
  </si>
  <si>
    <t xml:space="preserve">Gabriela quiere validar si puede entrar en Hipoteca Fuerte a Tu Medida Pagos fijos ¿ puede entrar en este producto? Jutifica la respuesta </t>
  </si>
  <si>
    <r>
      <t>2.Gabriela  quiere hacer</t>
    </r>
    <r>
      <rPr>
        <b/>
        <sz val="14"/>
        <color theme="1"/>
        <rFont val="Calibri"/>
        <family val="2"/>
        <scheme val="minor"/>
      </rPr>
      <t xml:space="preserve"> dos aportaciones a capital</t>
    </r>
    <r>
      <rPr>
        <sz val="14"/>
        <color theme="1"/>
        <rFont val="Calibri"/>
        <family val="2"/>
        <scheme val="minor"/>
      </rPr>
      <t xml:space="preserve"> de </t>
    </r>
    <r>
      <rPr>
        <b/>
        <sz val="14"/>
        <color theme="1"/>
        <rFont val="Calibri"/>
        <family val="2"/>
        <scheme val="minor"/>
      </rPr>
      <t xml:space="preserve">$80,000.00 </t>
    </r>
    <r>
      <rPr>
        <sz val="14"/>
        <color theme="1"/>
        <rFont val="Calibri"/>
        <family val="2"/>
        <scheme val="minor"/>
      </rPr>
      <t>en el mes 72 y en el mes 96, porque quiere reducir la mensualidad ,  para ello necesita saber:</t>
    </r>
  </si>
  <si>
    <t>Comisión diferida</t>
  </si>
  <si>
    <t>Comprar en el estado de Morelos donde el gasto notarial es del 4.70% , ¿ cuanto pagaría de gastos notariales ?</t>
  </si>
  <si>
    <t xml:space="preserve">CASO SIMULADOR - HIPOTECA FUERTE  - ESQUEMA FIJO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</si>
</sst>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A6B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6580"/>
        <bgColor indexed="64"/>
      </patternFill>
    </fill>
    <fill>
      <patternFill patternType="solid">
        <fgColor rgb="FFF38B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3EBFF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4" fillId="0" borderId="0" xfId="0" applyFont="1"/>
    <xf numFmtId="0" fontId="0" fillId="0" borderId="0" xfId="0" applyAlignment="1">
      <alignment vertical="center"/>
    </xf>
    <xf numFmtId="0" fontId="5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5" fillId="9" borderId="0" xfId="0" applyFont="1" applyFill="1"/>
    <xf numFmtId="44" fontId="2" fillId="0" borderId="17" xfId="1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9" fillId="0" borderId="10" xfId="0" applyFont="1" applyBorder="1"/>
    <xf numFmtId="0" fontId="9" fillId="0" borderId="11" xfId="0" applyFont="1" applyBorder="1"/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3" fillId="3" borderId="26" xfId="0" applyFont="1" applyFill="1" applyBorder="1" applyAlignment="1">
      <alignment horizontal="center" vertical="center" wrapText="1"/>
    </xf>
    <xf numFmtId="44" fontId="2" fillId="0" borderId="16" xfId="1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wrapText="1"/>
    </xf>
    <xf numFmtId="44" fontId="11" fillId="0" borderId="17" xfId="1" applyFont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 wrapText="1"/>
    </xf>
    <xf numFmtId="44" fontId="2" fillId="0" borderId="17" xfId="1" applyFont="1" applyBorder="1" applyAlignment="1">
      <alignment horizontal="center" vertical="center"/>
    </xf>
    <xf numFmtId="44" fontId="10" fillId="2" borderId="13" xfId="0" applyNumberFormat="1" applyFont="1" applyFill="1" applyBorder="1" applyAlignment="1">
      <alignment horizontal="center" vertical="center"/>
    </xf>
    <xf numFmtId="0" fontId="10" fillId="8" borderId="26" xfId="0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44" fontId="0" fillId="0" borderId="16" xfId="1" applyFont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44" fontId="2" fillId="0" borderId="18" xfId="1" applyFont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 wrapText="1"/>
    </xf>
    <xf numFmtId="0" fontId="10" fillId="9" borderId="2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36" xfId="0" applyBorder="1"/>
    <xf numFmtId="0" fontId="2" fillId="0" borderId="36" xfId="0" applyFont="1" applyBorder="1" applyAlignment="1">
      <alignment horizontal="center"/>
    </xf>
    <xf numFmtId="0" fontId="12" fillId="10" borderId="20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vertical="center"/>
    </xf>
    <xf numFmtId="0" fontId="2" fillId="12" borderId="19" xfId="0" applyFont="1" applyFill="1" applyBorder="1" applyAlignment="1">
      <alignment vertical="center"/>
    </xf>
    <xf numFmtId="0" fontId="2" fillId="12" borderId="24" xfId="0" applyFont="1" applyFill="1" applyBorder="1" applyAlignment="1">
      <alignment vertical="center"/>
    </xf>
    <xf numFmtId="0" fontId="2" fillId="13" borderId="26" xfId="0" applyFont="1" applyFill="1" applyBorder="1" applyAlignment="1">
      <alignment vertical="center"/>
    </xf>
    <xf numFmtId="0" fontId="2" fillId="13" borderId="19" xfId="0" applyFont="1" applyFill="1" applyBorder="1" applyAlignment="1">
      <alignment vertical="center"/>
    </xf>
    <xf numFmtId="0" fontId="2" fillId="13" borderId="24" xfId="0" applyFont="1" applyFill="1" applyBorder="1" applyAlignment="1">
      <alignment vertical="center"/>
    </xf>
    <xf numFmtId="10" fontId="2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44" fontId="3" fillId="0" borderId="18" xfId="0" applyNumberFormat="1" applyFont="1" applyBorder="1" applyAlignment="1">
      <alignment horizontal="center" vertical="center"/>
    </xf>
    <xf numFmtId="44" fontId="3" fillId="0" borderId="18" xfId="1" applyFont="1" applyBorder="1" applyAlignment="1">
      <alignment horizontal="center" vertical="center"/>
    </xf>
    <xf numFmtId="44" fontId="3" fillId="0" borderId="17" xfId="1" applyFont="1" applyBorder="1" applyAlignment="1">
      <alignment horizontal="center" vertical="center"/>
    </xf>
    <xf numFmtId="44" fontId="3" fillId="0" borderId="19" xfId="1" applyFont="1" applyBorder="1" applyAlignment="1">
      <alignment vertical="center"/>
    </xf>
    <xf numFmtId="44" fontId="3" fillId="0" borderId="37" xfId="1" applyFont="1" applyBorder="1" applyAlignment="1">
      <alignment vertical="center"/>
    </xf>
    <xf numFmtId="0" fontId="3" fillId="0" borderId="38" xfId="0" applyFont="1" applyBorder="1" applyAlignment="1">
      <alignment horizontal="center" vertical="center"/>
    </xf>
    <xf numFmtId="44" fontId="0" fillId="14" borderId="19" xfId="0" applyNumberFormat="1" applyFill="1" applyBorder="1" applyAlignment="1">
      <alignment horizontal="center"/>
    </xf>
    <xf numFmtId="0" fontId="15" fillId="0" borderId="18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7" fillId="0" borderId="15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2" fillId="10" borderId="29" xfId="0" applyFont="1" applyFill="1" applyBorder="1" applyAlignment="1">
      <alignment horizontal="center" vertical="center"/>
    </xf>
    <xf numFmtId="0" fontId="12" fillId="10" borderId="30" xfId="0" applyFont="1" applyFill="1" applyBorder="1" applyAlignment="1">
      <alignment horizontal="center" vertical="center"/>
    </xf>
    <xf numFmtId="0" fontId="12" fillId="10" borderId="22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14" fillId="14" borderId="27" xfId="0" applyFont="1" applyFill="1" applyBorder="1" applyAlignment="1">
      <alignment horizontal="center" vertical="center"/>
    </xf>
    <xf numFmtId="0" fontId="14" fillId="14" borderId="31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13" fillId="10" borderId="15" xfId="0" applyFont="1" applyFill="1" applyBorder="1" applyAlignment="1">
      <alignment horizontal="center" vertical="center" textRotation="90" wrapText="1"/>
    </xf>
    <xf numFmtId="0" fontId="13" fillId="10" borderId="12" xfId="0" applyFont="1" applyFill="1" applyBorder="1" applyAlignment="1">
      <alignment horizontal="center" vertical="center" textRotation="90" wrapText="1"/>
    </xf>
    <xf numFmtId="0" fontId="13" fillId="10" borderId="14" xfId="0" applyFont="1" applyFill="1" applyBorder="1" applyAlignment="1">
      <alignment horizontal="center" vertical="center" textRotation="90" wrapText="1"/>
    </xf>
    <xf numFmtId="0" fontId="13" fillId="11" borderId="15" xfId="0" applyFont="1" applyFill="1" applyBorder="1" applyAlignment="1">
      <alignment horizontal="center" vertical="center" textRotation="90" wrapText="1"/>
    </xf>
    <xf numFmtId="0" fontId="13" fillId="11" borderId="12" xfId="0" applyFont="1" applyFill="1" applyBorder="1" applyAlignment="1">
      <alignment horizontal="center" vertical="center" textRotation="90" wrapText="1"/>
    </xf>
    <xf numFmtId="0" fontId="13" fillId="11" borderId="14" xfId="0" applyFont="1" applyFill="1" applyBorder="1" applyAlignment="1">
      <alignment horizontal="center" vertical="center" textRotation="90" wrapText="1"/>
    </xf>
    <xf numFmtId="0" fontId="2" fillId="0" borderId="32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</cellXfs>
  <cellStyles count="3">
    <cellStyle name="Currency 2" xfId="2" xr:uid="{E69FEA7F-BC47-4AF3-9622-B500A31C075E}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A3EBFF"/>
      <color rgb="FF006580"/>
      <color rgb="FFF38B00"/>
      <color rgb="FFEA6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</xdr:row>
      <xdr:rowOff>91440</xdr:rowOff>
    </xdr:from>
    <xdr:to>
      <xdr:col>13</xdr:col>
      <xdr:colOff>129540</xdr:colOff>
      <xdr:row>6</xdr:row>
      <xdr:rowOff>171450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EA5DB10-8106-7CE9-52E4-9945F4045536}"/>
            </a:ext>
          </a:extLst>
        </xdr:cNvPr>
        <xdr:cNvSpPr txBox="1"/>
      </xdr:nvSpPr>
      <xdr:spPr>
        <a:xfrm>
          <a:off x="133350" y="501015"/>
          <a:ext cx="10664190" cy="8039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equipo resuelvan el caso presentado en este archivo, asignen a una persona quién será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responsable 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llenar el documento y tendrá que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compartir pantalla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deberán distribuirse equitativamente las preguntas, para ello, identifica el nombre de </a:t>
          </a:r>
          <a:r>
            <a:rPr lang="es-MX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color asignado 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tu </a:t>
          </a:r>
          <a:r>
            <a:rPr lang="es-MX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 de usuario 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resuelve las preguntas con el mismo color.</a:t>
          </a:r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400"/>
        </a:p>
      </xdr:txBody>
    </xdr:sp>
    <xdr:clientData/>
  </xdr:twoCellAnchor>
  <xdr:twoCellAnchor>
    <xdr:from>
      <xdr:col>0</xdr:col>
      <xdr:colOff>123825</xdr:colOff>
      <xdr:row>13</xdr:row>
      <xdr:rowOff>140970</xdr:rowOff>
    </xdr:from>
    <xdr:to>
      <xdr:col>13</xdr:col>
      <xdr:colOff>120015</xdr:colOff>
      <xdr:row>19</xdr:row>
      <xdr:rowOff>99060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898CCE7-4478-47CF-AC37-AA4DE13A9E77}"/>
            </a:ext>
          </a:extLst>
        </xdr:cNvPr>
        <xdr:cNvSpPr txBox="1"/>
      </xdr:nvSpPr>
      <xdr:spPr>
        <a:xfrm>
          <a:off x="123825" y="2838450"/>
          <a:ext cx="10687050" cy="10553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caso de tener alguna duda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presiona el botón "Ayuda" en zoom.</a:t>
          </a:r>
        </a:p>
        <a:p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para realizar la actividad en equipo: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 min</a:t>
          </a:r>
        </a:p>
        <a:p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para presentar respuestas al grupo: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min</a:t>
          </a:r>
          <a:endParaRPr lang="es-MX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28284</xdr:colOff>
      <xdr:row>0</xdr:row>
      <xdr:rowOff>161925</xdr:rowOff>
    </xdr:from>
    <xdr:to>
      <xdr:col>7</xdr:col>
      <xdr:colOff>155054</xdr:colOff>
      <xdr:row>3</xdr:row>
      <xdr:rowOff>97631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B3BC43-197C-42FF-85FE-CD2308B53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409" y="161925"/>
          <a:ext cx="1241195" cy="1126331"/>
        </a:xfrm>
        <a:prstGeom prst="rect">
          <a:avLst/>
        </a:prstGeom>
      </xdr:spPr>
    </xdr:pic>
    <xdr:clientData/>
  </xdr:twoCellAnchor>
  <xdr:oneCellAnchor>
    <xdr:from>
      <xdr:col>1</xdr:col>
      <xdr:colOff>95249</xdr:colOff>
      <xdr:row>4</xdr:row>
      <xdr:rowOff>55721</xdr:rowOff>
    </xdr:from>
    <xdr:ext cx="10465595" cy="749821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4805438-C1BC-901E-47B4-DEAD308BCDD8}"/>
            </a:ext>
          </a:extLst>
        </xdr:cNvPr>
        <xdr:cNvSpPr txBox="1"/>
      </xdr:nvSpPr>
      <xdr:spPr>
        <a:xfrm>
          <a:off x="240029" y="1427321"/>
          <a:ext cx="10465595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Has perfilado a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tu Cliente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Gabriela</a:t>
          </a:r>
          <a:r>
            <a:rPr lang="es-MX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Díaz  con Banorte </a:t>
          </a:r>
          <a:r>
            <a:rPr lang="es-MX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 despues de </a:t>
          </a:r>
          <a:r>
            <a:rPr lang="es-MX" sz="14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enviarle su</a:t>
          </a:r>
          <a:r>
            <a:rPr lang="es-MX" sz="14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propuesta </a:t>
          </a:r>
          <a:r>
            <a:rPr lang="es-MX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hipotecaria 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 solicita una reunión vía zoom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para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aclarar algunas dudas que tiene a cerca de su Crédito.</a:t>
          </a:r>
        </a:p>
        <a:p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Descarga desde la Universidad Creditaria en el apartado de Banorte  el </a:t>
          </a:r>
          <a:r>
            <a:rPr lang="es-MX" sz="14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Simulador de Universal Banorte , 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continuación el perfil de Gabriela :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817303</xdr:colOff>
      <xdr:row>14</xdr:row>
      <xdr:rowOff>110028</xdr:rowOff>
    </xdr:from>
    <xdr:ext cx="342786" cy="205740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C7813A83-703F-465B-B534-94AF97809A78}"/>
            </a:ext>
          </a:extLst>
        </xdr:cNvPr>
        <xdr:cNvSpPr txBox="1"/>
      </xdr:nvSpPr>
      <xdr:spPr>
        <a:xfrm rot="16200000">
          <a:off x="4417696" y="4167735"/>
          <a:ext cx="205740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Propuesta </a:t>
          </a:r>
          <a:r>
            <a:rPr lang="es-MX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hipotecaria </a:t>
          </a:r>
          <a:endParaRPr lang="es-MX" sz="16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97154</xdr:colOff>
      <xdr:row>10</xdr:row>
      <xdr:rowOff>59055</xdr:rowOff>
    </xdr:from>
    <xdr:ext cx="4932045" cy="2722284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2D5DA86B-73A1-45AD-82FC-0C6B1CE115C4}"/>
            </a:ext>
          </a:extLst>
        </xdr:cNvPr>
        <xdr:cNvSpPr txBox="1"/>
      </xdr:nvSpPr>
      <xdr:spPr>
        <a:xfrm>
          <a:off x="241934" y="2527935"/>
          <a:ext cx="4932045" cy="27222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Tipo de Crédito: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Tradicional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Vivienda: $3,000,000.00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Estado de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la Republica: Edo de Mex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Gastos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notariales: 7.70%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Apoyo gubernamental: Sí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Tasa de interes simulada: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9.88%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Ingresos: $60,000.00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Edad: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42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años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Plazo: 20 años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Tipo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e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squema: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Fijo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Tipo de comisión: Por apertura</a:t>
          </a:r>
          <a:endParaRPr lang="es-MX" sz="14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Actividad económica: Asalariado</a:t>
          </a:r>
        </a:p>
      </xdr:txBody>
    </xdr:sp>
    <xdr:clientData/>
  </xdr:oneCellAnchor>
  <xdr:twoCellAnchor editAs="oneCell">
    <xdr:from>
      <xdr:col>0</xdr:col>
      <xdr:colOff>45720</xdr:colOff>
      <xdr:row>0</xdr:row>
      <xdr:rowOff>1</xdr:rowOff>
    </xdr:from>
    <xdr:to>
      <xdr:col>1</xdr:col>
      <xdr:colOff>1531620</xdr:colOff>
      <xdr:row>2</xdr:row>
      <xdr:rowOff>72563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9C2DDD2-7164-4BD5-BEF0-E04C55082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1"/>
          <a:ext cx="1630680" cy="857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AFB0-7A05-4F8D-A8ED-0497D1D340D3}">
  <sheetPr>
    <tabColor theme="1"/>
  </sheetPr>
  <dimension ref="B2:C13"/>
  <sheetViews>
    <sheetView showGridLines="0" workbookViewId="0">
      <selection activeCell="F25" sqref="F25"/>
    </sheetView>
  </sheetViews>
  <sheetFormatPr baseColWidth="10" defaultRowHeight="14.4" x14ac:dyDescent="0.3"/>
  <cols>
    <col min="1" max="1" width="2.77734375" customWidth="1"/>
    <col min="2" max="2" width="14.88671875" bestFit="1" customWidth="1"/>
    <col min="3" max="3" width="22.6640625" bestFit="1" customWidth="1"/>
  </cols>
  <sheetData>
    <row r="2" spans="2:3" ht="18" x14ac:dyDescent="0.35">
      <c r="B2" s="1" t="s">
        <v>18</v>
      </c>
    </row>
    <row r="3" spans="2:3" x14ac:dyDescent="0.3">
      <c r="B3" s="2"/>
    </row>
    <row r="8" spans="2:3" ht="18" x14ac:dyDescent="0.3">
      <c r="B8" s="5" t="s">
        <v>16</v>
      </c>
      <c r="C8" s="43" t="s">
        <v>24</v>
      </c>
    </row>
    <row r="9" spans="2:3" ht="18" x14ac:dyDescent="0.3">
      <c r="B9" s="6" t="s">
        <v>17</v>
      </c>
      <c r="C9" s="43" t="s">
        <v>25</v>
      </c>
    </row>
    <row r="10" spans="2:3" ht="18" x14ac:dyDescent="0.3">
      <c r="B10" s="7" t="s">
        <v>14</v>
      </c>
      <c r="C10" s="43" t="s">
        <v>32</v>
      </c>
    </row>
    <row r="11" spans="2:3" ht="18" x14ac:dyDescent="0.3">
      <c r="B11" s="4" t="s">
        <v>15</v>
      </c>
      <c r="C11" s="43" t="s">
        <v>31</v>
      </c>
    </row>
    <row r="12" spans="2:3" ht="18" x14ac:dyDescent="0.3">
      <c r="B12" s="3" t="s">
        <v>13</v>
      </c>
      <c r="C12" s="43" t="s">
        <v>30</v>
      </c>
    </row>
    <row r="13" spans="2:3" ht="18" x14ac:dyDescent="0.35">
      <c r="B13" s="8" t="s">
        <v>19</v>
      </c>
      <c r="C13" s="43" t="s">
        <v>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7400-21A9-4B35-B516-2CE96F02406A}">
  <sheetPr>
    <tabColor rgb="FFFFFF00"/>
  </sheetPr>
  <dimension ref="B1:Q48"/>
  <sheetViews>
    <sheetView showGridLines="0" tabSelected="1" zoomScaleNormal="100" workbookViewId="0">
      <selection activeCell="D48" sqref="D48:E48"/>
    </sheetView>
  </sheetViews>
  <sheetFormatPr baseColWidth="10" defaultRowHeight="14.4" x14ac:dyDescent="0.3"/>
  <cols>
    <col min="1" max="1" width="2.109375" customWidth="1"/>
    <col min="2" max="2" width="52.109375" customWidth="1"/>
    <col min="3" max="3" width="10.77734375" style="21" customWidth="1"/>
    <col min="4" max="4" width="24.5546875" customWidth="1"/>
    <col min="5" max="5" width="20.44140625" customWidth="1"/>
    <col min="6" max="6" width="30.44140625" style="21" customWidth="1"/>
    <col min="7" max="7" width="16.21875" bestFit="1" customWidth="1"/>
    <col min="14" max="17" width="0" hidden="1" customWidth="1"/>
  </cols>
  <sheetData>
    <row r="1" spans="2:13" ht="15" thickBot="1" x14ac:dyDescent="0.35">
      <c r="B1" s="10"/>
      <c r="C1" s="11"/>
      <c r="D1" s="10"/>
      <c r="E1" s="10"/>
      <c r="F1" s="11"/>
      <c r="G1" s="11"/>
      <c r="H1" s="11"/>
      <c r="I1" s="11"/>
      <c r="J1" s="11"/>
      <c r="K1" s="11"/>
      <c r="L1" s="11"/>
      <c r="M1" s="11"/>
    </row>
    <row r="2" spans="2:13" ht="46.8" thickBot="1" x14ac:dyDescent="0.35">
      <c r="B2" s="70" t="s">
        <v>0</v>
      </c>
      <c r="C2" s="71"/>
      <c r="D2" s="71"/>
      <c r="E2" s="71"/>
      <c r="F2" s="71"/>
      <c r="G2" s="12"/>
      <c r="H2" s="12"/>
      <c r="I2" s="12"/>
      <c r="J2" s="13"/>
      <c r="K2" s="14"/>
      <c r="L2" s="14"/>
      <c r="M2" s="14"/>
    </row>
    <row r="3" spans="2:13" ht="31.8" thickBot="1" x14ac:dyDescent="0.65">
      <c r="B3" s="72" t="s">
        <v>67</v>
      </c>
      <c r="C3" s="73"/>
      <c r="D3" s="73"/>
      <c r="E3" s="73"/>
      <c r="F3" s="73"/>
      <c r="G3" s="15"/>
      <c r="H3" s="15"/>
      <c r="I3" s="15"/>
      <c r="J3" s="16"/>
      <c r="K3" s="14"/>
      <c r="L3" s="14"/>
      <c r="M3" s="14"/>
    </row>
    <row r="4" spans="2:13" ht="14.4" customHeight="1" thickBot="1" x14ac:dyDescent="0.35">
      <c r="B4" s="17"/>
      <c r="C4" s="18"/>
      <c r="D4" s="18"/>
      <c r="E4" s="18"/>
      <c r="F4" s="18"/>
      <c r="G4" s="18"/>
      <c r="H4" s="18"/>
      <c r="I4" s="18"/>
      <c r="J4" s="19"/>
      <c r="K4" s="14"/>
      <c r="L4" s="14"/>
      <c r="M4" s="14"/>
    </row>
    <row r="5" spans="2:13" ht="14.4" customHeight="1" thickBot="1" x14ac:dyDescent="0.35">
      <c r="B5" s="17"/>
      <c r="C5" s="18"/>
      <c r="D5" s="18"/>
      <c r="E5" s="18"/>
      <c r="F5" s="18"/>
      <c r="G5" s="18"/>
      <c r="H5" s="18"/>
      <c r="I5" s="18"/>
      <c r="J5" s="19"/>
      <c r="K5" s="14"/>
      <c r="L5" s="14"/>
      <c r="M5" s="14"/>
    </row>
    <row r="6" spans="2:13" ht="14.4" customHeight="1" thickBot="1" x14ac:dyDescent="0.35">
      <c r="B6" s="17"/>
      <c r="C6" s="18"/>
      <c r="D6" s="18"/>
      <c r="E6" s="18"/>
      <c r="F6" s="18"/>
      <c r="G6" s="18"/>
      <c r="H6" s="18"/>
      <c r="I6" s="18"/>
      <c r="J6" s="19"/>
      <c r="K6" s="14"/>
      <c r="L6" s="14"/>
      <c r="M6" s="14"/>
    </row>
    <row r="7" spans="2:13" ht="14.4" customHeight="1" thickBot="1" x14ac:dyDescent="0.35">
      <c r="B7" s="17"/>
      <c r="C7" s="18"/>
      <c r="D7" s="18"/>
      <c r="E7" s="18"/>
      <c r="F7" s="18"/>
      <c r="G7" s="18"/>
      <c r="H7" s="18"/>
      <c r="I7" s="18"/>
      <c r="J7" s="19"/>
      <c r="K7" s="14"/>
      <c r="L7" s="14"/>
      <c r="M7" s="14"/>
    </row>
    <row r="8" spans="2:13" ht="14.4" customHeight="1" thickBot="1" x14ac:dyDescent="0.35">
      <c r="B8" s="17"/>
      <c r="C8" s="18"/>
      <c r="D8" s="18"/>
      <c r="E8" s="18"/>
      <c r="F8" s="18"/>
      <c r="G8" s="18"/>
      <c r="H8" s="18"/>
      <c r="I8" s="18"/>
      <c r="J8" s="19"/>
      <c r="K8" s="14"/>
      <c r="L8" s="14"/>
      <c r="M8" s="14"/>
    </row>
    <row r="9" spans="2:13" ht="14.4" customHeight="1" thickBot="1" x14ac:dyDescent="0.35">
      <c r="B9" s="17"/>
      <c r="C9" s="18"/>
      <c r="D9" s="18"/>
      <c r="E9" s="18"/>
      <c r="F9" s="18"/>
      <c r="G9" s="18"/>
      <c r="H9" s="18"/>
      <c r="I9" s="18"/>
      <c r="J9" s="19"/>
      <c r="K9" s="14"/>
      <c r="L9" s="14"/>
      <c r="M9" s="14"/>
    </row>
    <row r="10" spans="2:13" ht="14.4" customHeight="1" thickBot="1" x14ac:dyDescent="0.35">
      <c r="B10" s="17"/>
      <c r="C10" s="18"/>
      <c r="D10" s="18"/>
      <c r="E10" s="18"/>
      <c r="F10" s="44"/>
      <c r="G10" s="44"/>
      <c r="H10" s="43"/>
      <c r="I10" s="44"/>
      <c r="J10" s="45"/>
      <c r="K10" s="14"/>
      <c r="L10" s="14"/>
      <c r="M10" s="14"/>
    </row>
    <row r="11" spans="2:13" ht="14.4" customHeight="1" thickBot="1" x14ac:dyDescent="0.35">
      <c r="B11" s="17"/>
      <c r="C11" s="18"/>
      <c r="D11" s="18"/>
      <c r="E11" s="18"/>
      <c r="F11" s="48"/>
      <c r="G11" s="48"/>
      <c r="H11" s="43"/>
      <c r="I11" s="44"/>
      <c r="J11" s="45"/>
      <c r="K11" s="14"/>
      <c r="L11" s="14"/>
      <c r="M11" s="14"/>
    </row>
    <row r="12" spans="2:13" ht="14.4" customHeight="1" thickBot="1" x14ac:dyDescent="0.35">
      <c r="B12" s="17"/>
      <c r="C12" s="18"/>
      <c r="D12" s="18"/>
      <c r="E12" s="18"/>
      <c r="F12" s="60" t="s">
        <v>35</v>
      </c>
      <c r="G12" s="46" t="s">
        <v>54</v>
      </c>
      <c r="H12" s="43"/>
      <c r="I12" s="44"/>
      <c r="J12" s="45"/>
      <c r="K12" s="14"/>
      <c r="L12" s="14"/>
      <c r="M12" s="14"/>
    </row>
    <row r="13" spans="2:13" ht="14.4" customHeight="1" thickBot="1" x14ac:dyDescent="0.35">
      <c r="B13" s="17"/>
      <c r="C13" s="18"/>
      <c r="D13" s="18"/>
      <c r="E13" s="18"/>
      <c r="F13" s="60" t="s">
        <v>36</v>
      </c>
      <c r="G13" s="65">
        <v>3000000</v>
      </c>
      <c r="H13" s="43"/>
      <c r="I13" s="44"/>
      <c r="J13" s="45"/>
      <c r="K13" s="14"/>
      <c r="L13" s="14"/>
      <c r="M13" s="14"/>
    </row>
    <row r="14" spans="2:13" ht="14.4" customHeight="1" thickBot="1" x14ac:dyDescent="0.35">
      <c r="B14" s="17"/>
      <c r="C14" s="18"/>
      <c r="D14" s="18"/>
      <c r="E14" s="47"/>
      <c r="F14" s="61" t="s">
        <v>37</v>
      </c>
      <c r="G14" s="66">
        <v>2700000</v>
      </c>
      <c r="H14" s="44"/>
      <c r="I14" s="44"/>
      <c r="J14" s="45"/>
      <c r="K14" s="14"/>
      <c r="L14" s="14"/>
      <c r="M14" s="14"/>
    </row>
    <row r="15" spans="2:13" ht="14.4" customHeight="1" thickBot="1" x14ac:dyDescent="0.35">
      <c r="B15" s="17"/>
      <c r="C15" s="18"/>
      <c r="D15" s="18"/>
      <c r="E15" s="96" t="s">
        <v>50</v>
      </c>
      <c r="F15" s="52" t="s">
        <v>38</v>
      </c>
      <c r="G15" s="58">
        <v>9.8799999999999999E-2</v>
      </c>
      <c r="H15" s="44"/>
      <c r="I15" s="44"/>
      <c r="J15" s="45"/>
      <c r="K15" s="14"/>
      <c r="L15" s="14"/>
      <c r="M15" s="14"/>
    </row>
    <row r="16" spans="2:13" ht="14.4" customHeight="1" thickBot="1" x14ac:dyDescent="0.35">
      <c r="B16" s="17"/>
      <c r="C16" s="18"/>
      <c r="D16" s="18"/>
      <c r="E16" s="97"/>
      <c r="F16" s="53" t="s">
        <v>39</v>
      </c>
      <c r="G16" s="29">
        <v>28623.447222684426</v>
      </c>
      <c r="H16" s="44"/>
      <c r="I16" s="44"/>
      <c r="J16" s="45"/>
      <c r="K16" s="14"/>
      <c r="L16" s="14"/>
      <c r="M16" s="14"/>
    </row>
    <row r="17" spans="2:17" ht="14.4" customHeight="1" thickBot="1" x14ac:dyDescent="0.35">
      <c r="B17" s="17"/>
      <c r="C17" s="18"/>
      <c r="D17" s="18"/>
      <c r="E17" s="97"/>
      <c r="F17" s="53" t="s">
        <v>40</v>
      </c>
      <c r="G17" s="59">
        <v>20</v>
      </c>
      <c r="H17" s="44"/>
      <c r="I17" s="44"/>
      <c r="J17" s="45"/>
      <c r="K17" s="14"/>
      <c r="L17" s="14"/>
      <c r="M17" s="14"/>
    </row>
    <row r="18" spans="2:17" ht="14.4" customHeight="1" thickBot="1" x14ac:dyDescent="0.35">
      <c r="B18" s="17"/>
      <c r="C18" s="18"/>
      <c r="D18" s="18"/>
      <c r="E18" s="97"/>
      <c r="F18" s="53" t="s">
        <v>41</v>
      </c>
      <c r="G18" s="64">
        <v>6718993.155710022</v>
      </c>
      <c r="H18" s="44"/>
      <c r="I18" s="44"/>
      <c r="J18" s="45"/>
      <c r="K18" s="14"/>
      <c r="L18" s="14"/>
      <c r="M18" s="14"/>
    </row>
    <row r="19" spans="2:17" ht="14.4" customHeight="1" thickBot="1" x14ac:dyDescent="0.35">
      <c r="B19" s="17"/>
      <c r="C19" s="18"/>
      <c r="D19" s="18"/>
      <c r="E19" s="97"/>
      <c r="F19" s="53" t="s">
        <v>49</v>
      </c>
      <c r="G19" s="59" t="s">
        <v>59</v>
      </c>
      <c r="H19" s="44"/>
      <c r="I19" s="44"/>
      <c r="J19" s="45"/>
      <c r="K19" s="14"/>
      <c r="L19" s="14"/>
      <c r="M19" s="14"/>
    </row>
    <row r="20" spans="2:17" ht="14.4" customHeight="1" thickBot="1" x14ac:dyDescent="0.35">
      <c r="B20" s="17"/>
      <c r="C20" s="18"/>
      <c r="D20" s="18"/>
      <c r="E20" s="98"/>
      <c r="F20" s="54" t="s">
        <v>42</v>
      </c>
      <c r="G20" s="63">
        <v>57251.154658163738</v>
      </c>
      <c r="H20" s="44"/>
      <c r="I20" s="44"/>
      <c r="J20" s="45"/>
      <c r="K20" s="14"/>
      <c r="L20" s="14"/>
      <c r="M20" s="14"/>
    </row>
    <row r="21" spans="2:17" ht="14.4" customHeight="1" thickBot="1" x14ac:dyDescent="0.35">
      <c r="B21" s="17"/>
      <c r="C21" s="18"/>
      <c r="D21" s="18"/>
      <c r="E21" s="93" t="s">
        <v>34</v>
      </c>
      <c r="F21" s="55" t="s">
        <v>43</v>
      </c>
      <c r="G21" s="25">
        <v>300000</v>
      </c>
      <c r="H21" s="44"/>
      <c r="I21" s="44"/>
      <c r="J21" s="45"/>
      <c r="K21" s="14"/>
      <c r="L21" s="14"/>
      <c r="M21" s="14"/>
    </row>
    <row r="22" spans="2:17" ht="14.4" customHeight="1" thickBot="1" x14ac:dyDescent="0.35">
      <c r="B22" s="17"/>
      <c r="C22" s="18"/>
      <c r="D22" s="18"/>
      <c r="E22" s="94"/>
      <c r="F22" s="56" t="s">
        <v>44</v>
      </c>
      <c r="G22" s="29">
        <v>8700</v>
      </c>
      <c r="H22" s="44"/>
      <c r="I22" s="44"/>
      <c r="J22" s="45"/>
      <c r="K22" s="14"/>
      <c r="L22" s="14"/>
      <c r="M22" s="14"/>
    </row>
    <row r="23" spans="2:17" ht="14.4" customHeight="1" thickBot="1" x14ac:dyDescent="0.35">
      <c r="B23" s="17"/>
      <c r="C23" s="18"/>
      <c r="D23" s="18"/>
      <c r="E23" s="94"/>
      <c r="F23" s="56" t="s">
        <v>45</v>
      </c>
      <c r="G23" s="29">
        <v>27000</v>
      </c>
      <c r="H23" s="44"/>
      <c r="I23" s="44"/>
      <c r="J23" s="45"/>
      <c r="K23" s="14"/>
      <c r="L23" s="14"/>
      <c r="M23" s="14"/>
    </row>
    <row r="24" spans="2:17" ht="14.4" customHeight="1" thickBot="1" x14ac:dyDescent="0.35">
      <c r="B24" s="17"/>
      <c r="C24" s="18"/>
      <c r="D24" s="18"/>
      <c r="E24" s="94"/>
      <c r="F24" s="56" t="s">
        <v>46</v>
      </c>
      <c r="G24" s="29">
        <v>750</v>
      </c>
      <c r="H24" s="44"/>
      <c r="I24" s="44"/>
      <c r="J24" s="45"/>
      <c r="K24" s="14"/>
      <c r="L24" s="14"/>
      <c r="M24" s="14"/>
    </row>
    <row r="25" spans="2:17" ht="14.4" customHeight="1" thickBot="1" x14ac:dyDescent="0.35">
      <c r="B25" s="17"/>
      <c r="C25" s="18"/>
      <c r="D25" s="18"/>
      <c r="E25" s="94"/>
      <c r="F25" s="56" t="s">
        <v>47</v>
      </c>
      <c r="G25" s="29">
        <v>231000</v>
      </c>
      <c r="H25" s="44"/>
      <c r="I25" s="44"/>
      <c r="J25" s="45"/>
      <c r="K25" s="14"/>
      <c r="L25" s="14"/>
      <c r="M25" s="14"/>
    </row>
    <row r="26" spans="2:17" ht="14.4" customHeight="1" thickBot="1" x14ac:dyDescent="0.35">
      <c r="B26" s="17"/>
      <c r="C26" s="18"/>
      <c r="D26" s="18"/>
      <c r="E26" s="95"/>
      <c r="F26" s="57" t="s">
        <v>48</v>
      </c>
      <c r="G26" s="62">
        <f>SUM(G21:G25)</f>
        <v>567450</v>
      </c>
      <c r="H26" s="44"/>
      <c r="I26" s="18"/>
      <c r="J26" s="19"/>
      <c r="K26" s="14"/>
      <c r="L26" s="14"/>
      <c r="M26" s="14"/>
    </row>
    <row r="27" spans="2:17" ht="16.2" thickBot="1" x14ac:dyDescent="0.35">
      <c r="B27" s="20"/>
      <c r="C27" s="14"/>
      <c r="D27" s="20"/>
      <c r="E27" s="49"/>
      <c r="F27" s="50"/>
      <c r="G27" s="50"/>
      <c r="H27" s="14"/>
      <c r="I27" s="14"/>
      <c r="J27" s="14"/>
      <c r="K27" s="14"/>
      <c r="L27" s="14"/>
      <c r="M27" s="14"/>
      <c r="P27" t="s">
        <v>1</v>
      </c>
      <c r="Q27" t="s">
        <v>2</v>
      </c>
    </row>
    <row r="28" spans="2:17" ht="15" thickBot="1" x14ac:dyDescent="0.35">
      <c r="G28" t="s">
        <v>34</v>
      </c>
      <c r="K28" s="14"/>
      <c r="L28" s="14"/>
      <c r="M28" s="14"/>
      <c r="O28" t="s">
        <v>3</v>
      </c>
    </row>
    <row r="29" spans="2:17" ht="15" thickBot="1" x14ac:dyDescent="0.35">
      <c r="B29" s="22"/>
      <c r="C29" s="23"/>
      <c r="D29" s="22"/>
      <c r="E29" s="22"/>
      <c r="F29" s="23"/>
      <c r="G29" s="14"/>
      <c r="H29" s="14"/>
      <c r="I29" s="14"/>
      <c r="J29" s="14"/>
      <c r="K29" s="14"/>
      <c r="L29" s="14"/>
      <c r="M29" s="14"/>
      <c r="O29" t="s">
        <v>4</v>
      </c>
    </row>
    <row r="30" spans="2:17" ht="45.6" customHeight="1" thickBot="1" x14ac:dyDescent="0.35">
      <c r="B30" s="51" t="s">
        <v>23</v>
      </c>
      <c r="C30" s="80" t="s">
        <v>22</v>
      </c>
      <c r="D30" s="81"/>
      <c r="E30" s="82"/>
      <c r="F30" s="51" t="s">
        <v>33</v>
      </c>
    </row>
    <row r="31" spans="2:17" ht="24.9" customHeight="1" x14ac:dyDescent="0.3">
      <c r="B31" s="77" t="s">
        <v>28</v>
      </c>
      <c r="C31" s="24" t="s">
        <v>5</v>
      </c>
      <c r="D31" s="83" t="s">
        <v>26</v>
      </c>
      <c r="E31" s="84"/>
      <c r="F31" s="25"/>
    </row>
    <row r="32" spans="2:17" ht="24.9" customHeight="1" x14ac:dyDescent="0.3">
      <c r="B32" s="78"/>
      <c r="C32" s="26" t="s">
        <v>6</v>
      </c>
      <c r="D32" s="85" t="s">
        <v>7</v>
      </c>
      <c r="E32" s="86"/>
      <c r="F32" s="27"/>
    </row>
    <row r="33" spans="2:7" ht="24.9" customHeight="1" x14ac:dyDescent="0.3">
      <c r="B33" s="78"/>
      <c r="C33" s="28" t="s">
        <v>8</v>
      </c>
      <c r="D33" s="85" t="s">
        <v>9</v>
      </c>
      <c r="E33" s="86"/>
      <c r="F33" s="29"/>
    </row>
    <row r="34" spans="2:7" ht="24.9" customHeight="1" x14ac:dyDescent="0.3">
      <c r="B34" s="78"/>
      <c r="C34" s="28" t="s">
        <v>10</v>
      </c>
      <c r="D34" s="87" t="s">
        <v>11</v>
      </c>
      <c r="E34" s="88"/>
      <c r="F34" s="29"/>
    </row>
    <row r="35" spans="2:7" ht="24.9" customHeight="1" x14ac:dyDescent="0.3">
      <c r="B35" s="78"/>
      <c r="C35" s="28" t="s">
        <v>12</v>
      </c>
      <c r="D35" s="87" t="s">
        <v>65</v>
      </c>
      <c r="E35" s="88"/>
      <c r="F35" s="29"/>
    </row>
    <row r="36" spans="2:7" ht="24.9" customHeight="1" thickBot="1" x14ac:dyDescent="0.35">
      <c r="B36" s="79"/>
      <c r="C36" s="89" t="s">
        <v>51</v>
      </c>
      <c r="D36" s="90"/>
      <c r="E36" s="90"/>
      <c r="F36" s="68"/>
      <c r="G36" s="30"/>
    </row>
    <row r="37" spans="2:7" ht="35.1" customHeight="1" x14ac:dyDescent="0.3">
      <c r="B37" s="74" t="s">
        <v>64</v>
      </c>
      <c r="C37" s="31" t="s">
        <v>5</v>
      </c>
      <c r="D37" s="83" t="s">
        <v>20</v>
      </c>
      <c r="E37" s="84"/>
      <c r="F37" s="67"/>
    </row>
    <row r="38" spans="2:7" ht="35.1" customHeight="1" x14ac:dyDescent="0.3">
      <c r="B38" s="75"/>
      <c r="C38" s="32" t="s">
        <v>6</v>
      </c>
      <c r="D38" s="85" t="s">
        <v>55</v>
      </c>
      <c r="E38" s="86"/>
      <c r="F38" s="9"/>
    </row>
    <row r="39" spans="2:7" ht="35.1" customHeight="1" x14ac:dyDescent="0.3">
      <c r="B39" s="75"/>
      <c r="C39" s="32" t="s">
        <v>8</v>
      </c>
      <c r="D39" s="85" t="s">
        <v>56</v>
      </c>
      <c r="E39" s="86"/>
      <c r="F39" s="9"/>
    </row>
    <row r="40" spans="2:7" ht="35.1" customHeight="1" x14ac:dyDescent="0.3">
      <c r="B40" s="75"/>
      <c r="C40" s="33" t="s">
        <v>10</v>
      </c>
      <c r="D40" s="87" t="s">
        <v>27</v>
      </c>
      <c r="E40" s="88"/>
      <c r="F40" s="9"/>
    </row>
    <row r="41" spans="2:7" ht="39.9" customHeight="1" thickBot="1" x14ac:dyDescent="0.35">
      <c r="B41" s="76"/>
      <c r="C41" s="34" t="s">
        <v>12</v>
      </c>
      <c r="D41" s="91" t="s">
        <v>21</v>
      </c>
      <c r="E41" s="92"/>
      <c r="F41" s="69"/>
    </row>
    <row r="42" spans="2:7" ht="30" customHeight="1" x14ac:dyDescent="0.3">
      <c r="B42" s="74" t="s">
        <v>62</v>
      </c>
      <c r="C42" s="35" t="s">
        <v>5</v>
      </c>
      <c r="D42" s="83" t="s">
        <v>52</v>
      </c>
      <c r="E42" s="84"/>
      <c r="F42" s="36"/>
    </row>
    <row r="43" spans="2:7" ht="30" customHeight="1" x14ac:dyDescent="0.3">
      <c r="B43" s="75"/>
      <c r="C43" s="37" t="s">
        <v>6</v>
      </c>
      <c r="D43" s="85" t="s">
        <v>53</v>
      </c>
      <c r="E43" s="86"/>
      <c r="F43" s="29"/>
    </row>
    <row r="44" spans="2:7" ht="40.799999999999997" customHeight="1" x14ac:dyDescent="0.3">
      <c r="B44" s="75"/>
      <c r="C44" s="38" t="s">
        <v>8</v>
      </c>
      <c r="D44" s="87" t="s">
        <v>60</v>
      </c>
      <c r="E44" s="88"/>
      <c r="F44" s="29"/>
    </row>
    <row r="45" spans="2:7" ht="30" customHeight="1" x14ac:dyDescent="0.3">
      <c r="B45" s="75"/>
      <c r="C45" s="38" t="s">
        <v>10</v>
      </c>
      <c r="D45" s="85" t="s">
        <v>57</v>
      </c>
      <c r="E45" s="86"/>
      <c r="F45" s="29"/>
    </row>
    <row r="46" spans="2:7" ht="43.2" customHeight="1" thickBot="1" x14ac:dyDescent="0.35">
      <c r="B46" s="76"/>
      <c r="C46" s="39" t="s">
        <v>12</v>
      </c>
      <c r="D46" s="91" t="s">
        <v>61</v>
      </c>
      <c r="E46" s="92"/>
      <c r="F46" s="40"/>
    </row>
    <row r="47" spans="2:7" ht="60.6" customHeight="1" x14ac:dyDescent="0.3">
      <c r="B47" s="74" t="s">
        <v>58</v>
      </c>
      <c r="C47" s="41" t="s">
        <v>5</v>
      </c>
      <c r="D47" s="99" t="s">
        <v>63</v>
      </c>
      <c r="E47" s="100"/>
      <c r="F47" s="25"/>
    </row>
    <row r="48" spans="2:7" ht="76.2" customHeight="1" thickBot="1" x14ac:dyDescent="0.35">
      <c r="B48" s="76"/>
      <c r="C48" s="42" t="s">
        <v>6</v>
      </c>
      <c r="D48" s="91" t="s">
        <v>66</v>
      </c>
      <c r="E48" s="92"/>
      <c r="F48" s="40"/>
    </row>
  </sheetData>
  <mergeCells count="27">
    <mergeCell ref="D47:E47"/>
    <mergeCell ref="D41:E41"/>
    <mergeCell ref="D37:E37"/>
    <mergeCell ref="D38:E38"/>
    <mergeCell ref="D39:E39"/>
    <mergeCell ref="D42:E42"/>
    <mergeCell ref="E15:E20"/>
    <mergeCell ref="D43:E43"/>
    <mergeCell ref="D44:E44"/>
    <mergeCell ref="D46:E46"/>
    <mergeCell ref="D45:E45"/>
    <mergeCell ref="B2:F2"/>
    <mergeCell ref="B3:F3"/>
    <mergeCell ref="B42:B46"/>
    <mergeCell ref="B47:B48"/>
    <mergeCell ref="B37:B41"/>
    <mergeCell ref="B31:B36"/>
    <mergeCell ref="C30:E30"/>
    <mergeCell ref="D31:E31"/>
    <mergeCell ref="D32:E32"/>
    <mergeCell ref="D33:E33"/>
    <mergeCell ref="D34:E34"/>
    <mergeCell ref="D35:E35"/>
    <mergeCell ref="C36:E36"/>
    <mergeCell ref="D40:E40"/>
    <mergeCell ref="D48:E48"/>
    <mergeCell ref="E21:E26"/>
  </mergeCells>
  <dataValidations count="1">
    <dataValidation type="list" allowBlank="1" showInputMessage="1" showErrorMessage="1" sqref="F37" xr:uid="{FDFAD114-27FE-4CA4-B12C-72B649036C4E}">
      <formula1>$O$28:$O$29</formula1>
    </dataValidation>
  </dataValidations>
  <pageMargins left="0.7" right="0.7" top="0.75" bottom="0.75" header="0.3" footer="0.3"/>
  <pageSetup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Hoja de 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Palma</dc:creator>
  <cp:lastModifiedBy>Marco Romero</cp:lastModifiedBy>
  <dcterms:created xsi:type="dcterms:W3CDTF">2023-05-04T20:36:10Z</dcterms:created>
  <dcterms:modified xsi:type="dcterms:W3CDTF">2024-08-27T21:15:36Z</dcterms:modified>
</cp:coreProperties>
</file>