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renda Bautista\Downloads\"/>
    </mc:Choice>
  </mc:AlternateContent>
  <xr:revisionPtr revIDLastSave="0" documentId="13_ncr:1_{4D4C1512-D119-452C-B795-B5181B83B9FC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HOJA RESPUESTAS EV.1  PAGObajo)" sheetId="26" state="hidden" r:id="rId1"/>
    <sheet name="BHOJA RESPUESTAS EV.1  PAGOBAJO" sheetId="22" state="hidden" r:id="rId2"/>
    <sheet name="BHOJA RESPUESTAS EV.1  PF" sheetId="23" state="hidden" r:id="rId3"/>
    <sheet name="Instrucciones" sheetId="29" r:id="rId4"/>
    <sheet name="Hoja de trabajo" sheetId="28" r:id="rId5"/>
    <sheet name="ASALARIADO" sheetId="27" state="hidden" r:id="rId6"/>
    <sheet name="CHK LIST HSBC" sheetId="14" state="hidden" r:id="rId7"/>
    <sheet name="CHK LIST SANTANDER" sheetId="15" state="hidden" r:id="rId8"/>
    <sheet name="CHK LIST  BANORTE" sheetId="13" state="hidden" r:id="rId9"/>
    <sheet name="CHK LIST SB 1" sheetId="20" state="hidden" r:id="rId10"/>
    <sheet name="CIERRE CIFRAS" sheetId="10" state="hidden" r:id="rId11"/>
    <sheet name="CHK LIST  CITIBNX" sheetId="18" state="hidden" r:id="rId12"/>
    <sheet name="CHK AFIRME" sheetId="17" state="hidden" r:id="rId13"/>
    <sheet name="CHK LIST BANREGIO" sheetId="19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6" l="1"/>
  <c r="D17" i="26"/>
  <c r="D17" i="22"/>
  <c r="I22" i="10" l="1"/>
  <c r="I20" i="10"/>
  <c r="B9" i="10"/>
  <c r="B11" i="10" s="1"/>
  <c r="B14" i="10" s="1"/>
  <c r="I8" i="10"/>
  <c r="I7" i="10"/>
  <c r="I9" i="10" s="1"/>
  <c r="I13" i="10" s="1"/>
  <c r="I23" i="10" s="1"/>
  <c r="I25" i="10" s="1"/>
  <c r="I26" i="10" s="1"/>
  <c r="I27" i="10" s="1"/>
</calcChain>
</file>

<file path=xl/sharedStrings.xml><?xml version="1.0" encoding="utf-8"?>
<sst xmlns="http://schemas.openxmlformats.org/spreadsheetml/2006/main" count="848" uniqueCount="375">
  <si>
    <t>VALOR VIVIENDA</t>
  </si>
  <si>
    <t>MONTO CREDITO</t>
  </si>
  <si>
    <t>SSV</t>
  </si>
  <si>
    <t>MONTO CREDITO YY</t>
  </si>
  <si>
    <t>Ecotecnologías</t>
  </si>
  <si>
    <t>Comisión por apertura</t>
  </si>
  <si>
    <t>Estos conceptos se descuenta al monto del crédito</t>
  </si>
  <si>
    <t>Gastos de Operación</t>
  </si>
  <si>
    <t xml:space="preserve">Gastos de investigación </t>
  </si>
  <si>
    <t>Impuestos y Derechos</t>
  </si>
  <si>
    <t>Gastos notariales</t>
  </si>
  <si>
    <t>Crédito Neto</t>
  </si>
  <si>
    <t>Fondeo del banco</t>
  </si>
  <si>
    <t xml:space="preserve">Recurso dispo. Pago </t>
  </si>
  <si>
    <t>Diferencia pago vendedor</t>
  </si>
  <si>
    <t>V.V.- Crédito neto</t>
  </si>
  <si>
    <t>MONTO CREDITO BANCO</t>
  </si>
  <si>
    <t>Recurso disp. Infonavit</t>
  </si>
  <si>
    <t>Diferencia pago</t>
  </si>
  <si>
    <t>Crédito neto banco</t>
  </si>
  <si>
    <t>menos pago de im.YY</t>
  </si>
  <si>
    <t>PAGO A VENDEDOR</t>
  </si>
  <si>
    <t>Concepto</t>
  </si>
  <si>
    <t>Cant.</t>
  </si>
  <si>
    <t>DOCUMENTO</t>
  </si>
  <si>
    <t>Original</t>
  </si>
  <si>
    <t>Copia</t>
  </si>
  <si>
    <t xml:space="preserve">Anexos y Formatos Adicionales </t>
  </si>
  <si>
    <t>Carátula Zoho - AHMX</t>
  </si>
  <si>
    <t>X</t>
  </si>
  <si>
    <t>Autorización para trámite de Crédito</t>
  </si>
  <si>
    <t>Anexo "F"</t>
  </si>
  <si>
    <t>Acuse de Recibo de Expediente</t>
  </si>
  <si>
    <t>Solicitud         y    Autorización BC</t>
  </si>
  <si>
    <t>Sólicitud de crédito requisitada y firmada</t>
  </si>
  <si>
    <t>Sólicitud de crédito  requisitada y firmada</t>
  </si>
  <si>
    <r>
      <t xml:space="preserve">Formato Autorización para Consulta Buró de Crédito, por participante </t>
    </r>
    <r>
      <rPr>
        <sz val="9"/>
        <color theme="1"/>
        <rFont val="Century Gothic"/>
        <family val="2"/>
      </rPr>
      <t>(acreditado, coacreditado, obligado y representante legal para PM)</t>
    </r>
  </si>
  <si>
    <t xml:space="preserve">Generales     Participantes del crédito </t>
  </si>
  <si>
    <t xml:space="preserve">Identificación Oficial </t>
  </si>
  <si>
    <t>Acta de nacimiento</t>
  </si>
  <si>
    <t xml:space="preserve">Acta de matrimonio </t>
  </si>
  <si>
    <t>Comprobante de domicilio (no mayor a 3 meses)</t>
  </si>
  <si>
    <t>Documentos adicionales</t>
  </si>
  <si>
    <t>Créditos con Apoyo Gubernamental</t>
  </si>
  <si>
    <t>Precalificación COFINAVIT o CONFINAVIT IA portal Infonavit</t>
  </si>
  <si>
    <t>Certificado mi Apoyo Infonavit portal Infonavit</t>
  </si>
  <si>
    <t>Precalificación Aliados o Respaldados portal Fovissste</t>
  </si>
  <si>
    <t>Créditos Sustitución</t>
  </si>
  <si>
    <t xml:space="preserve">Estado de cuenta hipoteca a sustuir </t>
  </si>
  <si>
    <t>Estado de cuenta hipoteca a sustuir . Ultimo mes</t>
  </si>
  <si>
    <t>Comprobantes de ingresos</t>
  </si>
  <si>
    <t>ASALARIADOS</t>
  </si>
  <si>
    <t>Recibos de nómina, 3 últimos meses</t>
  </si>
  <si>
    <t>Últimos meses de Recibos de Nomina.</t>
  </si>
  <si>
    <t>Estados de Cuenta con concepto nómina</t>
  </si>
  <si>
    <t>Últimos meses de estados de cuenta donde se deposita la nómina</t>
  </si>
  <si>
    <t>Si es pensionado agregar carta pensión</t>
  </si>
  <si>
    <t>INDEPENDIENTES</t>
  </si>
  <si>
    <t>Constancia de Situación Fiscal (vigente no mayor a 30 días)</t>
  </si>
  <si>
    <t>PERSONAS FÍSICAS CON ACTIVIDAD EMPRESARIAL</t>
  </si>
  <si>
    <r>
      <t xml:space="preserve">Últimos  meses de Estados de Cuenta (se pueden presentar hasta 3 cuentas de distintos bancos) </t>
    </r>
    <r>
      <rPr>
        <b/>
        <sz val="10"/>
        <color theme="1"/>
        <rFont val="Century Gothic"/>
        <family val="2"/>
      </rPr>
      <t>ó</t>
    </r>
  </si>
  <si>
    <t>Declaración anual</t>
  </si>
  <si>
    <t>Accionistas con Ingresos Empresa</t>
  </si>
  <si>
    <t>SOCIOS ACCIONISTAS*</t>
  </si>
  <si>
    <t>Acta Constitutiva Persona Moral</t>
  </si>
  <si>
    <t>Acta Constitutiva con datos de RPPyC y última modificación de asamblea</t>
  </si>
  <si>
    <t>Declaración anual + Acuse de Recibo (La declaración no debe presentar pérdidas)</t>
  </si>
  <si>
    <t>meses de Estados de Cuenta</t>
  </si>
  <si>
    <t>INGRESOS EMPRESA*</t>
  </si>
  <si>
    <t>Estados de cuenta (6 meses) empresa</t>
  </si>
  <si>
    <t>* en algunos casos por monto y evaluación se solicitan Estados de Resultados Auditados y declaraciones de la empresa</t>
  </si>
  <si>
    <t xml:space="preserve">Observaciones: </t>
  </si>
  <si>
    <t>1. Las copias deben ser cotejadas contra original con sello Franquicia y firmado por responsable expediente</t>
  </si>
  <si>
    <t>2. Las carátulas de Zoho, en el momento de ser emitidas, deberán ser guardadas en una carpeta. Ya que el sistema no guardas las carátulas emitidas.</t>
  </si>
  <si>
    <t>3. Profesional bróker hipotecario, debe tener resguardro electrónico de los expedientes</t>
  </si>
  <si>
    <t>FORMATO ANEXO B</t>
  </si>
  <si>
    <t>CERTIFICADO BROKER</t>
  </si>
  <si>
    <t>SOLICITUD DE CREDITO</t>
  </si>
  <si>
    <r>
      <t xml:space="preserve">Requisitada en su totalidad, </t>
    </r>
    <r>
      <rPr>
        <b/>
        <sz val="9"/>
        <color theme="1"/>
        <rFont val="Calibri"/>
        <family val="2"/>
        <scheme val="minor"/>
      </rPr>
      <t>con nombre completo y firma de los participantes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en los campos</t>
    </r>
  </si>
  <si>
    <r>
      <rPr>
        <b/>
        <sz val="9"/>
        <color theme="1"/>
        <rFont val="Calibri"/>
        <family val="2"/>
        <scheme val="minor"/>
      </rPr>
      <t>señalados</t>
    </r>
    <r>
      <rPr>
        <sz val="9"/>
        <color theme="1"/>
        <rFont val="Calibri"/>
        <family val="2"/>
        <scheme val="minor"/>
      </rPr>
      <t>, importante requisitar cuestionario consentimiento individual seguro de vida</t>
    </r>
  </si>
  <si>
    <r>
      <rPr>
        <b/>
        <sz val="9"/>
        <color theme="1"/>
        <rFont val="Calibri"/>
        <family val="2"/>
        <scheme val="minor"/>
      </rPr>
      <t>Requisitar Apartado VIII</t>
    </r>
    <r>
      <rPr>
        <sz val="9"/>
        <color theme="1"/>
        <rFont val="Calibri"/>
        <family val="2"/>
        <scheme val="minor"/>
      </rPr>
      <t>,  monto de credito, plazo, tipo de producto, esquema de pago</t>
    </r>
  </si>
  <si>
    <t>IDENTIFICACION OFICIAL</t>
  </si>
  <si>
    <t>Credencial INE, Pasaporte, en caso de extranjeros FM2 o FM3</t>
  </si>
  <si>
    <t>COMPROBANTE DE DOMICILIO</t>
  </si>
  <si>
    <t>Credencial INE siempre que el domicilio que contenga sea igual al declarado en solicitud</t>
  </si>
  <si>
    <r>
      <t xml:space="preserve">Cualquiera de estos documentos con </t>
    </r>
    <r>
      <rPr>
        <b/>
        <sz val="9"/>
        <color theme="1"/>
        <rFont val="Calibri"/>
        <family val="2"/>
        <scheme val="minor"/>
      </rPr>
      <t>maximo 90 dias de antigüedad:</t>
    </r>
  </si>
  <si>
    <t>CURP</t>
  </si>
  <si>
    <t>ACTA DE NACIMIENTO</t>
  </si>
  <si>
    <t>ESTADO CIVIL</t>
  </si>
  <si>
    <r>
      <t xml:space="preserve">Acta de matrimonio o Acta de Divorcio y </t>
    </r>
    <r>
      <rPr>
        <b/>
        <sz val="9"/>
        <color theme="1"/>
        <rFont val="Calibri"/>
        <family val="2"/>
        <scheme val="minor"/>
      </rPr>
      <t>Sentencia de bienes si es el caso</t>
    </r>
  </si>
  <si>
    <r>
      <rPr>
        <b/>
        <sz val="9"/>
        <color theme="1"/>
        <rFont val="Calibri"/>
        <family val="2"/>
        <scheme val="minor"/>
      </rPr>
      <t>Si el regimen es sociedad conyugal</t>
    </r>
    <r>
      <rPr>
        <sz val="9"/>
        <color theme="1"/>
        <rFont val="Calibri"/>
        <family val="2"/>
        <scheme val="minor"/>
      </rPr>
      <t xml:space="preserve"> se requiere datos y firmas del conyuge en la solicitud y se consulta BC</t>
    </r>
  </si>
  <si>
    <t>COMPROBANTES DE INGRESOS</t>
  </si>
  <si>
    <t>Cualquiera de las siguientes opciones:</t>
  </si>
  <si>
    <t>JUBILADOS</t>
  </si>
  <si>
    <t>DUEÑO EMPRESA CON INGRESOS PM</t>
  </si>
  <si>
    <t xml:space="preserve">ECONOMIA INFORMAL O  CON </t>
  </si>
  <si>
    <t>INGRESOS NO COMPROBABLES</t>
  </si>
  <si>
    <t>Con estudio Socioeconomico, Valor Maximo de Vivienda $ 3.550  MDP   aprox.</t>
  </si>
  <si>
    <t>CREDITOS MAYORES A 5 MDP</t>
  </si>
  <si>
    <t>Incluir formato Cuestionario Cualitativo, requisitado  y firmado por el cliente, uno por cada participante con ing.</t>
  </si>
  <si>
    <t>CREDITOS SUSTITUCION</t>
  </si>
  <si>
    <t>EDC de la Hipoteca a sustituir no mayor a 2 meses, Carta compromiso de pago de pasivos formato BHF-106</t>
  </si>
  <si>
    <t>CREDITO CON INFONAVIT</t>
  </si>
  <si>
    <t>Precalificacion de infonavit</t>
  </si>
  <si>
    <t>CONSIDERACIONES GENERALES</t>
  </si>
  <si>
    <t>EDAD …............................................</t>
  </si>
  <si>
    <t>Edad, minima 21 años Maxima 78 años resultado de la Edad del cte + Plazo del Credito</t>
  </si>
  <si>
    <t>ANTIGÜEDAD LABORAL ….................</t>
  </si>
  <si>
    <t>6 meses asalariados,  2 años Independientes,  sin excepciones</t>
  </si>
  <si>
    <t>CARTA LABORAL …............................</t>
  </si>
  <si>
    <t>En Hoja membretada, con nombre y RFC del solicitante, sueldo y fecha de ingreso, firma y sello de RH</t>
  </si>
  <si>
    <t>INGRESOS MINIMOS ….....................</t>
  </si>
  <si>
    <t>Asalariados $ 7,500.00   Independientes $ 360,000 Ventas anuales o $ 30,000 depositos mensuales</t>
  </si>
  <si>
    <t>INGRESOS ADICIONALES …................</t>
  </si>
  <si>
    <t>Se puede contemplar Aguinaldo o PV enviando el ultimo recibo de por este concepto</t>
  </si>
  <si>
    <t>Se puede considerar el Fondo de Ahorro presentando la carta laboral con el tratamiento del mismo</t>
  </si>
  <si>
    <t>*</t>
  </si>
  <si>
    <t>Si los EDC presentan variabilidad mayor al 30% asalariados deberan presentar 6 meses, Ind. 12 meses</t>
  </si>
  <si>
    <t>SUSTITUCIONES …............................</t>
  </si>
  <si>
    <t xml:space="preserve">Credito a sustituir con mas de 12 meses de vigencia no se necesitan comprobacion de ingresos si la  </t>
  </si>
  <si>
    <t>mensualidad propuesta es menor a la actual.</t>
  </si>
  <si>
    <t>RESTRICCIONES POR ACTIVIDAD …....</t>
  </si>
  <si>
    <t xml:space="preserve">Giros Restringidos: Arrendamiento,Inmboliarias, Construccion, Casinos, Casas de Apuesta, Casas de Empeño, Financieras </t>
  </si>
  <si>
    <t>AFIRME</t>
  </si>
  <si>
    <r>
      <t xml:space="preserve">Cuestionario Medico, Forma parte del checklist para comité </t>
    </r>
    <r>
      <rPr>
        <b/>
        <vertAlign val="superscript"/>
        <sz val="10"/>
        <color theme="1"/>
        <rFont val="Century Gothic"/>
        <family val="2"/>
      </rPr>
      <t>b</t>
    </r>
  </si>
  <si>
    <r>
      <t>Estudio Socioeconómico VIP No Asalariados Forma parte del checklist para comité.</t>
    </r>
    <r>
      <rPr>
        <vertAlign val="superscript"/>
        <sz val="10"/>
        <color theme="1"/>
        <rFont val="Century Gothic"/>
        <family val="2"/>
      </rPr>
      <t xml:space="preserve"> </t>
    </r>
    <r>
      <rPr>
        <b/>
        <vertAlign val="superscript"/>
        <sz val="10"/>
        <color theme="1"/>
        <rFont val="Century Gothic"/>
        <family val="2"/>
      </rPr>
      <t xml:space="preserve">b </t>
    </r>
  </si>
  <si>
    <r>
      <t>Relación Patrimonial</t>
    </r>
    <r>
      <rPr>
        <vertAlign val="superscript"/>
        <sz val="10"/>
        <color theme="1"/>
        <rFont val="Century Gothic"/>
        <family val="2"/>
      </rPr>
      <t xml:space="preserve"> </t>
    </r>
    <r>
      <rPr>
        <b/>
        <vertAlign val="superscript"/>
        <sz val="10"/>
        <color theme="1"/>
        <rFont val="Century Gothic"/>
        <family val="2"/>
      </rPr>
      <t xml:space="preserve">b </t>
    </r>
  </si>
  <si>
    <t>Sólicitud de crédito  y cuestionario médico</t>
  </si>
  <si>
    <t>Consulta de buro de credito PF (por c/participante de credito)</t>
  </si>
  <si>
    <r>
      <t>Consulta de buro de credito Pm</t>
    </r>
    <r>
      <rPr>
        <b/>
        <vertAlign val="superscript"/>
        <sz val="10"/>
        <color theme="1"/>
        <rFont val="Century Gothic"/>
        <family val="2"/>
      </rPr>
      <t>a</t>
    </r>
  </si>
  <si>
    <t>Identificación Oficial participantes del crédito</t>
  </si>
  <si>
    <t xml:space="preserve">Comprobante de domicilio (no mayor a 3 meses, Telmex, agua, CFE ambos lados, cable con </t>
  </si>
  <si>
    <t>servicio de telefonia)</t>
  </si>
  <si>
    <t>CURP (participantes de credito)</t>
  </si>
  <si>
    <t>x</t>
  </si>
  <si>
    <t>Acta de Nacimiento (participantes de credito)</t>
  </si>
  <si>
    <t xml:space="preserve">Acta de Matrimonio </t>
  </si>
  <si>
    <t xml:space="preserve">Carta laboral que incluyendo Puesto, Antigüedad, sueldo y datos generales del cliente. </t>
  </si>
  <si>
    <t>Últimos  meses de Estados de Cuenta.</t>
  </si>
  <si>
    <t>Constancia de Situación Fiscal de la empresa (vigente no mayor a 30 días)</t>
  </si>
  <si>
    <t>Acta Constitutiva con datos de RPPyC y última modificación de asamblea con la participacion accionaria.</t>
  </si>
  <si>
    <t>Declaración anual + Acuse de Recibo.</t>
  </si>
  <si>
    <t>Últimos meses de Estados de Cuenta personales</t>
  </si>
  <si>
    <t>Últimos meses de Estado de Cuenta de la empresa.</t>
  </si>
  <si>
    <t>Estados Financieros Anual y Parcial, Incluyendo Analíticas:</t>
  </si>
  <si>
    <t>Estados de Resultados</t>
  </si>
  <si>
    <t>Balance General</t>
  </si>
  <si>
    <r>
      <rPr>
        <b/>
        <sz val="9"/>
        <color theme="1"/>
        <rFont val="Century Gothic"/>
        <family val="2"/>
      </rPr>
      <t xml:space="preserve">a </t>
    </r>
    <r>
      <rPr>
        <sz val="9"/>
        <color theme="1"/>
        <rFont val="Century Gothic"/>
        <family val="2"/>
      </rPr>
      <t>Si el cliente comprueba ingresos con la informacion de la empresa en la que es accionisa</t>
    </r>
  </si>
  <si>
    <r>
      <rPr>
        <b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Documentacion para expedientes arriba de 7M o que se presentan en Comité.</t>
    </r>
  </si>
  <si>
    <t>Carta de Seguros</t>
  </si>
  <si>
    <t>Precalificación COFINAVIT</t>
  </si>
  <si>
    <t>Estado de cuenta hipoteca a sustuir . Ultimo mes. Pantalla de saldo Infonavit o Fovissste</t>
  </si>
  <si>
    <t xml:space="preserve">Últimos  meses de Estados de Cuenta (se pueden presentar hasta 3 cuentas de distintos bancos) </t>
  </si>
  <si>
    <t>1. La Identificación debe ser cotejadas contra original con sello Franquicia y firmado por responsable expediente</t>
  </si>
  <si>
    <t>BANREGIO</t>
  </si>
  <si>
    <t>Formato de Aviso de Privacidad</t>
  </si>
  <si>
    <t>Consulta de Buró de Crédito PF</t>
  </si>
  <si>
    <t>Declaración anual y último pago provisional.</t>
  </si>
  <si>
    <t xml:space="preserve">             CHECK LIST SANTANDER PRIMERA ETAPA</t>
  </si>
  <si>
    <r>
      <rPr>
        <b/>
        <sz val="9"/>
        <color theme="1"/>
        <rFont val="Calibri"/>
        <family val="2"/>
        <scheme val="minor"/>
      </rPr>
      <t>Requisitar Apartado III</t>
    </r>
    <r>
      <rPr>
        <sz val="9"/>
        <color theme="1"/>
        <rFont val="Calibri"/>
        <family val="2"/>
        <scheme val="minor"/>
      </rPr>
      <t xml:space="preserve">, información económica de acuerdo a su perfil, </t>
    </r>
    <r>
      <rPr>
        <b/>
        <sz val="9"/>
        <color theme="1"/>
        <rFont val="Calibri"/>
        <family val="2"/>
        <scheme val="minor"/>
      </rPr>
      <t>capturar ingresos calculados</t>
    </r>
  </si>
  <si>
    <r>
      <rPr>
        <b/>
        <sz val="9"/>
        <color theme="1"/>
        <rFont val="Calibri"/>
        <family val="2"/>
        <scheme val="minor"/>
      </rPr>
      <t>Importante</t>
    </r>
    <r>
      <rPr>
        <sz val="9"/>
        <color theme="1"/>
        <rFont val="Calibri"/>
        <family val="2"/>
        <scheme val="minor"/>
      </rPr>
      <t xml:space="preserve"> capturar referencias crediticias y patrimoniales, ayudan a reforzar el perfil del cliente</t>
    </r>
  </si>
  <si>
    <r>
      <rPr>
        <b/>
        <sz val="9"/>
        <color theme="1"/>
        <rFont val="Calibri"/>
        <family val="2"/>
        <scheme val="minor"/>
      </rPr>
      <t>II</t>
    </r>
    <r>
      <rPr>
        <sz val="9"/>
        <color theme="1"/>
        <rFont val="Calibri"/>
        <family val="2"/>
        <scheme val="minor"/>
      </rPr>
      <t>- Carta Laboral + 2 meses de Estados de cuenta con depósito con concepto Nómina</t>
    </r>
  </si>
  <si>
    <r>
      <rPr>
        <b/>
        <sz val="9"/>
        <color theme="1"/>
        <rFont val="Calibri"/>
        <family val="2"/>
        <scheme val="minor"/>
      </rPr>
      <t>III-</t>
    </r>
    <r>
      <rPr>
        <sz val="9"/>
        <color theme="1"/>
        <rFont val="Calibri"/>
        <family val="2"/>
        <scheme val="minor"/>
      </rPr>
      <t xml:space="preserve"> Carta Laboral + Declaración anual con acuse</t>
    </r>
  </si>
  <si>
    <r>
      <rPr>
        <b/>
        <sz val="9"/>
        <color theme="1"/>
        <rFont val="Calibri"/>
        <family val="2"/>
        <scheme val="minor"/>
      </rPr>
      <t>I-</t>
    </r>
    <r>
      <rPr>
        <sz val="9"/>
        <color theme="1"/>
        <rFont val="Calibri"/>
        <family val="2"/>
        <scheme val="minor"/>
      </rPr>
      <t xml:space="preserve"> CSF con máximo 3 meses de Impresión y declaracion anual con acuse</t>
    </r>
  </si>
  <si>
    <r>
      <rPr>
        <b/>
        <sz val="9"/>
        <color theme="1"/>
        <rFont val="Calibri"/>
        <family val="2"/>
        <scheme val="minor"/>
      </rPr>
      <t>II-</t>
    </r>
    <r>
      <rPr>
        <sz val="9"/>
        <color theme="1"/>
        <rFont val="Calibri"/>
        <family val="2"/>
        <scheme val="minor"/>
      </rPr>
      <t xml:space="preserve"> CSF con máximo 3 meses de Impresión y 6 meses de EDC  </t>
    </r>
    <r>
      <rPr>
        <b/>
        <sz val="11"/>
        <color theme="1"/>
        <rFont val="Calibri"/>
        <family val="2"/>
        <scheme val="minor"/>
      </rPr>
      <t>*</t>
    </r>
  </si>
  <si>
    <t>Carta de Jubilación o credencial de Pensionado + Último mes de recibo de nomina o EDC con nómina</t>
  </si>
  <si>
    <t>Dictamen Jurídico o última protocolización de la empresa o acta constitutiva, inscrito RPC</t>
  </si>
  <si>
    <t>Formato RIES-068 (consulta buro PM) + Identificación Oficial Representante Legal o persona facultada con poderes de adm.</t>
  </si>
  <si>
    <t>Se perfilara con producto "Crediferente" no se requiere Alta de Hacienda, se puede hacer evaluación  y llenar solicitud Crediferente</t>
  </si>
  <si>
    <t>CREDITO LIQUIDEZ PARA LIQUIDAR DEUDAS</t>
  </si>
  <si>
    <t>Solicitar al cliente carta donde indique las deudas a liquidar con el crédito</t>
  </si>
  <si>
    <r>
      <t xml:space="preserve">Autorización para trámite de Crédito Hipotecario, con </t>
    </r>
    <r>
      <rPr>
        <b/>
        <sz val="9"/>
        <color theme="1"/>
        <rFont val="Calibri"/>
        <family val="2"/>
        <scheme val="minor"/>
      </rPr>
      <t>nombre completo y firma del cliente</t>
    </r>
  </si>
  <si>
    <t>Certificado o Carátula de la operación con mismo nombre del cliente y de fecha reciente</t>
  </si>
  <si>
    <t>Únicamente se aceptan las siguientes identificaciones vigentes sin excepeciones:</t>
  </si>
  <si>
    <t>Recibo de Teléfono, Recibo de Luz, Boleta de agua, Boleta Predial, Factura Gas Natural</t>
  </si>
  <si>
    <t>Estado de cuenta de cheques o tarjeta de crédito Únicamente de Banco Santander</t>
  </si>
  <si>
    <t>De todos los participantes del crédito</t>
  </si>
  <si>
    <t>Autorización para trámite de Crédito - Anexo 8 (interno corporativo)</t>
  </si>
  <si>
    <t>Comprobante de domicilio no mayor a 3 meses</t>
  </si>
  <si>
    <t>CURP de los participantes</t>
  </si>
  <si>
    <t>Acta Constitutiva Persona Moral con participación min 10 % y antigüedad mínima 2 años de la empresa</t>
  </si>
  <si>
    <t>Declaración anual del último ejercicio y últimos 3 pagos provisionales</t>
  </si>
  <si>
    <t>Constancia de Situación Fiscal con antigúedad mínima 6 meses</t>
  </si>
  <si>
    <t>Declaración anual del último ejercicio y último parcial trimestral</t>
  </si>
  <si>
    <t>CHECK LIST BANORTE PRIMERA ETAPA</t>
  </si>
  <si>
    <t>Autorización para trámite de Crédito (interno Creditaria)</t>
  </si>
  <si>
    <t xml:space="preserve">Formatos Adicionales </t>
  </si>
  <si>
    <t>Identificación Oficial vigente  participantes del crédito (cónyuge si aplica)</t>
  </si>
  <si>
    <t>Precalificación FOVISSSTE para TODOS</t>
  </si>
  <si>
    <t>Anexo B Scotiabank requisitado, firmado por cliente y bróker</t>
  </si>
  <si>
    <t>Último mes  de Recibos de Nómina.</t>
  </si>
  <si>
    <t>Constancia de Situación Fiscal (vigente no mayor a 3 meses) de la persona fisca o moral, según sea el caso</t>
  </si>
  <si>
    <t xml:space="preserve">Últimos  meses de Estados de Cuenta </t>
  </si>
  <si>
    <t>Últimos  meses de Estados de Cuenta bancarios personales</t>
  </si>
  <si>
    <t>Constancia de Situación Fiscal ( vigente no mayor a 3 meses)</t>
  </si>
  <si>
    <t>Acta Constitutiva</t>
  </si>
  <si>
    <t>1.Para cotejo de documentos, se debe enviar solo una carta confirmado la revisión  de los documentos originales  entregados en copia del expediente</t>
  </si>
  <si>
    <t>Precalificación COFINAVIT o Cuenta Infonavit + Crédito Bancario</t>
  </si>
  <si>
    <t>Precalificación COFINAVIT o Cuenta INFONAVIT + BANCO</t>
  </si>
  <si>
    <t>Precalificación  Fovissste para TODOS</t>
  </si>
  <si>
    <t>ASALARIADOS FOVISSSTE PARA TODOS</t>
  </si>
  <si>
    <t>Último mes de Recibos de Nómina.</t>
  </si>
  <si>
    <t>Últimos meses de Recibos de Nómina.</t>
  </si>
  <si>
    <t>Últimos mes de copia de cheques y carta laboral emitida por recursos humanos, hoja membretada, firmada y sellada por empresa con desglose de sueldo y fecha expedición</t>
  </si>
  <si>
    <t>Constancia de Situación Fiscal (vigente no mayor a 6 meses)</t>
  </si>
  <si>
    <t>INDEPENDIENTES - Profesionista Independiente</t>
  </si>
  <si>
    <t xml:space="preserve"> ó Declaración anual</t>
  </si>
  <si>
    <t>Acta Constitutiva con al menos el 25 % de acciones participación</t>
  </si>
  <si>
    <t>Última Declaración anual de la empresa (La declaración no debe presentar pérdidas en el ejercicio)</t>
  </si>
  <si>
    <t>Carta selección de producto</t>
  </si>
  <si>
    <t>Para créditos Jumbo (montos mayores a 8 millones  se debe presentar declaración anual)</t>
  </si>
  <si>
    <t>Buró de crédito especial de la empresa</t>
  </si>
  <si>
    <t>Autorización para trámite de Crédito - formato interno Creditaria</t>
  </si>
  <si>
    <t>Identificación Oficial participantes del crédito (pasaporte vigente, cédula profesional)</t>
  </si>
  <si>
    <t>Carátula Zoho - AHMX (Asociación Hipotecaria de México)</t>
  </si>
  <si>
    <t xml:space="preserve">Último mes de Recibos de Nomina. </t>
  </si>
  <si>
    <t>Carta Laboral</t>
  </si>
  <si>
    <t>Estado de cuenta bancario en donde se refleje depósitos de nómina o estados de cuenta en donde</t>
  </si>
  <si>
    <t>se demuestren depósitos recurrentes conforme al ingreso declarado</t>
  </si>
  <si>
    <t>ASALARIADOS - sin recibos de nómina</t>
  </si>
  <si>
    <t xml:space="preserve">Últimos meses de estados de cuenta donde se refleje el servicio de nómina. Si los ingresos son variables presentar 6 meses con carta laboral con detalle de percepción variable. </t>
  </si>
  <si>
    <t>Si no cotiza IMSS, presentar declaración anual</t>
  </si>
  <si>
    <t>Constancia de Situación Fiscal o Aviso de actualización o modificación Fiscal</t>
  </si>
  <si>
    <t>Buró de Crédito de la empresa</t>
  </si>
  <si>
    <t>CHECK LIST SCOTIABANK PRIMERA ETAPA</t>
  </si>
  <si>
    <t>CHECK LIST CITIBANAMEX PRIMERA ETAPA</t>
  </si>
  <si>
    <r>
      <rPr>
        <b/>
        <sz val="9"/>
        <color theme="1"/>
        <rFont val="Calibri"/>
        <family val="2"/>
        <scheme val="minor"/>
      </rPr>
      <t>I-</t>
    </r>
    <r>
      <rPr>
        <sz val="9"/>
        <color theme="1"/>
        <rFont val="Calibri"/>
        <family val="2"/>
        <scheme val="minor"/>
      </rPr>
      <t xml:space="preserve"> Carta Laboral + 2 Últimos meses de recibos de Nomina con o sin CFDI + 2 meses de Estados de cuenta* con depósito con concepto Nómina</t>
    </r>
  </si>
  <si>
    <t>Nota: Los estados de cuenta y declaración de impuestos siempre debe ir acompañados de la carta laboral o último último recibo de nómina con antigüedad no mayor a 30 días</t>
  </si>
  <si>
    <t xml:space="preserve">*Original de autorización  para trámite de Crédito, Acuse de Recibo y Anexo lo resguarda profesional hipotecario Bróker. </t>
  </si>
  <si>
    <t xml:space="preserve">La cantidad de recibos de nómina dependerá de la periodicidad del cliente, es decir si tiene percepciones Fijas se pueden aceptar de 1 mes si tiene percepciones variables puede ir de 3 hasta 6 meses. </t>
  </si>
  <si>
    <r>
      <t xml:space="preserve">Estados de cuenta últimos meses </t>
    </r>
    <r>
      <rPr>
        <b/>
        <sz val="10"/>
        <color theme="1"/>
        <rFont val="Century Gothic"/>
        <family val="2"/>
      </rPr>
      <t>ó</t>
    </r>
    <r>
      <rPr>
        <sz val="10"/>
        <color theme="1"/>
        <rFont val="Century Gothic"/>
        <family val="2"/>
      </rPr>
      <t xml:space="preserve"> </t>
    </r>
  </si>
  <si>
    <r>
      <t xml:space="preserve">Estados de cuenta personales últimos meses </t>
    </r>
    <r>
      <rPr>
        <b/>
        <sz val="10"/>
        <color theme="1"/>
        <rFont val="Century Gothic"/>
        <family val="2"/>
      </rPr>
      <t>ó</t>
    </r>
  </si>
  <si>
    <t>Reporte de buró de crédio Especial de la Empresa</t>
  </si>
  <si>
    <t>El socio accionista también puede presentar para calcular ingresos; Estados financieros</t>
  </si>
  <si>
    <t>Constancia de Situación Fiscal o Aviso de actualización o modificación Fiscal con actividad 4 años</t>
  </si>
  <si>
    <t>Últimos meses  Estado de cuenta de la empresa</t>
  </si>
  <si>
    <t>Declaración anual de la empresa del último ejercicio exigible que no presente pérdidas o capital contable negativo</t>
  </si>
  <si>
    <t>Si es Inversión Patrimonial, últimos 4 meses de estados de cuenta</t>
  </si>
  <si>
    <t>PROPUESTA ENVIADA AL CLIENTE</t>
  </si>
  <si>
    <t xml:space="preserve">RESPUESTAS </t>
  </si>
  <si>
    <t xml:space="preserve">1. De la mensualidad enviada en archivo, desglosar en cantidad los siguientes datos: </t>
  </si>
  <si>
    <t>Capital:</t>
  </si>
  <si>
    <t>Interés</t>
  </si>
  <si>
    <t>Seguro vida</t>
  </si>
  <si>
    <t xml:space="preserve">Seguro daños </t>
  </si>
  <si>
    <t xml:space="preserve">Mensualidad: </t>
  </si>
  <si>
    <t xml:space="preserve">Comisión x administración </t>
  </si>
  <si>
    <t>2.	Quiere hacer aportaciones a capital durante la vida del crédito. Específicamente quiere aportar $50,000.00 en el año 3 y año 5, para ello necesita saber:</t>
  </si>
  <si>
    <t>Puede reducir la mensualidad</t>
  </si>
  <si>
    <t>NO</t>
  </si>
  <si>
    <t>SI</t>
  </si>
  <si>
    <t xml:space="preserve">5 minutos </t>
  </si>
  <si>
    <t>Lectura</t>
  </si>
  <si>
    <t>a.</t>
  </si>
  <si>
    <t>b.</t>
  </si>
  <si>
    <t>c.</t>
  </si>
  <si>
    <t>d.</t>
  </si>
  <si>
    <t>e.</t>
  </si>
  <si>
    <t>Pago total de crédito con pagos anticipados</t>
  </si>
  <si>
    <t xml:space="preserve">c. </t>
  </si>
  <si>
    <t>¿Cómo debe informar al banco los pagos anticipados?</t>
  </si>
  <si>
    <t>3.      ¿Cómo quedaría su crédito en caso de irse con el esquema bajo sin pagos anticipados?:</t>
  </si>
  <si>
    <t>Ingresos comprobables con compromisos de pago</t>
  </si>
  <si>
    <t>Pago total del crédito con esquema bajo</t>
  </si>
  <si>
    <t>Pago total del crédito con esquema bajo y pagos anticipados</t>
  </si>
  <si>
    <t>Mensualidad aportación año 3</t>
  </si>
  <si>
    <t>Mensualidad aportación año 5</t>
  </si>
  <si>
    <t>4. Si realiza los siguientes movimientos que cambios tendría:</t>
  </si>
  <si>
    <t xml:space="preserve">Beneficios para al realizar la portabilidad </t>
  </si>
  <si>
    <t>Gasto notarial con el 8% aproximado</t>
  </si>
  <si>
    <t xml:space="preserve">Mensualidad inicial: </t>
  </si>
  <si>
    <t>Mensualidad final:</t>
  </si>
  <si>
    <t>PREGUNTAS</t>
  </si>
  <si>
    <t>CASO SIMULADOR – ESQUEMA FIJO 20 AÑOS – NO PREMIER</t>
  </si>
  <si>
    <t>HOJA DE TRABAJO</t>
  </si>
  <si>
    <t>CASO SIMULADOR – ESQUEMA  BAJO 20 AÑOS – NO PREMIER</t>
  </si>
  <si>
    <t>Puede reducir plazo</t>
  </si>
  <si>
    <t>Con pagos anticipados puede reducir mensualidad</t>
  </si>
  <si>
    <t>3.      ¿Cómo quedaría su crédito en caso de irse con el esquema fijo sin pagos anticipados?:</t>
  </si>
  <si>
    <t xml:space="preserve">Mensualidad : </t>
  </si>
  <si>
    <t>Pago total del crédito con esquema fijo</t>
  </si>
  <si>
    <t>Pago total del crédito con esquema fijo y pagos anticipados</t>
  </si>
  <si>
    <r>
      <t xml:space="preserve">Comisión por apertura de </t>
    </r>
    <r>
      <rPr>
        <b/>
        <sz val="12"/>
        <color rgb="FFFF0000"/>
        <rFont val="Century Gothic"/>
        <family val="2"/>
      </rPr>
      <t xml:space="preserve">____% </t>
    </r>
  </si>
  <si>
    <t xml:space="preserve">1. De la mensualidad inicial enviada en archivo, desglosar en cantidad los siguientes datos: </t>
  </si>
  <si>
    <t>Debe llamar al banco para que este tome el dinero de su cuenta</t>
  </si>
  <si>
    <t>Pago total del crédito con esquema fijo y pagos anticipados 3- 5 año a plazo</t>
  </si>
  <si>
    <r>
      <t xml:space="preserve">Comisión por apertura de </t>
    </r>
    <r>
      <rPr>
        <b/>
        <sz val="12"/>
        <color rgb="FFFF0000"/>
        <rFont val="Century Gothic"/>
        <family val="2"/>
      </rPr>
      <t xml:space="preserve">_0.5___% </t>
    </r>
  </si>
  <si>
    <t>HOJA REVISION HSBC</t>
  </si>
  <si>
    <t>NOMBRE CLIENTE</t>
  </si>
  <si>
    <t>NOMBRE ASESOR</t>
  </si>
  <si>
    <t>ACTIVIDAD ECONOMICA</t>
  </si>
  <si>
    <t xml:space="preserve">RESOLUCION MESA: </t>
  </si>
  <si>
    <t>ENVIADO AL BANCO</t>
  </si>
  <si>
    <t>CAPTURADO EN EL SISTEMA DEL BANCO</t>
  </si>
  <si>
    <t>NO ENVIADO AL BANCO</t>
  </si>
  <si>
    <t>NO CAPTURADO EN EL SISTEMA DEL BANCO</t>
  </si>
  <si>
    <t>Copia Identificación del bróker</t>
  </si>
  <si>
    <t>Completo</t>
  </si>
  <si>
    <t>observaciones</t>
  </si>
  <si>
    <t>Incompleto</t>
  </si>
  <si>
    <t>Autorización para trámite de Crédito - (documento interno Creditaria, resguardo para cobro)</t>
  </si>
  <si>
    <t>Carátula viene a nombre de otra franquicia</t>
  </si>
  <si>
    <t>Nombre del bróker no coincide con el nombre de la carátula</t>
  </si>
  <si>
    <t>Cuestionario médico</t>
  </si>
  <si>
    <t xml:space="preserve">Fatlo firma hoja 2 </t>
  </si>
  <si>
    <t>No se seleccionó producto adquisición</t>
  </si>
  <si>
    <t>Comprobante de domicilio a nombre del titular  (no mayor a 3 meses) si hay coacreditado con ingresos deberá presentar comp. Domicilio a nombre del coacreditado.</t>
  </si>
  <si>
    <t>Identificación Oficial participantes del crédito (cónyuge o coacreditado si aplica)</t>
  </si>
  <si>
    <r>
      <t>Vigencia comprobante de domicilio</t>
    </r>
    <r>
      <rPr>
        <b/>
        <sz val="9"/>
        <color rgb="FFFF0000"/>
        <rFont val="Century Gothic"/>
        <family val="2"/>
      </rPr>
      <t>, a nombre de otra persona-</t>
    </r>
  </si>
  <si>
    <t>Fatla parte posterior INE, Agregar una licencia y licencia no se acepta, identificación vencida</t>
  </si>
  <si>
    <t xml:space="preserve">expediente que no venga preca </t>
  </si>
  <si>
    <t>no venga certificado</t>
  </si>
  <si>
    <t>no venga preca</t>
  </si>
  <si>
    <t>Falta la hoja , cotejar firmas solicitud firmas</t>
  </si>
  <si>
    <t>N/A</t>
  </si>
  <si>
    <t>Cantidad coincida con Estados de cuenta depósito Nómina//fecha de los recibos vs. Fecha del caso</t>
  </si>
  <si>
    <t>Estado de cuenta este incompleto</t>
  </si>
  <si>
    <t>venga un mes pero de diferentes quincenas</t>
  </si>
  <si>
    <t>sin carta patronal</t>
  </si>
  <si>
    <t>Constancia de Situación Fiscal (vigente no mayor a 1  mes)</t>
  </si>
  <si>
    <t>fechas más de tres meses</t>
  </si>
  <si>
    <t>falta una hoja</t>
  </si>
  <si>
    <t>saldos</t>
  </si>
  <si>
    <t>saldos iniciales</t>
  </si>
  <si>
    <t xml:space="preserve">vigencia </t>
  </si>
  <si>
    <t>solo mandan 4</t>
  </si>
  <si>
    <t>La constancia venga a otro nombre</t>
  </si>
  <si>
    <t>acta constitutiva con el 10 %</t>
  </si>
  <si>
    <t>sin buró de crédito</t>
  </si>
  <si>
    <t>Expediente sin la identificación del bróker</t>
  </si>
  <si>
    <r>
      <t>Vigencia comprobante de domicilio</t>
    </r>
    <r>
      <rPr>
        <sz val="16"/>
        <color rgb="FFFF0000"/>
        <rFont val="Calibri"/>
        <family val="2"/>
        <scheme val="minor"/>
      </rPr>
      <t>, a nombre de otra persona-</t>
    </r>
  </si>
  <si>
    <t>Créditos de Sustitución</t>
  </si>
  <si>
    <t>Observaciones</t>
  </si>
  <si>
    <t>Documento</t>
  </si>
  <si>
    <t>Autorización para trámite de Crédito 
(documento interno Creditaria, resguardo para cobro)</t>
  </si>
  <si>
    <t xml:space="preserve">Generales Participantes del crédito </t>
  </si>
  <si>
    <t>Solicitud y    Autorización BC</t>
  </si>
  <si>
    <t>Intrucciones</t>
  </si>
  <si>
    <t>Verde</t>
  </si>
  <si>
    <t>Amarillo</t>
  </si>
  <si>
    <t>Naranja</t>
  </si>
  <si>
    <t>Rojo</t>
  </si>
  <si>
    <t xml:space="preserve">Morado </t>
  </si>
  <si>
    <t>Azul</t>
  </si>
  <si>
    <t>Inciso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</si>
  <si>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</si>
  <si>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</si>
  <si>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</si>
  <si>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</si>
  <si>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</si>
  <si>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</si>
  <si>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</si>
  <si>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</si>
  <si>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</si>
  <si>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2. Para créditos Jumbo (montos mayores a 8 millones  se debe presentar declaración anual)</t>
  </si>
  <si>
    <t>PENSIONADOS</t>
  </si>
  <si>
    <t>Estado de cuenta hipoteca a sustuir. Ultimo mes</t>
  </si>
  <si>
    <t xml:space="preserve">Acta de matrimonio o acta de nacimiento de hijo en común </t>
  </si>
  <si>
    <t xml:space="preserve">Carta de pensión </t>
  </si>
  <si>
    <t>Inciso i</t>
  </si>
  <si>
    <t>Inciso e y f</t>
  </si>
  <si>
    <t>Inciso c y d</t>
  </si>
  <si>
    <t>Inciso a y b</t>
  </si>
  <si>
    <t>j</t>
  </si>
  <si>
    <t>Inciso g y h</t>
  </si>
  <si>
    <t>Inciso j</t>
  </si>
  <si>
    <t>Acta Constitutiva con al menos el 50 % de acciones participación</t>
  </si>
  <si>
    <t>Cuestionario médico firmado, descripción de su ocupación</t>
  </si>
  <si>
    <t>CURP  del titular de crédito</t>
  </si>
  <si>
    <t>Anexo B, Autorización para tramitación de crédito hipotecario Santander</t>
  </si>
  <si>
    <t xml:space="preserve">Comprobante de domicilio a nombre del titular  (no mayor a 3 meses) </t>
  </si>
  <si>
    <t>Selección del campo otros participantes del crédito (si aplica)</t>
  </si>
  <si>
    <t xml:space="preserve">Identificación Oficial participantes del crédito </t>
  </si>
  <si>
    <t>Comprobante de antigüedad laboral</t>
  </si>
  <si>
    <t>Últimos meses de Recibo de Nómina.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</si>
</sst>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0"/>
      <name val="Century Gothic"/>
      <family val="2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theme="1"/>
      <name val="Century Gothic"/>
      <family val="2"/>
    </font>
    <font>
      <b/>
      <sz val="9"/>
      <color rgb="FFFF0000"/>
      <name val="Century Gothic"/>
      <family val="2"/>
    </font>
    <font>
      <sz val="7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rgb="FF006666"/>
      <name val="Century Gothic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0"/>
      <color theme="1"/>
      <name val="Century Gothic"/>
      <family val="2"/>
    </font>
    <font>
      <vertAlign val="superscript"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8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24"/>
      <color theme="1"/>
      <name val="Century Gothic"/>
      <family val="2"/>
    </font>
    <font>
      <b/>
      <sz val="36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entury Gothic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F38B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3FFD5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4" tint="-0.499984740745262"/>
      </top>
      <bottom style="medium">
        <color theme="0"/>
      </bottom>
      <diagonal/>
    </border>
    <border>
      <left style="medium">
        <color theme="0"/>
      </left>
      <right style="medium">
        <color theme="4" tint="-0.499984740745262"/>
      </right>
      <top style="medium">
        <color theme="4" tint="-0.499984740745262"/>
      </top>
      <bottom style="medium">
        <color theme="0"/>
      </bottom>
      <diagonal/>
    </border>
    <border>
      <left style="medium">
        <color theme="0"/>
      </left>
      <right style="medium">
        <color theme="4" tint="-0.499984740745262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4" tint="-0.499984740745262"/>
      </bottom>
      <diagonal/>
    </border>
    <border>
      <left style="medium">
        <color theme="0"/>
      </left>
      <right style="medium">
        <color theme="4" tint="-0.499984740745262"/>
      </right>
      <top style="medium">
        <color theme="0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0"/>
      </right>
      <top style="medium">
        <color theme="4" tint="-0.499984740745262"/>
      </top>
      <bottom style="medium">
        <color theme="0"/>
      </bottom>
      <diagonal/>
    </border>
    <border>
      <left style="medium">
        <color theme="4" tint="-0.499984740745262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4" tint="-0.499984740745262"/>
      </left>
      <right style="medium">
        <color theme="0"/>
      </right>
      <top style="medium">
        <color theme="0"/>
      </top>
      <bottom style="medium">
        <color theme="4" tint="-0.499984740745262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4" tint="-0.499984740745262"/>
      </left>
      <right style="medium">
        <color indexed="64"/>
      </right>
      <top style="medium">
        <color theme="4" tint="-0.499984740745262"/>
      </top>
      <bottom/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4" tint="-0.49998474074526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4" tint="-0.4999847407452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4" tint="-0.49998474074526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4" tint="-0.499984740745262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4" fontId="0" fillId="0" borderId="0" xfId="1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9" xfId="0" applyBorder="1"/>
    <xf numFmtId="44" fontId="0" fillId="0" borderId="10" xfId="1" applyFont="1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44" fontId="0" fillId="0" borderId="12" xfId="1" applyFont="1" applyBorder="1"/>
    <xf numFmtId="0" fontId="0" fillId="0" borderId="13" xfId="0" applyBorder="1"/>
    <xf numFmtId="44" fontId="0" fillId="0" borderId="14" xfId="1" applyFont="1" applyBorder="1"/>
    <xf numFmtId="0" fontId="2" fillId="0" borderId="11" xfId="0" applyFont="1" applyBorder="1"/>
    <xf numFmtId="44" fontId="2" fillId="0" borderId="14" xfId="1" applyFont="1" applyBorder="1"/>
    <xf numFmtId="0" fontId="0" fillId="0" borderId="15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/>
    <xf numFmtId="44" fontId="2" fillId="0" borderId="20" xfId="1" applyFont="1" applyBorder="1"/>
    <xf numFmtId="0" fontId="0" fillId="0" borderId="21" xfId="0" applyBorder="1"/>
    <xf numFmtId="44" fontId="0" fillId="0" borderId="22" xfId="1" applyFont="1" applyBorder="1"/>
    <xf numFmtId="0" fontId="0" fillId="0" borderId="23" xfId="0" applyBorder="1"/>
    <xf numFmtId="44" fontId="0" fillId="0" borderId="23" xfId="0" applyNumberFormat="1" applyBorder="1"/>
    <xf numFmtId="0" fontId="0" fillId="0" borderId="24" xfId="0" applyBorder="1"/>
    <xf numFmtId="44" fontId="0" fillId="0" borderId="24" xfId="0" applyNumberFormat="1" applyBorder="1"/>
    <xf numFmtId="0" fontId="0" fillId="0" borderId="25" xfId="0" applyBorder="1"/>
    <xf numFmtId="44" fontId="0" fillId="0" borderId="25" xfId="0" applyNumberFormat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44" fontId="0" fillId="0" borderId="8" xfId="0" applyNumberFormat="1" applyBorder="1"/>
    <xf numFmtId="0" fontId="0" fillId="0" borderId="17" xfId="0" applyBorder="1"/>
    <xf numFmtId="0" fontId="0" fillId="0" borderId="18" xfId="0" applyBorder="1"/>
    <xf numFmtId="0" fontId="2" fillId="0" borderId="16" xfId="0" applyFont="1" applyBorder="1"/>
    <xf numFmtId="44" fontId="2" fillId="0" borderId="8" xfId="0" applyNumberFormat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3" xfId="0" applyFont="1" applyBorder="1"/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7" fillId="0" borderId="0" xfId="0" applyFont="1"/>
    <xf numFmtId="0" fontId="9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8" fillId="0" borderId="31" xfId="0" applyFont="1" applyBorder="1" applyAlignment="1">
      <alignment vertical="center"/>
    </xf>
    <xf numFmtId="0" fontId="10" fillId="0" borderId="6" xfId="0" applyFont="1" applyBorder="1" applyAlignment="1">
      <alignment horizontal="center" wrapTex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vertical="center"/>
    </xf>
    <xf numFmtId="0" fontId="7" fillId="0" borderId="6" xfId="0" applyFont="1" applyBorder="1"/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8" fillId="0" borderId="7" xfId="0" applyFont="1" applyBorder="1"/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/>
    <xf numFmtId="0" fontId="7" fillId="0" borderId="24" xfId="0" applyFont="1" applyBorder="1"/>
    <xf numFmtId="0" fontId="7" fillId="0" borderId="31" xfId="0" applyFont="1" applyBorder="1"/>
    <xf numFmtId="0" fontId="7" fillId="0" borderId="24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7" fillId="0" borderId="25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1" fillId="0" borderId="15" xfId="0" applyFont="1" applyBorder="1"/>
    <xf numFmtId="0" fontId="3" fillId="0" borderId="13" xfId="0" applyFont="1" applyBorder="1"/>
    <xf numFmtId="0" fontId="11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7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3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40" xfId="0" applyBorder="1"/>
    <xf numFmtId="0" fontId="0" fillId="0" borderId="22" xfId="0" applyBorder="1"/>
    <xf numFmtId="0" fontId="15" fillId="0" borderId="22" xfId="0" applyFont="1" applyBorder="1"/>
    <xf numFmtId="0" fontId="0" fillId="0" borderId="41" xfId="0" applyBorder="1"/>
    <xf numFmtId="0" fontId="0" fillId="0" borderId="42" xfId="0" applyBorder="1"/>
    <xf numFmtId="0" fontId="16" fillId="0" borderId="0" xfId="0" applyFont="1"/>
    <xf numFmtId="0" fontId="0" fillId="0" borderId="43" xfId="0" applyBorder="1"/>
    <xf numFmtId="0" fontId="15" fillId="0" borderId="0" xfId="0" applyFont="1"/>
    <xf numFmtId="0" fontId="2" fillId="0" borderId="44" xfId="0" applyFont="1" applyBorder="1"/>
    <xf numFmtId="0" fontId="15" fillId="0" borderId="44" xfId="0" applyFont="1" applyBorder="1"/>
    <xf numFmtId="0" fontId="17" fillId="0" borderId="0" xfId="0" applyFont="1"/>
    <xf numFmtId="0" fontId="1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5" fillId="0" borderId="45" xfId="0" applyFont="1" applyBorder="1"/>
    <xf numFmtId="0" fontId="2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0" fillId="0" borderId="45" xfId="0" applyBorder="1"/>
    <xf numFmtId="0" fontId="0" fillId="0" borderId="47" xfId="0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 textRotation="90"/>
    </xf>
    <xf numFmtId="0" fontId="6" fillId="0" borderId="4" xfId="0" applyFont="1" applyBorder="1" applyAlignment="1">
      <alignment vertical="center" textRotation="90"/>
    </xf>
    <xf numFmtId="0" fontId="12" fillId="2" borderId="15" xfId="0" applyFont="1" applyFill="1" applyBorder="1"/>
    <xf numFmtId="0" fontId="12" fillId="2" borderId="0" xfId="0" applyFont="1" applyFill="1"/>
    <xf numFmtId="0" fontId="6" fillId="0" borderId="15" xfId="0" applyFont="1" applyBorder="1" applyAlignment="1">
      <alignment vertical="center" textRotation="90"/>
    </xf>
    <xf numFmtId="0" fontId="6" fillId="0" borderId="0" xfId="0" applyFont="1" applyAlignment="1">
      <alignment vertical="center" textRotation="90"/>
    </xf>
    <xf numFmtId="0" fontId="7" fillId="0" borderId="1" xfId="0" applyFont="1" applyBorder="1" applyAlignment="1">
      <alignment wrapText="1"/>
    </xf>
    <xf numFmtId="0" fontId="8" fillId="0" borderId="47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 applyAlignment="1">
      <alignment horizontal="left"/>
    </xf>
    <xf numFmtId="0" fontId="3" fillId="0" borderId="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1" fillId="0" borderId="3" xfId="0" applyFont="1" applyBorder="1" applyAlignment="1">
      <alignment wrapText="1"/>
    </xf>
    <xf numFmtId="0" fontId="7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textRotation="90"/>
    </xf>
    <xf numFmtId="0" fontId="7" fillId="0" borderId="16" xfId="0" applyFont="1" applyBorder="1" applyAlignment="1">
      <alignment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vertical="center"/>
    </xf>
    <xf numFmtId="0" fontId="3" fillId="0" borderId="52" xfId="0" applyFont="1" applyBorder="1"/>
    <xf numFmtId="0" fontId="3" fillId="0" borderId="5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/>
    <xf numFmtId="0" fontId="3" fillId="0" borderId="54" xfId="0" applyFont="1" applyBorder="1"/>
    <xf numFmtId="0" fontId="3" fillId="0" borderId="54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/>
    </xf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21" fillId="0" borderId="52" xfId="0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0" fontId="7" fillId="0" borderId="2" xfId="0" applyFont="1" applyBorder="1"/>
    <xf numFmtId="0" fontId="7" fillId="0" borderId="15" xfId="0" applyFont="1" applyBorder="1"/>
    <xf numFmtId="0" fontId="7" fillId="0" borderId="5" xfId="0" applyFont="1" applyBorder="1"/>
    <xf numFmtId="0" fontId="7" fillId="0" borderId="6" xfId="0" applyFont="1" applyBorder="1" applyAlignment="1">
      <alignment vertical="center"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6" xfId="0" applyFont="1" applyBorder="1"/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vertical="center"/>
    </xf>
    <xf numFmtId="0" fontId="21" fillId="0" borderId="52" xfId="0" applyFont="1" applyBorder="1" applyAlignment="1">
      <alignment vertical="center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52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52" xfId="0" applyBorder="1" applyAlignment="1">
      <alignment horizontal="center"/>
    </xf>
    <xf numFmtId="0" fontId="0" fillId="0" borderId="72" xfId="0" applyBorder="1"/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73" xfId="0" applyBorder="1"/>
    <xf numFmtId="0" fontId="0" fillId="0" borderId="69" xfId="0" applyBorder="1" applyAlignment="1">
      <alignment horizontal="center"/>
    </xf>
    <xf numFmtId="0" fontId="0" fillId="0" borderId="74" xfId="0" applyBorder="1"/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22" fillId="0" borderId="0" xfId="0" applyFont="1" applyAlignment="1">
      <alignment wrapText="1"/>
    </xf>
    <xf numFmtId="0" fontId="14" fillId="0" borderId="4" xfId="0" applyFont="1" applyBorder="1" applyAlignment="1">
      <alignment horizontal="center"/>
    </xf>
    <xf numFmtId="0" fontId="7" fillId="0" borderId="13" xfId="0" applyFont="1" applyBorder="1"/>
    <xf numFmtId="0" fontId="14" fillId="0" borderId="13" xfId="0" applyFont="1" applyBorder="1" applyAlignment="1">
      <alignment horizontal="center"/>
    </xf>
    <xf numFmtId="0" fontId="23" fillId="0" borderId="7" xfId="0" applyFont="1" applyBorder="1" applyAlignment="1">
      <alignment wrapText="1"/>
    </xf>
    <xf numFmtId="0" fontId="14" fillId="0" borderId="8" xfId="0" applyFont="1" applyBorder="1" applyAlignment="1">
      <alignment horizontal="center"/>
    </xf>
    <xf numFmtId="0" fontId="7" fillId="0" borderId="82" xfId="0" applyFont="1" applyBorder="1"/>
    <xf numFmtId="0" fontId="7" fillId="0" borderId="39" xfId="0" applyFont="1" applyBorder="1"/>
    <xf numFmtId="0" fontId="7" fillId="0" borderId="29" xfId="0" applyFont="1" applyBorder="1" applyAlignment="1">
      <alignment wrapText="1"/>
    </xf>
    <xf numFmtId="0" fontId="0" fillId="0" borderId="28" xfId="0" applyBorder="1" applyAlignment="1">
      <alignment horizontal="center"/>
    </xf>
    <xf numFmtId="0" fontId="7" fillId="0" borderId="29" xfId="0" applyFont="1" applyBorder="1" applyAlignment="1">
      <alignment horizontal="left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/>
    <xf numFmtId="0" fontId="3" fillId="0" borderId="91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0" fontId="26" fillId="0" borderId="0" xfId="0" applyFont="1"/>
    <xf numFmtId="0" fontId="6" fillId="0" borderId="23" xfId="0" applyFont="1" applyBorder="1" applyAlignment="1">
      <alignment horizontal="center" vertical="center" wrapText="1"/>
    </xf>
    <xf numFmtId="0" fontId="26" fillId="0" borderId="3" xfId="0" applyFont="1" applyBorder="1"/>
    <xf numFmtId="0" fontId="6" fillId="0" borderId="25" xfId="0" applyFont="1" applyBorder="1" applyAlignment="1">
      <alignment horizontal="center" vertical="center" wrapText="1"/>
    </xf>
    <xf numFmtId="0" fontId="26" fillId="0" borderId="6" xfId="0" applyFont="1" applyBorder="1"/>
    <xf numFmtId="0" fontId="26" fillId="0" borderId="93" xfId="0" applyFont="1" applyBorder="1" applyAlignment="1">
      <alignment horizontal="left"/>
    </xf>
    <xf numFmtId="0" fontId="26" fillId="0" borderId="94" xfId="0" applyFont="1" applyBorder="1" applyAlignment="1">
      <alignment horizontal="left"/>
    </xf>
    <xf numFmtId="0" fontId="26" fillId="0" borderId="94" xfId="0" applyFont="1" applyBorder="1" applyAlignment="1">
      <alignment horizontal="left" wrapText="1"/>
    </xf>
    <xf numFmtId="0" fontId="26" fillId="0" borderId="47" xfId="0" applyFont="1" applyBorder="1" applyAlignment="1">
      <alignment vertical="center"/>
    </xf>
    <xf numFmtId="0" fontId="26" fillId="0" borderId="12" xfId="0" applyFont="1" applyBorder="1" applyAlignment="1">
      <alignment horizontal="left" vertical="center" wrapText="1"/>
    </xf>
    <xf numFmtId="0" fontId="26" fillId="0" borderId="90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44" fontId="6" fillId="0" borderId="50" xfId="1" applyFont="1" applyBorder="1" applyAlignment="1">
      <alignment vertical="top"/>
    </xf>
    <xf numFmtId="0" fontId="6" fillId="0" borderId="13" xfId="0" applyFont="1" applyBorder="1" applyAlignment="1">
      <alignment horizontal="center" vertical="center" wrapText="1"/>
    </xf>
    <xf numFmtId="44" fontId="27" fillId="0" borderId="50" xfId="1" applyFont="1" applyBorder="1" applyAlignment="1">
      <alignment vertical="top"/>
    </xf>
    <xf numFmtId="44" fontId="5" fillId="3" borderId="34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4" fontId="6" fillId="0" borderId="19" xfId="1" applyFont="1" applyBorder="1" applyAlignment="1">
      <alignment horizontal="center" vertical="center"/>
    </xf>
    <xf numFmtId="0" fontId="26" fillId="0" borderId="23" xfId="0" applyFont="1" applyBorder="1" applyAlignment="1">
      <alignment horizontal="left"/>
    </xf>
    <xf numFmtId="0" fontId="26" fillId="0" borderId="24" xfId="0" applyFont="1" applyBorder="1" applyAlignment="1">
      <alignment horizontal="left"/>
    </xf>
    <xf numFmtId="0" fontId="26" fillId="0" borderId="24" xfId="0" applyFont="1" applyBorder="1" applyAlignment="1">
      <alignment horizontal="left" wrapText="1"/>
    </xf>
    <xf numFmtId="0" fontId="5" fillId="3" borderId="24" xfId="0" applyFont="1" applyFill="1" applyBorder="1" applyAlignment="1">
      <alignment horizontal="right" vertical="center"/>
    </xf>
    <xf numFmtId="0" fontId="5" fillId="3" borderId="95" xfId="0" applyFont="1" applyFill="1" applyBorder="1" applyAlignment="1">
      <alignment horizontal="right" vertical="center"/>
    </xf>
    <xf numFmtId="44" fontId="6" fillId="0" borderId="92" xfId="1" applyFont="1" applyBorder="1" applyAlignment="1">
      <alignment vertical="top"/>
    </xf>
    <xf numFmtId="44" fontId="27" fillId="0" borderId="92" xfId="1" applyFont="1" applyBorder="1" applyAlignment="1">
      <alignment vertical="top"/>
    </xf>
    <xf numFmtId="44" fontId="5" fillId="3" borderId="43" xfId="0" applyNumberFormat="1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44" fontId="28" fillId="0" borderId="29" xfId="1" applyFont="1" applyBorder="1"/>
    <xf numFmtId="0" fontId="6" fillId="0" borderId="2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/>
    </xf>
    <xf numFmtId="44" fontId="6" fillId="0" borderId="58" xfId="1" applyFont="1" applyBorder="1" applyAlignment="1">
      <alignment horizontal="center" vertical="center"/>
    </xf>
    <xf numFmtId="44" fontId="6" fillId="0" borderId="11" xfId="1" applyFont="1" applyBorder="1" applyAlignment="1">
      <alignment horizontal="center" vertical="center"/>
    </xf>
    <xf numFmtId="44" fontId="6" fillId="0" borderId="2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6" fillId="0" borderId="26" xfId="0" applyFont="1" applyBorder="1" applyAlignment="1">
      <alignment vertical="center"/>
    </xf>
    <xf numFmtId="0" fontId="26" fillId="0" borderId="28" xfId="0" applyFont="1" applyBorder="1"/>
    <xf numFmtId="0" fontId="26" fillId="0" borderId="28" xfId="0" applyFont="1" applyBorder="1" applyAlignment="1">
      <alignment horizontal="left" vertical="center" wrapText="1"/>
    </xf>
    <xf numFmtId="44" fontId="6" fillId="0" borderId="29" xfId="1" applyFont="1" applyBorder="1" applyAlignment="1">
      <alignment horizontal="center" vertical="center"/>
    </xf>
    <xf numFmtId="0" fontId="26" fillId="0" borderId="32" xfId="0" applyFont="1" applyBorder="1"/>
    <xf numFmtId="44" fontId="6" fillId="0" borderId="33" xfId="1" applyFont="1" applyBorder="1" applyAlignment="1">
      <alignment horizontal="center" vertical="center"/>
    </xf>
    <xf numFmtId="0" fontId="26" fillId="0" borderId="38" xfId="0" applyFont="1" applyBorder="1"/>
    <xf numFmtId="0" fontId="2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/>
    </xf>
    <xf numFmtId="0" fontId="6" fillId="0" borderId="39" xfId="0" applyFont="1" applyBorder="1" applyAlignment="1">
      <alignment horizontal="center" vertical="center"/>
    </xf>
    <xf numFmtId="0" fontId="26" fillId="0" borderId="26" xfId="0" applyFont="1" applyBorder="1"/>
    <xf numFmtId="44" fontId="3" fillId="0" borderId="27" xfId="1" applyFont="1" applyBorder="1" applyAlignment="1">
      <alignment horizontal="center"/>
    </xf>
    <xf numFmtId="0" fontId="26" fillId="0" borderId="33" xfId="0" applyFont="1" applyBorder="1" applyAlignment="1">
      <alignment horizontal="center" wrapText="1"/>
    </xf>
    <xf numFmtId="0" fontId="21" fillId="0" borderId="77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78" xfId="0" applyFont="1" applyBorder="1" applyAlignment="1">
      <alignment vertical="center"/>
    </xf>
    <xf numFmtId="0" fontId="21" fillId="0" borderId="79" xfId="0" applyFont="1" applyBorder="1" applyAlignment="1">
      <alignment vertical="center"/>
    </xf>
    <xf numFmtId="0" fontId="21" fillId="0" borderId="80" xfId="0" applyFont="1" applyBorder="1" applyAlignment="1">
      <alignment vertical="center"/>
    </xf>
    <xf numFmtId="0" fontId="21" fillId="0" borderId="81" xfId="0" applyFont="1" applyBorder="1" applyAlignment="1">
      <alignment vertical="center"/>
    </xf>
    <xf numFmtId="0" fontId="0" fillId="0" borderId="9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7" xfId="0" applyBorder="1" applyAlignment="1">
      <alignment horizontal="center"/>
    </xf>
    <xf numFmtId="0" fontId="8" fillId="0" borderId="9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3" fillId="0" borderId="0" xfId="0" applyFont="1"/>
    <xf numFmtId="0" fontId="30" fillId="2" borderId="15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/>
    </xf>
    <xf numFmtId="0" fontId="0" fillId="0" borderId="67" xfId="0" applyBorder="1" applyAlignment="1">
      <alignment vertical="center"/>
    </xf>
    <xf numFmtId="0" fontId="16" fillId="0" borderId="78" xfId="0" applyFont="1" applyBorder="1" applyAlignment="1">
      <alignment vertical="center"/>
    </xf>
    <xf numFmtId="0" fontId="16" fillId="0" borderId="79" xfId="0" applyFont="1" applyBorder="1" applyAlignment="1">
      <alignment vertical="center"/>
    </xf>
    <xf numFmtId="0" fontId="16" fillId="0" borderId="80" xfId="0" applyFont="1" applyBorder="1" applyAlignment="1">
      <alignment vertical="center"/>
    </xf>
    <xf numFmtId="0" fontId="16" fillId="0" borderId="81" xfId="0" applyFont="1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0" borderId="15" xfId="0" applyFont="1" applyBorder="1"/>
    <xf numFmtId="0" fontId="32" fillId="0" borderId="0" xfId="0" applyFont="1"/>
    <xf numFmtId="0" fontId="15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6" fillId="0" borderId="77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0" fontId="16" fillId="0" borderId="80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horizontal="center"/>
    </xf>
    <xf numFmtId="0" fontId="31" fillId="0" borderId="31" xfId="0" applyFont="1" applyBorder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vertical="center"/>
    </xf>
    <xf numFmtId="0" fontId="34" fillId="6" borderId="102" xfId="0" applyFont="1" applyFill="1" applyBorder="1" applyAlignment="1">
      <alignment horizontal="center" vertical="center"/>
    </xf>
    <xf numFmtId="0" fontId="34" fillId="6" borderId="102" xfId="0" applyFont="1" applyFill="1" applyBorder="1" applyAlignment="1">
      <alignment vertical="center"/>
    </xf>
    <xf numFmtId="0" fontId="34" fillId="6" borderId="27" xfId="0" applyFont="1" applyFill="1" applyBorder="1" applyAlignment="1">
      <alignment horizontal="center" vertical="center" wrapText="1"/>
    </xf>
    <xf numFmtId="0" fontId="34" fillId="6" borderId="29" xfId="0" applyFont="1" applyFill="1" applyBorder="1" applyAlignment="1">
      <alignment horizontal="center" vertical="center" wrapText="1"/>
    </xf>
    <xf numFmtId="0" fontId="34" fillId="6" borderId="103" xfId="0" applyFont="1" applyFill="1" applyBorder="1" applyAlignment="1">
      <alignment horizontal="center" vertical="center"/>
    </xf>
    <xf numFmtId="0" fontId="31" fillId="6" borderId="103" xfId="0" applyFont="1" applyFill="1" applyBorder="1" applyAlignment="1">
      <alignment vertical="center" wrapText="1"/>
    </xf>
    <xf numFmtId="0" fontId="34" fillId="6" borderId="33" xfId="0" applyFont="1" applyFill="1" applyBorder="1" applyAlignment="1">
      <alignment horizontal="center" vertical="center" wrapText="1"/>
    </xf>
    <xf numFmtId="0" fontId="34" fillId="6" borderId="103" xfId="0" applyFont="1" applyFill="1" applyBorder="1" applyAlignment="1">
      <alignment vertical="center"/>
    </xf>
    <xf numFmtId="0" fontId="34" fillId="6" borderId="102" xfId="0" applyFont="1" applyFill="1" applyBorder="1" applyAlignment="1">
      <alignment vertical="center" wrapText="1"/>
    </xf>
    <xf numFmtId="0" fontId="0" fillId="0" borderId="91" xfId="0" applyBorder="1"/>
    <xf numFmtId="0" fontId="0" fillId="0" borderId="91" xfId="0" applyBorder="1" applyAlignment="1">
      <alignment vertical="center"/>
    </xf>
    <xf numFmtId="0" fontId="0" fillId="0" borderId="91" xfId="0" applyBorder="1" applyAlignment="1">
      <alignment horizontal="center"/>
    </xf>
    <xf numFmtId="0" fontId="0" fillId="0" borderId="75" xfId="0" applyBorder="1" applyAlignment="1">
      <alignment horizontal="center"/>
    </xf>
    <xf numFmtId="0" fontId="34" fillId="6" borderId="101" xfId="0" applyFont="1" applyFill="1" applyBorder="1" applyAlignment="1">
      <alignment horizontal="center" vertical="center"/>
    </xf>
    <xf numFmtId="0" fontId="34" fillId="6" borderId="101" xfId="0" applyFont="1" applyFill="1" applyBorder="1" applyAlignment="1">
      <alignment vertical="center" wrapText="1"/>
    </xf>
    <xf numFmtId="0" fontId="34" fillId="6" borderId="31" xfId="0" applyFont="1" applyFill="1" applyBorder="1" applyAlignment="1">
      <alignment horizontal="center" vertical="center" wrapText="1"/>
    </xf>
    <xf numFmtId="0" fontId="34" fillId="0" borderId="104" xfId="0" applyFont="1" applyBorder="1" applyAlignment="1">
      <alignment horizontal="center" vertical="center"/>
    </xf>
    <xf numFmtId="0" fontId="34" fillId="0" borderId="26" xfId="0" applyFont="1" applyBorder="1" applyAlignment="1">
      <alignment vertical="center" wrapText="1"/>
    </xf>
    <xf numFmtId="0" fontId="34" fillId="0" borderId="28" xfId="0" applyFont="1" applyBorder="1" applyAlignment="1">
      <alignment vertical="center"/>
    </xf>
    <xf numFmtId="0" fontId="34" fillId="0" borderId="40" xfId="0" applyFont="1" applyBorder="1" applyAlignment="1">
      <alignment horizontal="center" vertical="center"/>
    </xf>
    <xf numFmtId="0" fontId="34" fillId="0" borderId="30" xfId="0" applyFont="1" applyBorder="1" applyAlignment="1">
      <alignment vertical="center"/>
    </xf>
    <xf numFmtId="0" fontId="34" fillId="0" borderId="105" xfId="0" applyFont="1" applyBorder="1" applyAlignment="1">
      <alignment vertical="center"/>
    </xf>
    <xf numFmtId="0" fontId="31" fillId="0" borderId="51" xfId="0" applyFont="1" applyBorder="1" applyAlignment="1">
      <alignment vertical="center"/>
    </xf>
    <xf numFmtId="0" fontId="34" fillId="0" borderId="101" xfId="0" applyFont="1" applyBorder="1" applyAlignment="1">
      <alignment horizontal="center" vertical="center"/>
    </xf>
    <xf numFmtId="0" fontId="34" fillId="0" borderId="101" xfId="0" applyFont="1" applyBorder="1" applyAlignment="1">
      <alignment vertical="center"/>
    </xf>
    <xf numFmtId="0" fontId="37" fillId="2" borderId="0" xfId="0" applyFont="1" applyFill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102" xfId="0" applyFont="1" applyBorder="1" applyAlignment="1">
      <alignment vertical="center"/>
    </xf>
    <xf numFmtId="0" fontId="34" fillId="0" borderId="28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4" fillId="0" borderId="103" xfId="0" applyFont="1" applyBorder="1" applyAlignment="1">
      <alignment horizontal="left" vertical="center"/>
    </xf>
    <xf numFmtId="0" fontId="34" fillId="0" borderId="101" xfId="0" applyFont="1" applyBorder="1" applyAlignment="1">
      <alignment horizontal="left" vertical="center" wrapText="1"/>
    </xf>
    <xf numFmtId="0" fontId="34" fillId="0" borderId="102" xfId="0" applyFont="1" applyBorder="1" applyAlignment="1">
      <alignment vertical="center" wrapText="1"/>
    </xf>
    <xf numFmtId="0" fontId="34" fillId="0" borderId="103" xfId="0" applyFont="1" applyBorder="1" applyAlignment="1">
      <alignment horizontal="left" vertical="center" wrapText="1"/>
    </xf>
    <xf numFmtId="0" fontId="34" fillId="0" borderId="16" xfId="0" applyFont="1" applyBorder="1" applyAlignment="1">
      <alignment horizontal="center" vertical="center" textRotation="90" wrapText="1"/>
    </xf>
    <xf numFmtId="0" fontId="31" fillId="9" borderId="102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31" fillId="9" borderId="103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1" fillId="9" borderId="101" xfId="0" applyFont="1" applyFill="1" applyBorder="1" applyAlignment="1">
      <alignment horizontal="center" vertical="center"/>
    </xf>
    <xf numFmtId="0" fontId="31" fillId="9" borderId="105" xfId="0" applyFont="1" applyFill="1" applyBorder="1" applyAlignment="1">
      <alignment vertical="center"/>
    </xf>
    <xf numFmtId="0" fontId="31" fillId="10" borderId="102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1" fillId="10" borderId="103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1" fillId="10" borderId="101" xfId="0" applyFont="1" applyFill="1" applyBorder="1" applyAlignment="1">
      <alignment horizontal="center" vertical="center"/>
    </xf>
    <xf numFmtId="0" fontId="31" fillId="10" borderId="105" xfId="0" applyFont="1" applyFill="1" applyBorder="1" applyAlignment="1">
      <alignment horizontal="center" vertical="center"/>
    </xf>
    <xf numFmtId="0" fontId="31" fillId="10" borderId="14" xfId="0" applyFont="1" applyFill="1" applyBorder="1" applyAlignment="1">
      <alignment horizontal="center" vertical="center"/>
    </xf>
    <xf numFmtId="0" fontId="31" fillId="10" borderId="22" xfId="0" applyFont="1" applyFill="1" applyBorder="1" applyAlignment="1">
      <alignment horizontal="center" vertical="center"/>
    </xf>
    <xf numFmtId="0" fontId="31" fillId="9" borderId="12" xfId="0" applyFont="1" applyFill="1" applyBorder="1" applyAlignment="1">
      <alignment horizontal="center" vertical="center"/>
    </xf>
    <xf numFmtId="0" fontId="31" fillId="9" borderId="41" xfId="0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vertical="center" wrapText="1"/>
    </xf>
    <xf numFmtId="0" fontId="34" fillId="11" borderId="1" xfId="0" applyFont="1" applyFill="1" applyBorder="1" applyAlignment="1">
      <alignment horizontal="left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0" fillId="0" borderId="106" xfId="0" applyBorder="1"/>
    <xf numFmtId="0" fontId="0" fillId="0" borderId="87" xfId="0" applyBorder="1"/>
    <xf numFmtId="0" fontId="0" fillId="0" borderId="76" xfId="0" applyBorder="1"/>
    <xf numFmtId="0" fontId="39" fillId="12" borderId="0" xfId="0" applyFont="1" applyFill="1" applyAlignment="1">
      <alignment vertical="center"/>
    </xf>
    <xf numFmtId="0" fontId="39" fillId="13" borderId="0" xfId="0" applyFont="1" applyFill="1" applyAlignment="1">
      <alignment vertical="center"/>
    </xf>
    <xf numFmtId="0" fontId="39" fillId="14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40" fillId="15" borderId="0" xfId="0" applyFont="1" applyFill="1" applyAlignment="1">
      <alignment vertical="center"/>
    </xf>
    <xf numFmtId="0" fontId="40" fillId="16" borderId="0" xfId="0" applyFont="1" applyFill="1"/>
    <xf numFmtId="0" fontId="34" fillId="0" borderId="10" xfId="0" applyFont="1" applyBorder="1" applyAlignment="1">
      <alignment horizontal="center" vertical="center"/>
    </xf>
    <xf numFmtId="0" fontId="34" fillId="0" borderId="90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/>
    </xf>
    <xf numFmtId="0" fontId="34" fillId="6" borderId="10" xfId="0" applyFont="1" applyFill="1" applyBorder="1" applyAlignment="1">
      <alignment horizontal="center" vertical="center"/>
    </xf>
    <xf numFmtId="0" fontId="34" fillId="6" borderId="12" xfId="0" applyFont="1" applyFill="1" applyBorder="1" applyAlignment="1">
      <alignment horizontal="center" vertical="center"/>
    </xf>
    <xf numFmtId="0" fontId="34" fillId="6" borderId="90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0" fontId="39" fillId="13" borderId="1" xfId="0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center"/>
    </xf>
    <xf numFmtId="0" fontId="40" fillId="16" borderId="1" xfId="0" applyFont="1" applyFill="1" applyBorder="1" applyAlignment="1">
      <alignment horizontal="center" vertical="center"/>
    </xf>
    <xf numFmtId="0" fontId="41" fillId="0" borderId="0" xfId="0" applyFont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15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15" xfId="0" applyFont="1" applyBorder="1"/>
    <xf numFmtId="0" fontId="41" fillId="0" borderId="0" xfId="0" applyFont="1" applyAlignment="1">
      <alignment horizontal="center"/>
    </xf>
    <xf numFmtId="0" fontId="41" fillId="0" borderId="13" xfId="0" applyFont="1" applyBorder="1" applyAlignment="1">
      <alignment horizontal="center"/>
    </xf>
    <xf numFmtId="0" fontId="41" fillId="0" borderId="5" xfId="0" applyFont="1" applyBorder="1"/>
    <xf numFmtId="0" fontId="41" fillId="0" borderId="6" xfId="0" applyFont="1" applyBorder="1"/>
    <xf numFmtId="0" fontId="41" fillId="0" borderId="6" xfId="0" applyFont="1" applyBorder="1" applyAlignment="1">
      <alignment horizontal="center" vertical="center"/>
    </xf>
    <xf numFmtId="0" fontId="41" fillId="0" borderId="6" xfId="0" applyFont="1" applyBorder="1" applyAlignment="1">
      <alignment vertical="center"/>
    </xf>
    <xf numFmtId="0" fontId="41" fillId="0" borderId="6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41" fillId="0" borderId="42" xfId="0" applyFont="1" applyBorder="1"/>
    <xf numFmtId="0" fontId="34" fillId="11" borderId="29" xfId="0" applyFont="1" applyFill="1" applyBorder="1" applyAlignment="1">
      <alignment horizontal="center" vertical="center" wrapText="1"/>
    </xf>
    <xf numFmtId="0" fontId="34" fillId="11" borderId="29" xfId="0" applyFont="1" applyFill="1" applyBorder="1" applyAlignment="1">
      <alignment horizontal="center" vertical="center"/>
    </xf>
    <xf numFmtId="0" fontId="34" fillId="0" borderId="13" xfId="0" applyFont="1" applyBorder="1" applyAlignment="1">
      <alignment horizontal="center"/>
    </xf>
    <xf numFmtId="0" fontId="34" fillId="0" borderId="50" xfId="0" applyFont="1" applyBorder="1" applyAlignment="1">
      <alignment horizontal="center" vertical="center"/>
    </xf>
    <xf numFmtId="0" fontId="31" fillId="10" borderId="107" xfId="0" applyFont="1" applyFill="1" applyBorder="1" applyAlignment="1">
      <alignment horizontal="center" vertical="center"/>
    </xf>
    <xf numFmtId="0" fontId="34" fillId="6" borderId="35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vertical="center" wrapText="1"/>
    </xf>
    <xf numFmtId="0" fontId="34" fillId="6" borderId="1" xfId="0" applyFont="1" applyFill="1" applyBorder="1" applyAlignment="1">
      <alignment horizontal="left" vertical="center" wrapText="1"/>
    </xf>
    <xf numFmtId="0" fontId="40" fillId="15" borderId="1" xfId="0" applyFont="1" applyFill="1" applyBorder="1" applyAlignment="1">
      <alignment horizontal="center" vertical="center"/>
    </xf>
    <xf numFmtId="0" fontId="39" fillId="14" borderId="101" xfId="0" applyFont="1" applyFill="1" applyBorder="1" applyAlignment="1">
      <alignment horizontal="center" vertical="center"/>
    </xf>
    <xf numFmtId="0" fontId="34" fillId="6" borderId="101" xfId="0" applyFont="1" applyFill="1" applyBorder="1" applyAlignment="1">
      <alignment vertical="center"/>
    </xf>
    <xf numFmtId="0" fontId="39" fillId="8" borderId="102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0" fontId="34" fillId="0" borderId="109" xfId="0" applyFont="1" applyBorder="1" applyAlignment="1">
      <alignment horizontal="center" vertical="center"/>
    </xf>
    <xf numFmtId="0" fontId="34" fillId="0" borderId="109" xfId="0" applyFont="1" applyBorder="1" applyAlignment="1">
      <alignment vertical="center"/>
    </xf>
    <xf numFmtId="0" fontId="31" fillId="9" borderId="43" xfId="0" applyFont="1" applyFill="1" applyBorder="1" applyAlignment="1">
      <alignment horizontal="center" vertical="center"/>
    </xf>
    <xf numFmtId="0" fontId="34" fillId="0" borderId="102" xfId="0" applyFont="1" applyBorder="1" applyAlignment="1">
      <alignment horizontal="center" vertical="center"/>
    </xf>
    <xf numFmtId="0" fontId="34" fillId="0" borderId="103" xfId="0" applyFont="1" applyBorder="1" applyAlignment="1">
      <alignment horizontal="center" vertical="center" textRotation="90" wrapText="1"/>
    </xf>
    <xf numFmtId="0" fontId="34" fillId="0" borderId="108" xfId="0" applyFont="1" applyBorder="1" applyAlignment="1">
      <alignment horizontal="center" vertical="center"/>
    </xf>
    <xf numFmtId="0" fontId="31" fillId="9" borderId="103" xfId="0" applyFont="1" applyFill="1" applyBorder="1" applyAlignment="1">
      <alignment vertical="center"/>
    </xf>
    <xf numFmtId="0" fontId="31" fillId="0" borderId="33" xfId="0" applyFont="1" applyBorder="1" applyAlignment="1">
      <alignment vertical="center"/>
    </xf>
    <xf numFmtId="0" fontId="34" fillId="6" borderId="103" xfId="0" applyFont="1" applyFill="1" applyBorder="1" applyAlignment="1">
      <alignment vertical="center" wrapText="1"/>
    </xf>
    <xf numFmtId="0" fontId="34" fillId="6" borderId="41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left" vertical="center" wrapText="1"/>
    </xf>
    <xf numFmtId="0" fontId="6" fillId="0" borderId="88" xfId="0" applyFont="1" applyBorder="1" applyAlignment="1">
      <alignment horizontal="left" vertical="center" wrapText="1"/>
    </xf>
    <xf numFmtId="0" fontId="6" fillId="0" borderId="89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25" fillId="0" borderId="75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5" fillId="0" borderId="81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/>
    </xf>
    <xf numFmtId="0" fontId="24" fillId="0" borderId="86" xfId="0" applyFont="1" applyBorder="1" applyAlignment="1">
      <alignment horizontal="center"/>
    </xf>
    <xf numFmtId="0" fontId="24" fillId="0" borderId="87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8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5" fillId="2" borderId="8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44" fontId="6" fillId="0" borderId="29" xfId="1" applyFont="1" applyBorder="1" applyAlignment="1">
      <alignment horizontal="center" vertical="center"/>
    </xf>
    <xf numFmtId="44" fontId="6" fillId="0" borderId="33" xfId="1" applyFont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33" fillId="4" borderId="102" xfId="0" applyFont="1" applyFill="1" applyBorder="1" applyAlignment="1">
      <alignment horizontal="center" vertical="center" textRotation="90"/>
    </xf>
    <xf numFmtId="0" fontId="33" fillId="4" borderId="1" xfId="0" applyFont="1" applyFill="1" applyBorder="1" applyAlignment="1">
      <alignment horizontal="center" vertical="center" textRotation="90"/>
    </xf>
    <xf numFmtId="0" fontId="33" fillId="4" borderId="103" xfId="0" applyFont="1" applyFill="1" applyBorder="1" applyAlignment="1">
      <alignment horizontal="center" vertical="center" textRotation="90"/>
    </xf>
    <xf numFmtId="0" fontId="31" fillId="0" borderId="26" xfId="0" applyFont="1" applyBorder="1" applyAlignment="1">
      <alignment horizontal="center" vertical="center" textRotation="90" wrapText="1"/>
    </xf>
    <xf numFmtId="0" fontId="31" fillId="0" borderId="28" xfId="0" applyFont="1" applyBorder="1" applyAlignment="1">
      <alignment horizontal="center" vertical="center" textRotation="90" wrapText="1"/>
    </xf>
    <xf numFmtId="0" fontId="31" fillId="0" borderId="32" xfId="0" applyFont="1" applyBorder="1" applyAlignment="1">
      <alignment horizontal="center" vertical="center" textRotation="90" wrapText="1"/>
    </xf>
    <xf numFmtId="0" fontId="34" fillId="0" borderId="102" xfId="0" applyFont="1" applyBorder="1" applyAlignment="1">
      <alignment horizontal="center" vertical="center" textRotation="90" wrapText="1"/>
    </xf>
    <xf numFmtId="0" fontId="34" fillId="0" borderId="1" xfId="0" applyFont="1" applyBorder="1" applyAlignment="1">
      <alignment horizontal="center" vertical="center" textRotation="90" wrapText="1"/>
    </xf>
    <xf numFmtId="0" fontId="38" fillId="5" borderId="15" xfId="0" applyFont="1" applyFill="1" applyBorder="1" applyAlignment="1">
      <alignment horizontal="center" vertical="center" textRotation="90"/>
    </xf>
    <xf numFmtId="0" fontId="38" fillId="5" borderId="0" xfId="0" applyFont="1" applyFill="1" applyAlignment="1">
      <alignment horizontal="center" vertical="center" textRotation="90"/>
    </xf>
    <xf numFmtId="0" fontId="38" fillId="5" borderId="5" xfId="0" applyFont="1" applyFill="1" applyBorder="1" applyAlignment="1">
      <alignment horizontal="center" vertical="center" textRotation="90"/>
    </xf>
    <xf numFmtId="0" fontId="38" fillId="5" borderId="6" xfId="0" applyFont="1" applyFill="1" applyBorder="1" applyAlignment="1">
      <alignment horizontal="center" vertical="center" textRotation="90"/>
    </xf>
    <xf numFmtId="0" fontId="33" fillId="4" borderId="15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3" fillId="4" borderId="13" xfId="0" applyFont="1" applyFill="1" applyBorder="1" applyAlignment="1">
      <alignment horizontal="center" vertical="center"/>
    </xf>
    <xf numFmtId="0" fontId="33" fillId="4" borderId="48" xfId="0" applyFont="1" applyFill="1" applyBorder="1" applyAlignment="1">
      <alignment horizontal="center" vertical="center"/>
    </xf>
    <xf numFmtId="0" fontId="33" fillId="4" borderId="45" xfId="0" applyFont="1" applyFill="1" applyBorder="1" applyAlignment="1">
      <alignment horizontal="center" vertical="center"/>
    </xf>
    <xf numFmtId="0" fontId="33" fillId="4" borderId="49" xfId="0" applyFont="1" applyFill="1" applyBorder="1" applyAlignment="1">
      <alignment horizontal="center" vertical="center"/>
    </xf>
    <xf numFmtId="0" fontId="33" fillId="4" borderId="88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94" xfId="0" applyFont="1" applyFill="1" applyBorder="1" applyAlignment="1">
      <alignment horizontal="center" vertical="center"/>
    </xf>
    <xf numFmtId="0" fontId="33" fillId="7" borderId="102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3" fillId="7" borderId="103" xfId="0" applyFont="1" applyFill="1" applyBorder="1" applyAlignment="1">
      <alignment horizontal="center" vertical="center"/>
    </xf>
    <xf numFmtId="0" fontId="33" fillId="8" borderId="102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3" fillId="8" borderId="103" xfId="0" applyFont="1" applyFill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 wrapText="1"/>
    </xf>
    <xf numFmtId="0" fontId="33" fillId="4" borderId="29" xfId="0" applyFont="1" applyFill="1" applyBorder="1" applyAlignment="1">
      <alignment horizontal="center" vertical="center" wrapText="1"/>
    </xf>
    <xf numFmtId="0" fontId="33" fillId="4" borderId="33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33" fillId="5" borderId="15" xfId="0" applyFont="1" applyFill="1" applyBorder="1" applyAlignment="1">
      <alignment horizontal="center" vertical="center" wrapText="1"/>
    </xf>
    <xf numFmtId="0" fontId="33" fillId="5" borderId="0" xfId="0" applyFont="1" applyFill="1" applyAlignment="1">
      <alignment horizontal="center" vertical="center" wrapText="1"/>
    </xf>
    <xf numFmtId="0" fontId="33" fillId="5" borderId="5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16" fillId="0" borderId="75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76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8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0" fontId="33" fillId="4" borderId="26" xfId="0" applyFont="1" applyFill="1" applyBorder="1" applyAlignment="1">
      <alignment horizontal="center" vertical="center"/>
    </xf>
    <xf numFmtId="0" fontId="33" fillId="4" borderId="102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3" fillId="4" borderId="32" xfId="0" applyFont="1" applyFill="1" applyBorder="1" applyAlignment="1">
      <alignment horizontal="center" vertical="center"/>
    </xf>
    <xf numFmtId="0" fontId="33" fillId="4" borderId="103" xfId="0" applyFont="1" applyFill="1" applyBorder="1" applyAlignment="1">
      <alignment horizontal="center" vertical="center"/>
    </xf>
    <xf numFmtId="0" fontId="33" fillId="4" borderId="101" xfId="0" applyFont="1" applyFill="1" applyBorder="1" applyAlignment="1">
      <alignment horizontal="center" vertical="center" textRotation="90"/>
    </xf>
    <xf numFmtId="0" fontId="15" fillId="0" borderId="15" xfId="0" applyFont="1" applyBorder="1" applyAlignment="1">
      <alignment horizontal="left" wrapText="1"/>
    </xf>
    <xf numFmtId="0" fontId="15" fillId="0" borderId="13" xfId="0" applyFont="1" applyBorder="1" applyAlignment="1">
      <alignment horizontal="left" wrapText="1"/>
    </xf>
    <xf numFmtId="0" fontId="38" fillId="5" borderId="2" xfId="0" applyFont="1" applyFill="1" applyBorder="1" applyAlignment="1">
      <alignment horizontal="center" vertical="center" textRotation="90"/>
    </xf>
    <xf numFmtId="0" fontId="33" fillId="4" borderId="1" xfId="0" applyFont="1" applyFill="1" applyBorder="1" applyAlignment="1">
      <alignment horizontal="center" vertical="center" wrapText="1"/>
    </xf>
    <xf numFmtId="0" fontId="33" fillId="4" borderId="101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textRotation="90" wrapText="1"/>
    </xf>
    <xf numFmtId="0" fontId="31" fillId="0" borderId="24" xfId="0" applyFont="1" applyBorder="1" applyAlignment="1">
      <alignment horizontal="center" vertical="center" textRotation="90" wrapText="1"/>
    </xf>
    <xf numFmtId="0" fontId="34" fillId="0" borderId="100" xfId="0" applyFont="1" applyBorder="1" applyAlignment="1">
      <alignment horizontal="center" vertical="center" textRotation="90" wrapText="1"/>
    </xf>
    <xf numFmtId="0" fontId="34" fillId="0" borderId="34" xfId="0" applyFont="1" applyBorder="1" applyAlignment="1">
      <alignment horizontal="center" vertical="center" textRotation="90" wrapText="1"/>
    </xf>
    <xf numFmtId="0" fontId="33" fillId="8" borderId="10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wrapText="1"/>
    </xf>
    <xf numFmtId="0" fontId="33" fillId="4" borderId="101" xfId="0" applyFont="1" applyFill="1" applyBorder="1" applyAlignment="1">
      <alignment horizontal="center" vertical="center"/>
    </xf>
    <xf numFmtId="0" fontId="33" fillId="7" borderId="10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34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15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12" fillId="2" borderId="15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7" fillId="0" borderId="24" xfId="0" applyFont="1" applyBorder="1" applyAlignment="1">
      <alignment horizontal="left" vertical="center" wrapText="1"/>
    </xf>
    <xf numFmtId="0" fontId="12" fillId="2" borderId="13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0" fontId="8" fillId="0" borderId="3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textRotation="90" wrapText="1"/>
    </xf>
    <xf numFmtId="0" fontId="5" fillId="2" borderId="25" xfId="0" applyFont="1" applyFill="1" applyBorder="1" applyAlignment="1">
      <alignment horizontal="center" vertical="center" textRotation="90" wrapText="1"/>
    </xf>
    <xf numFmtId="0" fontId="5" fillId="2" borderId="24" xfId="0" applyFont="1" applyFill="1" applyBorder="1" applyAlignment="1">
      <alignment horizontal="center" vertical="center" textRotation="90"/>
    </xf>
    <xf numFmtId="0" fontId="5" fillId="2" borderId="25" xfId="0" applyFont="1" applyFill="1" applyBorder="1" applyAlignment="1">
      <alignment horizontal="center" vertical="center" textRotation="90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5" fillId="2" borderId="99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23" xfId="0" applyFont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center" vertical="center" textRotation="90" wrapText="1"/>
    </xf>
    <xf numFmtId="0" fontId="4" fillId="0" borderId="25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20" fillId="0" borderId="46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wrapText="1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11" fillId="0" borderId="24" xfId="0" applyFont="1" applyBorder="1" applyAlignment="1">
      <alignment horizontal="left" vertical="center" wrapText="1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1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14" fillId="0" borderId="23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31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7" fillId="0" borderId="34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textRotation="90"/>
    </xf>
    <xf numFmtId="0" fontId="5" fillId="2" borderId="2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textRotation="90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2" fillId="2" borderId="4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9999"/>
      <color rgb="FFB3FFD5"/>
      <color rgb="FFFF8989"/>
      <color rgb="FF006580"/>
      <color rgb="FFF38B00"/>
      <color rgb="FFCCFFFF"/>
      <color rgb="FFF3A36D"/>
      <color rgb="FF006666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632169</xdr:colOff>
      <xdr:row>0</xdr:row>
      <xdr:rowOff>0</xdr:rowOff>
    </xdr:from>
    <xdr:to>
      <xdr:col>10</xdr:col>
      <xdr:colOff>296024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309" y="0"/>
          <a:ext cx="1248815" cy="11296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16</xdr:col>
      <xdr:colOff>57150</xdr:colOff>
      <xdr:row>21</xdr:row>
      <xdr:rowOff>361949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2760344"/>
          <a:ext cx="5604510" cy="3689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632169</xdr:colOff>
      <xdr:row>0</xdr:row>
      <xdr:rowOff>0</xdr:rowOff>
    </xdr:from>
    <xdr:to>
      <xdr:col>10</xdr:col>
      <xdr:colOff>296024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309" y="0"/>
          <a:ext cx="1248815" cy="11296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16</xdr:col>
      <xdr:colOff>57150</xdr:colOff>
      <xdr:row>21</xdr:row>
      <xdr:rowOff>361949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2743199"/>
          <a:ext cx="5591175" cy="3686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632169</xdr:colOff>
      <xdr:row>0</xdr:row>
      <xdr:rowOff>0</xdr:rowOff>
    </xdr:from>
    <xdr:to>
      <xdr:col>10</xdr:col>
      <xdr:colOff>296024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309" y="0"/>
          <a:ext cx="1248815" cy="1129665"/>
        </a:xfrm>
        <a:prstGeom prst="rect">
          <a:avLst/>
        </a:prstGeom>
      </xdr:spPr>
    </xdr:pic>
    <xdr:clientData/>
  </xdr:twoCellAnchor>
  <xdr:twoCellAnchor editAs="oneCell">
    <xdr:from>
      <xdr:col>4</xdr:col>
      <xdr:colOff>771524</xdr:colOff>
      <xdr:row>11</xdr:row>
      <xdr:rowOff>304799</xdr:rowOff>
    </xdr:from>
    <xdr:to>
      <xdr:col>11</xdr:col>
      <xdr:colOff>0</xdr:colOff>
      <xdr:row>21</xdr:row>
      <xdr:rowOff>28574</xdr:rowOff>
    </xdr:to>
    <xdr:pic>
      <xdr:nvPicPr>
        <xdr:cNvPr id="3" name="Imagen 2" descr="Tabla&#10;&#10;Descripción generada automáticament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94744" y="2750819"/>
          <a:ext cx="4775836" cy="33661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</xdr:colOff>
      <xdr:row>2</xdr:row>
      <xdr:rowOff>87630</xdr:rowOff>
    </xdr:from>
    <xdr:to>
      <xdr:col>14</xdr:col>
      <xdr:colOff>72390</xdr:colOff>
      <xdr:row>6</xdr:row>
      <xdr:rowOff>160020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25730" y="497205"/>
          <a:ext cx="10443210" cy="796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equipo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resuelvan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caso presentado en este archivo, asignen a una persona quién será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responsable 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llenar el documento y tendrá que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compartir pantalla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eberán distribuirse equitativamente las preguntas, para ello, identifica el nombre de </a:t>
          </a:r>
          <a:r>
            <a:rPr lang="es-MX" sz="1400" b="1" i="0" u="none" strike="noStrike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color asignado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tu </a:t>
          </a:r>
          <a:r>
            <a:rPr lang="es-MX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usuario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resuelve las preguntas con el mismo color.</a:t>
          </a:r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xdr:twoCellAnchor>
    <xdr:from>
      <xdr:col>0</xdr:col>
      <xdr:colOff>148590</xdr:colOff>
      <xdr:row>15</xdr:row>
      <xdr:rowOff>83820</xdr:rowOff>
    </xdr:from>
    <xdr:to>
      <xdr:col>14</xdr:col>
      <xdr:colOff>83820</xdr:colOff>
      <xdr:row>21</xdr:row>
      <xdr:rowOff>36195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48590" y="3131820"/>
          <a:ext cx="10431780" cy="1038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caso de tener alguna duda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presiona el botón </a:t>
          </a:r>
          <a:r>
            <a:rPr lang="es-MX" sz="1400" b="1" i="0" u="none" strike="noStrike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"Ayuda" 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zoom.</a:t>
          </a: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realizar la actividad en equipo: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 min</a:t>
          </a: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presentar respuestas al grupo: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min</a:t>
          </a:r>
          <a:endParaRPr lang="es-MX" sz="1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2376402</xdr:colOff>
      <xdr:row>11</xdr:row>
      <xdr:rowOff>64423</xdr:rowOff>
    </xdr:from>
    <xdr:to>
      <xdr:col>9</xdr:col>
      <xdr:colOff>347</xdr:colOff>
      <xdr:row>18</xdr:row>
      <xdr:rowOff>187209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9720" y="1207423"/>
          <a:ext cx="1560022" cy="1404331"/>
        </a:xfrm>
        <a:prstGeom prst="rect">
          <a:avLst/>
        </a:prstGeom>
      </xdr:spPr>
    </xdr:pic>
    <xdr:clientData/>
  </xdr:twoCellAnchor>
  <xdr:twoCellAnchor>
    <xdr:from>
      <xdr:col>5</xdr:col>
      <xdr:colOff>276051</xdr:colOff>
      <xdr:row>11</xdr:row>
      <xdr:rowOff>13508</xdr:rowOff>
    </xdr:from>
    <xdr:to>
      <xdr:col>5</xdr:col>
      <xdr:colOff>4519006</xdr:colOff>
      <xdr:row>18</xdr:row>
      <xdr:rowOff>77931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3090256" y="2109008"/>
          <a:ext cx="4242955" cy="13459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MX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Cliente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Mónica Tena Lugo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asesor: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Israel Villaseñor Reséndiz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Actividad económica: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Asalariado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Banco: </a:t>
          </a:r>
          <a:r>
            <a:rPr lang="es-MX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Santander</a:t>
          </a:r>
          <a:endParaRPr lang="es-MX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Apoyo gubernamental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22</xdr:row>
          <xdr:rowOff>127000</xdr:rowOff>
        </xdr:from>
        <xdr:to>
          <xdr:col>6</xdr:col>
          <xdr:colOff>1041400</xdr:colOff>
          <xdr:row>23</xdr:row>
          <xdr:rowOff>12700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22</xdr:row>
          <xdr:rowOff>127000</xdr:rowOff>
        </xdr:from>
        <xdr:to>
          <xdr:col>7</xdr:col>
          <xdr:colOff>1104900</xdr:colOff>
          <xdr:row>23</xdr:row>
          <xdr:rowOff>12700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4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23</xdr:row>
          <xdr:rowOff>107950</xdr:rowOff>
        </xdr:from>
        <xdr:to>
          <xdr:col>6</xdr:col>
          <xdr:colOff>1047750</xdr:colOff>
          <xdr:row>24</xdr:row>
          <xdr:rowOff>12700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4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23</xdr:row>
          <xdr:rowOff>107950</xdr:rowOff>
        </xdr:from>
        <xdr:to>
          <xdr:col>7</xdr:col>
          <xdr:colOff>1123950</xdr:colOff>
          <xdr:row>24</xdr:row>
          <xdr:rowOff>12700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4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26</xdr:row>
          <xdr:rowOff>127000</xdr:rowOff>
        </xdr:from>
        <xdr:to>
          <xdr:col>6</xdr:col>
          <xdr:colOff>1028700</xdr:colOff>
          <xdr:row>27</xdr:row>
          <xdr:rowOff>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4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26</xdr:row>
          <xdr:rowOff>127000</xdr:rowOff>
        </xdr:from>
        <xdr:to>
          <xdr:col>7</xdr:col>
          <xdr:colOff>1098550</xdr:colOff>
          <xdr:row>27</xdr:row>
          <xdr:rowOff>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4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27</xdr:row>
          <xdr:rowOff>114300</xdr:rowOff>
        </xdr:from>
        <xdr:to>
          <xdr:col>6</xdr:col>
          <xdr:colOff>1028700</xdr:colOff>
          <xdr:row>28</xdr:row>
          <xdr:rowOff>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4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27</xdr:row>
          <xdr:rowOff>114300</xdr:rowOff>
        </xdr:from>
        <xdr:to>
          <xdr:col>7</xdr:col>
          <xdr:colOff>1104900</xdr:colOff>
          <xdr:row>28</xdr:row>
          <xdr:rowOff>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4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450850</xdr:colOff>
          <xdr:row>28</xdr:row>
          <xdr:rowOff>127000</xdr:rowOff>
        </xdr:from>
        <xdr:to>
          <xdr:col>6</xdr:col>
          <xdr:colOff>1041400</xdr:colOff>
          <xdr:row>29</xdr:row>
          <xdr:rowOff>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4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28</xdr:row>
          <xdr:rowOff>127000</xdr:rowOff>
        </xdr:from>
        <xdr:to>
          <xdr:col>7</xdr:col>
          <xdr:colOff>1104900</xdr:colOff>
          <xdr:row>29</xdr:row>
          <xdr:rowOff>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4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450850</xdr:colOff>
          <xdr:row>29</xdr:row>
          <xdr:rowOff>114300</xdr:rowOff>
        </xdr:from>
        <xdr:to>
          <xdr:col>6</xdr:col>
          <xdr:colOff>1047750</xdr:colOff>
          <xdr:row>30</xdr:row>
          <xdr:rowOff>0</xdr:rowOff>
        </xdr:to>
        <xdr:sp macro="" textlink="">
          <xdr:nvSpPr>
            <xdr:cNvPr id="13328" name="Check Box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4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29</xdr:row>
          <xdr:rowOff>114300</xdr:rowOff>
        </xdr:from>
        <xdr:to>
          <xdr:col>7</xdr:col>
          <xdr:colOff>1123950</xdr:colOff>
          <xdr:row>30</xdr:row>
          <xdr:rowOff>0</xdr:rowOff>
        </xdr:to>
        <xdr:sp macro="" textlink="">
          <xdr:nvSpPr>
            <xdr:cNvPr id="13329" name="Check Box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4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30</xdr:row>
          <xdr:rowOff>222250</xdr:rowOff>
        </xdr:from>
        <xdr:to>
          <xdr:col>6</xdr:col>
          <xdr:colOff>1028700</xdr:colOff>
          <xdr:row>31</xdr:row>
          <xdr:rowOff>0</xdr:rowOff>
        </xdr:to>
        <xdr:sp macro="" textlink="">
          <xdr:nvSpPr>
            <xdr:cNvPr id="13330" name="Check Box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4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30</xdr:row>
          <xdr:rowOff>222250</xdr:rowOff>
        </xdr:from>
        <xdr:to>
          <xdr:col>7</xdr:col>
          <xdr:colOff>1098550</xdr:colOff>
          <xdr:row>31</xdr:row>
          <xdr:rowOff>0</xdr:rowOff>
        </xdr:to>
        <xdr:sp macro="" textlink="">
          <xdr:nvSpPr>
            <xdr:cNvPr id="13331" name="Check Box 19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4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450850</xdr:colOff>
          <xdr:row>32</xdr:row>
          <xdr:rowOff>190500</xdr:rowOff>
        </xdr:from>
        <xdr:to>
          <xdr:col>6</xdr:col>
          <xdr:colOff>933450</xdr:colOff>
          <xdr:row>32</xdr:row>
          <xdr:rowOff>762000</xdr:rowOff>
        </xdr:to>
        <xdr:sp macro="" textlink="">
          <xdr:nvSpPr>
            <xdr:cNvPr id="13332" name="Check Box 20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4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32</xdr:row>
          <xdr:rowOff>190500</xdr:rowOff>
        </xdr:from>
        <xdr:to>
          <xdr:col>8</xdr:col>
          <xdr:colOff>0</xdr:colOff>
          <xdr:row>32</xdr:row>
          <xdr:rowOff>762000</xdr:rowOff>
        </xdr:to>
        <xdr:sp macro="" textlink="">
          <xdr:nvSpPr>
            <xdr:cNvPr id="13333" name="Check Box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4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450850</xdr:colOff>
          <xdr:row>33</xdr:row>
          <xdr:rowOff>88900</xdr:rowOff>
        </xdr:from>
        <xdr:to>
          <xdr:col>6</xdr:col>
          <xdr:colOff>1041400</xdr:colOff>
          <xdr:row>33</xdr:row>
          <xdr:rowOff>609600</xdr:rowOff>
        </xdr:to>
        <xdr:sp macro="" textlink="">
          <xdr:nvSpPr>
            <xdr:cNvPr id="13334" name="Check Box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4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33</xdr:row>
          <xdr:rowOff>88900</xdr:rowOff>
        </xdr:from>
        <xdr:to>
          <xdr:col>7</xdr:col>
          <xdr:colOff>1104900</xdr:colOff>
          <xdr:row>33</xdr:row>
          <xdr:rowOff>609600</xdr:rowOff>
        </xdr:to>
        <xdr:sp macro="" textlink="">
          <xdr:nvSpPr>
            <xdr:cNvPr id="13335" name="Check Box 23" hidden="1">
              <a:extLst>
                <a:ext uri="{63B3BB69-23CF-44E3-9099-C40C66FF867C}">
                  <a14:compatExt spid="_x0000_s13335"/>
                </a:ext>
                <a:ext uri="{FF2B5EF4-FFF2-40B4-BE49-F238E27FC236}">
                  <a16:creationId xmlns:a16="http://schemas.microsoft.com/office/drawing/2014/main" id="{00000000-0008-0000-0400-00001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450850</xdr:colOff>
          <xdr:row>34</xdr:row>
          <xdr:rowOff>88900</xdr:rowOff>
        </xdr:from>
        <xdr:to>
          <xdr:col>6</xdr:col>
          <xdr:colOff>1047750</xdr:colOff>
          <xdr:row>34</xdr:row>
          <xdr:rowOff>584200</xdr:rowOff>
        </xdr:to>
        <xdr:sp macro="" textlink="">
          <xdr:nvSpPr>
            <xdr:cNvPr id="13336" name="Check Box 24" hidden="1">
              <a:extLst>
                <a:ext uri="{63B3BB69-23CF-44E3-9099-C40C66FF867C}">
                  <a14:compatExt spid="_x0000_s13336"/>
                </a:ext>
                <a:ext uri="{FF2B5EF4-FFF2-40B4-BE49-F238E27FC236}">
                  <a16:creationId xmlns:a16="http://schemas.microsoft.com/office/drawing/2014/main" id="{00000000-0008-0000-0400-00001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34</xdr:row>
          <xdr:rowOff>88900</xdr:rowOff>
        </xdr:from>
        <xdr:to>
          <xdr:col>7</xdr:col>
          <xdr:colOff>1123950</xdr:colOff>
          <xdr:row>34</xdr:row>
          <xdr:rowOff>584200</xdr:rowOff>
        </xdr:to>
        <xdr:sp macro="" textlink="">
          <xdr:nvSpPr>
            <xdr:cNvPr id="13337" name="Check Box 25" hidden="1">
              <a:extLst>
                <a:ext uri="{63B3BB69-23CF-44E3-9099-C40C66FF867C}">
                  <a14:compatExt spid="_x0000_s13337"/>
                </a:ext>
                <a:ext uri="{FF2B5EF4-FFF2-40B4-BE49-F238E27FC236}">
                  <a16:creationId xmlns:a16="http://schemas.microsoft.com/office/drawing/2014/main" id="{00000000-0008-0000-0400-00001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35</xdr:row>
          <xdr:rowOff>88900</xdr:rowOff>
        </xdr:from>
        <xdr:to>
          <xdr:col>6</xdr:col>
          <xdr:colOff>1028700</xdr:colOff>
          <xdr:row>35</xdr:row>
          <xdr:rowOff>647700</xdr:rowOff>
        </xdr:to>
        <xdr:sp macro="" textlink="">
          <xdr:nvSpPr>
            <xdr:cNvPr id="13338" name="Check Box 26" hidden="1">
              <a:extLst>
                <a:ext uri="{63B3BB69-23CF-44E3-9099-C40C66FF867C}">
                  <a14:compatExt spid="_x0000_s13338"/>
                </a:ext>
                <a:ext uri="{FF2B5EF4-FFF2-40B4-BE49-F238E27FC236}">
                  <a16:creationId xmlns:a16="http://schemas.microsoft.com/office/drawing/2014/main" id="{00000000-0008-0000-0400-00001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35</xdr:row>
          <xdr:rowOff>88900</xdr:rowOff>
        </xdr:from>
        <xdr:to>
          <xdr:col>7</xdr:col>
          <xdr:colOff>1098550</xdr:colOff>
          <xdr:row>35</xdr:row>
          <xdr:rowOff>647700</xdr:rowOff>
        </xdr:to>
        <xdr:sp macro="" textlink="">
          <xdr:nvSpPr>
            <xdr:cNvPr id="13339" name="Check Box 27" hidden="1">
              <a:extLst>
                <a:ext uri="{63B3BB69-23CF-44E3-9099-C40C66FF867C}">
                  <a14:compatExt spid="_x0000_s13339"/>
                </a:ext>
                <a:ext uri="{FF2B5EF4-FFF2-40B4-BE49-F238E27FC236}">
                  <a16:creationId xmlns:a16="http://schemas.microsoft.com/office/drawing/2014/main" id="{00000000-0008-0000-0400-00001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36</xdr:row>
          <xdr:rowOff>381000</xdr:rowOff>
        </xdr:from>
        <xdr:to>
          <xdr:col>6</xdr:col>
          <xdr:colOff>819150</xdr:colOff>
          <xdr:row>36</xdr:row>
          <xdr:rowOff>952500</xdr:rowOff>
        </xdr:to>
        <xdr:sp macro="" textlink="">
          <xdr:nvSpPr>
            <xdr:cNvPr id="13340" name="Check Box 28" hidden="1">
              <a:extLst>
                <a:ext uri="{63B3BB69-23CF-44E3-9099-C40C66FF867C}">
                  <a14:compatExt spid="_x0000_s13340"/>
                </a:ext>
                <a:ext uri="{FF2B5EF4-FFF2-40B4-BE49-F238E27FC236}">
                  <a16:creationId xmlns:a16="http://schemas.microsoft.com/office/drawing/2014/main" id="{00000000-0008-0000-0400-00001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36</xdr:row>
          <xdr:rowOff>355600</xdr:rowOff>
        </xdr:from>
        <xdr:to>
          <xdr:col>8</xdr:col>
          <xdr:colOff>0</xdr:colOff>
          <xdr:row>36</xdr:row>
          <xdr:rowOff>1003300</xdr:rowOff>
        </xdr:to>
        <xdr:sp macro="" textlink="">
          <xdr:nvSpPr>
            <xdr:cNvPr id="13341" name="Check Box 29" hidden="1">
              <a:extLst>
                <a:ext uri="{63B3BB69-23CF-44E3-9099-C40C66FF867C}">
                  <a14:compatExt spid="_x0000_s13341"/>
                </a:ext>
                <a:ext uri="{FF2B5EF4-FFF2-40B4-BE49-F238E27FC236}">
                  <a16:creationId xmlns:a16="http://schemas.microsoft.com/office/drawing/2014/main" id="{00000000-0008-0000-0400-00001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37</xdr:row>
          <xdr:rowOff>381000</xdr:rowOff>
        </xdr:from>
        <xdr:to>
          <xdr:col>6</xdr:col>
          <xdr:colOff>850900</xdr:colOff>
          <xdr:row>39</xdr:row>
          <xdr:rowOff>57150</xdr:rowOff>
        </xdr:to>
        <xdr:sp macro="" textlink="">
          <xdr:nvSpPr>
            <xdr:cNvPr id="13342" name="Check Box 30" hidden="1">
              <a:extLst>
                <a:ext uri="{63B3BB69-23CF-44E3-9099-C40C66FF867C}">
                  <a14:compatExt spid="_x0000_s13342"/>
                </a:ext>
                <a:ext uri="{FF2B5EF4-FFF2-40B4-BE49-F238E27FC236}">
                  <a16:creationId xmlns:a16="http://schemas.microsoft.com/office/drawing/2014/main" id="{00000000-0008-0000-0400-00001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40</xdr:row>
          <xdr:rowOff>50800</xdr:rowOff>
        </xdr:from>
        <xdr:to>
          <xdr:col>7</xdr:col>
          <xdr:colOff>895350</xdr:colOff>
          <xdr:row>41</xdr:row>
          <xdr:rowOff>12700</xdr:rowOff>
        </xdr:to>
        <xdr:sp macro="" textlink="">
          <xdr:nvSpPr>
            <xdr:cNvPr id="13343" name="Check Box 31" hidden="1">
              <a:extLst>
                <a:ext uri="{63B3BB69-23CF-44E3-9099-C40C66FF867C}">
                  <a14:compatExt spid="_x0000_s13343"/>
                </a:ext>
                <a:ext uri="{FF2B5EF4-FFF2-40B4-BE49-F238E27FC236}">
                  <a16:creationId xmlns:a16="http://schemas.microsoft.com/office/drawing/2014/main" id="{00000000-0008-0000-0400-00001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40</xdr:row>
          <xdr:rowOff>76200</xdr:rowOff>
        </xdr:from>
        <xdr:to>
          <xdr:col>6</xdr:col>
          <xdr:colOff>857250</xdr:colOff>
          <xdr:row>40</xdr:row>
          <xdr:rowOff>527050</xdr:rowOff>
        </xdr:to>
        <xdr:sp macro="" textlink="">
          <xdr:nvSpPr>
            <xdr:cNvPr id="13344" name="Check Box 32" hidden="1">
              <a:extLst>
                <a:ext uri="{63B3BB69-23CF-44E3-9099-C40C66FF867C}">
                  <a14:compatExt spid="_x0000_s13344"/>
                </a:ext>
                <a:ext uri="{FF2B5EF4-FFF2-40B4-BE49-F238E27FC236}">
                  <a16:creationId xmlns:a16="http://schemas.microsoft.com/office/drawing/2014/main" id="{00000000-0008-0000-0400-00002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38</xdr:row>
          <xdr:rowOff>31750</xdr:rowOff>
        </xdr:from>
        <xdr:to>
          <xdr:col>7</xdr:col>
          <xdr:colOff>908050</xdr:colOff>
          <xdr:row>38</xdr:row>
          <xdr:rowOff>431800</xdr:rowOff>
        </xdr:to>
        <xdr:sp macro="" textlink="">
          <xdr:nvSpPr>
            <xdr:cNvPr id="13345" name="Check Box 33" hidden="1">
              <a:extLst>
                <a:ext uri="{63B3BB69-23CF-44E3-9099-C40C66FF867C}">
                  <a14:compatExt spid="_x0000_s13345"/>
                </a:ext>
                <a:ext uri="{FF2B5EF4-FFF2-40B4-BE49-F238E27FC236}">
                  <a16:creationId xmlns:a16="http://schemas.microsoft.com/office/drawing/2014/main" id="{00000000-0008-0000-0400-00002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43</xdr:row>
          <xdr:rowOff>361950</xdr:rowOff>
        </xdr:from>
        <xdr:to>
          <xdr:col>6</xdr:col>
          <xdr:colOff>838200</xdr:colOff>
          <xdr:row>45</xdr:row>
          <xdr:rowOff>95250</xdr:rowOff>
        </xdr:to>
        <xdr:sp macro="" textlink="">
          <xdr:nvSpPr>
            <xdr:cNvPr id="13346" name="Check Box 34" hidden="1">
              <a:extLst>
                <a:ext uri="{63B3BB69-23CF-44E3-9099-C40C66FF867C}">
                  <a14:compatExt spid="_x0000_s13346"/>
                </a:ext>
                <a:ext uri="{FF2B5EF4-FFF2-40B4-BE49-F238E27FC236}">
                  <a16:creationId xmlns:a16="http://schemas.microsoft.com/office/drawing/2014/main" id="{00000000-0008-0000-0400-00002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412750</xdr:colOff>
          <xdr:row>43</xdr:row>
          <xdr:rowOff>361950</xdr:rowOff>
        </xdr:from>
        <xdr:to>
          <xdr:col>7</xdr:col>
          <xdr:colOff>895350</xdr:colOff>
          <xdr:row>45</xdr:row>
          <xdr:rowOff>114300</xdr:rowOff>
        </xdr:to>
        <xdr:sp macro="" textlink="">
          <xdr:nvSpPr>
            <xdr:cNvPr id="13347" name="Check Box 35" hidden="1">
              <a:extLst>
                <a:ext uri="{63B3BB69-23CF-44E3-9099-C40C66FF867C}">
                  <a14:compatExt spid="_x0000_s13347"/>
                </a:ext>
                <a:ext uri="{FF2B5EF4-FFF2-40B4-BE49-F238E27FC236}">
                  <a16:creationId xmlns:a16="http://schemas.microsoft.com/office/drawing/2014/main" id="{00000000-0008-0000-0400-00002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45</xdr:row>
          <xdr:rowOff>298450</xdr:rowOff>
        </xdr:from>
        <xdr:to>
          <xdr:col>6</xdr:col>
          <xdr:colOff>819150</xdr:colOff>
          <xdr:row>45</xdr:row>
          <xdr:rowOff>800100</xdr:rowOff>
        </xdr:to>
        <xdr:sp macro="" textlink="">
          <xdr:nvSpPr>
            <xdr:cNvPr id="13348" name="Check Box 36" hidden="1">
              <a:extLst>
                <a:ext uri="{63B3BB69-23CF-44E3-9099-C40C66FF867C}">
                  <a14:compatExt spid="_x0000_s13348"/>
                </a:ext>
                <a:ext uri="{FF2B5EF4-FFF2-40B4-BE49-F238E27FC236}">
                  <a16:creationId xmlns:a16="http://schemas.microsoft.com/office/drawing/2014/main" id="{00000000-0008-0000-0400-00002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381000</xdr:colOff>
          <xdr:row>45</xdr:row>
          <xdr:rowOff>298450</xdr:rowOff>
        </xdr:from>
        <xdr:to>
          <xdr:col>7</xdr:col>
          <xdr:colOff>876300</xdr:colOff>
          <xdr:row>45</xdr:row>
          <xdr:rowOff>812800</xdr:rowOff>
        </xdr:to>
        <xdr:sp macro="" textlink="">
          <xdr:nvSpPr>
            <xdr:cNvPr id="13349" name="Check Box 37" hidden="1">
              <a:extLst>
                <a:ext uri="{63B3BB69-23CF-44E3-9099-C40C66FF867C}">
                  <a14:compatExt spid="_x0000_s13349"/>
                </a:ext>
                <a:ext uri="{FF2B5EF4-FFF2-40B4-BE49-F238E27FC236}">
                  <a16:creationId xmlns:a16="http://schemas.microsoft.com/office/drawing/2014/main" id="{00000000-0008-0000-0400-00002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46</xdr:row>
          <xdr:rowOff>438150</xdr:rowOff>
        </xdr:from>
        <xdr:to>
          <xdr:col>6</xdr:col>
          <xdr:colOff>1047750</xdr:colOff>
          <xdr:row>48</xdr:row>
          <xdr:rowOff>0</xdr:rowOff>
        </xdr:to>
        <xdr:sp macro="" textlink="">
          <xdr:nvSpPr>
            <xdr:cNvPr id="13350" name="Check Box 38" hidden="1">
              <a:extLst>
                <a:ext uri="{63B3BB69-23CF-44E3-9099-C40C66FF867C}">
                  <a14:compatExt spid="_x0000_s13350"/>
                </a:ext>
                <a:ext uri="{FF2B5EF4-FFF2-40B4-BE49-F238E27FC236}">
                  <a16:creationId xmlns:a16="http://schemas.microsoft.com/office/drawing/2014/main" id="{00000000-0008-0000-0400-00002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46</xdr:row>
          <xdr:rowOff>438150</xdr:rowOff>
        </xdr:from>
        <xdr:to>
          <xdr:col>7</xdr:col>
          <xdr:colOff>1123950</xdr:colOff>
          <xdr:row>48</xdr:row>
          <xdr:rowOff>0</xdr:rowOff>
        </xdr:to>
        <xdr:sp macro="" textlink="">
          <xdr:nvSpPr>
            <xdr:cNvPr id="13351" name="Check Box 39" hidden="1">
              <a:extLst>
                <a:ext uri="{63B3BB69-23CF-44E3-9099-C40C66FF867C}">
                  <a14:compatExt spid="_x0000_s13351"/>
                </a:ext>
                <a:ext uri="{FF2B5EF4-FFF2-40B4-BE49-F238E27FC236}">
                  <a16:creationId xmlns:a16="http://schemas.microsoft.com/office/drawing/2014/main" id="{00000000-0008-0000-0400-00002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48</xdr:row>
          <xdr:rowOff>107950</xdr:rowOff>
        </xdr:from>
        <xdr:to>
          <xdr:col>6</xdr:col>
          <xdr:colOff>1079500</xdr:colOff>
          <xdr:row>49</xdr:row>
          <xdr:rowOff>0</xdr:rowOff>
        </xdr:to>
        <xdr:sp macro="" textlink="">
          <xdr:nvSpPr>
            <xdr:cNvPr id="13352" name="Check Box 40" hidden="1">
              <a:extLst>
                <a:ext uri="{63B3BB69-23CF-44E3-9099-C40C66FF867C}">
                  <a14:compatExt spid="_x0000_s13352"/>
                </a:ext>
                <a:ext uri="{FF2B5EF4-FFF2-40B4-BE49-F238E27FC236}">
                  <a16:creationId xmlns:a16="http://schemas.microsoft.com/office/drawing/2014/main" id="{00000000-0008-0000-0400-00002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527050</xdr:colOff>
          <xdr:row>48</xdr:row>
          <xdr:rowOff>107950</xdr:rowOff>
        </xdr:from>
        <xdr:to>
          <xdr:col>7</xdr:col>
          <xdr:colOff>1143000</xdr:colOff>
          <xdr:row>49</xdr:row>
          <xdr:rowOff>0</xdr:rowOff>
        </xdr:to>
        <xdr:sp macro="" textlink="">
          <xdr:nvSpPr>
            <xdr:cNvPr id="13353" name="Check Box 41" hidden="1">
              <a:extLst>
                <a:ext uri="{63B3BB69-23CF-44E3-9099-C40C66FF867C}">
                  <a14:compatExt spid="_x0000_s13353"/>
                </a:ext>
                <a:ext uri="{FF2B5EF4-FFF2-40B4-BE49-F238E27FC236}">
                  <a16:creationId xmlns:a16="http://schemas.microsoft.com/office/drawing/2014/main" id="{00000000-0008-0000-0400-00002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48</xdr:row>
          <xdr:rowOff>628650</xdr:rowOff>
        </xdr:from>
        <xdr:to>
          <xdr:col>6</xdr:col>
          <xdr:colOff>1098550</xdr:colOff>
          <xdr:row>50</xdr:row>
          <xdr:rowOff>31750</xdr:rowOff>
        </xdr:to>
        <xdr:sp macro="" textlink="">
          <xdr:nvSpPr>
            <xdr:cNvPr id="13354" name="Check Box 42" hidden="1">
              <a:extLst>
                <a:ext uri="{63B3BB69-23CF-44E3-9099-C40C66FF867C}">
                  <a14:compatExt spid="_x0000_s13354"/>
                </a:ext>
                <a:ext uri="{FF2B5EF4-FFF2-40B4-BE49-F238E27FC236}">
                  <a16:creationId xmlns:a16="http://schemas.microsoft.com/office/drawing/2014/main" id="{00000000-0008-0000-0400-00002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546100</xdr:colOff>
          <xdr:row>48</xdr:row>
          <xdr:rowOff>628650</xdr:rowOff>
        </xdr:from>
        <xdr:to>
          <xdr:col>7</xdr:col>
          <xdr:colOff>1143000</xdr:colOff>
          <xdr:row>50</xdr:row>
          <xdr:rowOff>31750</xdr:rowOff>
        </xdr:to>
        <xdr:sp macro="" textlink="">
          <xdr:nvSpPr>
            <xdr:cNvPr id="13355" name="Check Box 43" hidden="1">
              <a:extLst>
                <a:ext uri="{63B3BB69-23CF-44E3-9099-C40C66FF867C}">
                  <a14:compatExt spid="_x0000_s13355"/>
                </a:ext>
                <a:ext uri="{FF2B5EF4-FFF2-40B4-BE49-F238E27FC236}">
                  <a16:creationId xmlns:a16="http://schemas.microsoft.com/office/drawing/2014/main" id="{00000000-0008-0000-0400-00002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52</xdr:row>
          <xdr:rowOff>476250</xdr:rowOff>
        </xdr:from>
        <xdr:to>
          <xdr:col>6</xdr:col>
          <xdr:colOff>1009650</xdr:colOff>
          <xdr:row>54</xdr:row>
          <xdr:rowOff>0</xdr:rowOff>
        </xdr:to>
        <xdr:sp macro="" textlink="">
          <xdr:nvSpPr>
            <xdr:cNvPr id="13356" name="Check Box 44" hidden="1">
              <a:extLst>
                <a:ext uri="{63B3BB69-23CF-44E3-9099-C40C66FF867C}">
                  <a14:compatExt spid="_x0000_s13356"/>
                </a:ext>
                <a:ext uri="{FF2B5EF4-FFF2-40B4-BE49-F238E27FC236}">
                  <a16:creationId xmlns:a16="http://schemas.microsoft.com/office/drawing/2014/main" id="{00000000-0008-0000-0400-00002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476250</xdr:colOff>
          <xdr:row>52</xdr:row>
          <xdr:rowOff>476250</xdr:rowOff>
        </xdr:from>
        <xdr:to>
          <xdr:col>7</xdr:col>
          <xdr:colOff>1098550</xdr:colOff>
          <xdr:row>54</xdr:row>
          <xdr:rowOff>0</xdr:rowOff>
        </xdr:to>
        <xdr:sp macro="" textlink="">
          <xdr:nvSpPr>
            <xdr:cNvPr id="13357" name="Check Box 45" hidden="1">
              <a:extLst>
                <a:ext uri="{63B3BB69-23CF-44E3-9099-C40C66FF867C}">
                  <a14:compatExt spid="_x0000_s13357"/>
                </a:ext>
                <a:ext uri="{FF2B5EF4-FFF2-40B4-BE49-F238E27FC236}">
                  <a16:creationId xmlns:a16="http://schemas.microsoft.com/office/drawing/2014/main" id="{00000000-0008-0000-0400-00002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50</xdr:row>
          <xdr:rowOff>488950</xdr:rowOff>
        </xdr:from>
        <xdr:to>
          <xdr:col>6</xdr:col>
          <xdr:colOff>1047750</xdr:colOff>
          <xdr:row>52</xdr:row>
          <xdr:rowOff>50800</xdr:rowOff>
        </xdr:to>
        <xdr:sp macro="" textlink="">
          <xdr:nvSpPr>
            <xdr:cNvPr id="13358" name="Check Box 46" hidden="1">
              <a:extLst>
                <a:ext uri="{63B3BB69-23CF-44E3-9099-C40C66FF867C}">
                  <a14:compatExt spid="_x0000_s13358"/>
                </a:ext>
                <a:ext uri="{FF2B5EF4-FFF2-40B4-BE49-F238E27FC236}">
                  <a16:creationId xmlns:a16="http://schemas.microsoft.com/office/drawing/2014/main" id="{00000000-0008-0000-0400-00002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50</xdr:row>
          <xdr:rowOff>488950</xdr:rowOff>
        </xdr:from>
        <xdr:to>
          <xdr:col>7</xdr:col>
          <xdr:colOff>1123950</xdr:colOff>
          <xdr:row>52</xdr:row>
          <xdr:rowOff>50800</xdr:rowOff>
        </xdr:to>
        <xdr:sp macro="" textlink="">
          <xdr:nvSpPr>
            <xdr:cNvPr id="13359" name="Check Box 47" hidden="1">
              <a:extLst>
                <a:ext uri="{63B3BB69-23CF-44E3-9099-C40C66FF867C}">
                  <a14:compatExt spid="_x0000_s13359"/>
                </a:ext>
                <a:ext uri="{FF2B5EF4-FFF2-40B4-BE49-F238E27FC236}">
                  <a16:creationId xmlns:a16="http://schemas.microsoft.com/office/drawing/2014/main" id="{00000000-0008-0000-0400-00002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51</xdr:row>
          <xdr:rowOff>488950</xdr:rowOff>
        </xdr:from>
        <xdr:to>
          <xdr:col>6</xdr:col>
          <xdr:colOff>1047750</xdr:colOff>
          <xdr:row>53</xdr:row>
          <xdr:rowOff>0</xdr:rowOff>
        </xdr:to>
        <xdr:sp macro="" textlink="">
          <xdr:nvSpPr>
            <xdr:cNvPr id="13360" name="Check Box 48" hidden="1">
              <a:extLst>
                <a:ext uri="{63B3BB69-23CF-44E3-9099-C40C66FF867C}">
                  <a14:compatExt spid="_x0000_s13360"/>
                </a:ext>
                <a:ext uri="{FF2B5EF4-FFF2-40B4-BE49-F238E27FC236}">
                  <a16:creationId xmlns:a16="http://schemas.microsoft.com/office/drawing/2014/main" id="{00000000-0008-0000-0400-00003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51</xdr:row>
          <xdr:rowOff>488950</xdr:rowOff>
        </xdr:from>
        <xdr:to>
          <xdr:col>7</xdr:col>
          <xdr:colOff>1123950</xdr:colOff>
          <xdr:row>53</xdr:row>
          <xdr:rowOff>0</xdr:rowOff>
        </xdr:to>
        <xdr:sp macro="" textlink="">
          <xdr:nvSpPr>
            <xdr:cNvPr id="13361" name="Check Box 49" hidden="1">
              <a:extLst>
                <a:ext uri="{63B3BB69-23CF-44E3-9099-C40C66FF867C}">
                  <a14:compatExt spid="_x0000_s13361"/>
                </a:ext>
                <a:ext uri="{FF2B5EF4-FFF2-40B4-BE49-F238E27FC236}">
                  <a16:creationId xmlns:a16="http://schemas.microsoft.com/office/drawing/2014/main" id="{00000000-0008-0000-0400-00003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57</xdr:row>
          <xdr:rowOff>57150</xdr:rowOff>
        </xdr:from>
        <xdr:to>
          <xdr:col>6</xdr:col>
          <xdr:colOff>1009650</xdr:colOff>
          <xdr:row>58</xdr:row>
          <xdr:rowOff>0</xdr:rowOff>
        </xdr:to>
        <xdr:sp macro="" textlink="">
          <xdr:nvSpPr>
            <xdr:cNvPr id="13362" name="Check Box 50" hidden="1">
              <a:extLst>
                <a:ext uri="{63B3BB69-23CF-44E3-9099-C40C66FF867C}">
                  <a14:compatExt spid="_x0000_s13362"/>
                </a:ext>
                <a:ext uri="{FF2B5EF4-FFF2-40B4-BE49-F238E27FC236}">
                  <a16:creationId xmlns:a16="http://schemas.microsoft.com/office/drawing/2014/main" id="{00000000-0008-0000-0400-00003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469900</xdr:colOff>
          <xdr:row>57</xdr:row>
          <xdr:rowOff>57150</xdr:rowOff>
        </xdr:from>
        <xdr:to>
          <xdr:col>7</xdr:col>
          <xdr:colOff>1085850</xdr:colOff>
          <xdr:row>58</xdr:row>
          <xdr:rowOff>0</xdr:rowOff>
        </xdr:to>
        <xdr:sp macro="" textlink="">
          <xdr:nvSpPr>
            <xdr:cNvPr id="13363" name="Check Box 51" hidden="1">
              <a:extLst>
                <a:ext uri="{63B3BB69-23CF-44E3-9099-C40C66FF867C}">
                  <a14:compatExt spid="_x0000_s13363"/>
                </a:ext>
                <a:ext uri="{FF2B5EF4-FFF2-40B4-BE49-F238E27FC236}">
                  <a16:creationId xmlns:a16="http://schemas.microsoft.com/office/drawing/2014/main" id="{00000000-0008-0000-0400-00003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54</xdr:row>
          <xdr:rowOff>450850</xdr:rowOff>
        </xdr:from>
        <xdr:to>
          <xdr:col>6</xdr:col>
          <xdr:colOff>1009650</xdr:colOff>
          <xdr:row>56</xdr:row>
          <xdr:rowOff>31750</xdr:rowOff>
        </xdr:to>
        <xdr:sp macro="" textlink="">
          <xdr:nvSpPr>
            <xdr:cNvPr id="13364" name="Check Box 52" hidden="1">
              <a:extLst>
                <a:ext uri="{63B3BB69-23CF-44E3-9099-C40C66FF867C}">
                  <a14:compatExt spid="_x0000_s13364"/>
                </a:ext>
                <a:ext uri="{FF2B5EF4-FFF2-40B4-BE49-F238E27FC236}">
                  <a16:creationId xmlns:a16="http://schemas.microsoft.com/office/drawing/2014/main" id="{00000000-0008-0000-0400-00003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54</xdr:row>
          <xdr:rowOff>450850</xdr:rowOff>
        </xdr:from>
        <xdr:to>
          <xdr:col>7</xdr:col>
          <xdr:colOff>1079500</xdr:colOff>
          <xdr:row>56</xdr:row>
          <xdr:rowOff>31750</xdr:rowOff>
        </xdr:to>
        <xdr:sp macro="" textlink="">
          <xdr:nvSpPr>
            <xdr:cNvPr id="13365" name="Check Box 53" hidden="1">
              <a:extLst>
                <a:ext uri="{63B3BB69-23CF-44E3-9099-C40C66FF867C}">
                  <a14:compatExt spid="_x0000_s13365"/>
                </a:ext>
                <a:ext uri="{FF2B5EF4-FFF2-40B4-BE49-F238E27FC236}">
                  <a16:creationId xmlns:a16="http://schemas.microsoft.com/office/drawing/2014/main" id="{00000000-0008-0000-0400-00003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56</xdr:row>
          <xdr:rowOff>50800</xdr:rowOff>
        </xdr:from>
        <xdr:to>
          <xdr:col>6</xdr:col>
          <xdr:colOff>1009650</xdr:colOff>
          <xdr:row>57</xdr:row>
          <xdr:rowOff>0</xdr:rowOff>
        </xdr:to>
        <xdr:sp macro="" textlink="">
          <xdr:nvSpPr>
            <xdr:cNvPr id="13366" name="Check Box 54" hidden="1">
              <a:extLst>
                <a:ext uri="{63B3BB69-23CF-44E3-9099-C40C66FF867C}">
                  <a14:compatExt spid="_x0000_s13366"/>
                </a:ext>
                <a:ext uri="{FF2B5EF4-FFF2-40B4-BE49-F238E27FC236}">
                  <a16:creationId xmlns:a16="http://schemas.microsoft.com/office/drawing/2014/main" id="{00000000-0008-0000-0400-00003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56</xdr:row>
          <xdr:rowOff>50800</xdr:rowOff>
        </xdr:from>
        <xdr:to>
          <xdr:col>7</xdr:col>
          <xdr:colOff>1079500</xdr:colOff>
          <xdr:row>57</xdr:row>
          <xdr:rowOff>0</xdr:rowOff>
        </xdr:to>
        <xdr:sp macro="" textlink="">
          <xdr:nvSpPr>
            <xdr:cNvPr id="13367" name="Check Box 55" hidden="1">
              <a:extLst>
                <a:ext uri="{63B3BB69-23CF-44E3-9099-C40C66FF867C}">
                  <a14:compatExt spid="_x0000_s13367"/>
                </a:ext>
                <a:ext uri="{FF2B5EF4-FFF2-40B4-BE49-F238E27FC236}">
                  <a16:creationId xmlns:a16="http://schemas.microsoft.com/office/drawing/2014/main" id="{00000000-0008-0000-0400-00003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57</xdr:row>
          <xdr:rowOff>647700</xdr:rowOff>
        </xdr:from>
        <xdr:to>
          <xdr:col>6</xdr:col>
          <xdr:colOff>1009650</xdr:colOff>
          <xdr:row>59</xdr:row>
          <xdr:rowOff>0</xdr:rowOff>
        </xdr:to>
        <xdr:sp macro="" textlink="">
          <xdr:nvSpPr>
            <xdr:cNvPr id="13374" name="Check Box 62" hidden="1">
              <a:extLst>
                <a:ext uri="{63B3BB69-23CF-44E3-9099-C40C66FF867C}">
                  <a14:compatExt spid="_x0000_s13374"/>
                </a:ext>
                <a:ext uri="{FF2B5EF4-FFF2-40B4-BE49-F238E27FC236}">
                  <a16:creationId xmlns:a16="http://schemas.microsoft.com/office/drawing/2014/main" id="{00000000-0008-0000-0400-00003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57</xdr:row>
          <xdr:rowOff>647700</xdr:rowOff>
        </xdr:from>
        <xdr:to>
          <xdr:col>7</xdr:col>
          <xdr:colOff>1079500</xdr:colOff>
          <xdr:row>59</xdr:row>
          <xdr:rowOff>0</xdr:rowOff>
        </xdr:to>
        <xdr:sp macro="" textlink="">
          <xdr:nvSpPr>
            <xdr:cNvPr id="13375" name="Check Box 63" hidden="1">
              <a:extLst>
                <a:ext uri="{63B3BB69-23CF-44E3-9099-C40C66FF867C}">
                  <a14:compatExt spid="_x0000_s13375"/>
                </a:ext>
                <a:ext uri="{FF2B5EF4-FFF2-40B4-BE49-F238E27FC236}">
                  <a16:creationId xmlns:a16="http://schemas.microsoft.com/office/drawing/2014/main" id="{00000000-0008-0000-0400-00003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77932</xdr:colOff>
      <xdr:row>0</xdr:row>
      <xdr:rowOff>129886</xdr:rowOff>
    </xdr:from>
    <xdr:to>
      <xdr:col>8</xdr:col>
      <xdr:colOff>3852429</xdr:colOff>
      <xdr:row>10</xdr:row>
      <xdr:rowOff>140449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77932" y="129886"/>
          <a:ext cx="13697815" cy="19155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Eres el encargado de la mesa de control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la oficina Creditaria a la que perteneces,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tu función es revisar el expediente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que será enviado al banco para su análisis ya que de ti depende que se ingresen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expedientes completos, perfilados y correctamente integrados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obtener respuesta en tiempo y forma por parte del banco.</a:t>
          </a:r>
        </a:p>
        <a:p>
          <a:endParaRPr lang="es-MX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Hoy te entregó el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asesor Israel Villaseñor Reséndiz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siguiente expediente, el cual es el primero de 10 expedientes a ingresar de la inmobiliaria que hace meses estuvo trabajando para ser considerado como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bróker exclusivo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trabajar los créditos hipotecarios de sus clientes.</a:t>
          </a:r>
        </a:p>
        <a:p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Revisalo e informa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Israel el estatus de su expediente;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ara ello, llena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de revisión de expediente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donde anotarás los faltantes para que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asesor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 entregue la información correcta y completa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antes posible.</a:t>
          </a:r>
          <a:endParaRPr lang="es-MX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450850</xdr:colOff>
          <xdr:row>31</xdr:row>
          <xdr:rowOff>133350</xdr:rowOff>
        </xdr:from>
        <xdr:to>
          <xdr:col>7</xdr:col>
          <xdr:colOff>12700</xdr:colOff>
          <xdr:row>31</xdr:row>
          <xdr:rowOff>704850</xdr:rowOff>
        </xdr:to>
        <xdr:sp macro="" textlink="">
          <xdr:nvSpPr>
            <xdr:cNvPr id="13376" name="Check Box 64" hidden="1">
              <a:extLst>
                <a:ext uri="{63B3BB69-23CF-44E3-9099-C40C66FF867C}">
                  <a14:compatExt spid="_x0000_s13376"/>
                </a:ext>
                <a:ext uri="{FF2B5EF4-FFF2-40B4-BE49-F238E27FC236}">
                  <a16:creationId xmlns:a16="http://schemas.microsoft.com/office/drawing/2014/main" id="{00000000-0008-0000-0400-00004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31</xdr:row>
          <xdr:rowOff>133350</xdr:rowOff>
        </xdr:from>
        <xdr:to>
          <xdr:col>8</xdr:col>
          <xdr:colOff>12700</xdr:colOff>
          <xdr:row>31</xdr:row>
          <xdr:rowOff>704850</xdr:rowOff>
        </xdr:to>
        <xdr:sp macro="" textlink="">
          <xdr:nvSpPr>
            <xdr:cNvPr id="13377" name="Check Box 65" hidden="1">
              <a:extLst>
                <a:ext uri="{63B3BB69-23CF-44E3-9099-C40C66FF867C}">
                  <a14:compatExt spid="_x0000_s13377"/>
                </a:ext>
                <a:ext uri="{FF2B5EF4-FFF2-40B4-BE49-F238E27FC236}">
                  <a16:creationId xmlns:a16="http://schemas.microsoft.com/office/drawing/2014/main" id="{00000000-0008-0000-0400-00004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38</xdr:row>
          <xdr:rowOff>381000</xdr:rowOff>
        </xdr:from>
        <xdr:to>
          <xdr:col>6</xdr:col>
          <xdr:colOff>850900</xdr:colOff>
          <xdr:row>40</xdr:row>
          <xdr:rowOff>0</xdr:rowOff>
        </xdr:to>
        <xdr:sp macro="" textlink="">
          <xdr:nvSpPr>
            <xdr:cNvPr id="13378" name="Check Box 66" hidden="1">
              <a:extLst>
                <a:ext uri="{63B3BB69-23CF-44E3-9099-C40C66FF867C}">
                  <a14:compatExt spid="_x0000_s13378"/>
                </a:ext>
                <a:ext uri="{FF2B5EF4-FFF2-40B4-BE49-F238E27FC236}">
                  <a16:creationId xmlns:a16="http://schemas.microsoft.com/office/drawing/2014/main" id="{00000000-0008-0000-0400-00004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39</xdr:row>
          <xdr:rowOff>31750</xdr:rowOff>
        </xdr:from>
        <xdr:to>
          <xdr:col>7</xdr:col>
          <xdr:colOff>908050</xdr:colOff>
          <xdr:row>39</xdr:row>
          <xdr:rowOff>431800</xdr:rowOff>
        </xdr:to>
        <xdr:sp macro="" textlink="">
          <xdr:nvSpPr>
            <xdr:cNvPr id="13379" name="Check Box 67" hidden="1">
              <a:extLst>
                <a:ext uri="{63B3BB69-23CF-44E3-9099-C40C66FF867C}">
                  <a14:compatExt spid="_x0000_s13379"/>
                </a:ext>
                <a:ext uri="{FF2B5EF4-FFF2-40B4-BE49-F238E27FC236}">
                  <a16:creationId xmlns:a16="http://schemas.microsoft.com/office/drawing/2014/main" id="{00000000-0008-0000-0400-00004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23</xdr:row>
          <xdr:rowOff>127000</xdr:rowOff>
        </xdr:from>
        <xdr:to>
          <xdr:col>6</xdr:col>
          <xdr:colOff>895350</xdr:colOff>
          <xdr:row>24</xdr:row>
          <xdr:rowOff>12700</xdr:rowOff>
        </xdr:to>
        <xdr:sp macro="" textlink="">
          <xdr:nvSpPr>
            <xdr:cNvPr id="13380" name="Check Box 68" hidden="1">
              <a:extLst>
                <a:ext uri="{63B3BB69-23CF-44E3-9099-C40C66FF867C}">
                  <a14:compatExt spid="_x0000_s13380"/>
                </a:ext>
                <a:ext uri="{FF2B5EF4-FFF2-40B4-BE49-F238E27FC236}">
                  <a16:creationId xmlns:a16="http://schemas.microsoft.com/office/drawing/2014/main" id="{00000000-0008-0000-0400-00004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23</xdr:row>
          <xdr:rowOff>127000</xdr:rowOff>
        </xdr:from>
        <xdr:to>
          <xdr:col>7</xdr:col>
          <xdr:colOff>1028700</xdr:colOff>
          <xdr:row>24</xdr:row>
          <xdr:rowOff>12700</xdr:rowOff>
        </xdr:to>
        <xdr:sp macro="" textlink="">
          <xdr:nvSpPr>
            <xdr:cNvPr id="13381" name="Check Box 69" hidden="1">
              <a:extLst>
                <a:ext uri="{63B3BB69-23CF-44E3-9099-C40C66FF867C}">
                  <a14:compatExt spid="_x0000_s13381"/>
                </a:ext>
                <a:ext uri="{FF2B5EF4-FFF2-40B4-BE49-F238E27FC236}">
                  <a16:creationId xmlns:a16="http://schemas.microsoft.com/office/drawing/2014/main" id="{00000000-0008-0000-0400-00004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24</xdr:row>
          <xdr:rowOff>107950</xdr:rowOff>
        </xdr:from>
        <xdr:to>
          <xdr:col>6</xdr:col>
          <xdr:colOff>895350</xdr:colOff>
          <xdr:row>25</xdr:row>
          <xdr:rowOff>12700</xdr:rowOff>
        </xdr:to>
        <xdr:sp macro="" textlink="">
          <xdr:nvSpPr>
            <xdr:cNvPr id="13382" name="Check Box 70" hidden="1">
              <a:extLst>
                <a:ext uri="{63B3BB69-23CF-44E3-9099-C40C66FF867C}">
                  <a14:compatExt spid="_x0000_s13382"/>
                </a:ext>
                <a:ext uri="{FF2B5EF4-FFF2-40B4-BE49-F238E27FC236}">
                  <a16:creationId xmlns:a16="http://schemas.microsoft.com/office/drawing/2014/main" id="{00000000-0008-0000-0400-00004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24</xdr:row>
          <xdr:rowOff>107950</xdr:rowOff>
        </xdr:from>
        <xdr:to>
          <xdr:col>7</xdr:col>
          <xdr:colOff>1028700</xdr:colOff>
          <xdr:row>25</xdr:row>
          <xdr:rowOff>12700</xdr:rowOff>
        </xdr:to>
        <xdr:sp macro="" textlink="">
          <xdr:nvSpPr>
            <xdr:cNvPr id="13383" name="Check Box 71" hidden="1">
              <a:extLst>
                <a:ext uri="{63B3BB69-23CF-44E3-9099-C40C66FF867C}">
                  <a14:compatExt spid="_x0000_s13383"/>
                </a:ext>
                <a:ext uri="{FF2B5EF4-FFF2-40B4-BE49-F238E27FC236}">
                  <a16:creationId xmlns:a16="http://schemas.microsoft.com/office/drawing/2014/main" id="{00000000-0008-0000-0400-00004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24</xdr:row>
          <xdr:rowOff>107950</xdr:rowOff>
        </xdr:from>
        <xdr:to>
          <xdr:col>6</xdr:col>
          <xdr:colOff>895350</xdr:colOff>
          <xdr:row>25</xdr:row>
          <xdr:rowOff>12700</xdr:rowOff>
        </xdr:to>
        <xdr:sp macro="" textlink="">
          <xdr:nvSpPr>
            <xdr:cNvPr id="13386" name="Check Box 74" hidden="1">
              <a:extLst>
                <a:ext uri="{63B3BB69-23CF-44E3-9099-C40C66FF867C}">
                  <a14:compatExt spid="_x0000_s13386"/>
                </a:ext>
                <a:ext uri="{FF2B5EF4-FFF2-40B4-BE49-F238E27FC236}">
                  <a16:creationId xmlns:a16="http://schemas.microsoft.com/office/drawing/2014/main" id="{00000000-0008-0000-0400-00004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24</xdr:row>
          <xdr:rowOff>107950</xdr:rowOff>
        </xdr:from>
        <xdr:to>
          <xdr:col>7</xdr:col>
          <xdr:colOff>1028700</xdr:colOff>
          <xdr:row>25</xdr:row>
          <xdr:rowOff>12700</xdr:rowOff>
        </xdr:to>
        <xdr:sp macro="" textlink="">
          <xdr:nvSpPr>
            <xdr:cNvPr id="13387" name="Check Box 75" hidden="1">
              <a:extLst>
                <a:ext uri="{63B3BB69-23CF-44E3-9099-C40C66FF867C}">
                  <a14:compatExt spid="_x0000_s13387"/>
                </a:ext>
                <a:ext uri="{FF2B5EF4-FFF2-40B4-BE49-F238E27FC236}">
                  <a16:creationId xmlns:a16="http://schemas.microsoft.com/office/drawing/2014/main" id="{00000000-0008-0000-0400-00004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24</xdr:row>
          <xdr:rowOff>127000</xdr:rowOff>
        </xdr:from>
        <xdr:to>
          <xdr:col>6</xdr:col>
          <xdr:colOff>895350</xdr:colOff>
          <xdr:row>25</xdr:row>
          <xdr:rowOff>12700</xdr:rowOff>
        </xdr:to>
        <xdr:sp macro="" textlink="">
          <xdr:nvSpPr>
            <xdr:cNvPr id="13388" name="Check Box 76" hidden="1">
              <a:extLst>
                <a:ext uri="{63B3BB69-23CF-44E3-9099-C40C66FF867C}">
                  <a14:compatExt spid="_x0000_s13388"/>
                </a:ext>
                <a:ext uri="{FF2B5EF4-FFF2-40B4-BE49-F238E27FC236}">
                  <a16:creationId xmlns:a16="http://schemas.microsoft.com/office/drawing/2014/main" id="{00000000-0008-0000-0400-00004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24</xdr:row>
          <xdr:rowOff>127000</xdr:rowOff>
        </xdr:from>
        <xdr:to>
          <xdr:col>7</xdr:col>
          <xdr:colOff>1028700</xdr:colOff>
          <xdr:row>25</xdr:row>
          <xdr:rowOff>12700</xdr:rowOff>
        </xdr:to>
        <xdr:sp macro="" textlink="">
          <xdr:nvSpPr>
            <xdr:cNvPr id="13389" name="Check Box 77" hidden="1">
              <a:extLst>
                <a:ext uri="{63B3BB69-23CF-44E3-9099-C40C66FF867C}">
                  <a14:compatExt spid="_x0000_s13389"/>
                </a:ext>
                <a:ext uri="{FF2B5EF4-FFF2-40B4-BE49-F238E27FC236}">
                  <a16:creationId xmlns:a16="http://schemas.microsoft.com/office/drawing/2014/main" id="{00000000-0008-0000-0400-00004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25</xdr:row>
          <xdr:rowOff>107950</xdr:rowOff>
        </xdr:from>
        <xdr:to>
          <xdr:col>6</xdr:col>
          <xdr:colOff>895350</xdr:colOff>
          <xdr:row>26</xdr:row>
          <xdr:rowOff>12700</xdr:rowOff>
        </xdr:to>
        <xdr:sp macro="" textlink="">
          <xdr:nvSpPr>
            <xdr:cNvPr id="13390" name="Check Box 78" hidden="1">
              <a:extLst>
                <a:ext uri="{63B3BB69-23CF-44E3-9099-C40C66FF867C}">
                  <a14:compatExt spid="_x0000_s13390"/>
                </a:ext>
                <a:ext uri="{FF2B5EF4-FFF2-40B4-BE49-F238E27FC236}">
                  <a16:creationId xmlns:a16="http://schemas.microsoft.com/office/drawing/2014/main" id="{00000000-0008-0000-0400-00004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25</xdr:row>
          <xdr:rowOff>107950</xdr:rowOff>
        </xdr:from>
        <xdr:to>
          <xdr:col>7</xdr:col>
          <xdr:colOff>1028700</xdr:colOff>
          <xdr:row>26</xdr:row>
          <xdr:rowOff>12700</xdr:rowOff>
        </xdr:to>
        <xdr:sp macro="" textlink="">
          <xdr:nvSpPr>
            <xdr:cNvPr id="13391" name="Check Box 79" hidden="1">
              <a:extLst>
                <a:ext uri="{63B3BB69-23CF-44E3-9099-C40C66FF867C}">
                  <a14:compatExt spid="_x0000_s13391"/>
                </a:ext>
                <a:ext uri="{FF2B5EF4-FFF2-40B4-BE49-F238E27FC236}">
                  <a16:creationId xmlns:a16="http://schemas.microsoft.com/office/drawing/2014/main" id="{00000000-0008-0000-0400-00004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151190</xdr:colOff>
      <xdr:row>11</xdr:row>
      <xdr:rowOff>68036</xdr:rowOff>
    </xdr:from>
    <xdr:to>
      <xdr:col>5</xdr:col>
      <xdr:colOff>181428</xdr:colOff>
      <xdr:row>17</xdr:row>
      <xdr:rowOff>34667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190" y="2146905"/>
          <a:ext cx="2902857" cy="1062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2303319</xdr:colOff>
      <xdr:row>0</xdr:row>
      <xdr:rowOff>24937</xdr:rowOff>
    </xdr:from>
    <xdr:to>
      <xdr:col>6</xdr:col>
      <xdr:colOff>3863341</xdr:colOff>
      <xdr:row>7</xdr:row>
      <xdr:rowOff>95768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4364" y="24937"/>
          <a:ext cx="1563832" cy="1408141"/>
        </a:xfrm>
        <a:prstGeom prst="rect">
          <a:avLst/>
        </a:prstGeom>
      </xdr:spPr>
    </xdr:pic>
    <xdr:clientData/>
  </xdr:twoCellAnchor>
  <xdr:twoCellAnchor>
    <xdr:from>
      <xdr:col>3</xdr:col>
      <xdr:colOff>83646</xdr:colOff>
      <xdr:row>0</xdr:row>
      <xdr:rowOff>99059</xdr:rowOff>
    </xdr:from>
    <xdr:to>
      <xdr:col>3</xdr:col>
      <xdr:colOff>4320886</xdr:colOff>
      <xdr:row>7</xdr:row>
      <xdr:rowOff>103907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2343669" y="99059"/>
          <a:ext cx="4237240" cy="133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Nombre: 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Mónica: Tena Lugo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asesor: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Israel Villaseñor Reséndiz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Actividad económica: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Asalariado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Banco: 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HSBC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Apoyo gubernamental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No</a:t>
          </a:r>
        </a:p>
      </xdr:txBody>
    </xdr:sp>
    <xdr:clientData/>
  </xdr:twoCellAnchor>
  <xdr:twoCellAnchor editAs="oneCell">
    <xdr:from>
      <xdr:col>0</xdr:col>
      <xdr:colOff>0</xdr:colOff>
      <xdr:row>1</xdr:row>
      <xdr:rowOff>95250</xdr:rowOff>
    </xdr:from>
    <xdr:to>
      <xdr:col>3</xdr:col>
      <xdr:colOff>37801</xdr:colOff>
      <xdr:row>6</xdr:row>
      <xdr:rowOff>186690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0"/>
          <a:ext cx="2297824" cy="10439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400049</xdr:colOff>
      <xdr:row>0</xdr:row>
      <xdr:rowOff>0</xdr:rowOff>
    </xdr:from>
    <xdr:to>
      <xdr:col>5</xdr:col>
      <xdr:colOff>685799</xdr:colOff>
      <xdr:row>5</xdr:row>
      <xdr:rowOff>19171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599" y="0"/>
          <a:ext cx="1076325" cy="971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0</xdr:col>
      <xdr:colOff>819150</xdr:colOff>
      <xdr:row>3</xdr:row>
      <xdr:rowOff>95176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08" r="2873" b="14804"/>
        <a:stretch/>
      </xdr:blipFill>
      <xdr:spPr>
        <a:xfrm>
          <a:off x="0" y="95250"/>
          <a:ext cx="819150" cy="5714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20956</xdr:colOff>
      <xdr:row>2</xdr:row>
      <xdr:rowOff>7620</xdr:rowOff>
    </xdr:from>
    <xdr:to>
      <xdr:col>2</xdr:col>
      <xdr:colOff>2232660</xdr:colOff>
      <xdr:row>4</xdr:row>
      <xdr:rowOff>114300</xdr:rowOff>
    </xdr:to>
    <xdr:pic>
      <xdr:nvPicPr>
        <xdr:cNvPr id="2" name="Imagen 1" descr="Resultado de imagen para SANTANDE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840" b="32760"/>
        <a:stretch/>
      </xdr:blipFill>
      <xdr:spPr bwMode="auto">
        <a:xfrm>
          <a:off x="546736" y="373380"/>
          <a:ext cx="2211704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5297992</xdr:colOff>
      <xdr:row>1</xdr:row>
      <xdr:rowOff>42994</xdr:rowOff>
    </xdr:from>
    <xdr:to>
      <xdr:col>6</xdr:col>
      <xdr:colOff>76200</xdr:colOff>
      <xdr:row>5</xdr:row>
      <xdr:rowOff>152399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506" t="3599" r="5869"/>
        <a:stretch/>
      </xdr:blipFill>
      <xdr:spPr>
        <a:xfrm>
          <a:off x="8094532" y="225874"/>
          <a:ext cx="942788" cy="9780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4042119</xdr:colOff>
      <xdr:row>1</xdr:row>
      <xdr:rowOff>19050</xdr:rowOff>
    </xdr:from>
    <xdr:to>
      <xdr:col>5</xdr:col>
      <xdr:colOff>324599</xdr:colOff>
      <xdr:row>7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3794" y="200025"/>
          <a:ext cx="1245005" cy="1123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144210</xdr:rowOff>
    </xdr:from>
    <xdr:to>
      <xdr:col>1</xdr:col>
      <xdr:colOff>123825</xdr:colOff>
      <xdr:row>6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2" t="759" r="2003" b="2644"/>
        <a:stretch/>
      </xdr:blipFill>
      <xdr:spPr>
        <a:xfrm>
          <a:off x="0" y="325185"/>
          <a:ext cx="904875" cy="941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4743451</xdr:colOff>
      <xdr:row>0</xdr:row>
      <xdr:rowOff>0</xdr:rowOff>
    </xdr:from>
    <xdr:to>
      <xdr:col>5</xdr:col>
      <xdr:colOff>683031</xdr:colOff>
      <xdr:row>6</xdr:row>
      <xdr:rowOff>66938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6" y="0"/>
          <a:ext cx="1502180" cy="1209938"/>
        </a:xfrm>
        <a:prstGeom prst="rect">
          <a:avLst/>
        </a:prstGeom>
      </xdr:spPr>
    </xdr:pic>
    <xdr:clientData/>
  </xdr:twoCellAnchor>
  <xdr:twoCellAnchor editAs="oneCell">
    <xdr:from>
      <xdr:col>0</xdr:col>
      <xdr:colOff>75588</xdr:colOff>
      <xdr:row>0</xdr:row>
      <xdr:rowOff>85113</xdr:rowOff>
    </xdr:from>
    <xdr:to>
      <xdr:col>1</xdr:col>
      <xdr:colOff>381000</xdr:colOff>
      <xdr:row>6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88" y="85113"/>
          <a:ext cx="1095987" cy="10959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6233245</xdr:colOff>
      <xdr:row>0</xdr:row>
      <xdr:rowOff>54185</xdr:rowOff>
    </xdr:from>
    <xdr:to>
      <xdr:col>6</xdr:col>
      <xdr:colOff>539027</xdr:colOff>
      <xdr:row>7</xdr:row>
      <xdr:rowOff>13930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1345" y="54185"/>
          <a:ext cx="1411432" cy="127419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152400</xdr:rowOff>
    </xdr:from>
    <xdr:to>
      <xdr:col>2</xdr:col>
      <xdr:colOff>781050</xdr:colOff>
      <xdr:row>7</xdr:row>
      <xdr:rowOff>57148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2142" t="43274" r="4566" b="1911"/>
        <a:stretch/>
      </xdr:blipFill>
      <xdr:spPr>
        <a:xfrm>
          <a:off x="923925" y="152400"/>
          <a:ext cx="1438275" cy="1219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4A5C-8C47-455A-B426-DC0ADFF73F91}">
  <dimension ref="A1:O27"/>
  <sheetViews>
    <sheetView topLeftCell="A3" zoomScale="80" zoomScaleNormal="80" workbookViewId="0">
      <selection activeCell="F10" sqref="F10"/>
    </sheetView>
  </sheetViews>
  <sheetFormatPr baseColWidth="10" defaultRowHeight="14.5" x14ac:dyDescent="0.35"/>
  <cols>
    <col min="1" max="1" width="41.81640625" style="37" customWidth="1"/>
    <col min="2" max="2" width="10.7265625" style="39" customWidth="1"/>
    <col min="3" max="3" width="62" style="37" customWidth="1"/>
    <col min="4" max="4" width="38.7265625" style="39" customWidth="1"/>
    <col min="12" max="15" width="0" hidden="1" customWidth="1"/>
  </cols>
  <sheetData>
    <row r="1" spans="1:15" ht="15" thickBot="1" x14ac:dyDescent="0.4">
      <c r="A1" s="151"/>
      <c r="B1" s="153"/>
      <c r="C1" s="151"/>
      <c r="D1" s="153"/>
      <c r="E1" s="153"/>
      <c r="F1" s="153"/>
      <c r="G1" s="153"/>
      <c r="H1" s="153"/>
      <c r="I1" s="153"/>
      <c r="J1" s="153"/>
      <c r="K1" s="153"/>
    </row>
    <row r="2" spans="1:15" ht="15" thickBot="1" x14ac:dyDescent="0.4">
      <c r="A2" s="147"/>
      <c r="B2" s="149"/>
      <c r="C2" s="147"/>
      <c r="D2" s="149"/>
      <c r="E2" s="149"/>
      <c r="F2" s="149"/>
      <c r="G2" s="149"/>
      <c r="H2" s="149"/>
      <c r="I2" s="149"/>
      <c r="J2" s="149"/>
      <c r="K2" s="149"/>
    </row>
    <row r="3" spans="1:15" ht="14.5" customHeight="1" thickBot="1" x14ac:dyDescent="0.4">
      <c r="A3" s="441" t="s">
        <v>274</v>
      </c>
      <c r="B3" s="442"/>
      <c r="C3" s="442"/>
      <c r="D3" s="442"/>
      <c r="E3" s="442"/>
      <c r="F3" s="442"/>
      <c r="G3" s="442"/>
      <c r="H3" s="443"/>
      <c r="I3" s="149"/>
      <c r="J3" s="149"/>
      <c r="K3" s="149"/>
    </row>
    <row r="4" spans="1:15" ht="14.5" customHeight="1" thickBot="1" x14ac:dyDescent="0.4">
      <c r="A4" s="444"/>
      <c r="B4" s="445"/>
      <c r="C4" s="445"/>
      <c r="D4" s="445"/>
      <c r="E4" s="445"/>
      <c r="F4" s="445"/>
      <c r="G4" s="445"/>
      <c r="H4" s="446"/>
      <c r="I4" s="149"/>
      <c r="J4" s="149"/>
      <c r="K4" s="149"/>
    </row>
    <row r="5" spans="1:15" ht="14.5" customHeight="1" thickBot="1" x14ac:dyDescent="0.4">
      <c r="A5" s="447"/>
      <c r="B5" s="448"/>
      <c r="C5" s="448"/>
      <c r="D5" s="448"/>
      <c r="E5" s="448"/>
      <c r="F5" s="448"/>
      <c r="G5" s="448"/>
      <c r="H5" s="449"/>
      <c r="I5" s="149"/>
      <c r="J5" s="149"/>
      <c r="K5" s="149"/>
    </row>
    <row r="6" spans="1:15" ht="15" thickBot="1" x14ac:dyDescent="0.4">
      <c r="A6" s="147"/>
      <c r="B6" s="149"/>
      <c r="C6" s="147"/>
      <c r="D6" s="149"/>
      <c r="E6" s="149"/>
      <c r="F6" s="149"/>
      <c r="G6" s="149"/>
      <c r="H6" s="149"/>
      <c r="I6" s="149"/>
      <c r="J6" s="149"/>
      <c r="K6" s="149"/>
      <c r="N6" t="s">
        <v>251</v>
      </c>
      <c r="O6" t="s">
        <v>252</v>
      </c>
    </row>
    <row r="7" spans="1:15" ht="29.5" thickBot="1" x14ac:dyDescent="0.55000000000000004">
      <c r="A7" s="450" t="s">
        <v>275</v>
      </c>
      <c r="B7" s="451"/>
      <c r="C7" s="451"/>
      <c r="D7" s="451"/>
      <c r="E7" s="451"/>
      <c r="F7" s="451"/>
      <c r="G7" s="451"/>
      <c r="H7" s="452"/>
      <c r="I7" s="149"/>
      <c r="J7" s="149"/>
      <c r="K7" s="149"/>
      <c r="M7" t="s">
        <v>250</v>
      </c>
    </row>
    <row r="8" spans="1:15" ht="15" thickBot="1" x14ac:dyDescent="0.4">
      <c r="A8" s="147"/>
      <c r="B8" s="205"/>
      <c r="C8" s="147"/>
      <c r="D8" s="149"/>
      <c r="E8" s="149"/>
      <c r="F8" s="149"/>
      <c r="G8" s="149"/>
      <c r="H8" s="149"/>
      <c r="I8" s="149"/>
      <c r="J8" s="149"/>
      <c r="K8" s="149"/>
      <c r="M8" t="s">
        <v>249</v>
      </c>
    </row>
    <row r="9" spans="1:15" ht="20.149999999999999" customHeight="1" x14ac:dyDescent="0.35">
      <c r="A9" s="453" t="s">
        <v>272</v>
      </c>
      <c r="B9" s="454"/>
      <c r="C9" s="457" t="s">
        <v>239</v>
      </c>
      <c r="D9" s="458"/>
    </row>
    <row r="10" spans="1:15" ht="20.149999999999999" customHeight="1" x14ac:dyDescent="0.35">
      <c r="A10" s="453"/>
      <c r="B10" s="454"/>
      <c r="C10" s="453"/>
      <c r="D10" s="454"/>
      <c r="H10" s="459" t="s">
        <v>238</v>
      </c>
      <c r="I10" s="459"/>
      <c r="J10" s="459"/>
      <c r="K10" s="459"/>
    </row>
    <row r="11" spans="1:15" ht="20.149999999999999" customHeight="1" thickBot="1" x14ac:dyDescent="0.4">
      <c r="A11" s="455"/>
      <c r="B11" s="456"/>
      <c r="C11" s="453"/>
      <c r="D11" s="456"/>
    </row>
    <row r="12" spans="1:15" ht="25" customHeight="1" thickBot="1" x14ac:dyDescent="0.4">
      <c r="A12" s="460" t="s">
        <v>283</v>
      </c>
      <c r="B12" s="206" t="s">
        <v>253</v>
      </c>
      <c r="C12" s="217" t="s">
        <v>241</v>
      </c>
      <c r="D12" s="235">
        <v>103</v>
      </c>
    </row>
    <row r="13" spans="1:15" ht="25" customHeight="1" thickBot="1" x14ac:dyDescent="0.4">
      <c r="A13" s="461"/>
      <c r="B13" s="207" t="s">
        <v>254</v>
      </c>
      <c r="C13" s="218" t="s">
        <v>242</v>
      </c>
      <c r="D13" s="236">
        <v>8667</v>
      </c>
    </row>
    <row r="14" spans="1:15" ht="25" customHeight="1" thickBot="1" x14ac:dyDescent="0.4">
      <c r="A14" s="461"/>
      <c r="B14" s="207" t="s">
        <v>255</v>
      </c>
      <c r="C14" s="218" t="s">
        <v>243</v>
      </c>
      <c r="D14" s="235">
        <v>420</v>
      </c>
    </row>
    <row r="15" spans="1:15" ht="25" customHeight="1" thickBot="1" x14ac:dyDescent="0.4">
      <c r="A15" s="461"/>
      <c r="B15" s="207" t="s">
        <v>256</v>
      </c>
      <c r="C15" s="219" t="s">
        <v>244</v>
      </c>
      <c r="D15" s="235">
        <v>555</v>
      </c>
    </row>
    <row r="16" spans="1:15" ht="25" customHeight="1" thickBot="1" x14ac:dyDescent="0.4">
      <c r="A16" s="461"/>
      <c r="B16" s="207" t="s">
        <v>257</v>
      </c>
      <c r="C16" s="219" t="s">
        <v>246</v>
      </c>
      <c r="D16" s="235">
        <v>250</v>
      </c>
    </row>
    <row r="17" spans="1:10" ht="25" customHeight="1" thickBot="1" x14ac:dyDescent="0.4">
      <c r="A17" s="462"/>
      <c r="B17" s="208"/>
      <c r="C17" s="234" t="s">
        <v>245</v>
      </c>
      <c r="D17" s="237">
        <f>SUM(D12:D16)</f>
        <v>9995</v>
      </c>
    </row>
    <row r="18" spans="1:10" ht="35.15" customHeight="1" x14ac:dyDescent="0.35">
      <c r="A18" s="435" t="s">
        <v>247</v>
      </c>
      <c r="B18" s="209" t="s">
        <v>253</v>
      </c>
      <c r="C18" s="220" t="s">
        <v>276</v>
      </c>
      <c r="D18" s="238" t="s">
        <v>250</v>
      </c>
    </row>
    <row r="19" spans="1:10" ht="35.15" customHeight="1" x14ac:dyDescent="0.35">
      <c r="A19" s="436"/>
      <c r="B19" s="207" t="s">
        <v>254</v>
      </c>
      <c r="C19" s="221" t="s">
        <v>258</v>
      </c>
      <c r="D19" s="239">
        <v>2301079</v>
      </c>
    </row>
    <row r="20" spans="1:10" ht="35.15" customHeight="1" x14ac:dyDescent="0.35">
      <c r="A20" s="436"/>
      <c r="B20" s="207" t="s">
        <v>259</v>
      </c>
      <c r="C20" s="221" t="s">
        <v>277</v>
      </c>
      <c r="D20" s="240" t="s">
        <v>249</v>
      </c>
    </row>
    <row r="21" spans="1:10" ht="35.15" customHeight="1" thickBot="1" x14ac:dyDescent="0.4">
      <c r="A21" s="437"/>
      <c r="B21" s="210" t="s">
        <v>256</v>
      </c>
      <c r="C21" s="222" t="s">
        <v>260</v>
      </c>
      <c r="D21" s="260" t="s">
        <v>284</v>
      </c>
    </row>
    <row r="22" spans="1:10" ht="30" customHeight="1" x14ac:dyDescent="0.35">
      <c r="A22" s="438" t="s">
        <v>278</v>
      </c>
      <c r="B22" s="211" t="s">
        <v>253</v>
      </c>
      <c r="C22" s="212" t="s">
        <v>279</v>
      </c>
      <c r="D22" s="242">
        <v>11142</v>
      </c>
      <c r="J22" s="37"/>
    </row>
    <row r="23" spans="1:10" ht="30" customHeight="1" x14ac:dyDescent="0.35">
      <c r="A23" s="438"/>
      <c r="B23" s="211" t="s">
        <v>254</v>
      </c>
      <c r="C23" s="212" t="s">
        <v>262</v>
      </c>
      <c r="D23" s="243">
        <f>17139+5000</f>
        <v>22139</v>
      </c>
    </row>
    <row r="24" spans="1:10" ht="30" customHeight="1" x14ac:dyDescent="0.35">
      <c r="A24" s="438"/>
      <c r="B24" s="211" t="s">
        <v>255</v>
      </c>
      <c r="C24" s="212" t="s">
        <v>280</v>
      </c>
      <c r="D24" s="243">
        <v>2640000</v>
      </c>
    </row>
    <row r="25" spans="1:10" ht="30" customHeight="1" thickBot="1" x14ac:dyDescent="0.4">
      <c r="A25" s="438"/>
      <c r="B25" s="211" t="s">
        <v>256</v>
      </c>
      <c r="C25" s="212" t="s">
        <v>285</v>
      </c>
      <c r="D25" s="244">
        <v>2153000</v>
      </c>
    </row>
    <row r="26" spans="1:10" ht="32.15" customHeight="1" x14ac:dyDescent="0.35">
      <c r="A26" s="439" t="s">
        <v>267</v>
      </c>
      <c r="B26" s="213" t="s">
        <v>253</v>
      </c>
      <c r="C26" s="214" t="s">
        <v>268</v>
      </c>
      <c r="D26" s="228" t="s">
        <v>286</v>
      </c>
    </row>
    <row r="27" spans="1:10" ht="32.15" customHeight="1" thickBot="1" x14ac:dyDescent="0.4">
      <c r="A27" s="440"/>
      <c r="B27" s="215" t="s">
        <v>254</v>
      </c>
      <c r="C27" s="216" t="s">
        <v>269</v>
      </c>
      <c r="D27" s="229">
        <v>200000</v>
      </c>
    </row>
  </sheetData>
  <mergeCells count="9">
    <mergeCell ref="A18:A21"/>
    <mergeCell ref="A22:A25"/>
    <mergeCell ref="A26:A27"/>
    <mergeCell ref="A3:H5"/>
    <mergeCell ref="A7:H7"/>
    <mergeCell ref="A9:B11"/>
    <mergeCell ref="C9:D11"/>
    <mergeCell ref="H10:K10"/>
    <mergeCell ref="A12:A17"/>
  </mergeCells>
  <dataValidations count="1">
    <dataValidation type="list" allowBlank="1" showInputMessage="1" showErrorMessage="1" sqref="D18 D20" xr:uid="{27AFDA82-8B6E-44E6-9AD2-1CFB3DEDB7A0}">
      <formula1>$M$7:$M$8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87CD-10E4-4455-8B09-8E19C8917CFF}">
  <dimension ref="A1:O27"/>
  <sheetViews>
    <sheetView zoomScale="80" zoomScaleNormal="80" workbookViewId="0">
      <selection activeCell="C19" sqref="C19"/>
    </sheetView>
  </sheetViews>
  <sheetFormatPr baseColWidth="10" defaultRowHeight="14.5" x14ac:dyDescent="0.35"/>
  <cols>
    <col min="1" max="1" width="41.81640625" style="37" customWidth="1"/>
    <col min="2" max="2" width="10.7265625" style="39" customWidth="1"/>
    <col min="3" max="3" width="62" style="37" customWidth="1"/>
    <col min="4" max="4" width="38.7265625" style="39" customWidth="1"/>
    <col min="12" max="15" width="0" hidden="1" customWidth="1"/>
  </cols>
  <sheetData>
    <row r="1" spans="1:15" ht="15" thickBot="1" x14ac:dyDescent="0.4">
      <c r="A1" s="151"/>
      <c r="B1" s="153"/>
      <c r="C1" s="151"/>
      <c r="D1" s="153"/>
      <c r="E1" s="153"/>
      <c r="F1" s="153"/>
      <c r="G1" s="153"/>
      <c r="H1" s="153"/>
      <c r="I1" s="153"/>
      <c r="J1" s="153"/>
      <c r="K1" s="153"/>
    </row>
    <row r="2" spans="1:15" ht="15" thickBot="1" x14ac:dyDescent="0.4">
      <c r="A2" s="147"/>
      <c r="B2" s="149"/>
      <c r="C2" s="147"/>
      <c r="D2" s="149"/>
      <c r="E2" s="149"/>
      <c r="F2" s="149"/>
      <c r="G2" s="149"/>
      <c r="H2" s="149"/>
      <c r="I2" s="149"/>
      <c r="J2" s="149"/>
      <c r="K2" s="149"/>
    </row>
    <row r="3" spans="1:15" ht="14.5" customHeight="1" thickBot="1" x14ac:dyDescent="0.4">
      <c r="A3" s="441" t="s">
        <v>274</v>
      </c>
      <c r="B3" s="442"/>
      <c r="C3" s="442"/>
      <c r="D3" s="442"/>
      <c r="E3" s="442"/>
      <c r="F3" s="442"/>
      <c r="G3" s="442"/>
      <c r="H3" s="443"/>
      <c r="I3" s="149"/>
      <c r="J3" s="149"/>
      <c r="K3" s="149"/>
    </row>
    <row r="4" spans="1:15" ht="14.5" customHeight="1" thickBot="1" x14ac:dyDescent="0.4">
      <c r="A4" s="444"/>
      <c r="B4" s="445"/>
      <c r="C4" s="445"/>
      <c r="D4" s="445"/>
      <c r="E4" s="445"/>
      <c r="F4" s="445"/>
      <c r="G4" s="445"/>
      <c r="H4" s="446"/>
      <c r="I4" s="149"/>
      <c r="J4" s="149"/>
      <c r="K4" s="149"/>
    </row>
    <row r="5" spans="1:15" ht="14.5" customHeight="1" thickBot="1" x14ac:dyDescent="0.4">
      <c r="A5" s="447"/>
      <c r="B5" s="448"/>
      <c r="C5" s="448"/>
      <c r="D5" s="448"/>
      <c r="E5" s="448"/>
      <c r="F5" s="448"/>
      <c r="G5" s="448"/>
      <c r="H5" s="449"/>
      <c r="I5" s="149"/>
      <c r="J5" s="149"/>
      <c r="K5" s="149"/>
    </row>
    <row r="6" spans="1:15" ht="15" thickBot="1" x14ac:dyDescent="0.4">
      <c r="A6" s="147"/>
      <c r="B6" s="149"/>
      <c r="C6" s="147"/>
      <c r="D6" s="149"/>
      <c r="E6" s="149"/>
      <c r="F6" s="149"/>
      <c r="G6" s="149"/>
      <c r="H6" s="149"/>
      <c r="I6" s="149"/>
      <c r="J6" s="149"/>
      <c r="K6" s="149"/>
      <c r="N6" t="s">
        <v>251</v>
      </c>
      <c r="O6" t="s">
        <v>252</v>
      </c>
    </row>
    <row r="7" spans="1:15" ht="29.5" thickBot="1" x14ac:dyDescent="0.55000000000000004">
      <c r="A7" s="450" t="s">
        <v>275</v>
      </c>
      <c r="B7" s="451"/>
      <c r="C7" s="451"/>
      <c r="D7" s="451"/>
      <c r="E7" s="451"/>
      <c r="F7" s="451"/>
      <c r="G7" s="451"/>
      <c r="H7" s="452"/>
      <c r="I7" s="149"/>
      <c r="J7" s="149"/>
      <c r="K7" s="149"/>
      <c r="M7" t="s">
        <v>250</v>
      </c>
    </row>
    <row r="8" spans="1:15" ht="15" thickBot="1" x14ac:dyDescent="0.4">
      <c r="A8" s="147"/>
      <c r="B8" s="205"/>
      <c r="C8" s="147"/>
      <c r="D8" s="149"/>
      <c r="E8" s="149"/>
      <c r="F8" s="149"/>
      <c r="G8" s="149"/>
      <c r="H8" s="149"/>
      <c r="I8" s="149"/>
      <c r="J8" s="149"/>
      <c r="K8" s="149"/>
      <c r="M8" t="s">
        <v>249</v>
      </c>
    </row>
    <row r="9" spans="1:15" ht="20.149999999999999" customHeight="1" x14ac:dyDescent="0.35">
      <c r="A9" s="453" t="s">
        <v>272</v>
      </c>
      <c r="B9" s="454"/>
      <c r="C9" s="457" t="s">
        <v>239</v>
      </c>
      <c r="D9" s="458"/>
    </row>
    <row r="10" spans="1:15" ht="20.149999999999999" customHeight="1" x14ac:dyDescent="0.35">
      <c r="A10" s="453"/>
      <c r="B10" s="454"/>
      <c r="C10" s="453"/>
      <c r="D10" s="454"/>
      <c r="H10" s="459" t="s">
        <v>238</v>
      </c>
      <c r="I10" s="459"/>
      <c r="J10" s="459"/>
      <c r="K10" s="459"/>
    </row>
    <row r="11" spans="1:15" ht="20.149999999999999" customHeight="1" thickBot="1" x14ac:dyDescent="0.4">
      <c r="A11" s="455"/>
      <c r="B11" s="456"/>
      <c r="C11" s="453"/>
      <c r="D11" s="456"/>
    </row>
    <row r="12" spans="1:15" ht="25" customHeight="1" thickBot="1" x14ac:dyDescent="0.4">
      <c r="A12" s="460" t="s">
        <v>240</v>
      </c>
      <c r="B12" s="206" t="s">
        <v>253</v>
      </c>
      <c r="C12" s="217" t="s">
        <v>241</v>
      </c>
      <c r="D12" s="235"/>
    </row>
    <row r="13" spans="1:15" ht="25" customHeight="1" thickBot="1" x14ac:dyDescent="0.4">
      <c r="A13" s="461"/>
      <c r="B13" s="207" t="s">
        <v>254</v>
      </c>
      <c r="C13" s="218" t="s">
        <v>242</v>
      </c>
      <c r="D13" s="236"/>
    </row>
    <row r="14" spans="1:15" ht="25" customHeight="1" thickBot="1" x14ac:dyDescent="0.4">
      <c r="A14" s="461"/>
      <c r="B14" s="207" t="s">
        <v>255</v>
      </c>
      <c r="C14" s="218" t="s">
        <v>243</v>
      </c>
      <c r="D14" s="235"/>
    </row>
    <row r="15" spans="1:15" ht="25" customHeight="1" thickBot="1" x14ac:dyDescent="0.4">
      <c r="A15" s="461"/>
      <c r="B15" s="207" t="s">
        <v>256</v>
      </c>
      <c r="C15" s="219" t="s">
        <v>244</v>
      </c>
      <c r="D15" s="235"/>
    </row>
    <row r="16" spans="1:15" ht="25" customHeight="1" thickBot="1" x14ac:dyDescent="0.4">
      <c r="A16" s="461"/>
      <c r="B16" s="207" t="s">
        <v>257</v>
      </c>
      <c r="C16" s="219" t="s">
        <v>246</v>
      </c>
      <c r="D16" s="235"/>
    </row>
    <row r="17" spans="1:10" ht="25" customHeight="1" thickBot="1" x14ac:dyDescent="0.4">
      <c r="A17" s="462"/>
      <c r="B17" s="208"/>
      <c r="C17" s="234" t="s">
        <v>245</v>
      </c>
      <c r="D17" s="237">
        <f>SUM(D12:D16)</f>
        <v>0</v>
      </c>
    </row>
    <row r="18" spans="1:10" ht="35.15" customHeight="1" x14ac:dyDescent="0.35">
      <c r="A18" s="435" t="s">
        <v>247</v>
      </c>
      <c r="B18" s="209" t="s">
        <v>253</v>
      </c>
      <c r="C18" s="220" t="s">
        <v>276</v>
      </c>
      <c r="D18" s="238"/>
    </row>
    <row r="19" spans="1:10" ht="35.15" customHeight="1" x14ac:dyDescent="0.35">
      <c r="A19" s="436"/>
      <c r="B19" s="207" t="s">
        <v>254</v>
      </c>
      <c r="C19" s="221" t="s">
        <v>258</v>
      </c>
      <c r="D19" s="239">
        <v>0</v>
      </c>
    </row>
    <row r="20" spans="1:10" ht="35.15" customHeight="1" x14ac:dyDescent="0.35">
      <c r="A20" s="436"/>
      <c r="B20" s="207" t="s">
        <v>259</v>
      </c>
      <c r="C20" s="221" t="s">
        <v>277</v>
      </c>
      <c r="D20" s="240"/>
    </row>
    <row r="21" spans="1:10" ht="35.15" customHeight="1" thickBot="1" x14ac:dyDescent="0.4">
      <c r="A21" s="437"/>
      <c r="B21" s="210" t="s">
        <v>256</v>
      </c>
      <c r="C21" s="222" t="s">
        <v>260</v>
      </c>
      <c r="D21" s="241"/>
    </row>
    <row r="22" spans="1:10" ht="30" customHeight="1" x14ac:dyDescent="0.35">
      <c r="A22" s="438" t="s">
        <v>278</v>
      </c>
      <c r="B22" s="211" t="s">
        <v>253</v>
      </c>
      <c r="C22" s="212" t="s">
        <v>279</v>
      </c>
      <c r="D22" s="242"/>
      <c r="J22" s="37"/>
    </row>
    <row r="23" spans="1:10" ht="30" customHeight="1" x14ac:dyDescent="0.35">
      <c r="A23" s="438"/>
      <c r="B23" s="211" t="s">
        <v>254</v>
      </c>
      <c r="C23" s="212" t="s">
        <v>262</v>
      </c>
      <c r="D23" s="243"/>
    </row>
    <row r="24" spans="1:10" ht="30" customHeight="1" x14ac:dyDescent="0.35">
      <c r="A24" s="438"/>
      <c r="B24" s="211" t="s">
        <v>255</v>
      </c>
      <c r="C24" s="212" t="s">
        <v>280</v>
      </c>
      <c r="D24" s="243"/>
    </row>
    <row r="25" spans="1:10" ht="30" customHeight="1" thickBot="1" x14ac:dyDescent="0.4">
      <c r="A25" s="438"/>
      <c r="B25" s="211" t="s">
        <v>256</v>
      </c>
      <c r="C25" s="212" t="s">
        <v>281</v>
      </c>
      <c r="D25" s="244"/>
    </row>
    <row r="26" spans="1:10" ht="32.15" customHeight="1" x14ac:dyDescent="0.35">
      <c r="A26" s="439" t="s">
        <v>267</v>
      </c>
      <c r="B26" s="213" t="s">
        <v>253</v>
      </c>
      <c r="C26" s="214" t="s">
        <v>268</v>
      </c>
      <c r="D26" s="228" t="s">
        <v>282</v>
      </c>
    </row>
    <row r="27" spans="1:10" ht="32.15" customHeight="1" thickBot="1" x14ac:dyDescent="0.4">
      <c r="A27" s="440"/>
      <c r="B27" s="215" t="s">
        <v>254</v>
      </c>
      <c r="C27" s="216" t="s">
        <v>269</v>
      </c>
      <c r="D27" s="229"/>
    </row>
  </sheetData>
  <mergeCells count="9">
    <mergeCell ref="A26:A27"/>
    <mergeCell ref="A12:A17"/>
    <mergeCell ref="H10:K10"/>
    <mergeCell ref="A9:B11"/>
    <mergeCell ref="A3:H5"/>
    <mergeCell ref="A7:H7"/>
    <mergeCell ref="C9:D11"/>
    <mergeCell ref="A18:A21"/>
    <mergeCell ref="A22:A25"/>
  </mergeCells>
  <dataValidations count="1">
    <dataValidation type="list" allowBlank="1" showInputMessage="1" showErrorMessage="1" sqref="D18 D20" xr:uid="{94984BDC-CA00-46FB-AC00-5FC7194746F8}">
      <formula1>$M$7:$M$8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FA20-68D2-4CD0-B973-5F2D7700912A}">
  <dimension ref="A1:O30"/>
  <sheetViews>
    <sheetView topLeftCell="A2" zoomScale="80" zoomScaleNormal="80" workbookViewId="0">
      <selection activeCell="F22" sqref="F22"/>
    </sheetView>
  </sheetViews>
  <sheetFormatPr baseColWidth="10" defaultRowHeight="14.5" x14ac:dyDescent="0.35"/>
  <cols>
    <col min="1" max="1" width="41.81640625" style="37" customWidth="1"/>
    <col min="2" max="2" width="10.7265625" style="39" customWidth="1"/>
    <col min="3" max="3" width="62" style="37" customWidth="1"/>
    <col min="4" max="4" width="38.7265625" style="39" customWidth="1"/>
    <col min="12" max="15" width="0" hidden="1" customWidth="1"/>
  </cols>
  <sheetData>
    <row r="1" spans="1:15" ht="15" thickBot="1" x14ac:dyDescent="0.4">
      <c r="A1" s="151"/>
      <c r="B1" s="153"/>
      <c r="C1" s="151"/>
      <c r="D1" s="153"/>
      <c r="E1" s="153"/>
      <c r="F1" s="153"/>
      <c r="G1" s="153"/>
      <c r="H1" s="153"/>
      <c r="I1" s="153"/>
      <c r="J1" s="153"/>
      <c r="K1" s="153"/>
    </row>
    <row r="2" spans="1:15" ht="15" thickBot="1" x14ac:dyDescent="0.4">
      <c r="A2" s="147"/>
      <c r="B2" s="149"/>
      <c r="C2" s="147"/>
      <c r="D2" s="149"/>
      <c r="E2" s="149"/>
      <c r="F2" s="149"/>
      <c r="G2" s="149"/>
      <c r="H2" s="149"/>
      <c r="I2" s="149"/>
      <c r="J2" s="149"/>
      <c r="K2" s="149"/>
    </row>
    <row r="3" spans="1:15" ht="14.5" customHeight="1" thickBot="1" x14ac:dyDescent="0.4">
      <c r="A3" s="441" t="s">
        <v>274</v>
      </c>
      <c r="B3" s="442"/>
      <c r="C3" s="442"/>
      <c r="D3" s="442"/>
      <c r="E3" s="442"/>
      <c r="F3" s="442"/>
      <c r="G3" s="442"/>
      <c r="H3" s="443"/>
      <c r="I3" s="149"/>
      <c r="J3" s="149"/>
      <c r="K3" s="149"/>
    </row>
    <row r="4" spans="1:15" ht="14.5" customHeight="1" thickBot="1" x14ac:dyDescent="0.4">
      <c r="A4" s="444"/>
      <c r="B4" s="445"/>
      <c r="C4" s="445"/>
      <c r="D4" s="445"/>
      <c r="E4" s="445"/>
      <c r="F4" s="445"/>
      <c r="G4" s="445"/>
      <c r="H4" s="446"/>
      <c r="I4" s="149"/>
      <c r="J4" s="149"/>
      <c r="K4" s="149"/>
    </row>
    <row r="5" spans="1:15" ht="14.5" customHeight="1" thickBot="1" x14ac:dyDescent="0.4">
      <c r="A5" s="447"/>
      <c r="B5" s="448"/>
      <c r="C5" s="448"/>
      <c r="D5" s="448"/>
      <c r="E5" s="448"/>
      <c r="F5" s="448"/>
      <c r="G5" s="448"/>
      <c r="H5" s="449"/>
      <c r="I5" s="149"/>
      <c r="J5" s="149"/>
      <c r="K5" s="149"/>
    </row>
    <row r="6" spans="1:15" ht="15" thickBot="1" x14ac:dyDescent="0.4">
      <c r="A6" s="147"/>
      <c r="B6" s="149"/>
      <c r="C6" s="147"/>
      <c r="D6" s="149"/>
      <c r="E6" s="149"/>
      <c r="F6" s="149"/>
      <c r="G6" s="149"/>
      <c r="H6" s="149"/>
      <c r="I6" s="149"/>
      <c r="J6" s="149"/>
      <c r="K6" s="149"/>
      <c r="N6" t="s">
        <v>251</v>
      </c>
      <c r="O6" t="s">
        <v>252</v>
      </c>
    </row>
    <row r="7" spans="1:15" ht="29.5" thickBot="1" x14ac:dyDescent="0.55000000000000004">
      <c r="A7" s="450" t="s">
        <v>273</v>
      </c>
      <c r="B7" s="451"/>
      <c r="C7" s="451"/>
      <c r="D7" s="451"/>
      <c r="E7" s="451"/>
      <c r="F7" s="451"/>
      <c r="G7" s="451"/>
      <c r="H7" s="452"/>
      <c r="I7" s="149"/>
      <c r="J7" s="149"/>
      <c r="K7" s="149"/>
      <c r="M7" t="s">
        <v>250</v>
      </c>
    </row>
    <row r="8" spans="1:15" ht="15" thickBot="1" x14ac:dyDescent="0.4">
      <c r="A8" s="147"/>
      <c r="B8" s="149"/>
      <c r="C8" s="147"/>
      <c r="D8" s="149"/>
      <c r="E8" s="149"/>
      <c r="F8" s="149"/>
      <c r="G8" s="149"/>
      <c r="H8" s="149"/>
      <c r="I8" s="149"/>
      <c r="J8" s="149"/>
      <c r="K8" s="149"/>
      <c r="M8" t="s">
        <v>249</v>
      </c>
    </row>
    <row r="9" spans="1:15" ht="20.149999999999999" customHeight="1" x14ac:dyDescent="0.35">
      <c r="A9" s="457" t="s">
        <v>272</v>
      </c>
      <c r="B9" s="458"/>
      <c r="C9" s="463" t="s">
        <v>239</v>
      </c>
      <c r="D9" s="458"/>
    </row>
    <row r="10" spans="1:15" ht="20.149999999999999" customHeight="1" x14ac:dyDescent="0.35">
      <c r="A10" s="453"/>
      <c r="B10" s="454"/>
      <c r="C10" s="464"/>
      <c r="D10" s="454"/>
      <c r="H10" s="2" t="s">
        <v>238</v>
      </c>
    </row>
    <row r="11" spans="1:15" ht="20.149999999999999" customHeight="1" thickBot="1" x14ac:dyDescent="0.4">
      <c r="A11" s="455"/>
      <c r="B11" s="456"/>
      <c r="C11" s="465"/>
      <c r="D11" s="456"/>
    </row>
    <row r="12" spans="1:15" ht="25" customHeight="1" thickBot="1" x14ac:dyDescent="0.4">
      <c r="A12" s="466" t="s">
        <v>240</v>
      </c>
      <c r="B12" s="223" t="s">
        <v>253</v>
      </c>
      <c r="C12" s="230" t="s">
        <v>241</v>
      </c>
      <c r="D12" s="224">
        <v>0</v>
      </c>
    </row>
    <row r="13" spans="1:15" ht="25" customHeight="1" thickBot="1" x14ac:dyDescent="0.4">
      <c r="A13" s="467"/>
      <c r="B13" s="225" t="s">
        <v>254</v>
      </c>
      <c r="C13" s="231" t="s">
        <v>242</v>
      </c>
      <c r="D13" s="226">
        <v>0</v>
      </c>
    </row>
    <row r="14" spans="1:15" ht="25" customHeight="1" thickBot="1" x14ac:dyDescent="0.4">
      <c r="A14" s="467"/>
      <c r="B14" s="225" t="s">
        <v>255</v>
      </c>
      <c r="C14" s="231" t="s">
        <v>243</v>
      </c>
      <c r="D14" s="224">
        <v>0</v>
      </c>
    </row>
    <row r="15" spans="1:15" ht="25" customHeight="1" thickBot="1" x14ac:dyDescent="0.4">
      <c r="A15" s="467"/>
      <c r="B15" s="225" t="s">
        <v>256</v>
      </c>
      <c r="C15" s="232" t="s">
        <v>244</v>
      </c>
      <c r="D15" s="224">
        <v>0</v>
      </c>
    </row>
    <row r="16" spans="1:15" ht="25" customHeight="1" thickBot="1" x14ac:dyDescent="0.4">
      <c r="A16" s="467"/>
      <c r="B16" s="225" t="s">
        <v>257</v>
      </c>
      <c r="C16" s="232" t="s">
        <v>246</v>
      </c>
      <c r="D16" s="224">
        <v>0</v>
      </c>
    </row>
    <row r="17" spans="1:10" ht="25" customHeight="1" thickBot="1" x14ac:dyDescent="0.4">
      <c r="A17" s="468"/>
      <c r="B17" s="225"/>
      <c r="C17" s="233" t="s">
        <v>245</v>
      </c>
      <c r="D17" s="227"/>
    </row>
    <row r="18" spans="1:10" ht="35.15" customHeight="1" x14ac:dyDescent="0.35">
      <c r="A18" s="439" t="s">
        <v>247</v>
      </c>
      <c r="B18" s="469" t="s">
        <v>253</v>
      </c>
      <c r="C18" s="248" t="s">
        <v>248</v>
      </c>
      <c r="D18" s="238"/>
    </row>
    <row r="19" spans="1:10" ht="35.15" customHeight="1" x14ac:dyDescent="0.35">
      <c r="A19" s="438"/>
      <c r="B19" s="470"/>
      <c r="C19" s="249" t="s">
        <v>265</v>
      </c>
      <c r="D19" s="239">
        <v>0</v>
      </c>
    </row>
    <row r="20" spans="1:10" ht="35.15" customHeight="1" x14ac:dyDescent="0.35">
      <c r="A20" s="438"/>
      <c r="B20" s="470"/>
      <c r="C20" s="250" t="s">
        <v>266</v>
      </c>
      <c r="D20" s="239">
        <v>0</v>
      </c>
    </row>
    <row r="21" spans="1:10" ht="35.15" customHeight="1" x14ac:dyDescent="0.35">
      <c r="A21" s="438"/>
      <c r="B21" s="246" t="s">
        <v>254</v>
      </c>
      <c r="C21" s="250" t="s">
        <v>258</v>
      </c>
      <c r="D21" s="239">
        <v>0</v>
      </c>
    </row>
    <row r="22" spans="1:10" ht="40" customHeight="1" thickBot="1" x14ac:dyDescent="0.4">
      <c r="A22" s="440"/>
      <c r="B22" s="247" t="s">
        <v>259</v>
      </c>
      <c r="C22" s="255" t="s">
        <v>260</v>
      </c>
      <c r="D22" s="256"/>
      <c r="J22" s="37"/>
    </row>
    <row r="23" spans="1:10" ht="30" customHeight="1" x14ac:dyDescent="0.35">
      <c r="A23" s="439" t="s">
        <v>261</v>
      </c>
      <c r="B23" s="245" t="s">
        <v>253</v>
      </c>
      <c r="C23" s="258" t="s">
        <v>270</v>
      </c>
      <c r="D23" s="259">
        <v>0</v>
      </c>
      <c r="J23" s="37"/>
    </row>
    <row r="24" spans="1:10" ht="30" customHeight="1" x14ac:dyDescent="0.35">
      <c r="A24" s="438"/>
      <c r="B24" s="246"/>
      <c r="C24" s="249" t="s">
        <v>271</v>
      </c>
      <c r="D24" s="251">
        <v>0</v>
      </c>
      <c r="J24" s="37"/>
    </row>
    <row r="25" spans="1:10" ht="30" customHeight="1" x14ac:dyDescent="0.35">
      <c r="A25" s="438"/>
      <c r="B25" s="246" t="s">
        <v>254</v>
      </c>
      <c r="C25" s="249" t="s">
        <v>262</v>
      </c>
      <c r="D25" s="251">
        <v>0</v>
      </c>
    </row>
    <row r="26" spans="1:10" ht="30" customHeight="1" x14ac:dyDescent="0.35">
      <c r="A26" s="438"/>
      <c r="B26" s="246" t="s">
        <v>255</v>
      </c>
      <c r="C26" s="249" t="s">
        <v>263</v>
      </c>
      <c r="D26" s="251">
        <v>0</v>
      </c>
    </row>
    <row r="27" spans="1:10" ht="30" customHeight="1" x14ac:dyDescent="0.35">
      <c r="A27" s="438"/>
      <c r="B27" s="470" t="s">
        <v>256</v>
      </c>
      <c r="C27" s="473" t="s">
        <v>264</v>
      </c>
      <c r="D27" s="476">
        <v>0</v>
      </c>
    </row>
    <row r="28" spans="1:10" ht="30" customHeight="1" thickBot="1" x14ac:dyDescent="0.4">
      <c r="A28" s="440"/>
      <c r="B28" s="475"/>
      <c r="C28" s="474"/>
      <c r="D28" s="477"/>
    </row>
    <row r="29" spans="1:10" ht="32.15" customHeight="1" x14ac:dyDescent="0.35">
      <c r="A29" s="471" t="s">
        <v>267</v>
      </c>
      <c r="B29" s="246" t="s">
        <v>253</v>
      </c>
      <c r="C29" s="254" t="s">
        <v>268</v>
      </c>
      <c r="D29" s="257" t="s">
        <v>282</v>
      </c>
    </row>
    <row r="30" spans="1:10" ht="32.15" customHeight="1" thickBot="1" x14ac:dyDescent="0.4">
      <c r="A30" s="472"/>
      <c r="B30" s="247" t="s">
        <v>254</v>
      </c>
      <c r="C30" s="252" t="s">
        <v>269</v>
      </c>
      <c r="D30" s="253">
        <v>0</v>
      </c>
    </row>
  </sheetData>
  <mergeCells count="12">
    <mergeCell ref="A29:A30"/>
    <mergeCell ref="A9:B11"/>
    <mergeCell ref="C27:C28"/>
    <mergeCell ref="B27:B28"/>
    <mergeCell ref="D27:D28"/>
    <mergeCell ref="A23:A28"/>
    <mergeCell ref="A3:H5"/>
    <mergeCell ref="A7:H7"/>
    <mergeCell ref="C9:D11"/>
    <mergeCell ref="A12:A17"/>
    <mergeCell ref="A18:A22"/>
    <mergeCell ref="B18:B20"/>
  </mergeCells>
  <dataValidations count="1">
    <dataValidation type="list" allowBlank="1" showInputMessage="1" showErrorMessage="1" sqref="D18" xr:uid="{EB44255B-D38F-472C-8EEC-4BC9957F6951}">
      <formula1>$M$7:$M$8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E31C-87FA-4DC2-B646-0824549D1092}">
  <sheetPr>
    <tabColor theme="1"/>
  </sheetPr>
  <dimension ref="B2:C23"/>
  <sheetViews>
    <sheetView showGridLines="0" topLeftCell="A10" workbookViewId="0">
      <selection activeCell="G23" sqref="G23"/>
    </sheetView>
  </sheetViews>
  <sheetFormatPr baseColWidth="10" defaultRowHeight="14.5" x14ac:dyDescent="0.35"/>
  <cols>
    <col min="1" max="1" width="3.26953125" customWidth="1"/>
  </cols>
  <sheetData>
    <row r="2" spans="2:3" ht="18.5" x14ac:dyDescent="0.45">
      <c r="B2" s="102" t="s">
        <v>337</v>
      </c>
    </row>
    <row r="9" spans="2:3" ht="18.5" x14ac:dyDescent="0.45">
      <c r="B9" s="376" t="s">
        <v>338</v>
      </c>
      <c r="C9" s="393" t="s">
        <v>362</v>
      </c>
    </row>
    <row r="10" spans="2:3" ht="18.5" x14ac:dyDescent="0.45">
      <c r="B10" s="377" t="s">
        <v>339</v>
      </c>
      <c r="C10" s="393" t="s">
        <v>361</v>
      </c>
    </row>
    <row r="11" spans="2:3" ht="18.5" x14ac:dyDescent="0.45">
      <c r="B11" s="378" t="s">
        <v>340</v>
      </c>
      <c r="C11" s="393" t="s">
        <v>360</v>
      </c>
    </row>
    <row r="12" spans="2:3" ht="18.5" x14ac:dyDescent="0.45">
      <c r="B12" s="379" t="s">
        <v>341</v>
      </c>
      <c r="C12" s="393" t="s">
        <v>364</v>
      </c>
    </row>
    <row r="13" spans="2:3" ht="18.5" x14ac:dyDescent="0.45">
      <c r="B13" s="380" t="s">
        <v>342</v>
      </c>
      <c r="C13" s="393" t="s">
        <v>359</v>
      </c>
    </row>
    <row r="14" spans="2:3" ht="18.5" x14ac:dyDescent="0.45">
      <c r="B14" s="381" t="s">
        <v>343</v>
      </c>
      <c r="C14" s="393" t="s">
        <v>365</v>
      </c>
    </row>
    <row r="23" spans="2:2" ht="18.5" x14ac:dyDescent="0.45">
      <c r="B23" s="102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C201-9AF6-47F1-BFB4-851E52205B93}">
  <sheetPr>
    <tabColor rgb="FFFFFF00"/>
  </sheetPr>
  <dimension ref="B1:L70"/>
  <sheetViews>
    <sheetView showGridLines="0" tabSelected="1" topLeftCell="A58" zoomScale="84" zoomScaleNormal="84" workbookViewId="0">
      <selection activeCell="H13" sqref="H13"/>
    </sheetView>
  </sheetViews>
  <sheetFormatPr baseColWidth="10" defaultColWidth="11.54296875" defaultRowHeight="14.5" x14ac:dyDescent="0.35"/>
  <cols>
    <col min="1" max="1" width="2.7265625" customWidth="1"/>
    <col min="2" max="2" width="9.453125" customWidth="1"/>
    <col min="3" max="3" width="18.1796875" customWidth="1"/>
    <col min="4" max="4" width="5.453125" style="1" bestFit="1" customWidth="1"/>
    <col min="5" max="5" width="5.453125" style="1" customWidth="1"/>
    <col min="6" max="6" width="74.7265625" style="291" bestFit="1" customWidth="1"/>
    <col min="7" max="7" width="13.453125" style="1" bestFit="1" customWidth="1"/>
    <col min="8" max="8" width="15.453125" style="1" bestFit="1" customWidth="1"/>
    <col min="9" max="9" width="57.54296875" style="1" customWidth="1"/>
    <col min="10" max="10" width="8.7265625" customWidth="1"/>
    <col min="11" max="11" width="14.81640625" bestFit="1" customWidth="1"/>
    <col min="12" max="12" width="50.7265625" bestFit="1" customWidth="1"/>
  </cols>
  <sheetData>
    <row r="1" spans="2:9" ht="15" thickBot="1" x14ac:dyDescent="0.4">
      <c r="B1" s="373"/>
      <c r="C1" s="178"/>
      <c r="D1" s="185"/>
      <c r="E1" s="185"/>
      <c r="F1" s="280"/>
      <c r="G1" s="185"/>
      <c r="H1" s="267"/>
      <c r="I1" s="267"/>
    </row>
    <row r="2" spans="2:9" ht="15" customHeight="1" thickBot="1" x14ac:dyDescent="0.4">
      <c r="B2" s="374"/>
      <c r="C2" s="518"/>
      <c r="D2" s="519"/>
      <c r="E2" s="519"/>
      <c r="F2" s="520"/>
      <c r="G2" s="183"/>
      <c r="H2" s="268"/>
      <c r="I2" s="268"/>
    </row>
    <row r="3" spans="2:9" ht="15" customHeight="1" thickBot="1" x14ac:dyDescent="0.4">
      <c r="B3" s="374"/>
      <c r="C3" s="521"/>
      <c r="D3" s="522"/>
      <c r="E3" s="522"/>
      <c r="F3" s="523"/>
      <c r="G3" s="183"/>
      <c r="H3" s="268"/>
      <c r="I3" s="268"/>
    </row>
    <row r="4" spans="2:9" ht="15" customHeight="1" thickBot="1" x14ac:dyDescent="0.4">
      <c r="B4" s="374"/>
      <c r="C4" s="521"/>
      <c r="D4" s="522"/>
      <c r="E4" s="310"/>
      <c r="F4" s="281"/>
      <c r="G4" s="183"/>
      <c r="H4" s="268"/>
      <c r="I4" s="268"/>
    </row>
    <row r="5" spans="2:9" ht="15" customHeight="1" thickBot="1" x14ac:dyDescent="0.4">
      <c r="B5" s="374"/>
      <c r="C5" s="521"/>
      <c r="D5" s="522"/>
      <c r="E5" s="310"/>
      <c r="F5" s="281"/>
      <c r="G5" s="183"/>
      <c r="H5" s="268"/>
      <c r="I5" s="268"/>
    </row>
    <row r="6" spans="2:9" ht="15" customHeight="1" thickBot="1" x14ac:dyDescent="0.4">
      <c r="B6" s="374"/>
      <c r="C6" s="282"/>
      <c r="D6" s="304"/>
      <c r="E6" s="304"/>
      <c r="F6" s="284"/>
      <c r="G6" s="183"/>
      <c r="H6" s="268"/>
      <c r="I6" s="268"/>
    </row>
    <row r="7" spans="2:9" ht="15" customHeight="1" thickBot="1" x14ac:dyDescent="0.4">
      <c r="B7" s="374"/>
      <c r="C7" s="282"/>
      <c r="D7" s="304"/>
      <c r="E7" s="304"/>
      <c r="F7" s="283"/>
      <c r="G7" s="183"/>
      <c r="H7" s="268"/>
      <c r="I7" s="268"/>
    </row>
    <row r="8" spans="2:9" ht="15" customHeight="1" thickBot="1" x14ac:dyDescent="0.4">
      <c r="B8" s="374"/>
      <c r="C8" s="282"/>
      <c r="D8" s="304"/>
      <c r="E8" s="304"/>
      <c r="F8" s="283"/>
      <c r="G8" s="183"/>
      <c r="H8" s="268"/>
      <c r="I8" s="268"/>
    </row>
    <row r="9" spans="2:9" ht="15" customHeight="1" thickBot="1" x14ac:dyDescent="0.4">
      <c r="B9" s="374"/>
      <c r="C9" s="282"/>
      <c r="D9" s="304"/>
      <c r="E9" s="304"/>
      <c r="F9" s="283"/>
      <c r="G9" s="183"/>
      <c r="H9" s="268"/>
      <c r="I9" s="268"/>
    </row>
    <row r="10" spans="2:9" ht="15" customHeight="1" thickBot="1" x14ac:dyDescent="0.4">
      <c r="B10" s="374"/>
      <c r="C10" s="282"/>
      <c r="D10" s="304"/>
      <c r="E10" s="304"/>
      <c r="F10" s="283"/>
      <c r="G10" s="183"/>
      <c r="H10" s="268"/>
      <c r="I10" s="268"/>
    </row>
    <row r="11" spans="2:9" ht="15" customHeight="1" thickBot="1" x14ac:dyDescent="0.4">
      <c r="B11" s="374"/>
      <c r="C11" s="282"/>
      <c r="D11" s="304"/>
      <c r="E11" s="304"/>
      <c r="F11" s="283"/>
      <c r="G11" s="183"/>
      <c r="H11" s="268"/>
      <c r="I11" s="268"/>
    </row>
    <row r="12" spans="2:9" ht="15" customHeight="1" thickBot="1" x14ac:dyDescent="0.4">
      <c r="B12" s="374"/>
      <c r="C12" s="524"/>
      <c r="D12" s="525"/>
      <c r="E12" s="304"/>
      <c r="F12" s="283"/>
      <c r="G12" s="183"/>
      <c r="H12" s="268"/>
      <c r="I12" s="268"/>
    </row>
    <row r="13" spans="2:9" x14ac:dyDescent="0.35">
      <c r="B13" s="375"/>
      <c r="C13" s="322"/>
      <c r="D13" s="324"/>
      <c r="E13" s="324"/>
      <c r="F13" s="323"/>
      <c r="G13" s="324"/>
      <c r="H13" s="325"/>
      <c r="I13" s="325"/>
    </row>
    <row r="19" spans="2:12" ht="15" thickBot="1" x14ac:dyDescent="0.4"/>
    <row r="20" spans="2:12" ht="20.149999999999999" customHeight="1" x14ac:dyDescent="0.35">
      <c r="B20" s="526" t="s">
        <v>22</v>
      </c>
      <c r="C20" s="527"/>
      <c r="D20" s="479" t="s">
        <v>344</v>
      </c>
      <c r="E20" s="479" t="s">
        <v>23</v>
      </c>
      <c r="F20" s="527" t="s">
        <v>333</v>
      </c>
      <c r="G20" s="500" t="s">
        <v>297</v>
      </c>
      <c r="H20" s="503" t="s">
        <v>299</v>
      </c>
      <c r="I20" s="506" t="s">
        <v>332</v>
      </c>
    </row>
    <row r="21" spans="2:12" ht="20.149999999999999" customHeight="1" x14ac:dyDescent="0.35">
      <c r="B21" s="528"/>
      <c r="C21" s="529"/>
      <c r="D21" s="480"/>
      <c r="E21" s="480"/>
      <c r="F21" s="529"/>
      <c r="G21" s="501"/>
      <c r="H21" s="504"/>
      <c r="I21" s="507"/>
    </row>
    <row r="22" spans="2:12" ht="19" thickBot="1" x14ac:dyDescent="0.4">
      <c r="B22" s="530"/>
      <c r="C22" s="531"/>
      <c r="D22" s="532"/>
      <c r="E22" s="481"/>
      <c r="F22" s="531"/>
      <c r="G22" s="502"/>
      <c r="H22" s="505"/>
      <c r="I22" s="508"/>
      <c r="K22" s="301"/>
      <c r="L22" s="281"/>
    </row>
    <row r="23" spans="2:12" ht="43.9" customHeight="1" x14ac:dyDescent="0.35">
      <c r="B23" s="509" t="s">
        <v>27</v>
      </c>
      <c r="C23" s="510"/>
      <c r="D23" s="389" t="s">
        <v>345</v>
      </c>
      <c r="E23" s="386">
        <v>1</v>
      </c>
      <c r="F23" s="314" t="s">
        <v>28</v>
      </c>
      <c r="G23" s="349"/>
      <c r="H23" s="355"/>
      <c r="I23" s="315"/>
      <c r="K23" s="310"/>
      <c r="L23" s="281"/>
    </row>
    <row r="24" spans="2:12" ht="43.9" customHeight="1" thickBot="1" x14ac:dyDescent="0.4">
      <c r="B24" s="511"/>
      <c r="C24" s="512"/>
      <c r="D24" s="389" t="s">
        <v>346</v>
      </c>
      <c r="E24" s="387">
        <v>1</v>
      </c>
      <c r="F24" s="312" t="s">
        <v>296</v>
      </c>
      <c r="G24" s="350"/>
      <c r="H24" s="356"/>
      <c r="I24" s="316"/>
      <c r="K24" s="283"/>
      <c r="L24" s="284"/>
    </row>
    <row r="25" spans="2:12" ht="43.9" customHeight="1" thickBot="1" x14ac:dyDescent="0.4">
      <c r="B25" s="511"/>
      <c r="C25" s="512"/>
      <c r="D25" s="389" t="s">
        <v>346</v>
      </c>
      <c r="E25" s="434">
        <v>1</v>
      </c>
      <c r="F25" s="422" t="s">
        <v>368</v>
      </c>
      <c r="G25" s="350"/>
      <c r="H25" s="356"/>
      <c r="I25" s="328"/>
      <c r="K25" s="283"/>
      <c r="L25" s="283"/>
    </row>
    <row r="26" spans="2:12" ht="43.9" customHeight="1" thickBot="1" x14ac:dyDescent="0.4">
      <c r="B26" s="511"/>
      <c r="C26" s="512"/>
      <c r="D26" s="389" t="s">
        <v>347</v>
      </c>
      <c r="E26" s="434">
        <v>1</v>
      </c>
      <c r="F26" s="327" t="s">
        <v>369</v>
      </c>
      <c r="G26" s="350"/>
      <c r="H26" s="356"/>
      <c r="I26" s="328"/>
      <c r="K26" s="283"/>
      <c r="L26" s="283"/>
    </row>
    <row r="27" spans="2:12" ht="49.15" customHeight="1" thickBot="1" x14ac:dyDescent="0.4">
      <c r="B27" s="513"/>
      <c r="C27" s="514"/>
      <c r="D27" s="389" t="s">
        <v>347</v>
      </c>
      <c r="E27" s="388">
        <v>1</v>
      </c>
      <c r="F27" s="433" t="s">
        <v>334</v>
      </c>
      <c r="G27" s="351"/>
      <c r="H27" s="357"/>
      <c r="I27" s="319"/>
      <c r="K27" s="303"/>
      <c r="L27" s="283"/>
    </row>
    <row r="28" spans="2:12" ht="43.9" customHeight="1" x14ac:dyDescent="0.35">
      <c r="B28" s="509" t="s">
        <v>336</v>
      </c>
      <c r="C28" s="510"/>
      <c r="D28" s="390" t="s">
        <v>348</v>
      </c>
      <c r="E28" s="313">
        <v>1</v>
      </c>
      <c r="F28" s="314" t="s">
        <v>34</v>
      </c>
      <c r="G28" s="349"/>
      <c r="H28" s="355"/>
      <c r="I28" s="315"/>
    </row>
    <row r="29" spans="2:12" ht="43.9" customHeight="1" x14ac:dyDescent="0.35">
      <c r="B29" s="511"/>
      <c r="C29" s="512"/>
      <c r="D29" s="391" t="s">
        <v>349</v>
      </c>
      <c r="E29" s="311">
        <v>1</v>
      </c>
      <c r="F29" s="312" t="s">
        <v>367</v>
      </c>
      <c r="G29" s="352"/>
      <c r="H29" s="358"/>
      <c r="I29" s="316"/>
    </row>
    <row r="30" spans="2:12" ht="43.9" customHeight="1" thickBot="1" x14ac:dyDescent="0.4">
      <c r="B30" s="511"/>
      <c r="C30" s="512"/>
      <c r="D30" s="421" t="s">
        <v>350</v>
      </c>
      <c r="E30" s="326">
        <v>1</v>
      </c>
      <c r="F30" s="327" t="s">
        <v>371</v>
      </c>
      <c r="G30" s="353"/>
      <c r="H30" s="359"/>
      <c r="I30" s="328"/>
    </row>
    <row r="31" spans="2:12" ht="59.5" customHeight="1" thickBot="1" x14ac:dyDescent="0.4">
      <c r="B31" s="509" t="s">
        <v>335</v>
      </c>
      <c r="C31" s="510"/>
      <c r="D31" s="423" t="s">
        <v>351</v>
      </c>
      <c r="E31" s="313">
        <v>1</v>
      </c>
      <c r="F31" s="321" t="s">
        <v>370</v>
      </c>
      <c r="G31" s="424"/>
      <c r="H31" s="355"/>
      <c r="I31" s="315"/>
    </row>
    <row r="32" spans="2:12" ht="59.5" customHeight="1" x14ac:dyDescent="0.35">
      <c r="B32" s="511"/>
      <c r="C32" s="512"/>
      <c r="D32" s="423" t="s">
        <v>352</v>
      </c>
      <c r="E32" s="311">
        <v>1</v>
      </c>
      <c r="F32" s="418" t="s">
        <v>372</v>
      </c>
      <c r="G32" s="363"/>
      <c r="H32" s="358"/>
      <c r="I32" s="316"/>
    </row>
    <row r="33" spans="2:9" ht="66" customHeight="1" thickBot="1" x14ac:dyDescent="0.4">
      <c r="B33" s="511"/>
      <c r="C33" s="512"/>
      <c r="D33" s="336" t="s">
        <v>314</v>
      </c>
      <c r="E33" s="326"/>
      <c r="F33" s="327" t="s">
        <v>357</v>
      </c>
      <c r="G33" s="427"/>
      <c r="H33" s="416"/>
      <c r="I33" s="417"/>
    </row>
    <row r="34" spans="2:9" ht="43.9" customHeight="1" x14ac:dyDescent="0.35">
      <c r="B34" s="482" t="s">
        <v>42</v>
      </c>
      <c r="C34" s="485" t="s">
        <v>43</v>
      </c>
      <c r="D34" s="382" t="s">
        <v>314</v>
      </c>
      <c r="E34" s="428"/>
      <c r="F34" s="346" t="s">
        <v>197</v>
      </c>
      <c r="G34" s="424"/>
      <c r="H34" s="355"/>
      <c r="I34" s="365"/>
    </row>
    <row r="35" spans="2:9" ht="43.9" customHeight="1" x14ac:dyDescent="0.35">
      <c r="B35" s="483"/>
      <c r="C35" s="486"/>
      <c r="D35" s="384" t="s">
        <v>314</v>
      </c>
      <c r="E35" s="305"/>
      <c r="F35" s="306" t="s">
        <v>45</v>
      </c>
      <c r="G35" s="352"/>
      <c r="H35" s="358"/>
      <c r="I35" s="367"/>
    </row>
    <row r="36" spans="2:9" ht="43.9" customHeight="1" x14ac:dyDescent="0.35">
      <c r="B36" s="483"/>
      <c r="C36" s="486"/>
      <c r="D36" s="384" t="s">
        <v>314</v>
      </c>
      <c r="E36" s="305"/>
      <c r="F36" s="306" t="s">
        <v>199</v>
      </c>
      <c r="G36" s="352"/>
      <c r="H36" s="358"/>
      <c r="I36" s="367"/>
    </row>
    <row r="37" spans="2:9" ht="80.5" customHeight="1" thickBot="1" x14ac:dyDescent="0.4">
      <c r="B37" s="484"/>
      <c r="C37" s="429" t="s">
        <v>331</v>
      </c>
      <c r="D37" s="430" t="s">
        <v>314</v>
      </c>
      <c r="E37" s="425"/>
      <c r="F37" s="426" t="s">
        <v>356</v>
      </c>
      <c r="G37" s="431"/>
      <c r="H37" s="357"/>
      <c r="I37" s="432"/>
    </row>
    <row r="38" spans="2:9" ht="31.9" customHeight="1" x14ac:dyDescent="0.35">
      <c r="B38" s="487" t="s">
        <v>50</v>
      </c>
      <c r="C38" s="488"/>
      <c r="D38" s="491" t="s">
        <v>51</v>
      </c>
      <c r="E38" s="492"/>
      <c r="F38" s="492"/>
      <c r="G38" s="492"/>
      <c r="H38" s="492"/>
      <c r="I38" s="493"/>
    </row>
    <row r="39" spans="2:9" ht="36" customHeight="1" x14ac:dyDescent="0.35">
      <c r="B39" s="487"/>
      <c r="C39" s="488"/>
      <c r="D39" s="420" t="s">
        <v>353</v>
      </c>
      <c r="E39" s="311">
        <v>2</v>
      </c>
      <c r="F39" s="418" t="s">
        <v>374</v>
      </c>
      <c r="G39" s="352"/>
      <c r="H39" s="358"/>
      <c r="I39" s="412"/>
    </row>
    <row r="40" spans="2:9" ht="36" customHeight="1" x14ac:dyDescent="0.35">
      <c r="B40" s="487"/>
      <c r="C40" s="488"/>
      <c r="D40" s="420" t="s">
        <v>353</v>
      </c>
      <c r="E40" s="311">
        <v>1</v>
      </c>
      <c r="F40" s="418" t="s">
        <v>373</v>
      </c>
      <c r="G40" s="352"/>
      <c r="H40" s="358"/>
      <c r="I40" s="412"/>
    </row>
    <row r="41" spans="2:9" ht="42.5" thickBot="1" x14ac:dyDescent="0.4">
      <c r="B41" s="487"/>
      <c r="C41" s="488"/>
      <c r="D41" s="392" t="s">
        <v>363</v>
      </c>
      <c r="E41" s="311">
        <v>2</v>
      </c>
      <c r="F41" s="419" t="s">
        <v>55</v>
      </c>
      <c r="G41" s="352"/>
      <c r="H41" s="358"/>
      <c r="I41" s="413"/>
    </row>
    <row r="42" spans="2:9" ht="21" customHeight="1" thickBot="1" x14ac:dyDescent="0.4">
      <c r="B42" s="487"/>
      <c r="C42" s="488"/>
      <c r="D42" s="515" t="s">
        <v>355</v>
      </c>
      <c r="E42" s="516"/>
      <c r="F42" s="516"/>
      <c r="G42" s="516"/>
      <c r="H42" s="516"/>
      <c r="I42" s="517"/>
    </row>
    <row r="43" spans="2:9" ht="42" customHeight="1" x14ac:dyDescent="0.35">
      <c r="B43" s="487"/>
      <c r="C43" s="488"/>
      <c r="D43" s="339" t="s">
        <v>314</v>
      </c>
      <c r="E43" s="311"/>
      <c r="F43" s="419" t="s">
        <v>358</v>
      </c>
      <c r="G43" s="352"/>
      <c r="H43" s="358"/>
      <c r="I43" s="311"/>
    </row>
    <row r="44" spans="2:9" ht="31.9" customHeight="1" thickBot="1" x14ac:dyDescent="0.4">
      <c r="B44" s="487"/>
      <c r="C44" s="488"/>
      <c r="D44" s="491" t="s">
        <v>200</v>
      </c>
      <c r="E44" s="492"/>
      <c r="F44" s="492"/>
      <c r="G44" s="492"/>
      <c r="H44" s="492"/>
      <c r="I44" s="493"/>
    </row>
    <row r="45" spans="2:9" ht="31.9" customHeight="1" thickBot="1" x14ac:dyDescent="0.4">
      <c r="B45" s="487"/>
      <c r="C45" s="488"/>
      <c r="D45" s="339" t="s">
        <v>314</v>
      </c>
      <c r="E45" s="382"/>
      <c r="F45" s="346" t="s">
        <v>201</v>
      </c>
      <c r="G45" s="349"/>
      <c r="H45" s="355"/>
      <c r="I45" s="365"/>
    </row>
    <row r="46" spans="2:9" ht="63.5" thickBot="1" x14ac:dyDescent="0.4">
      <c r="B46" s="487"/>
      <c r="C46" s="488"/>
      <c r="D46" s="339" t="s">
        <v>314</v>
      </c>
      <c r="E46" s="383"/>
      <c r="F46" s="347" t="s">
        <v>203</v>
      </c>
      <c r="G46" s="351"/>
      <c r="H46" s="357"/>
      <c r="I46" s="366"/>
    </row>
    <row r="47" spans="2:9" ht="31.9" customHeight="1" thickBot="1" x14ac:dyDescent="0.4">
      <c r="B47" s="487"/>
      <c r="C47" s="488"/>
      <c r="D47" s="494" t="s">
        <v>205</v>
      </c>
      <c r="E47" s="495"/>
      <c r="F47" s="495"/>
      <c r="G47" s="495"/>
      <c r="H47" s="495"/>
      <c r="I47" s="496"/>
    </row>
    <row r="48" spans="2:9" ht="31.9" customHeight="1" thickBot="1" x14ac:dyDescent="0.4">
      <c r="B48" s="487"/>
      <c r="C48" s="488"/>
      <c r="D48" s="339" t="s">
        <v>314</v>
      </c>
      <c r="E48" s="305"/>
      <c r="F48" s="306" t="s">
        <v>319</v>
      </c>
      <c r="G48" s="363"/>
      <c r="H48" s="361"/>
      <c r="I48" s="367"/>
    </row>
    <row r="49" spans="2:9" ht="42.5" thickBot="1" x14ac:dyDescent="0.4">
      <c r="B49" s="487"/>
      <c r="C49" s="488"/>
      <c r="D49" s="339" t="s">
        <v>314</v>
      </c>
      <c r="E49" s="336"/>
      <c r="F49" s="345" t="s">
        <v>152</v>
      </c>
      <c r="G49" s="363"/>
      <c r="H49" s="361"/>
      <c r="I49" s="367"/>
    </row>
    <row r="50" spans="2:9" ht="31.9" customHeight="1" x14ac:dyDescent="0.35">
      <c r="B50" s="487"/>
      <c r="C50" s="488"/>
      <c r="D50" s="339" t="s">
        <v>314</v>
      </c>
      <c r="E50" s="305"/>
      <c r="F50" s="306" t="s">
        <v>206</v>
      </c>
      <c r="G50" s="363"/>
      <c r="H50" s="361"/>
      <c r="I50" s="367"/>
    </row>
    <row r="51" spans="2:9" ht="31.9" customHeight="1" thickBot="1" x14ac:dyDescent="0.4">
      <c r="B51" s="487"/>
      <c r="C51" s="488"/>
      <c r="D51" s="497" t="s">
        <v>205</v>
      </c>
      <c r="E51" s="498"/>
      <c r="F51" s="498"/>
      <c r="G51" s="498"/>
      <c r="H51" s="498"/>
      <c r="I51" s="499"/>
    </row>
    <row r="52" spans="2:9" ht="31.9" customHeight="1" thickBot="1" x14ac:dyDescent="0.55000000000000004">
      <c r="B52" s="487"/>
      <c r="C52" s="488"/>
      <c r="D52" s="339" t="s">
        <v>314</v>
      </c>
      <c r="E52" s="305"/>
      <c r="F52" s="306" t="s">
        <v>204</v>
      </c>
      <c r="G52" s="352"/>
      <c r="H52" s="358"/>
      <c r="I52" s="414"/>
    </row>
    <row r="53" spans="2:9" ht="31.9" customHeight="1" thickBot="1" x14ac:dyDescent="0.4">
      <c r="B53" s="487"/>
      <c r="C53" s="488"/>
      <c r="D53" s="339" t="s">
        <v>314</v>
      </c>
      <c r="E53" s="336"/>
      <c r="F53" s="345" t="s">
        <v>192</v>
      </c>
      <c r="G53" s="363"/>
      <c r="H53" s="361"/>
      <c r="I53" s="367"/>
    </row>
    <row r="54" spans="2:9" ht="31.9" customHeight="1" x14ac:dyDescent="0.35">
      <c r="B54" s="487"/>
      <c r="C54" s="488"/>
      <c r="D54" s="339" t="s">
        <v>314</v>
      </c>
      <c r="E54" s="336"/>
      <c r="F54" s="337" t="s">
        <v>206</v>
      </c>
      <c r="G54" s="364"/>
      <c r="H54" s="362"/>
      <c r="I54" s="308"/>
    </row>
    <row r="55" spans="2:9" ht="31.9" customHeight="1" thickBot="1" x14ac:dyDescent="0.4">
      <c r="B55" s="487"/>
      <c r="C55" s="488"/>
      <c r="D55" s="338"/>
      <c r="E55" s="338"/>
      <c r="F55" s="492" t="s">
        <v>62</v>
      </c>
      <c r="G55" s="492"/>
      <c r="H55" s="492"/>
      <c r="I55" s="493"/>
    </row>
    <row r="56" spans="2:9" ht="31.9" customHeight="1" thickBot="1" x14ac:dyDescent="0.4">
      <c r="B56" s="487"/>
      <c r="C56" s="488"/>
      <c r="D56" s="339" t="s">
        <v>314</v>
      </c>
      <c r="E56" s="382"/>
      <c r="F56" s="340" t="s">
        <v>58</v>
      </c>
      <c r="G56" s="349"/>
      <c r="H56" s="355"/>
      <c r="I56" s="365"/>
    </row>
    <row r="57" spans="2:9" ht="42.5" thickBot="1" x14ac:dyDescent="0.4">
      <c r="B57" s="487"/>
      <c r="C57" s="488"/>
      <c r="D57" s="339" t="s">
        <v>314</v>
      </c>
      <c r="E57" s="384"/>
      <c r="F57" s="309" t="s">
        <v>366</v>
      </c>
      <c r="G57" s="352"/>
      <c r="H57" s="358"/>
      <c r="I57" s="367"/>
    </row>
    <row r="58" spans="2:9" ht="42.5" thickBot="1" x14ac:dyDescent="0.55000000000000004">
      <c r="B58" s="487"/>
      <c r="C58" s="488"/>
      <c r="D58" s="339" t="s">
        <v>314</v>
      </c>
      <c r="E58" s="385"/>
      <c r="F58" s="309" t="s">
        <v>208</v>
      </c>
      <c r="G58" s="352"/>
      <c r="H58" s="358"/>
      <c r="I58" s="367"/>
    </row>
    <row r="59" spans="2:9" ht="31.9" customHeight="1" thickBot="1" x14ac:dyDescent="0.4">
      <c r="B59" s="489"/>
      <c r="C59" s="490"/>
      <c r="D59" s="415" t="s">
        <v>314</v>
      </c>
      <c r="E59" s="383"/>
      <c r="F59" s="344" t="s">
        <v>211</v>
      </c>
      <c r="G59" s="351"/>
      <c r="H59" s="357"/>
      <c r="I59" s="366"/>
    </row>
    <row r="60" spans="2:9" ht="16.5" customHeight="1" x14ac:dyDescent="0.35">
      <c r="F60"/>
      <c r="G60"/>
      <c r="H60"/>
      <c r="I60"/>
    </row>
    <row r="61" spans="2:9" x14ac:dyDescent="0.35">
      <c r="B61" s="478"/>
      <c r="C61" s="478"/>
      <c r="D61" s="478"/>
      <c r="E61" s="478"/>
      <c r="F61" s="478"/>
    </row>
    <row r="62" spans="2:9" ht="15" thickBot="1" x14ac:dyDescent="0.4"/>
    <row r="63" spans="2:9" ht="18.5" x14ac:dyDescent="0.35">
      <c r="B63" s="394" t="s">
        <v>71</v>
      </c>
      <c r="C63" s="395"/>
      <c r="D63" s="396"/>
      <c r="E63" s="396"/>
      <c r="F63" s="395"/>
      <c r="G63" s="396"/>
      <c r="H63" s="396"/>
      <c r="I63" s="397"/>
    </row>
    <row r="64" spans="2:9" ht="18.5" x14ac:dyDescent="0.35">
      <c r="B64" s="398"/>
      <c r="C64" s="399"/>
      <c r="D64" s="400"/>
      <c r="E64" s="400"/>
      <c r="F64" s="399"/>
      <c r="G64" s="400"/>
      <c r="H64" s="400"/>
      <c r="I64" s="401"/>
    </row>
    <row r="65" spans="2:9" ht="18.5" x14ac:dyDescent="0.45">
      <c r="B65" s="402" t="s">
        <v>72</v>
      </c>
      <c r="C65" s="393"/>
      <c r="D65" s="400"/>
      <c r="E65" s="400"/>
      <c r="F65" s="399"/>
      <c r="G65" s="403"/>
      <c r="H65" s="403"/>
      <c r="I65" s="404"/>
    </row>
    <row r="66" spans="2:9" ht="18.5" x14ac:dyDescent="0.45">
      <c r="B66" s="411" t="s">
        <v>354</v>
      </c>
      <c r="C66" s="393"/>
      <c r="D66" s="403"/>
      <c r="E66" s="403"/>
      <c r="F66" s="399"/>
      <c r="G66" s="403"/>
      <c r="H66" s="403"/>
      <c r="I66" s="403"/>
    </row>
    <row r="67" spans="2:9" ht="19" thickBot="1" x14ac:dyDescent="0.5">
      <c r="B67" s="405" t="s">
        <v>74</v>
      </c>
      <c r="C67" s="406"/>
      <c r="D67" s="407"/>
      <c r="E67" s="407"/>
      <c r="F67" s="408"/>
      <c r="G67" s="409"/>
      <c r="H67" s="409"/>
      <c r="I67" s="410"/>
    </row>
    <row r="70" spans="2:9" x14ac:dyDescent="0.35">
      <c r="C70" s="291"/>
    </row>
  </sheetData>
  <mergeCells count="24">
    <mergeCell ref="B31:C33"/>
    <mergeCell ref="C2:F3"/>
    <mergeCell ref="C4:D4"/>
    <mergeCell ref="C5:D5"/>
    <mergeCell ref="C12:D12"/>
    <mergeCell ref="B20:C22"/>
    <mergeCell ref="D20:D22"/>
    <mergeCell ref="F20:F22"/>
    <mergeCell ref="B61:F61"/>
    <mergeCell ref="E20:E22"/>
    <mergeCell ref="B34:B37"/>
    <mergeCell ref="C34:C36"/>
    <mergeCell ref="B38:C59"/>
    <mergeCell ref="D38:I38"/>
    <mergeCell ref="D44:I44"/>
    <mergeCell ref="D47:I47"/>
    <mergeCell ref="D51:I51"/>
    <mergeCell ref="F55:I55"/>
    <mergeCell ref="G20:G22"/>
    <mergeCell ref="H20:H22"/>
    <mergeCell ref="I20:I22"/>
    <mergeCell ref="B23:C27"/>
    <mergeCell ref="B28:C30"/>
    <mergeCell ref="D42:I42"/>
  </mergeCells>
  <pageMargins left="0.7" right="0.7" top="0.75" bottom="0.75" header="0.3" footer="0.3"/>
  <pageSetup orientation="landscape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6</xdr:col>
                    <xdr:colOff>457200</xdr:colOff>
                    <xdr:row>22</xdr:row>
                    <xdr:rowOff>127000</xdr:rowOff>
                  </from>
                  <to>
                    <xdr:col>6</xdr:col>
                    <xdr:colOff>1041400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5" name="Check Box 3">
              <controlPr defaultSize="0" autoFill="0" autoLine="0" autoPict="0">
                <anchor moveWithCells="1">
                  <from>
                    <xdr:col>7</xdr:col>
                    <xdr:colOff>514350</xdr:colOff>
                    <xdr:row>22</xdr:row>
                    <xdr:rowOff>127000</xdr:rowOff>
                  </from>
                  <to>
                    <xdr:col>7</xdr:col>
                    <xdr:colOff>1104900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6" name="Check Box 4">
              <controlPr defaultSize="0" autoFill="0" autoLine="0" autoPict="0">
                <anchor moveWithCells="1">
                  <from>
                    <xdr:col>6</xdr:col>
                    <xdr:colOff>457200</xdr:colOff>
                    <xdr:row>23</xdr:row>
                    <xdr:rowOff>107950</xdr:rowOff>
                  </from>
                  <to>
                    <xdr:col>6</xdr:col>
                    <xdr:colOff>1047750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7" name="Check Box 5">
              <controlPr defaultSize="0" autoFill="0" autoLine="0" autoPict="0">
                <anchor moveWithCells="1">
                  <from>
                    <xdr:col>7</xdr:col>
                    <xdr:colOff>514350</xdr:colOff>
                    <xdr:row>23</xdr:row>
                    <xdr:rowOff>107950</xdr:rowOff>
                  </from>
                  <to>
                    <xdr:col>7</xdr:col>
                    <xdr:colOff>1123950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8" name="Check Box 10">
              <controlPr defaultSize="0" autoFill="0" autoLine="0" autoPict="0">
                <anchor moveWithCells="1">
                  <from>
                    <xdr:col>6</xdr:col>
                    <xdr:colOff>438150</xdr:colOff>
                    <xdr:row>26</xdr:row>
                    <xdr:rowOff>127000</xdr:rowOff>
                  </from>
                  <to>
                    <xdr:col>6</xdr:col>
                    <xdr:colOff>1028700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9" name="Check Box 11">
              <controlPr defaultSize="0" autoFill="0" autoLine="0" autoPict="0">
                <anchor moveWithCells="1">
                  <from>
                    <xdr:col>7</xdr:col>
                    <xdr:colOff>495300</xdr:colOff>
                    <xdr:row>26</xdr:row>
                    <xdr:rowOff>127000</xdr:rowOff>
                  </from>
                  <to>
                    <xdr:col>7</xdr:col>
                    <xdr:colOff>1098550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0" name="Check Box 12">
              <controlPr defaultSize="0" autoFill="0" autoLine="0" autoPict="0">
                <anchor moveWithCells="1">
                  <from>
                    <xdr:col>6</xdr:col>
                    <xdr:colOff>438150</xdr:colOff>
                    <xdr:row>27</xdr:row>
                    <xdr:rowOff>114300</xdr:rowOff>
                  </from>
                  <to>
                    <xdr:col>6</xdr:col>
                    <xdr:colOff>1028700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1" name="Check Box 13">
              <controlPr defaultSize="0" autoFill="0" autoLine="0" autoPict="0">
                <anchor moveWithCells="1">
                  <from>
                    <xdr:col>7</xdr:col>
                    <xdr:colOff>508000</xdr:colOff>
                    <xdr:row>27</xdr:row>
                    <xdr:rowOff>114300</xdr:rowOff>
                  </from>
                  <to>
                    <xdr:col>7</xdr:col>
                    <xdr:colOff>1104900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2" name="Check Box 14">
              <controlPr defaultSize="0" autoFill="0" autoLine="0" autoPict="0">
                <anchor moveWithCells="1">
                  <from>
                    <xdr:col>6</xdr:col>
                    <xdr:colOff>450850</xdr:colOff>
                    <xdr:row>28</xdr:row>
                    <xdr:rowOff>127000</xdr:rowOff>
                  </from>
                  <to>
                    <xdr:col>6</xdr:col>
                    <xdr:colOff>1041400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3" name="Check Box 15">
              <controlPr defaultSize="0" autoFill="0" autoLine="0" autoPict="0">
                <anchor moveWithCells="1">
                  <from>
                    <xdr:col>7</xdr:col>
                    <xdr:colOff>508000</xdr:colOff>
                    <xdr:row>28</xdr:row>
                    <xdr:rowOff>127000</xdr:rowOff>
                  </from>
                  <to>
                    <xdr:col>7</xdr:col>
                    <xdr:colOff>1104900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4" name="Check Box 16">
              <controlPr defaultSize="0" autoFill="0" autoLine="0" autoPict="0">
                <anchor moveWithCells="1">
                  <from>
                    <xdr:col>6</xdr:col>
                    <xdr:colOff>450850</xdr:colOff>
                    <xdr:row>29</xdr:row>
                    <xdr:rowOff>114300</xdr:rowOff>
                  </from>
                  <to>
                    <xdr:col>6</xdr:col>
                    <xdr:colOff>1047750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15" name="Check Box 17">
              <controlPr defaultSize="0" autoFill="0" autoLine="0" autoPict="0">
                <anchor moveWithCells="1">
                  <from>
                    <xdr:col>7</xdr:col>
                    <xdr:colOff>508000</xdr:colOff>
                    <xdr:row>29</xdr:row>
                    <xdr:rowOff>114300</xdr:rowOff>
                  </from>
                  <to>
                    <xdr:col>7</xdr:col>
                    <xdr:colOff>1123950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16" name="Check Box 18">
              <controlPr defaultSize="0" autoFill="0" autoLine="0" autoPict="0">
                <anchor moveWithCells="1">
                  <from>
                    <xdr:col>6</xdr:col>
                    <xdr:colOff>438150</xdr:colOff>
                    <xdr:row>30</xdr:row>
                    <xdr:rowOff>222250</xdr:rowOff>
                  </from>
                  <to>
                    <xdr:col>6</xdr:col>
                    <xdr:colOff>1028700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17" name="Check Box 19">
              <controlPr defaultSize="0" autoFill="0" autoLine="0" autoPict="0">
                <anchor moveWithCells="1">
                  <from>
                    <xdr:col>7</xdr:col>
                    <xdr:colOff>508000</xdr:colOff>
                    <xdr:row>30</xdr:row>
                    <xdr:rowOff>222250</xdr:rowOff>
                  </from>
                  <to>
                    <xdr:col>7</xdr:col>
                    <xdr:colOff>1098550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18" name="Check Box 20">
              <controlPr defaultSize="0" autoFill="0" autoLine="0" autoPict="0">
                <anchor moveWithCells="1">
                  <from>
                    <xdr:col>6</xdr:col>
                    <xdr:colOff>450850</xdr:colOff>
                    <xdr:row>32</xdr:row>
                    <xdr:rowOff>190500</xdr:rowOff>
                  </from>
                  <to>
                    <xdr:col>6</xdr:col>
                    <xdr:colOff>933450</xdr:colOff>
                    <xdr:row>32</xdr:row>
                    <xdr:rowOff>762000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19" name="Check Box 21">
              <controlPr defaultSize="0" autoFill="0" autoLine="0" autoPict="0">
                <anchor moveWithCells="1">
                  <from>
                    <xdr:col>7</xdr:col>
                    <xdr:colOff>508000</xdr:colOff>
                    <xdr:row>32</xdr:row>
                    <xdr:rowOff>190500</xdr:rowOff>
                  </from>
                  <to>
                    <xdr:col>8</xdr:col>
                    <xdr:colOff>0</xdr:colOff>
                    <xdr:row>32</xdr:row>
                    <xdr:rowOff>762000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20" name="Check Box 22">
              <controlPr defaultSize="0" autoFill="0" autoLine="0" autoPict="0">
                <anchor moveWithCells="1">
                  <from>
                    <xdr:col>6</xdr:col>
                    <xdr:colOff>450850</xdr:colOff>
                    <xdr:row>33</xdr:row>
                    <xdr:rowOff>88900</xdr:rowOff>
                  </from>
                  <to>
                    <xdr:col>6</xdr:col>
                    <xdr:colOff>1041400</xdr:colOff>
                    <xdr:row>33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21" name="Check Box 23">
              <controlPr defaultSize="0" autoFill="0" autoLine="0" autoPict="0">
                <anchor moveWithCells="1">
                  <from>
                    <xdr:col>7</xdr:col>
                    <xdr:colOff>495300</xdr:colOff>
                    <xdr:row>33</xdr:row>
                    <xdr:rowOff>88900</xdr:rowOff>
                  </from>
                  <to>
                    <xdr:col>7</xdr:col>
                    <xdr:colOff>1104900</xdr:colOff>
                    <xdr:row>33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6" r:id="rId22" name="Check Box 24">
              <controlPr defaultSize="0" autoFill="0" autoLine="0" autoPict="0">
                <anchor moveWithCells="1">
                  <from>
                    <xdr:col>6</xdr:col>
                    <xdr:colOff>450850</xdr:colOff>
                    <xdr:row>34</xdr:row>
                    <xdr:rowOff>88900</xdr:rowOff>
                  </from>
                  <to>
                    <xdr:col>6</xdr:col>
                    <xdr:colOff>1047750</xdr:colOff>
                    <xdr:row>34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23" name="Check Box 25">
              <controlPr defaultSize="0" autoFill="0" autoLine="0" autoPict="0">
                <anchor moveWithCells="1">
                  <from>
                    <xdr:col>7</xdr:col>
                    <xdr:colOff>495300</xdr:colOff>
                    <xdr:row>34</xdr:row>
                    <xdr:rowOff>88900</xdr:rowOff>
                  </from>
                  <to>
                    <xdr:col>7</xdr:col>
                    <xdr:colOff>1123950</xdr:colOff>
                    <xdr:row>34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8" r:id="rId24" name="Check Box 26">
              <controlPr defaultSize="0" autoFill="0" autoLine="0" autoPict="0">
                <anchor moveWithCells="1">
                  <from>
                    <xdr:col>6</xdr:col>
                    <xdr:colOff>438150</xdr:colOff>
                    <xdr:row>35</xdr:row>
                    <xdr:rowOff>88900</xdr:rowOff>
                  </from>
                  <to>
                    <xdr:col>6</xdr:col>
                    <xdr:colOff>1028700</xdr:colOff>
                    <xdr:row>35</xdr:row>
                    <xdr:rowOff>647700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9" r:id="rId25" name="Check Box 27">
              <controlPr defaultSize="0" autoFill="0" autoLine="0" autoPict="0">
                <anchor moveWithCells="1">
                  <from>
                    <xdr:col>7</xdr:col>
                    <xdr:colOff>508000</xdr:colOff>
                    <xdr:row>35</xdr:row>
                    <xdr:rowOff>88900</xdr:rowOff>
                  </from>
                  <to>
                    <xdr:col>7</xdr:col>
                    <xdr:colOff>1098550</xdr:colOff>
                    <xdr:row>35</xdr:row>
                    <xdr:rowOff>647700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0" r:id="rId26" name="Check Box 28">
              <controlPr defaultSize="0" autoFill="0" autoLine="0" autoPict="0">
                <anchor moveWithCells="1">
                  <from>
                    <xdr:col>6</xdr:col>
                    <xdr:colOff>361950</xdr:colOff>
                    <xdr:row>36</xdr:row>
                    <xdr:rowOff>381000</xdr:rowOff>
                  </from>
                  <to>
                    <xdr:col>6</xdr:col>
                    <xdr:colOff>819150</xdr:colOff>
                    <xdr:row>36</xdr:row>
                    <xdr:rowOff>952500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1" r:id="rId27" name="Check Box 29">
              <controlPr defaultSize="0" autoFill="0" autoLine="0" autoPict="0">
                <anchor moveWithCells="1">
                  <from>
                    <xdr:col>7</xdr:col>
                    <xdr:colOff>419100</xdr:colOff>
                    <xdr:row>36</xdr:row>
                    <xdr:rowOff>355600</xdr:rowOff>
                  </from>
                  <to>
                    <xdr:col>8</xdr:col>
                    <xdr:colOff>0</xdr:colOff>
                    <xdr:row>36</xdr:row>
                    <xdr:rowOff>1003300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2" r:id="rId28" name="Check Box 30">
              <controlPr defaultSize="0" autoFill="0" autoLine="0" autoPict="0">
                <anchor moveWithCells="1">
                  <from>
                    <xdr:col>6</xdr:col>
                    <xdr:colOff>374650</xdr:colOff>
                    <xdr:row>37</xdr:row>
                    <xdr:rowOff>381000</xdr:rowOff>
                  </from>
                  <to>
                    <xdr:col>6</xdr:col>
                    <xdr:colOff>850900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3" r:id="rId29" name="Check Box 31">
              <controlPr defaultSize="0" autoFill="0" autoLine="0" autoPict="0">
                <anchor moveWithCells="1">
                  <from>
                    <xdr:col>7</xdr:col>
                    <xdr:colOff>419100</xdr:colOff>
                    <xdr:row>40</xdr:row>
                    <xdr:rowOff>50800</xdr:rowOff>
                  </from>
                  <to>
                    <xdr:col>7</xdr:col>
                    <xdr:colOff>895350</xdr:colOff>
                    <xdr:row>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4" r:id="rId30" name="Check Box 32">
              <controlPr defaultSize="0" autoFill="0" autoLine="0" autoPict="0">
                <anchor moveWithCells="1">
                  <from>
                    <xdr:col>6</xdr:col>
                    <xdr:colOff>374650</xdr:colOff>
                    <xdr:row>40</xdr:row>
                    <xdr:rowOff>76200</xdr:rowOff>
                  </from>
                  <to>
                    <xdr:col>6</xdr:col>
                    <xdr:colOff>857250</xdr:colOff>
                    <xdr:row>40</xdr:row>
                    <xdr:rowOff>527050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5" r:id="rId31" name="Check Box 33">
              <controlPr defaultSize="0" autoFill="0" autoLine="0" autoPict="0">
                <anchor moveWithCells="1">
                  <from>
                    <xdr:col>7</xdr:col>
                    <xdr:colOff>419100</xdr:colOff>
                    <xdr:row>38</xdr:row>
                    <xdr:rowOff>31750</xdr:rowOff>
                  </from>
                  <to>
                    <xdr:col>7</xdr:col>
                    <xdr:colOff>908050</xdr:colOff>
                    <xdr:row>38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6" r:id="rId32" name="Check Box 34">
              <controlPr defaultSize="0" autoFill="0" autoLine="0" autoPict="0">
                <anchor moveWithCells="1">
                  <from>
                    <xdr:col>6</xdr:col>
                    <xdr:colOff>355600</xdr:colOff>
                    <xdr:row>43</xdr:row>
                    <xdr:rowOff>361950</xdr:rowOff>
                  </from>
                  <to>
                    <xdr:col>6</xdr:col>
                    <xdr:colOff>838200</xdr:colOff>
                    <xdr:row>45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7" r:id="rId33" name="Check Box 35">
              <controlPr defaultSize="0" autoFill="0" autoLine="0" autoPict="0">
                <anchor moveWithCells="1">
                  <from>
                    <xdr:col>7</xdr:col>
                    <xdr:colOff>412750</xdr:colOff>
                    <xdr:row>43</xdr:row>
                    <xdr:rowOff>361950</xdr:rowOff>
                  </from>
                  <to>
                    <xdr:col>7</xdr:col>
                    <xdr:colOff>895350</xdr:colOff>
                    <xdr:row>45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8" r:id="rId34" name="Check Box 36">
              <controlPr defaultSize="0" autoFill="0" autoLine="0" autoPict="0">
                <anchor moveWithCells="1">
                  <from>
                    <xdr:col>6</xdr:col>
                    <xdr:colOff>342900</xdr:colOff>
                    <xdr:row>45</xdr:row>
                    <xdr:rowOff>298450</xdr:rowOff>
                  </from>
                  <to>
                    <xdr:col>6</xdr:col>
                    <xdr:colOff>819150</xdr:colOff>
                    <xdr:row>45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9" r:id="rId35" name="Check Box 37">
              <controlPr defaultSize="0" autoFill="0" autoLine="0" autoPict="0">
                <anchor moveWithCells="1">
                  <from>
                    <xdr:col>7</xdr:col>
                    <xdr:colOff>381000</xdr:colOff>
                    <xdr:row>45</xdr:row>
                    <xdr:rowOff>298450</xdr:rowOff>
                  </from>
                  <to>
                    <xdr:col>7</xdr:col>
                    <xdr:colOff>876300</xdr:colOff>
                    <xdr:row>45</xdr:row>
                    <xdr:rowOff>812800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0" r:id="rId36" name="Check Box 38">
              <controlPr defaultSize="0" autoFill="0" autoLine="0" autoPict="0">
                <anchor moveWithCells="1">
                  <from>
                    <xdr:col>6</xdr:col>
                    <xdr:colOff>457200</xdr:colOff>
                    <xdr:row>46</xdr:row>
                    <xdr:rowOff>438150</xdr:rowOff>
                  </from>
                  <to>
                    <xdr:col>6</xdr:col>
                    <xdr:colOff>1047750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1" r:id="rId37" name="Check Box 39">
              <controlPr defaultSize="0" autoFill="0" autoLine="0" autoPict="0">
                <anchor moveWithCells="1">
                  <from>
                    <xdr:col>7</xdr:col>
                    <xdr:colOff>514350</xdr:colOff>
                    <xdr:row>46</xdr:row>
                    <xdr:rowOff>438150</xdr:rowOff>
                  </from>
                  <to>
                    <xdr:col>7</xdr:col>
                    <xdr:colOff>1123950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2" r:id="rId38" name="Check Box 40">
              <controlPr defaultSize="0" autoFill="0" autoLine="0" autoPict="0">
                <anchor moveWithCells="1">
                  <from>
                    <xdr:col>6</xdr:col>
                    <xdr:colOff>476250</xdr:colOff>
                    <xdr:row>48</xdr:row>
                    <xdr:rowOff>107950</xdr:rowOff>
                  </from>
                  <to>
                    <xdr:col>6</xdr:col>
                    <xdr:colOff>1079500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3" r:id="rId39" name="Check Box 41">
              <controlPr defaultSize="0" autoFill="0" autoLine="0" autoPict="0">
                <anchor moveWithCells="1">
                  <from>
                    <xdr:col>7</xdr:col>
                    <xdr:colOff>527050</xdr:colOff>
                    <xdr:row>48</xdr:row>
                    <xdr:rowOff>107950</xdr:rowOff>
                  </from>
                  <to>
                    <xdr:col>7</xdr:col>
                    <xdr:colOff>1143000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4" r:id="rId40" name="Check Box 42">
              <controlPr defaultSize="0" autoFill="0" autoLine="0" autoPict="0">
                <anchor moveWithCells="1">
                  <from>
                    <xdr:col>6</xdr:col>
                    <xdr:colOff>476250</xdr:colOff>
                    <xdr:row>48</xdr:row>
                    <xdr:rowOff>628650</xdr:rowOff>
                  </from>
                  <to>
                    <xdr:col>6</xdr:col>
                    <xdr:colOff>1098550</xdr:colOff>
                    <xdr:row>50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5" r:id="rId41" name="Check Box 43">
              <controlPr defaultSize="0" autoFill="0" autoLine="0" autoPict="0">
                <anchor moveWithCells="1">
                  <from>
                    <xdr:col>7</xdr:col>
                    <xdr:colOff>546100</xdr:colOff>
                    <xdr:row>48</xdr:row>
                    <xdr:rowOff>628650</xdr:rowOff>
                  </from>
                  <to>
                    <xdr:col>7</xdr:col>
                    <xdr:colOff>1143000</xdr:colOff>
                    <xdr:row>50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6" r:id="rId42" name="Check Box 44">
              <controlPr defaultSize="0" autoFill="0" autoLine="0" autoPict="0">
                <anchor moveWithCells="1">
                  <from>
                    <xdr:col>6</xdr:col>
                    <xdr:colOff>431800</xdr:colOff>
                    <xdr:row>52</xdr:row>
                    <xdr:rowOff>476250</xdr:rowOff>
                  </from>
                  <to>
                    <xdr:col>6</xdr:col>
                    <xdr:colOff>1009650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7" r:id="rId43" name="Check Box 45">
              <controlPr defaultSize="0" autoFill="0" autoLine="0" autoPict="0">
                <anchor moveWithCells="1">
                  <from>
                    <xdr:col>7</xdr:col>
                    <xdr:colOff>476250</xdr:colOff>
                    <xdr:row>52</xdr:row>
                    <xdr:rowOff>476250</xdr:rowOff>
                  </from>
                  <to>
                    <xdr:col>7</xdr:col>
                    <xdr:colOff>1098550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8" r:id="rId44" name="Check Box 46">
              <controlPr defaultSize="0" autoFill="0" autoLine="0" autoPict="0">
                <anchor moveWithCells="1">
                  <from>
                    <xdr:col>6</xdr:col>
                    <xdr:colOff>457200</xdr:colOff>
                    <xdr:row>50</xdr:row>
                    <xdr:rowOff>488950</xdr:rowOff>
                  </from>
                  <to>
                    <xdr:col>6</xdr:col>
                    <xdr:colOff>1047750</xdr:colOff>
                    <xdr:row>52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9" r:id="rId45" name="Check Box 47">
              <controlPr defaultSize="0" autoFill="0" autoLine="0" autoPict="0">
                <anchor moveWithCells="1">
                  <from>
                    <xdr:col>7</xdr:col>
                    <xdr:colOff>508000</xdr:colOff>
                    <xdr:row>50</xdr:row>
                    <xdr:rowOff>488950</xdr:rowOff>
                  </from>
                  <to>
                    <xdr:col>7</xdr:col>
                    <xdr:colOff>1123950</xdr:colOff>
                    <xdr:row>52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0" r:id="rId46" name="Check Box 48">
              <controlPr defaultSize="0" autoFill="0" autoLine="0" autoPict="0">
                <anchor moveWithCells="1">
                  <from>
                    <xdr:col>6</xdr:col>
                    <xdr:colOff>457200</xdr:colOff>
                    <xdr:row>51</xdr:row>
                    <xdr:rowOff>488950</xdr:rowOff>
                  </from>
                  <to>
                    <xdr:col>6</xdr:col>
                    <xdr:colOff>1047750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1" r:id="rId47" name="Check Box 49">
              <controlPr defaultSize="0" autoFill="0" autoLine="0" autoPict="0">
                <anchor moveWithCells="1">
                  <from>
                    <xdr:col>7</xdr:col>
                    <xdr:colOff>495300</xdr:colOff>
                    <xdr:row>51</xdr:row>
                    <xdr:rowOff>488950</xdr:rowOff>
                  </from>
                  <to>
                    <xdr:col>7</xdr:col>
                    <xdr:colOff>1123950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2" r:id="rId48" name="Check Box 50">
              <controlPr defaultSize="0" autoFill="0" autoLine="0" autoPict="0">
                <anchor moveWithCells="1">
                  <from>
                    <xdr:col>6</xdr:col>
                    <xdr:colOff>419100</xdr:colOff>
                    <xdr:row>57</xdr:row>
                    <xdr:rowOff>57150</xdr:rowOff>
                  </from>
                  <to>
                    <xdr:col>6</xdr:col>
                    <xdr:colOff>1009650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3" r:id="rId49" name="Check Box 51">
              <controlPr defaultSize="0" autoFill="0" autoLine="0" autoPict="0">
                <anchor moveWithCells="1">
                  <from>
                    <xdr:col>7</xdr:col>
                    <xdr:colOff>469900</xdr:colOff>
                    <xdr:row>57</xdr:row>
                    <xdr:rowOff>57150</xdr:rowOff>
                  </from>
                  <to>
                    <xdr:col>7</xdr:col>
                    <xdr:colOff>1085850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4" r:id="rId50" name="Check Box 52">
              <controlPr defaultSize="0" autoFill="0" autoLine="0" autoPict="0">
                <anchor moveWithCells="1">
                  <from>
                    <xdr:col>6</xdr:col>
                    <xdr:colOff>412750</xdr:colOff>
                    <xdr:row>54</xdr:row>
                    <xdr:rowOff>450850</xdr:rowOff>
                  </from>
                  <to>
                    <xdr:col>6</xdr:col>
                    <xdr:colOff>1009650</xdr:colOff>
                    <xdr:row>56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5" r:id="rId51" name="Check Box 53">
              <controlPr defaultSize="0" autoFill="0" autoLine="0" autoPict="0">
                <anchor moveWithCells="1">
                  <from>
                    <xdr:col>7</xdr:col>
                    <xdr:colOff>457200</xdr:colOff>
                    <xdr:row>54</xdr:row>
                    <xdr:rowOff>450850</xdr:rowOff>
                  </from>
                  <to>
                    <xdr:col>7</xdr:col>
                    <xdr:colOff>1079500</xdr:colOff>
                    <xdr:row>56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6" r:id="rId52" name="Check Box 54">
              <controlPr defaultSize="0" autoFill="0" autoLine="0" autoPict="0">
                <anchor moveWithCells="1">
                  <from>
                    <xdr:col>6</xdr:col>
                    <xdr:colOff>412750</xdr:colOff>
                    <xdr:row>56</xdr:row>
                    <xdr:rowOff>50800</xdr:rowOff>
                  </from>
                  <to>
                    <xdr:col>6</xdr:col>
                    <xdr:colOff>1009650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7" r:id="rId53" name="Check Box 55">
              <controlPr defaultSize="0" autoFill="0" autoLine="0" autoPict="0">
                <anchor moveWithCells="1">
                  <from>
                    <xdr:col>7</xdr:col>
                    <xdr:colOff>457200</xdr:colOff>
                    <xdr:row>56</xdr:row>
                    <xdr:rowOff>50800</xdr:rowOff>
                  </from>
                  <to>
                    <xdr:col>7</xdr:col>
                    <xdr:colOff>1079500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4" r:id="rId54" name="Check Box 62">
              <controlPr defaultSize="0" autoFill="0" autoLine="0" autoPict="0">
                <anchor moveWithCells="1">
                  <from>
                    <xdr:col>6</xdr:col>
                    <xdr:colOff>412750</xdr:colOff>
                    <xdr:row>57</xdr:row>
                    <xdr:rowOff>647700</xdr:rowOff>
                  </from>
                  <to>
                    <xdr:col>6</xdr:col>
                    <xdr:colOff>1009650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5" r:id="rId55" name="Check Box 63">
              <controlPr defaultSize="0" autoFill="0" autoLine="0" autoPict="0">
                <anchor moveWithCells="1">
                  <from>
                    <xdr:col>7</xdr:col>
                    <xdr:colOff>457200</xdr:colOff>
                    <xdr:row>57</xdr:row>
                    <xdr:rowOff>647700</xdr:rowOff>
                  </from>
                  <to>
                    <xdr:col>7</xdr:col>
                    <xdr:colOff>1079500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6" r:id="rId56" name="Check Box 64">
              <controlPr defaultSize="0" autoFill="0" autoLine="0" autoPict="0">
                <anchor moveWithCells="1">
                  <from>
                    <xdr:col>6</xdr:col>
                    <xdr:colOff>450850</xdr:colOff>
                    <xdr:row>31</xdr:row>
                    <xdr:rowOff>133350</xdr:rowOff>
                  </from>
                  <to>
                    <xdr:col>7</xdr:col>
                    <xdr:colOff>12700</xdr:colOff>
                    <xdr:row>31</xdr:row>
                    <xdr:rowOff>704850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7" r:id="rId57" name="Check Box 65">
              <controlPr defaultSize="0" autoFill="0" autoLine="0" autoPict="0">
                <anchor moveWithCells="1">
                  <from>
                    <xdr:col>7</xdr:col>
                    <xdr:colOff>514350</xdr:colOff>
                    <xdr:row>31</xdr:row>
                    <xdr:rowOff>133350</xdr:rowOff>
                  </from>
                  <to>
                    <xdr:col>8</xdr:col>
                    <xdr:colOff>12700</xdr:colOff>
                    <xdr:row>31</xdr:row>
                    <xdr:rowOff>704850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8" r:id="rId58" name="Check Box 66">
              <controlPr defaultSize="0" autoFill="0" autoLine="0" autoPict="0">
                <anchor moveWithCells="1">
                  <from>
                    <xdr:col>6</xdr:col>
                    <xdr:colOff>374650</xdr:colOff>
                    <xdr:row>38</xdr:row>
                    <xdr:rowOff>381000</xdr:rowOff>
                  </from>
                  <to>
                    <xdr:col>6</xdr:col>
                    <xdr:colOff>850900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9" r:id="rId59" name="Check Box 67">
              <controlPr defaultSize="0" autoFill="0" autoLine="0" autoPict="0">
                <anchor moveWithCells="1">
                  <from>
                    <xdr:col>7</xdr:col>
                    <xdr:colOff>419100</xdr:colOff>
                    <xdr:row>39</xdr:row>
                    <xdr:rowOff>31750</xdr:rowOff>
                  </from>
                  <to>
                    <xdr:col>7</xdr:col>
                    <xdr:colOff>908050</xdr:colOff>
                    <xdr:row>39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0" r:id="rId60" name="Check Box 68">
              <controlPr defaultSize="0" autoFill="0" autoLine="0" autoPict="0">
                <anchor moveWithCells="1">
                  <from>
                    <xdr:col>6</xdr:col>
                    <xdr:colOff>457200</xdr:colOff>
                    <xdr:row>23</xdr:row>
                    <xdr:rowOff>127000</xdr:rowOff>
                  </from>
                  <to>
                    <xdr:col>6</xdr:col>
                    <xdr:colOff>895350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1" r:id="rId61" name="Check Box 69">
              <controlPr defaultSize="0" autoFill="0" autoLine="0" autoPict="0">
                <anchor moveWithCells="1">
                  <from>
                    <xdr:col>7</xdr:col>
                    <xdr:colOff>514350</xdr:colOff>
                    <xdr:row>23</xdr:row>
                    <xdr:rowOff>127000</xdr:rowOff>
                  </from>
                  <to>
                    <xdr:col>7</xdr:col>
                    <xdr:colOff>1028700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2" r:id="rId62" name="Check Box 70">
              <controlPr defaultSize="0" autoFill="0" autoLine="0" autoPict="0">
                <anchor moveWithCells="1">
                  <from>
                    <xdr:col>6</xdr:col>
                    <xdr:colOff>457200</xdr:colOff>
                    <xdr:row>24</xdr:row>
                    <xdr:rowOff>107950</xdr:rowOff>
                  </from>
                  <to>
                    <xdr:col>6</xdr:col>
                    <xdr:colOff>895350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3" r:id="rId63" name="Check Box 71">
              <controlPr defaultSize="0" autoFill="0" autoLine="0" autoPict="0">
                <anchor moveWithCells="1">
                  <from>
                    <xdr:col>7</xdr:col>
                    <xdr:colOff>514350</xdr:colOff>
                    <xdr:row>24</xdr:row>
                    <xdr:rowOff>107950</xdr:rowOff>
                  </from>
                  <to>
                    <xdr:col>7</xdr:col>
                    <xdr:colOff>1028700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6" r:id="rId64" name="Check Box 74">
              <controlPr defaultSize="0" autoFill="0" autoLine="0" autoPict="0">
                <anchor moveWithCells="1">
                  <from>
                    <xdr:col>6</xdr:col>
                    <xdr:colOff>457200</xdr:colOff>
                    <xdr:row>24</xdr:row>
                    <xdr:rowOff>107950</xdr:rowOff>
                  </from>
                  <to>
                    <xdr:col>6</xdr:col>
                    <xdr:colOff>895350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7" r:id="rId65" name="Check Box 75">
              <controlPr defaultSize="0" autoFill="0" autoLine="0" autoPict="0">
                <anchor moveWithCells="1">
                  <from>
                    <xdr:col>7</xdr:col>
                    <xdr:colOff>514350</xdr:colOff>
                    <xdr:row>24</xdr:row>
                    <xdr:rowOff>107950</xdr:rowOff>
                  </from>
                  <to>
                    <xdr:col>7</xdr:col>
                    <xdr:colOff>1028700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8" r:id="rId66" name="Check Box 76">
              <controlPr defaultSize="0" autoFill="0" autoLine="0" autoPict="0">
                <anchor moveWithCells="1">
                  <from>
                    <xdr:col>6</xdr:col>
                    <xdr:colOff>457200</xdr:colOff>
                    <xdr:row>24</xdr:row>
                    <xdr:rowOff>127000</xdr:rowOff>
                  </from>
                  <to>
                    <xdr:col>6</xdr:col>
                    <xdr:colOff>895350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9" r:id="rId67" name="Check Box 77">
              <controlPr defaultSize="0" autoFill="0" autoLine="0" autoPict="0">
                <anchor moveWithCells="1">
                  <from>
                    <xdr:col>7</xdr:col>
                    <xdr:colOff>514350</xdr:colOff>
                    <xdr:row>24</xdr:row>
                    <xdr:rowOff>127000</xdr:rowOff>
                  </from>
                  <to>
                    <xdr:col>7</xdr:col>
                    <xdr:colOff>1028700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0" r:id="rId68" name="Check Box 78">
              <controlPr defaultSize="0" autoFill="0" autoLine="0" autoPict="0">
                <anchor moveWithCells="1">
                  <from>
                    <xdr:col>6</xdr:col>
                    <xdr:colOff>457200</xdr:colOff>
                    <xdr:row>25</xdr:row>
                    <xdr:rowOff>107950</xdr:rowOff>
                  </from>
                  <to>
                    <xdr:col>6</xdr:col>
                    <xdr:colOff>895350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1" r:id="rId69" name="Check Box 79">
              <controlPr defaultSize="0" autoFill="0" autoLine="0" autoPict="0">
                <anchor moveWithCells="1">
                  <from>
                    <xdr:col>7</xdr:col>
                    <xdr:colOff>514350</xdr:colOff>
                    <xdr:row>25</xdr:row>
                    <xdr:rowOff>107950</xdr:rowOff>
                  </from>
                  <to>
                    <xdr:col>7</xdr:col>
                    <xdr:colOff>1028700</xdr:colOff>
                    <xdr:row>26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ED32-7965-4578-85BE-A59DC5F22B8D}">
  <dimension ref="A1:K57"/>
  <sheetViews>
    <sheetView showGridLines="0" topLeftCell="A2" zoomScale="110" zoomScaleNormal="110" workbookViewId="0">
      <selection activeCell="I12" sqref="I12"/>
    </sheetView>
  </sheetViews>
  <sheetFormatPr baseColWidth="10" defaultColWidth="11.54296875" defaultRowHeight="14.5" x14ac:dyDescent="0.35"/>
  <cols>
    <col min="1" max="1" width="9.453125" customWidth="1"/>
    <col min="2" max="2" width="18.1796875" customWidth="1"/>
    <col min="3" max="3" width="5.453125" bestFit="1" customWidth="1"/>
    <col min="4" max="4" width="74.7265625" style="291" bestFit="1" customWidth="1"/>
    <col min="5" max="5" width="13.453125" style="1" bestFit="1" customWidth="1"/>
    <col min="6" max="6" width="15.453125" style="1" bestFit="1" customWidth="1"/>
    <col min="7" max="7" width="57.54296875" style="1" customWidth="1"/>
    <col min="10" max="10" width="28.453125" bestFit="1" customWidth="1"/>
    <col min="11" max="11" width="50.7265625" bestFit="1" customWidth="1"/>
  </cols>
  <sheetData>
    <row r="1" spans="1:11" ht="15" thickBot="1" x14ac:dyDescent="0.4">
      <c r="A1" s="184"/>
      <c r="B1" s="178"/>
      <c r="C1" s="178"/>
      <c r="D1" s="280"/>
      <c r="E1" s="185"/>
      <c r="F1" s="267"/>
      <c r="G1" s="186"/>
    </row>
    <row r="2" spans="1:11" ht="15" customHeight="1" thickBot="1" x14ac:dyDescent="0.4">
      <c r="A2" s="187"/>
      <c r="B2" s="518"/>
      <c r="C2" s="519"/>
      <c r="D2" s="520"/>
      <c r="E2" s="183"/>
      <c r="F2" s="268"/>
      <c r="G2" s="188"/>
    </row>
    <row r="3" spans="1:11" ht="15" customHeight="1" thickBot="1" x14ac:dyDescent="0.4">
      <c r="A3" s="187"/>
      <c r="B3" s="521"/>
      <c r="C3" s="522"/>
      <c r="D3" s="523"/>
      <c r="E3" s="183"/>
      <c r="F3" s="268"/>
      <c r="G3" s="188"/>
    </row>
    <row r="4" spans="1:11" ht="15" customHeight="1" thickBot="1" x14ac:dyDescent="0.4">
      <c r="A4" s="187"/>
      <c r="B4" s="521"/>
      <c r="C4" s="522"/>
      <c r="D4" s="281"/>
      <c r="E4" s="183"/>
      <c r="F4" s="268"/>
      <c r="G4" s="188"/>
    </row>
    <row r="5" spans="1:11" ht="15" customHeight="1" thickBot="1" x14ac:dyDescent="0.4">
      <c r="A5" s="187"/>
      <c r="B5" s="521"/>
      <c r="C5" s="522"/>
      <c r="D5" s="281"/>
      <c r="E5" s="183"/>
      <c r="F5" s="268"/>
      <c r="G5" s="188"/>
    </row>
    <row r="6" spans="1:11" ht="15" customHeight="1" thickBot="1" x14ac:dyDescent="0.4">
      <c r="A6" s="187"/>
      <c r="B6" s="282"/>
      <c r="C6" s="283"/>
      <c r="D6" s="284"/>
      <c r="E6" s="183"/>
      <c r="F6" s="268"/>
      <c r="G6" s="188"/>
    </row>
    <row r="7" spans="1:11" ht="15" customHeight="1" thickBot="1" x14ac:dyDescent="0.4">
      <c r="A7" s="187"/>
      <c r="B7" s="524"/>
      <c r="C7" s="525"/>
      <c r="D7" s="283"/>
      <c r="E7" s="183"/>
      <c r="F7" s="268"/>
      <c r="G7" s="188"/>
    </row>
    <row r="8" spans="1:11" ht="15" thickBot="1" x14ac:dyDescent="0.4">
      <c r="A8" s="187"/>
      <c r="B8" s="177"/>
      <c r="C8" s="177"/>
      <c r="D8" s="285"/>
      <c r="E8" s="183"/>
      <c r="F8" s="268"/>
      <c r="G8" s="188"/>
    </row>
    <row r="9" spans="1:11" ht="20.149999999999999" customHeight="1" x14ac:dyDescent="0.35">
      <c r="A9" s="529" t="s">
        <v>22</v>
      </c>
      <c r="B9" s="529"/>
      <c r="C9" s="480" t="s">
        <v>23</v>
      </c>
      <c r="D9" s="529" t="s">
        <v>333</v>
      </c>
      <c r="E9" s="501" t="s">
        <v>297</v>
      </c>
      <c r="F9" s="504" t="s">
        <v>299</v>
      </c>
      <c r="G9" s="536" t="s">
        <v>332</v>
      </c>
    </row>
    <row r="10" spans="1:11" ht="20.149999999999999" customHeight="1" x14ac:dyDescent="0.35">
      <c r="A10" s="529"/>
      <c r="B10" s="529"/>
      <c r="C10" s="480"/>
      <c r="D10" s="529"/>
      <c r="E10" s="501"/>
      <c r="F10" s="504"/>
      <c r="G10" s="536"/>
    </row>
    <row r="11" spans="1:11" ht="19" thickBot="1" x14ac:dyDescent="0.4">
      <c r="A11" s="544"/>
      <c r="B11" s="544"/>
      <c r="C11" s="532"/>
      <c r="D11" s="544"/>
      <c r="E11" s="545"/>
      <c r="F11" s="542"/>
      <c r="G11" s="537"/>
      <c r="J11" s="301"/>
      <c r="K11" s="281"/>
    </row>
    <row r="12" spans="1:11" ht="43.9" customHeight="1" x14ac:dyDescent="0.35">
      <c r="A12" s="509" t="s">
        <v>27</v>
      </c>
      <c r="B12" s="510"/>
      <c r="C12" s="313">
        <v>1</v>
      </c>
      <c r="D12" s="314" t="s">
        <v>28</v>
      </c>
      <c r="E12" s="349"/>
      <c r="F12" s="355" t="s">
        <v>134</v>
      </c>
      <c r="G12" s="315" t="s">
        <v>301</v>
      </c>
      <c r="J12" s="301"/>
      <c r="K12" s="281"/>
    </row>
    <row r="13" spans="1:11" ht="43.9" customHeight="1" thickBot="1" x14ac:dyDescent="0.4">
      <c r="A13" s="511"/>
      <c r="B13" s="512"/>
      <c r="C13" s="311">
        <v>1</v>
      </c>
      <c r="D13" s="312" t="s">
        <v>296</v>
      </c>
      <c r="E13" s="350" t="s">
        <v>134</v>
      </c>
      <c r="F13" s="356"/>
      <c r="G13" s="316" t="s">
        <v>329</v>
      </c>
      <c r="J13" s="282"/>
      <c r="K13" s="284"/>
    </row>
    <row r="14" spans="1:11" ht="49.15" customHeight="1" thickBot="1" x14ac:dyDescent="0.4">
      <c r="A14" s="513"/>
      <c r="B14" s="514"/>
      <c r="C14" s="317">
        <v>1</v>
      </c>
      <c r="D14" s="318" t="s">
        <v>334</v>
      </c>
      <c r="E14" s="351"/>
      <c r="F14" s="357" t="s">
        <v>134</v>
      </c>
      <c r="G14" s="319" t="s">
        <v>302</v>
      </c>
      <c r="J14" s="302"/>
      <c r="K14" s="283"/>
    </row>
    <row r="15" spans="1:11" ht="43.9" customHeight="1" x14ac:dyDescent="0.35">
      <c r="A15" s="509" t="s">
        <v>336</v>
      </c>
      <c r="B15" s="510"/>
      <c r="C15" s="313">
        <v>1</v>
      </c>
      <c r="D15" s="314" t="s">
        <v>35</v>
      </c>
      <c r="E15" s="349"/>
      <c r="F15" s="355" t="s">
        <v>134</v>
      </c>
      <c r="G15" s="315" t="s">
        <v>313</v>
      </c>
    </row>
    <row r="16" spans="1:11" ht="43.9" customHeight="1" x14ac:dyDescent="0.35">
      <c r="A16" s="511"/>
      <c r="B16" s="512"/>
      <c r="C16" s="311"/>
      <c r="D16" s="312" t="s">
        <v>303</v>
      </c>
      <c r="E16" s="352"/>
      <c r="F16" s="358" t="s">
        <v>134</v>
      </c>
      <c r="G16" s="316" t="s">
        <v>304</v>
      </c>
    </row>
    <row r="17" spans="1:7" ht="43.9" customHeight="1" thickBot="1" x14ac:dyDescent="0.4">
      <c r="A17" s="513"/>
      <c r="B17" s="514"/>
      <c r="C17" s="317">
        <v>1</v>
      </c>
      <c r="D17" s="320" t="s">
        <v>209</v>
      </c>
      <c r="E17" s="351"/>
      <c r="F17" s="357" t="s">
        <v>134</v>
      </c>
      <c r="G17" s="319" t="s">
        <v>305</v>
      </c>
    </row>
    <row r="18" spans="1:7" ht="59.5" customHeight="1" x14ac:dyDescent="0.35">
      <c r="A18" s="509" t="s">
        <v>335</v>
      </c>
      <c r="B18" s="510"/>
      <c r="C18" s="313">
        <v>1</v>
      </c>
      <c r="D18" s="321" t="s">
        <v>307</v>
      </c>
      <c r="E18" s="349"/>
      <c r="F18" s="355" t="s">
        <v>134</v>
      </c>
      <c r="G18" s="315" t="s">
        <v>309</v>
      </c>
    </row>
    <row r="19" spans="1:7" ht="66" customHeight="1" thickBot="1" x14ac:dyDescent="0.4">
      <c r="A19" s="513"/>
      <c r="B19" s="514"/>
      <c r="C19" s="326">
        <v>1</v>
      </c>
      <c r="D19" s="327" t="s">
        <v>306</v>
      </c>
      <c r="E19" s="353"/>
      <c r="F19" s="359"/>
      <c r="G19" s="328" t="s">
        <v>330</v>
      </c>
    </row>
    <row r="20" spans="1:7" ht="43.9" customHeight="1" x14ac:dyDescent="0.35">
      <c r="A20" s="538" t="s">
        <v>42</v>
      </c>
      <c r="B20" s="540" t="s">
        <v>43</v>
      </c>
      <c r="C20" s="329">
        <v>1</v>
      </c>
      <c r="D20" s="330" t="s">
        <v>197</v>
      </c>
      <c r="E20" s="349"/>
      <c r="F20" s="355"/>
      <c r="G20" s="365" t="s">
        <v>310</v>
      </c>
    </row>
    <row r="21" spans="1:7" ht="43.9" customHeight="1" x14ac:dyDescent="0.35">
      <c r="A21" s="539"/>
      <c r="B21" s="541"/>
      <c r="C21" s="329">
        <v>1</v>
      </c>
      <c r="D21" s="331" t="s">
        <v>45</v>
      </c>
      <c r="E21" s="352"/>
      <c r="F21" s="358"/>
      <c r="G21" s="367" t="s">
        <v>311</v>
      </c>
    </row>
    <row r="22" spans="1:7" ht="43.9" customHeight="1" thickBot="1" x14ac:dyDescent="0.4">
      <c r="A22" s="539"/>
      <c r="B22" s="541"/>
      <c r="C22" s="332">
        <v>1</v>
      </c>
      <c r="D22" s="333" t="s">
        <v>199</v>
      </c>
      <c r="E22" s="353"/>
      <c r="F22" s="359"/>
      <c r="G22" s="368" t="s">
        <v>312</v>
      </c>
    </row>
    <row r="23" spans="1:7" ht="80.5" customHeight="1" thickBot="1" x14ac:dyDescent="0.4">
      <c r="A23" s="539"/>
      <c r="B23" s="348" t="s">
        <v>331</v>
      </c>
      <c r="C23" s="334">
        <v>1</v>
      </c>
      <c r="D23" s="334" t="s">
        <v>49</v>
      </c>
      <c r="E23" s="354"/>
      <c r="F23" s="360"/>
      <c r="G23" s="335"/>
    </row>
    <row r="24" spans="1:7" ht="31.9" customHeight="1" x14ac:dyDescent="0.35">
      <c r="A24" s="535" t="s">
        <v>50</v>
      </c>
      <c r="B24" s="488"/>
      <c r="C24" s="515" t="s">
        <v>51</v>
      </c>
      <c r="D24" s="516"/>
      <c r="E24" s="516"/>
      <c r="F24" s="516"/>
      <c r="G24" s="517"/>
    </row>
    <row r="25" spans="1:7" ht="63" x14ac:dyDescent="0.35">
      <c r="A25" s="487"/>
      <c r="B25" s="488"/>
      <c r="C25" s="369">
        <v>2</v>
      </c>
      <c r="D25" s="370" t="s">
        <v>202</v>
      </c>
      <c r="E25" s="352"/>
      <c r="F25" s="358"/>
      <c r="G25" s="372" t="s">
        <v>315</v>
      </c>
    </row>
    <row r="26" spans="1:7" ht="42" x14ac:dyDescent="0.35">
      <c r="A26" s="487"/>
      <c r="B26" s="488"/>
      <c r="C26" s="369">
        <v>2</v>
      </c>
      <c r="D26" s="371" t="s">
        <v>55</v>
      </c>
      <c r="E26" s="352"/>
      <c r="F26" s="358"/>
      <c r="G26" s="369" t="s">
        <v>316</v>
      </c>
    </row>
    <row r="27" spans="1:7" ht="31.9" customHeight="1" thickBot="1" x14ac:dyDescent="0.4">
      <c r="A27" s="487"/>
      <c r="B27" s="488"/>
      <c r="C27" s="491" t="s">
        <v>200</v>
      </c>
      <c r="D27" s="492"/>
      <c r="E27" s="492"/>
      <c r="F27" s="492"/>
      <c r="G27" s="493"/>
    </row>
    <row r="28" spans="1:7" ht="31.9" customHeight="1" x14ac:dyDescent="0.35">
      <c r="A28" s="487"/>
      <c r="B28" s="488"/>
      <c r="C28" s="339">
        <v>1</v>
      </c>
      <c r="D28" s="346" t="s">
        <v>201</v>
      </c>
      <c r="E28" s="349"/>
      <c r="F28" s="355"/>
      <c r="G28" s="365" t="s">
        <v>317</v>
      </c>
    </row>
    <row r="29" spans="1:7" ht="63.5" thickBot="1" x14ac:dyDescent="0.4">
      <c r="A29" s="487"/>
      <c r="B29" s="488"/>
      <c r="C29" s="343">
        <v>1</v>
      </c>
      <c r="D29" s="347" t="s">
        <v>203</v>
      </c>
      <c r="E29" s="351"/>
      <c r="F29" s="357"/>
      <c r="G29" s="366" t="s">
        <v>318</v>
      </c>
    </row>
    <row r="30" spans="1:7" ht="31.9" customHeight="1" x14ac:dyDescent="0.35">
      <c r="A30" s="487"/>
      <c r="B30" s="488"/>
      <c r="C30" s="494" t="s">
        <v>205</v>
      </c>
      <c r="D30" s="495"/>
      <c r="E30" s="495"/>
      <c r="F30" s="495"/>
      <c r="G30" s="496"/>
    </row>
    <row r="31" spans="1:7" ht="31.9" customHeight="1" x14ac:dyDescent="0.35">
      <c r="A31" s="487"/>
      <c r="B31" s="488"/>
      <c r="C31" s="305">
        <v>1</v>
      </c>
      <c r="D31" s="306" t="s">
        <v>319</v>
      </c>
      <c r="E31" s="363"/>
      <c r="F31" s="361"/>
      <c r="G31" s="367" t="s">
        <v>320</v>
      </c>
    </row>
    <row r="32" spans="1:7" ht="42" x14ac:dyDescent="0.35">
      <c r="A32" s="487"/>
      <c r="B32" s="488"/>
      <c r="C32" s="336">
        <v>4</v>
      </c>
      <c r="D32" s="345" t="s">
        <v>152</v>
      </c>
      <c r="E32" s="363"/>
      <c r="F32" s="361"/>
      <c r="G32" s="367" t="s">
        <v>323</v>
      </c>
    </row>
    <row r="33" spans="1:7" ht="31.9" customHeight="1" x14ac:dyDescent="0.35">
      <c r="A33" s="487"/>
      <c r="B33" s="488"/>
      <c r="C33" s="305"/>
      <c r="D33" s="306" t="s">
        <v>206</v>
      </c>
      <c r="E33" s="363"/>
      <c r="F33" s="361"/>
      <c r="G33" s="367" t="s">
        <v>321</v>
      </c>
    </row>
    <row r="34" spans="1:7" ht="31.9" customHeight="1" x14ac:dyDescent="0.35">
      <c r="A34" s="487"/>
      <c r="B34" s="488"/>
      <c r="C34" s="497" t="s">
        <v>205</v>
      </c>
      <c r="D34" s="498"/>
      <c r="E34" s="498"/>
      <c r="F34" s="498"/>
      <c r="G34" s="499"/>
    </row>
    <row r="35" spans="1:7" ht="31.9" customHeight="1" x14ac:dyDescent="0.5">
      <c r="A35" s="487"/>
      <c r="B35" s="488"/>
      <c r="C35" s="305">
        <v>1</v>
      </c>
      <c r="D35" s="306" t="s">
        <v>204</v>
      </c>
      <c r="E35" s="352"/>
      <c r="F35" s="358"/>
      <c r="G35" s="307" t="s">
        <v>324</v>
      </c>
    </row>
    <row r="36" spans="1:7" ht="31.9" customHeight="1" x14ac:dyDescent="0.35">
      <c r="A36" s="487"/>
      <c r="B36" s="488"/>
      <c r="C36" s="336">
        <v>6</v>
      </c>
      <c r="D36" s="345" t="s">
        <v>192</v>
      </c>
      <c r="E36" s="363"/>
      <c r="F36" s="361"/>
      <c r="G36" s="367" t="s">
        <v>325</v>
      </c>
    </row>
    <row r="37" spans="1:7" ht="31.9" customHeight="1" x14ac:dyDescent="0.35">
      <c r="A37" s="487"/>
      <c r="B37" s="488"/>
      <c r="C37" s="336"/>
      <c r="D37" s="337" t="s">
        <v>206</v>
      </c>
      <c r="E37" s="364"/>
      <c r="F37" s="362"/>
      <c r="G37" s="308"/>
    </row>
    <row r="38" spans="1:7" ht="31.9" customHeight="1" thickBot="1" x14ac:dyDescent="0.4">
      <c r="A38" s="487"/>
      <c r="B38" s="488"/>
      <c r="C38" s="338"/>
      <c r="D38" s="492" t="s">
        <v>62</v>
      </c>
      <c r="E38" s="492"/>
      <c r="F38" s="492"/>
      <c r="G38" s="492"/>
    </row>
    <row r="39" spans="1:7" ht="31.9" customHeight="1" x14ac:dyDescent="0.35">
      <c r="A39" s="487"/>
      <c r="B39" s="488"/>
      <c r="C39" s="339">
        <v>1</v>
      </c>
      <c r="D39" s="340" t="s">
        <v>58</v>
      </c>
      <c r="E39" s="349"/>
      <c r="F39" s="355"/>
      <c r="G39" s="365" t="s">
        <v>326</v>
      </c>
    </row>
    <row r="40" spans="1:7" ht="42" x14ac:dyDescent="0.35">
      <c r="A40" s="487"/>
      <c r="B40" s="488"/>
      <c r="C40" s="341">
        <v>1</v>
      </c>
      <c r="D40" s="309" t="s">
        <v>207</v>
      </c>
      <c r="E40" s="352"/>
      <c r="F40" s="358"/>
      <c r="G40" s="367" t="s">
        <v>327</v>
      </c>
    </row>
    <row r="41" spans="1:7" ht="42" x14ac:dyDescent="0.5">
      <c r="A41" s="487"/>
      <c r="B41" s="488"/>
      <c r="C41" s="342">
        <v>1</v>
      </c>
      <c r="D41" s="309" t="s">
        <v>208</v>
      </c>
      <c r="E41" s="352"/>
      <c r="F41" s="358"/>
      <c r="G41" s="367" t="s">
        <v>29</v>
      </c>
    </row>
    <row r="42" spans="1:7" ht="31.9" customHeight="1" thickBot="1" x14ac:dyDescent="0.4">
      <c r="A42" s="487"/>
      <c r="B42" s="488"/>
      <c r="C42" s="343"/>
      <c r="D42" s="344" t="s">
        <v>211</v>
      </c>
      <c r="E42" s="351"/>
      <c r="F42" s="357"/>
      <c r="G42" s="366" t="s">
        <v>328</v>
      </c>
    </row>
    <row r="43" spans="1:7" ht="16.5" customHeight="1" x14ac:dyDescent="0.35">
      <c r="D43"/>
      <c r="E43"/>
      <c r="F43"/>
      <c r="G43"/>
    </row>
    <row r="44" spans="1:7" ht="16.5" customHeight="1" x14ac:dyDescent="0.35">
      <c r="D44"/>
      <c r="E44"/>
      <c r="F44"/>
      <c r="G44"/>
    </row>
    <row r="45" spans="1:7" x14ac:dyDescent="0.35">
      <c r="D45"/>
      <c r="E45"/>
      <c r="F45"/>
      <c r="G45"/>
    </row>
    <row r="46" spans="1:7" ht="30" customHeight="1" x14ac:dyDescent="0.35">
      <c r="D46"/>
      <c r="E46"/>
      <c r="F46"/>
      <c r="G46"/>
    </row>
    <row r="47" spans="1:7" ht="30" customHeight="1" x14ac:dyDescent="0.35">
      <c r="D47"/>
      <c r="E47"/>
      <c r="F47"/>
      <c r="G47"/>
    </row>
    <row r="48" spans="1:7" ht="15" thickBot="1" x14ac:dyDescent="0.4">
      <c r="D48"/>
      <c r="E48"/>
      <c r="F48"/>
      <c r="G48"/>
    </row>
    <row r="49" spans="1:7" x14ac:dyDescent="0.35">
      <c r="A49" s="543"/>
      <c r="B49" s="543"/>
      <c r="C49" s="543"/>
      <c r="D49" s="543"/>
    </row>
    <row r="50" spans="1:7" x14ac:dyDescent="0.35">
      <c r="A50" s="478"/>
      <c r="B50" s="478"/>
      <c r="C50" s="478"/>
      <c r="D50" s="478"/>
    </row>
    <row r="51" spans="1:7" ht="15" thickBot="1" x14ac:dyDescent="0.4"/>
    <row r="52" spans="1:7" x14ac:dyDescent="0.35">
      <c r="A52" s="286" t="s">
        <v>71</v>
      </c>
      <c r="B52" s="287"/>
      <c r="C52" s="287"/>
      <c r="D52" s="287"/>
      <c r="E52" s="288"/>
      <c r="F52" s="288"/>
      <c r="G52" s="289"/>
    </row>
    <row r="53" spans="1:7" x14ac:dyDescent="0.35">
      <c r="A53" s="290"/>
      <c r="B53" s="291"/>
      <c r="C53" s="291"/>
      <c r="E53" s="292"/>
      <c r="F53" s="292"/>
      <c r="G53" s="293"/>
    </row>
    <row r="54" spans="1:7" x14ac:dyDescent="0.35">
      <c r="A54" s="294" t="s">
        <v>72</v>
      </c>
      <c r="C54" s="292"/>
      <c r="G54" s="17"/>
    </row>
    <row r="55" spans="1:7" x14ac:dyDescent="0.35">
      <c r="A55" s="295" t="s">
        <v>210</v>
      </c>
    </row>
    <row r="56" spans="1:7" x14ac:dyDescent="0.35">
      <c r="A56" s="533" t="s">
        <v>73</v>
      </c>
      <c r="B56" s="478"/>
      <c r="C56" s="478"/>
      <c r="D56" s="478"/>
      <c r="E56" s="478"/>
      <c r="F56" s="478"/>
      <c r="G56" s="534"/>
    </row>
    <row r="57" spans="1:7" ht="15" thickBot="1" x14ac:dyDescent="0.4">
      <c r="A57" s="296" t="s">
        <v>74</v>
      </c>
      <c r="B57" s="29"/>
      <c r="C57" s="297"/>
      <c r="D57" s="298"/>
      <c r="E57" s="299"/>
      <c r="F57" s="299"/>
      <c r="G57" s="300"/>
    </row>
  </sheetData>
  <mergeCells count="23">
    <mergeCell ref="C27:G27"/>
    <mergeCell ref="C30:G30"/>
    <mergeCell ref="B2:D3"/>
    <mergeCell ref="A9:B11"/>
    <mergeCell ref="C9:C11"/>
    <mergeCell ref="D9:D11"/>
    <mergeCell ref="E9:E11"/>
    <mergeCell ref="C34:G34"/>
    <mergeCell ref="D38:G38"/>
    <mergeCell ref="A56:G56"/>
    <mergeCell ref="B4:C4"/>
    <mergeCell ref="B5:C5"/>
    <mergeCell ref="B7:C7"/>
    <mergeCell ref="A24:B42"/>
    <mergeCell ref="G9:G11"/>
    <mergeCell ref="A12:B14"/>
    <mergeCell ref="A15:B17"/>
    <mergeCell ref="A18:B19"/>
    <mergeCell ref="A20:A23"/>
    <mergeCell ref="B20:B22"/>
    <mergeCell ref="F9:F11"/>
    <mergeCell ref="A49:D50"/>
    <mergeCell ref="C24:G24"/>
  </mergeCells>
  <pageMargins left="0.7" right="0.7" top="0.75" bottom="0.75" header="0.3" footer="0.3"/>
  <pageSetup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3385-693F-4DA0-899B-A927B3604D0B}">
  <dimension ref="A1:N57"/>
  <sheetViews>
    <sheetView zoomScale="80" zoomScaleNormal="80" workbookViewId="0">
      <selection activeCell="G55" sqref="G55"/>
    </sheetView>
  </sheetViews>
  <sheetFormatPr baseColWidth="10" defaultRowHeight="14.5" x14ac:dyDescent="0.35"/>
  <cols>
    <col min="1" max="1" width="14.26953125" customWidth="1"/>
    <col min="2" max="2" width="21.54296875" customWidth="1"/>
    <col min="4" max="4" width="86.7265625" customWidth="1"/>
    <col min="5" max="6" width="11.54296875" style="1"/>
    <col min="7" max="7" width="85.54296875" style="1" customWidth="1"/>
  </cols>
  <sheetData>
    <row r="1" spans="1:14" ht="15" thickBot="1" x14ac:dyDescent="0.4">
      <c r="A1" s="184"/>
      <c r="B1" s="178"/>
      <c r="C1" s="178"/>
      <c r="D1" s="178"/>
      <c r="E1" s="185"/>
      <c r="F1" s="267"/>
      <c r="G1" s="186"/>
    </row>
    <row r="2" spans="1:14" ht="15" customHeight="1" thickBot="1" x14ac:dyDescent="0.4">
      <c r="A2" s="187"/>
      <c r="B2" s="578" t="s">
        <v>287</v>
      </c>
      <c r="C2" s="579"/>
      <c r="D2" s="580"/>
      <c r="E2" s="183"/>
      <c r="F2" s="268"/>
      <c r="G2" s="188"/>
      <c r="N2" t="s">
        <v>292</v>
      </c>
    </row>
    <row r="3" spans="1:14" ht="15" customHeight="1" thickBot="1" x14ac:dyDescent="0.4">
      <c r="A3" s="187"/>
      <c r="B3" s="581"/>
      <c r="C3" s="582"/>
      <c r="D3" s="583"/>
      <c r="E3" s="183"/>
      <c r="F3" s="268"/>
      <c r="G3" s="188"/>
      <c r="N3" t="s">
        <v>293</v>
      </c>
    </row>
    <row r="4" spans="1:14" ht="15" customHeight="1" thickBot="1" x14ac:dyDescent="0.4">
      <c r="A4" s="187"/>
      <c r="B4" s="261" t="s">
        <v>288</v>
      </c>
      <c r="C4" s="262"/>
      <c r="D4" s="263"/>
      <c r="E4" s="183"/>
      <c r="F4" s="268"/>
      <c r="G4" s="188"/>
      <c r="N4" t="s">
        <v>294</v>
      </c>
    </row>
    <row r="5" spans="1:14" ht="15" customHeight="1" thickBot="1" x14ac:dyDescent="0.4">
      <c r="A5" s="187"/>
      <c r="B5" s="261" t="s">
        <v>289</v>
      </c>
      <c r="C5" s="262"/>
      <c r="D5" s="263"/>
      <c r="E5" s="183"/>
      <c r="F5" s="268"/>
      <c r="G5" s="188"/>
      <c r="N5" t="s">
        <v>295</v>
      </c>
    </row>
    <row r="6" spans="1:14" ht="15" customHeight="1" thickBot="1" x14ac:dyDescent="0.4">
      <c r="A6" s="187"/>
      <c r="B6" s="264" t="s">
        <v>290</v>
      </c>
      <c r="C6" s="265"/>
      <c r="D6" s="266"/>
      <c r="E6" s="183"/>
      <c r="F6" s="268"/>
      <c r="G6" s="188"/>
    </row>
    <row r="7" spans="1:14" ht="15" thickBot="1" x14ac:dyDescent="0.4">
      <c r="A7" s="187"/>
      <c r="B7" s="177"/>
      <c r="C7" s="177"/>
      <c r="D7" s="177"/>
      <c r="E7" s="183"/>
      <c r="F7" s="268"/>
      <c r="G7" s="188"/>
    </row>
    <row r="8" spans="1:14" ht="15" thickBot="1" x14ac:dyDescent="0.4">
      <c r="A8" s="189"/>
      <c r="B8" s="181" t="s">
        <v>291</v>
      </c>
      <c r="C8" s="181"/>
      <c r="D8" s="181"/>
      <c r="E8" s="190"/>
      <c r="F8" s="269"/>
      <c r="G8" s="191"/>
    </row>
    <row r="9" spans="1:14" ht="20.149999999999999" customHeight="1" x14ac:dyDescent="0.35">
      <c r="A9" s="464" t="s">
        <v>22</v>
      </c>
      <c r="B9" s="454"/>
      <c r="C9" s="574" t="s">
        <v>23</v>
      </c>
      <c r="D9" s="576" t="s">
        <v>24</v>
      </c>
      <c r="E9" s="574" t="s">
        <v>297</v>
      </c>
      <c r="F9" s="584" t="s">
        <v>299</v>
      </c>
      <c r="G9" s="572" t="s">
        <v>298</v>
      </c>
    </row>
    <row r="10" spans="1:14" ht="20.149999999999999" customHeight="1" x14ac:dyDescent="0.35">
      <c r="A10" s="464"/>
      <c r="B10" s="454"/>
      <c r="C10" s="574"/>
      <c r="D10" s="576"/>
      <c r="E10" s="574"/>
      <c r="F10" s="574"/>
      <c r="G10" s="572"/>
    </row>
    <row r="11" spans="1:14" ht="20.149999999999999" customHeight="1" thickBot="1" x14ac:dyDescent="0.4">
      <c r="A11" s="465"/>
      <c r="B11" s="456"/>
      <c r="C11" s="575"/>
      <c r="D11" s="577"/>
      <c r="E11" s="575"/>
      <c r="F11" s="575"/>
      <c r="G11" s="573"/>
    </row>
    <row r="12" spans="1:14" ht="25" customHeight="1" x14ac:dyDescent="0.35">
      <c r="A12" s="586" t="s">
        <v>27</v>
      </c>
      <c r="B12" s="587"/>
      <c r="C12" s="81">
        <v>1</v>
      </c>
      <c r="D12" s="40" t="s">
        <v>28</v>
      </c>
      <c r="E12" s="41"/>
      <c r="F12" s="270" t="s">
        <v>134</v>
      </c>
      <c r="G12" s="85" t="s">
        <v>301</v>
      </c>
    </row>
    <row r="13" spans="1:14" ht="25" customHeight="1" x14ac:dyDescent="0.35">
      <c r="A13" s="588"/>
      <c r="B13" s="589"/>
      <c r="C13" s="83">
        <v>1</v>
      </c>
      <c r="D13" s="37" t="s">
        <v>296</v>
      </c>
      <c r="E13" s="44" t="s">
        <v>134</v>
      </c>
      <c r="F13" s="271"/>
      <c r="G13" s="86" t="s">
        <v>329</v>
      </c>
    </row>
    <row r="14" spans="1:14" ht="25" customHeight="1" thickBot="1" x14ac:dyDescent="0.4">
      <c r="A14" s="597"/>
      <c r="B14" s="598"/>
      <c r="C14" s="83">
        <v>1</v>
      </c>
      <c r="D14" s="277" t="s">
        <v>300</v>
      </c>
      <c r="E14" s="49"/>
      <c r="F14" s="272" t="s">
        <v>134</v>
      </c>
      <c r="G14" s="86" t="s">
        <v>302</v>
      </c>
    </row>
    <row r="15" spans="1:14" ht="35.15" customHeight="1" x14ac:dyDescent="0.35">
      <c r="A15" s="586" t="s">
        <v>33</v>
      </c>
      <c r="B15" s="587"/>
      <c r="C15" s="81">
        <v>1</v>
      </c>
      <c r="D15" s="51" t="s">
        <v>35</v>
      </c>
      <c r="E15" s="41"/>
      <c r="F15" s="270" t="s">
        <v>134</v>
      </c>
      <c r="G15" s="85" t="s">
        <v>313</v>
      </c>
    </row>
    <row r="16" spans="1:14" ht="35.15" customHeight="1" x14ac:dyDescent="0.35">
      <c r="A16" s="588"/>
      <c r="B16" s="589"/>
      <c r="C16" s="83"/>
      <c r="D16" s="87" t="s">
        <v>303</v>
      </c>
      <c r="E16" s="52"/>
      <c r="F16" s="66" t="s">
        <v>134</v>
      </c>
      <c r="G16" s="88" t="s">
        <v>304</v>
      </c>
    </row>
    <row r="17" spans="1:7" ht="35.15" customHeight="1" thickBot="1" x14ac:dyDescent="0.4">
      <c r="A17" s="588"/>
      <c r="B17" s="589"/>
      <c r="C17" s="83">
        <v>1</v>
      </c>
      <c r="D17" s="87" t="s">
        <v>209</v>
      </c>
      <c r="E17" s="52"/>
      <c r="F17" s="66" t="s">
        <v>134</v>
      </c>
      <c r="G17" s="88" t="s">
        <v>305</v>
      </c>
    </row>
    <row r="18" spans="1:7" ht="30" customHeight="1" x14ac:dyDescent="0.35">
      <c r="A18" s="590" t="s">
        <v>37</v>
      </c>
      <c r="B18" s="591"/>
      <c r="C18" s="81">
        <v>1</v>
      </c>
      <c r="D18" s="51" t="s">
        <v>307</v>
      </c>
      <c r="E18" s="41"/>
      <c r="F18" s="270" t="s">
        <v>134</v>
      </c>
      <c r="G18" s="85" t="s">
        <v>309</v>
      </c>
    </row>
    <row r="19" spans="1:7" ht="30" customHeight="1" thickBot="1" x14ac:dyDescent="0.4">
      <c r="A19" s="592"/>
      <c r="B19" s="593"/>
      <c r="C19" s="82">
        <v>1</v>
      </c>
      <c r="D19" s="165" t="s">
        <v>306</v>
      </c>
      <c r="E19" s="49"/>
      <c r="F19" s="273"/>
      <c r="G19" s="89" t="s">
        <v>308</v>
      </c>
    </row>
    <row r="20" spans="1:7" ht="32.15" customHeight="1" x14ac:dyDescent="0.35">
      <c r="A20" s="594" t="s">
        <v>42</v>
      </c>
      <c r="B20" s="594" t="s">
        <v>43</v>
      </c>
      <c r="C20" s="81">
        <v>1</v>
      </c>
      <c r="D20" s="40" t="s">
        <v>197</v>
      </c>
      <c r="E20" s="41"/>
      <c r="F20" s="270"/>
      <c r="G20" s="85" t="s">
        <v>310</v>
      </c>
    </row>
    <row r="21" spans="1:7" ht="32.15" customHeight="1" x14ac:dyDescent="0.35">
      <c r="A21" s="595"/>
      <c r="B21" s="595"/>
      <c r="C21" s="83">
        <v>1</v>
      </c>
      <c r="D21" s="43" t="s">
        <v>45</v>
      </c>
      <c r="E21" s="46"/>
      <c r="F21" s="274"/>
      <c r="G21" s="86" t="s">
        <v>311</v>
      </c>
    </row>
    <row r="22" spans="1:7" ht="32.15" customHeight="1" thickBot="1" x14ac:dyDescent="0.4">
      <c r="A22" s="595"/>
      <c r="B22" s="596"/>
      <c r="C22" s="82">
        <v>1</v>
      </c>
      <c r="D22" s="54" t="s">
        <v>199</v>
      </c>
      <c r="E22" s="49"/>
      <c r="F22" s="273"/>
      <c r="G22" s="89" t="s">
        <v>312</v>
      </c>
    </row>
    <row r="23" spans="1:7" ht="32.15" customHeight="1" x14ac:dyDescent="0.35">
      <c r="A23" s="595"/>
      <c r="B23" s="595" t="s">
        <v>47</v>
      </c>
      <c r="C23" s="550">
        <v>1</v>
      </c>
      <c r="D23" s="552" t="s">
        <v>49</v>
      </c>
      <c r="E23" s="554"/>
      <c r="F23" s="66"/>
      <c r="G23" s="556" t="s">
        <v>314</v>
      </c>
    </row>
    <row r="24" spans="1:7" ht="32.15" customHeight="1" thickBot="1" x14ac:dyDescent="0.4">
      <c r="A24" s="596"/>
      <c r="B24" s="596"/>
      <c r="C24" s="551"/>
      <c r="D24" s="553"/>
      <c r="E24" s="555"/>
      <c r="F24" s="275"/>
      <c r="G24" s="557"/>
    </row>
    <row r="25" spans="1:7" ht="15" customHeight="1" thickBot="1" x14ac:dyDescent="0.4">
      <c r="A25" s="558" t="s">
        <v>50</v>
      </c>
      <c r="B25" s="559"/>
      <c r="C25" s="562" t="s">
        <v>51</v>
      </c>
      <c r="D25" s="563"/>
      <c r="E25" s="55"/>
      <c r="F25" s="276"/>
      <c r="G25" s="90"/>
    </row>
    <row r="26" spans="1:7" ht="15.75" customHeight="1" x14ac:dyDescent="0.35">
      <c r="A26" s="560"/>
      <c r="B26" s="561"/>
      <c r="C26" s="81">
        <v>2</v>
      </c>
      <c r="D26" s="58" t="s">
        <v>202</v>
      </c>
      <c r="E26" s="57"/>
      <c r="F26" s="274"/>
      <c r="G26" s="86" t="s">
        <v>315</v>
      </c>
    </row>
    <row r="27" spans="1:7" x14ac:dyDescent="0.35">
      <c r="A27" s="560"/>
      <c r="B27" s="561"/>
      <c r="C27" s="550">
        <v>2</v>
      </c>
      <c r="D27" s="564" t="s">
        <v>55</v>
      </c>
      <c r="E27" s="57"/>
      <c r="F27" s="274"/>
      <c r="G27" s="86" t="s">
        <v>316</v>
      </c>
    </row>
    <row r="28" spans="1:7" ht="15" customHeight="1" x14ac:dyDescent="0.35">
      <c r="A28" s="560"/>
      <c r="B28" s="561"/>
      <c r="C28" s="550"/>
      <c r="D28" s="564"/>
      <c r="E28" s="57"/>
      <c r="F28" s="274"/>
      <c r="G28" s="86"/>
    </row>
    <row r="29" spans="1:7" ht="15" customHeight="1" thickBot="1" x14ac:dyDescent="0.4">
      <c r="A29" s="560"/>
      <c r="B29" s="561"/>
      <c r="C29" s="562" t="s">
        <v>200</v>
      </c>
      <c r="D29" s="563"/>
      <c r="E29" s="57"/>
      <c r="F29" s="274"/>
      <c r="G29" s="86"/>
    </row>
    <row r="30" spans="1:7" ht="15" customHeight="1" x14ac:dyDescent="0.35">
      <c r="A30" s="560"/>
      <c r="B30" s="561"/>
      <c r="C30" s="81">
        <v>1</v>
      </c>
      <c r="D30" s="58" t="s">
        <v>201</v>
      </c>
      <c r="E30" s="57"/>
      <c r="F30" s="274"/>
      <c r="G30" s="86" t="s">
        <v>317</v>
      </c>
    </row>
    <row r="31" spans="1:7" ht="30" customHeight="1" x14ac:dyDescent="0.35">
      <c r="A31" s="560"/>
      <c r="B31" s="561"/>
      <c r="C31" s="550">
        <v>1</v>
      </c>
      <c r="D31" s="564" t="s">
        <v>203</v>
      </c>
      <c r="E31" s="570"/>
      <c r="F31" s="272"/>
      <c r="G31" s="568" t="s">
        <v>318</v>
      </c>
    </row>
    <row r="32" spans="1:7" ht="30" customHeight="1" x14ac:dyDescent="0.35">
      <c r="A32" s="560"/>
      <c r="B32" s="561"/>
      <c r="C32" s="550"/>
      <c r="D32" s="564"/>
      <c r="E32" s="571"/>
      <c r="F32" s="276"/>
      <c r="G32" s="569"/>
    </row>
    <row r="33" spans="1:7" x14ac:dyDescent="0.35">
      <c r="A33" s="560"/>
      <c r="B33" s="561"/>
      <c r="C33" s="562" t="s">
        <v>205</v>
      </c>
      <c r="D33" s="565"/>
      <c r="E33" s="57"/>
      <c r="F33" s="274"/>
      <c r="G33" s="86"/>
    </row>
    <row r="34" spans="1:7" x14ac:dyDescent="0.35">
      <c r="A34" s="560"/>
      <c r="B34" s="561"/>
      <c r="C34" s="115">
        <v>1</v>
      </c>
      <c r="D34" s="116" t="s">
        <v>319</v>
      </c>
      <c r="E34" s="57"/>
      <c r="F34" s="274"/>
      <c r="G34" s="86" t="s">
        <v>320</v>
      </c>
    </row>
    <row r="35" spans="1:7" x14ac:dyDescent="0.35">
      <c r="A35" s="560"/>
      <c r="B35" s="561"/>
      <c r="C35" s="566">
        <v>4</v>
      </c>
      <c r="D35" s="567" t="s">
        <v>152</v>
      </c>
      <c r="E35" s="57"/>
      <c r="F35" s="274"/>
      <c r="G35" s="86" t="s">
        <v>323</v>
      </c>
    </row>
    <row r="36" spans="1:7" x14ac:dyDescent="0.35">
      <c r="A36" s="560"/>
      <c r="B36" s="561"/>
      <c r="C36" s="566"/>
      <c r="D36" s="567"/>
      <c r="E36" s="57"/>
      <c r="F36" s="274"/>
      <c r="G36" s="86" t="s">
        <v>322</v>
      </c>
    </row>
    <row r="37" spans="1:7" x14ac:dyDescent="0.35">
      <c r="A37" s="560"/>
      <c r="B37" s="561"/>
      <c r="C37" s="115"/>
      <c r="D37" s="116" t="s">
        <v>206</v>
      </c>
      <c r="E37" s="57"/>
      <c r="F37" s="274"/>
      <c r="G37" s="86" t="s">
        <v>321</v>
      </c>
    </row>
    <row r="38" spans="1:7" x14ac:dyDescent="0.35">
      <c r="A38" s="560"/>
      <c r="B38" s="561"/>
      <c r="C38" s="562" t="s">
        <v>205</v>
      </c>
      <c r="D38" s="565"/>
      <c r="E38" s="57"/>
      <c r="F38" s="274"/>
      <c r="G38" s="86"/>
    </row>
    <row r="39" spans="1:7" x14ac:dyDescent="0.35">
      <c r="A39" s="560"/>
      <c r="B39" s="561"/>
      <c r="C39" s="115">
        <v>1</v>
      </c>
      <c r="D39" s="116" t="s">
        <v>204</v>
      </c>
      <c r="E39" s="57"/>
      <c r="F39" s="274"/>
      <c r="G39" s="1" t="s">
        <v>324</v>
      </c>
    </row>
    <row r="40" spans="1:7" ht="14.5" customHeight="1" x14ac:dyDescent="0.35">
      <c r="A40" s="560"/>
      <c r="B40" s="561"/>
      <c r="C40" s="566">
        <v>6</v>
      </c>
      <c r="D40" s="585" t="s">
        <v>192</v>
      </c>
      <c r="E40" s="57"/>
      <c r="F40" s="274"/>
      <c r="G40" s="86" t="s">
        <v>325</v>
      </c>
    </row>
    <row r="41" spans="1:7" x14ac:dyDescent="0.35">
      <c r="A41" s="560"/>
      <c r="B41" s="561"/>
      <c r="C41" s="566"/>
      <c r="D41" s="585"/>
      <c r="E41" s="57"/>
      <c r="F41" s="274"/>
      <c r="G41" s="86"/>
    </row>
    <row r="42" spans="1:7" x14ac:dyDescent="0.35">
      <c r="A42" s="560"/>
      <c r="B42" s="561"/>
      <c r="C42" s="115"/>
      <c r="D42" s="116" t="s">
        <v>206</v>
      </c>
      <c r="E42" s="57"/>
      <c r="F42" s="274"/>
      <c r="G42" s="86"/>
    </row>
    <row r="43" spans="1:7" x14ac:dyDescent="0.35">
      <c r="A43" s="560"/>
      <c r="B43" s="561"/>
      <c r="C43" s="278"/>
      <c r="D43" s="279" t="s">
        <v>62</v>
      </c>
      <c r="E43" s="137"/>
      <c r="F43" s="272"/>
      <c r="G43" s="140"/>
    </row>
    <row r="44" spans="1:7" ht="15" customHeight="1" x14ac:dyDescent="0.35">
      <c r="A44" s="560"/>
      <c r="B44" s="561"/>
      <c r="C44" s="115">
        <v>1</v>
      </c>
      <c r="D44" s="116" t="s">
        <v>58</v>
      </c>
      <c r="E44" s="117"/>
      <c r="F44" s="117"/>
      <c r="G44" s="117" t="s">
        <v>326</v>
      </c>
    </row>
    <row r="45" spans="1:7" x14ac:dyDescent="0.35">
      <c r="A45" s="560"/>
      <c r="B45" s="561"/>
      <c r="C45" s="115">
        <v>1</v>
      </c>
      <c r="D45" s="127" t="s">
        <v>207</v>
      </c>
      <c r="E45" s="117"/>
      <c r="F45" s="117"/>
      <c r="G45" s="117" t="s">
        <v>327</v>
      </c>
    </row>
    <row r="46" spans="1:7" ht="26" x14ac:dyDescent="0.35">
      <c r="A46" s="560"/>
      <c r="B46" s="561"/>
      <c r="C46" s="5">
        <v>1</v>
      </c>
      <c r="D46" s="127" t="s">
        <v>208</v>
      </c>
      <c r="E46" s="117"/>
      <c r="F46" s="117"/>
      <c r="G46" s="117" t="s">
        <v>29</v>
      </c>
    </row>
    <row r="47" spans="1:7" x14ac:dyDescent="0.35">
      <c r="A47" s="560"/>
      <c r="B47" s="561"/>
      <c r="C47" s="80"/>
      <c r="D47" s="65" t="s">
        <v>211</v>
      </c>
      <c r="E47" s="128"/>
      <c r="F47" s="276"/>
      <c r="G47" s="90" t="s">
        <v>328</v>
      </c>
    </row>
    <row r="48" spans="1:7" x14ac:dyDescent="0.35">
      <c r="A48" s="560"/>
      <c r="B48" s="561"/>
      <c r="C48" s="80"/>
      <c r="D48" s="63"/>
      <c r="E48" s="57"/>
      <c r="F48" s="274"/>
      <c r="G48" s="86"/>
    </row>
    <row r="49" spans="1:7" ht="15" customHeight="1" thickBot="1" x14ac:dyDescent="0.4">
      <c r="A49" s="560"/>
      <c r="B49" s="561"/>
      <c r="C49" s="80"/>
      <c r="D49" s="63"/>
      <c r="E49" s="57"/>
      <c r="F49" s="274"/>
      <c r="G49" s="86"/>
    </row>
    <row r="50" spans="1:7" ht="16.5" customHeight="1" x14ac:dyDescent="0.35">
      <c r="A50" s="69" t="s">
        <v>71</v>
      </c>
      <c r="B50" s="70"/>
      <c r="C50" s="70"/>
      <c r="D50" s="70"/>
      <c r="E50" s="92"/>
      <c r="F50" s="92"/>
      <c r="G50" s="93"/>
    </row>
    <row r="51" spans="1:7" ht="16.5" customHeight="1" x14ac:dyDescent="0.35">
      <c r="A51" s="71"/>
      <c r="B51" s="72"/>
      <c r="C51" s="72"/>
      <c r="D51" s="72"/>
      <c r="E51" s="38"/>
      <c r="F51" s="38"/>
      <c r="G51" s="94"/>
    </row>
    <row r="52" spans="1:7" x14ac:dyDescent="0.35">
      <c r="A52" s="73" t="s">
        <v>72</v>
      </c>
      <c r="B52" s="37"/>
      <c r="C52" s="38"/>
      <c r="D52" s="37"/>
      <c r="E52" s="39"/>
      <c r="F52" s="39"/>
      <c r="G52" s="95"/>
    </row>
    <row r="53" spans="1:7" ht="30" customHeight="1" x14ac:dyDescent="0.35">
      <c r="A53" s="43" t="s">
        <v>210</v>
      </c>
    </row>
    <row r="54" spans="1:7" ht="30" customHeight="1" x14ac:dyDescent="0.35">
      <c r="A54" s="546" t="s">
        <v>73</v>
      </c>
      <c r="B54" s="547"/>
      <c r="C54" s="547"/>
      <c r="D54" s="547"/>
      <c r="E54" s="547"/>
      <c r="F54" s="547"/>
      <c r="G54" s="548"/>
    </row>
    <row r="55" spans="1:7" ht="15" thickBot="1" x14ac:dyDescent="0.4">
      <c r="A55" s="75" t="s">
        <v>74</v>
      </c>
      <c r="B55" s="76"/>
      <c r="C55" s="77"/>
      <c r="D55" s="76"/>
      <c r="E55" s="78"/>
      <c r="F55" s="78"/>
      <c r="G55" s="96"/>
    </row>
    <row r="56" spans="1:7" x14ac:dyDescent="0.35">
      <c r="A56" s="549"/>
      <c r="B56" s="549"/>
      <c r="C56" s="549"/>
      <c r="D56" s="549"/>
    </row>
    <row r="57" spans="1:7" x14ac:dyDescent="0.35">
      <c r="A57" s="547"/>
      <c r="B57" s="547"/>
      <c r="C57" s="547"/>
      <c r="D57" s="547"/>
    </row>
  </sheetData>
  <mergeCells count="34">
    <mergeCell ref="B2:D3"/>
    <mergeCell ref="F9:F11"/>
    <mergeCell ref="C40:C41"/>
    <mergeCell ref="D40:D41"/>
    <mergeCell ref="C31:C32"/>
    <mergeCell ref="D31:D32"/>
    <mergeCell ref="C38:D38"/>
    <mergeCell ref="A15:B17"/>
    <mergeCell ref="A18:B19"/>
    <mergeCell ref="A20:A24"/>
    <mergeCell ref="B20:B22"/>
    <mergeCell ref="B23:B24"/>
    <mergeCell ref="A12:B14"/>
    <mergeCell ref="G9:G11"/>
    <mergeCell ref="A9:B11"/>
    <mergeCell ref="C9:C11"/>
    <mergeCell ref="D9:D11"/>
    <mergeCell ref="E9:E11"/>
    <mergeCell ref="A54:G54"/>
    <mergeCell ref="A56:D57"/>
    <mergeCell ref="C23:C24"/>
    <mergeCell ref="D23:D24"/>
    <mergeCell ref="E23:E24"/>
    <mergeCell ref="G23:G24"/>
    <mergeCell ref="A25:B49"/>
    <mergeCell ref="C25:D25"/>
    <mergeCell ref="C27:C28"/>
    <mergeCell ref="D27:D28"/>
    <mergeCell ref="C33:D33"/>
    <mergeCell ref="C35:C36"/>
    <mergeCell ref="D35:D36"/>
    <mergeCell ref="C29:D29"/>
    <mergeCell ref="G31:G32"/>
    <mergeCell ref="E31:E32"/>
  </mergeCells>
  <pageMargins left="0.7" right="0.7" top="0.75" bottom="0.75" header="0.3" footer="0.3"/>
  <pageSetup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0BA7-388A-4508-BBF4-8C7E52707C84}">
  <sheetPr>
    <pageSetUpPr fitToPage="1"/>
  </sheetPr>
  <dimension ref="B2:G67"/>
  <sheetViews>
    <sheetView zoomScaleNormal="100" workbookViewId="0">
      <selection activeCell="D5" sqref="D5"/>
    </sheetView>
  </sheetViews>
  <sheetFormatPr baseColWidth="10" defaultRowHeight="14.5" x14ac:dyDescent="0.35"/>
  <cols>
    <col min="1" max="1" width="4" customWidth="1"/>
    <col min="2" max="2" width="3.7265625" customWidth="1"/>
    <col min="3" max="3" width="33.1796875" customWidth="1"/>
    <col min="4" max="4" width="82.54296875" style="104" customWidth="1"/>
    <col min="5" max="6" width="3.7265625" customWidth="1"/>
    <col min="7" max="7" width="3.54296875" customWidth="1"/>
    <col min="8" max="8" width="3.7265625" customWidth="1"/>
  </cols>
  <sheetData>
    <row r="2" spans="2:7" x14ac:dyDescent="0.35">
      <c r="B2" s="97"/>
      <c r="C2" s="98"/>
      <c r="D2" s="99"/>
      <c r="E2" s="98"/>
      <c r="F2" s="98"/>
      <c r="G2" s="100"/>
    </row>
    <row r="3" spans="2:7" ht="18.5" x14ac:dyDescent="0.45">
      <c r="B3" s="101"/>
      <c r="D3" s="102" t="s">
        <v>158</v>
      </c>
      <c r="G3" s="103"/>
    </row>
    <row r="4" spans="2:7" ht="18.5" x14ac:dyDescent="0.45">
      <c r="B4" s="101"/>
      <c r="D4" s="102"/>
      <c r="G4" s="103"/>
    </row>
    <row r="5" spans="2:7" ht="18.5" x14ac:dyDescent="0.45">
      <c r="B5" s="101"/>
      <c r="D5" s="102"/>
      <c r="G5" s="103"/>
    </row>
    <row r="6" spans="2:7" ht="15" thickBot="1" x14ac:dyDescent="0.4">
      <c r="B6" s="101"/>
      <c r="G6" s="103"/>
    </row>
    <row r="7" spans="2:7" x14ac:dyDescent="0.35">
      <c r="B7" s="101"/>
      <c r="C7" s="105" t="s">
        <v>75</v>
      </c>
      <c r="D7" s="106" t="s">
        <v>171</v>
      </c>
      <c r="F7" s="4"/>
      <c r="G7" s="103"/>
    </row>
    <row r="8" spans="2:7" x14ac:dyDescent="0.35">
      <c r="B8" s="101"/>
      <c r="C8" s="2"/>
      <c r="G8" s="103"/>
    </row>
    <row r="9" spans="2:7" x14ac:dyDescent="0.35">
      <c r="B9" s="101"/>
      <c r="C9" s="2" t="s">
        <v>76</v>
      </c>
      <c r="D9" s="104" t="s">
        <v>172</v>
      </c>
      <c r="F9" s="4"/>
      <c r="G9" s="103"/>
    </row>
    <row r="10" spans="2:7" ht="15" thickBot="1" x14ac:dyDescent="0.4">
      <c r="B10" s="101"/>
      <c r="G10" s="103"/>
    </row>
    <row r="11" spans="2:7" x14ac:dyDescent="0.35">
      <c r="B11" s="101"/>
      <c r="C11" s="105" t="s">
        <v>77</v>
      </c>
      <c r="D11" s="106" t="s">
        <v>78</v>
      </c>
      <c r="E11" s="103"/>
      <c r="F11" s="4"/>
      <c r="G11" s="103"/>
    </row>
    <row r="12" spans="2:7" x14ac:dyDescent="0.35">
      <c r="B12" s="101"/>
      <c r="D12" s="104" t="s">
        <v>79</v>
      </c>
      <c r="G12" s="103"/>
    </row>
    <row r="13" spans="2:7" x14ac:dyDescent="0.35">
      <c r="B13" s="101"/>
      <c r="D13" s="104" t="s">
        <v>159</v>
      </c>
      <c r="G13" s="103"/>
    </row>
    <row r="14" spans="2:7" x14ac:dyDescent="0.35">
      <c r="B14" s="101"/>
      <c r="D14" s="104" t="s">
        <v>80</v>
      </c>
      <c r="G14" s="103"/>
    </row>
    <row r="15" spans="2:7" ht="15" thickBot="1" x14ac:dyDescent="0.4">
      <c r="B15" s="101"/>
      <c r="D15" s="104" t="s">
        <v>160</v>
      </c>
      <c r="G15" s="103"/>
    </row>
    <row r="16" spans="2:7" x14ac:dyDescent="0.35">
      <c r="B16" s="101"/>
      <c r="C16" s="105" t="s">
        <v>81</v>
      </c>
      <c r="D16" s="106" t="s">
        <v>173</v>
      </c>
      <c r="F16" s="4"/>
      <c r="G16" s="103"/>
    </row>
    <row r="17" spans="2:7" x14ac:dyDescent="0.35">
      <c r="B17" s="101"/>
      <c r="D17" s="107" t="s">
        <v>82</v>
      </c>
      <c r="G17" s="103"/>
    </row>
    <row r="18" spans="2:7" ht="15" thickBot="1" x14ac:dyDescent="0.4">
      <c r="B18" s="101"/>
      <c r="G18" s="103"/>
    </row>
    <row r="19" spans="2:7" x14ac:dyDescent="0.35">
      <c r="B19" s="101"/>
      <c r="C19" s="105" t="s">
        <v>83</v>
      </c>
      <c r="D19" s="106" t="s">
        <v>84</v>
      </c>
      <c r="F19" s="4"/>
      <c r="G19" s="103"/>
    </row>
    <row r="20" spans="2:7" x14ac:dyDescent="0.35">
      <c r="B20" s="101"/>
      <c r="D20" s="104" t="s">
        <v>85</v>
      </c>
      <c r="G20" s="103"/>
    </row>
    <row r="21" spans="2:7" x14ac:dyDescent="0.35">
      <c r="B21" s="101"/>
      <c r="D21" s="104" t="s">
        <v>174</v>
      </c>
      <c r="G21" s="103"/>
    </row>
    <row r="22" spans="2:7" x14ac:dyDescent="0.35">
      <c r="B22" s="101"/>
      <c r="D22" s="107" t="s">
        <v>175</v>
      </c>
      <c r="G22" s="103"/>
    </row>
    <row r="23" spans="2:7" ht="15" thickBot="1" x14ac:dyDescent="0.4">
      <c r="B23" s="101"/>
      <c r="G23" s="103"/>
    </row>
    <row r="24" spans="2:7" x14ac:dyDescent="0.35">
      <c r="B24" s="101"/>
      <c r="C24" s="105" t="s">
        <v>86</v>
      </c>
      <c r="D24" s="106" t="s">
        <v>176</v>
      </c>
      <c r="F24" s="4"/>
      <c r="G24" s="103"/>
    </row>
    <row r="25" spans="2:7" ht="15" thickBot="1" x14ac:dyDescent="0.4">
      <c r="B25" s="101"/>
      <c r="G25" s="103"/>
    </row>
    <row r="26" spans="2:7" x14ac:dyDescent="0.35">
      <c r="B26" s="101"/>
      <c r="C26" s="105" t="s">
        <v>87</v>
      </c>
      <c r="D26" s="106" t="s">
        <v>176</v>
      </c>
      <c r="F26" s="4"/>
      <c r="G26" s="103"/>
    </row>
    <row r="27" spans="2:7" ht="15" thickBot="1" x14ac:dyDescent="0.4">
      <c r="B27" s="101"/>
      <c r="G27" s="103"/>
    </row>
    <row r="28" spans="2:7" x14ac:dyDescent="0.35">
      <c r="B28" s="101"/>
      <c r="C28" s="105" t="s">
        <v>88</v>
      </c>
      <c r="D28" s="106" t="s">
        <v>89</v>
      </c>
      <c r="F28" s="4"/>
      <c r="G28" s="103"/>
    </row>
    <row r="29" spans="2:7" ht="15" thickBot="1" x14ac:dyDescent="0.4">
      <c r="B29" s="101"/>
      <c r="D29" s="104" t="s">
        <v>90</v>
      </c>
      <c r="G29" s="103"/>
    </row>
    <row r="30" spans="2:7" x14ac:dyDescent="0.35">
      <c r="B30" s="101"/>
      <c r="C30" s="105" t="s">
        <v>91</v>
      </c>
      <c r="D30" s="106"/>
      <c r="G30" s="103"/>
    </row>
    <row r="31" spans="2:7" x14ac:dyDescent="0.35">
      <c r="B31" s="101"/>
      <c r="D31" s="108" t="s">
        <v>92</v>
      </c>
      <c r="G31" s="103"/>
    </row>
    <row r="32" spans="2:7" x14ac:dyDescent="0.35">
      <c r="B32" s="101"/>
      <c r="C32" s="109" t="s">
        <v>51</v>
      </c>
      <c r="D32" s="478" t="s">
        <v>226</v>
      </c>
      <c r="F32" s="4"/>
      <c r="G32" s="103"/>
    </row>
    <row r="33" spans="2:7" x14ac:dyDescent="0.35">
      <c r="B33" s="101"/>
      <c r="D33" s="478"/>
      <c r="F33" s="4"/>
      <c r="G33" s="103"/>
    </row>
    <row r="34" spans="2:7" x14ac:dyDescent="0.35">
      <c r="B34" s="101"/>
      <c r="D34" s="104" t="s">
        <v>161</v>
      </c>
      <c r="F34" s="4"/>
      <c r="G34" s="103"/>
    </row>
    <row r="35" spans="2:7" x14ac:dyDescent="0.35">
      <c r="B35" s="101"/>
      <c r="D35" s="104" t="s">
        <v>162</v>
      </c>
      <c r="F35" s="4"/>
      <c r="G35" s="103"/>
    </row>
    <row r="36" spans="2:7" ht="25.15" customHeight="1" x14ac:dyDescent="0.35">
      <c r="B36" s="101"/>
      <c r="D36" s="192" t="s">
        <v>227</v>
      </c>
      <c r="G36" s="103"/>
    </row>
    <row r="37" spans="2:7" x14ac:dyDescent="0.35">
      <c r="B37" s="101"/>
      <c r="C37" s="109" t="s">
        <v>57</v>
      </c>
      <c r="D37" s="104" t="s">
        <v>163</v>
      </c>
      <c r="F37" s="4"/>
      <c r="G37" s="103"/>
    </row>
    <row r="38" spans="2:7" x14ac:dyDescent="0.35">
      <c r="B38" s="101"/>
      <c r="D38" s="104" t="s">
        <v>164</v>
      </c>
      <c r="F38" s="4"/>
      <c r="G38" s="103"/>
    </row>
    <row r="39" spans="2:7" x14ac:dyDescent="0.35">
      <c r="B39" s="101"/>
      <c r="G39" s="103"/>
    </row>
    <row r="40" spans="2:7" x14ac:dyDescent="0.35">
      <c r="B40" s="101"/>
      <c r="C40" s="109" t="s">
        <v>93</v>
      </c>
      <c r="D40" s="104" t="s">
        <v>165</v>
      </c>
      <c r="F40" s="4"/>
      <c r="G40" s="103"/>
    </row>
    <row r="41" spans="2:7" x14ac:dyDescent="0.35">
      <c r="B41" s="101"/>
      <c r="G41" s="103"/>
    </row>
    <row r="42" spans="2:7" x14ac:dyDescent="0.35">
      <c r="B42" s="101"/>
      <c r="C42" s="109" t="s">
        <v>94</v>
      </c>
      <c r="D42" s="104" t="s">
        <v>166</v>
      </c>
      <c r="F42" s="4"/>
      <c r="G42" s="103"/>
    </row>
    <row r="43" spans="2:7" x14ac:dyDescent="0.35">
      <c r="B43" s="101"/>
      <c r="D43" s="104" t="s">
        <v>167</v>
      </c>
      <c r="F43" s="4"/>
      <c r="G43" s="103"/>
    </row>
    <row r="44" spans="2:7" x14ac:dyDescent="0.35">
      <c r="B44" s="101"/>
      <c r="G44" s="103"/>
    </row>
    <row r="45" spans="2:7" x14ac:dyDescent="0.35">
      <c r="B45" s="101"/>
      <c r="C45" s="109" t="s">
        <v>95</v>
      </c>
      <c r="D45" s="104" t="s">
        <v>168</v>
      </c>
      <c r="G45" s="103"/>
    </row>
    <row r="46" spans="2:7" x14ac:dyDescent="0.35">
      <c r="B46" s="101"/>
      <c r="C46" s="109" t="s">
        <v>96</v>
      </c>
      <c r="D46" s="104" t="s">
        <v>97</v>
      </c>
      <c r="G46" s="103"/>
    </row>
    <row r="47" spans="2:7" ht="15" thickBot="1" x14ac:dyDescent="0.4">
      <c r="B47" s="101"/>
      <c r="C47" s="109"/>
      <c r="G47" s="103"/>
    </row>
    <row r="48" spans="2:7" x14ac:dyDescent="0.35">
      <c r="B48" s="101"/>
      <c r="C48" s="105" t="s">
        <v>98</v>
      </c>
      <c r="D48" s="106" t="s">
        <v>99</v>
      </c>
      <c r="F48" s="4"/>
      <c r="G48" s="103"/>
    </row>
    <row r="49" spans="2:7" ht="15" thickBot="1" x14ac:dyDescent="0.4">
      <c r="B49" s="101"/>
      <c r="G49" s="103"/>
    </row>
    <row r="50" spans="2:7" x14ac:dyDescent="0.35">
      <c r="B50" s="101"/>
      <c r="C50" s="105" t="s">
        <v>100</v>
      </c>
      <c r="D50" s="106" t="s">
        <v>101</v>
      </c>
      <c r="F50" s="4"/>
      <c r="G50" s="103"/>
    </row>
    <row r="51" spans="2:7" ht="15" thickBot="1" x14ac:dyDescent="0.4">
      <c r="B51" s="101"/>
      <c r="G51" s="103"/>
    </row>
    <row r="52" spans="2:7" x14ac:dyDescent="0.35">
      <c r="B52" s="101"/>
      <c r="C52" s="105" t="s">
        <v>102</v>
      </c>
      <c r="D52" s="106" t="s">
        <v>103</v>
      </c>
      <c r="F52" s="4"/>
      <c r="G52" s="103"/>
    </row>
    <row r="53" spans="2:7" x14ac:dyDescent="0.35">
      <c r="B53" s="101"/>
      <c r="G53" s="103"/>
    </row>
    <row r="54" spans="2:7" x14ac:dyDescent="0.35">
      <c r="B54" s="101"/>
      <c r="G54" s="103"/>
    </row>
    <row r="55" spans="2:7" x14ac:dyDescent="0.35">
      <c r="B55" s="101"/>
      <c r="C55" s="2"/>
      <c r="D55" s="2" t="s">
        <v>104</v>
      </c>
      <c r="G55" s="103"/>
    </row>
    <row r="56" spans="2:7" x14ac:dyDescent="0.35">
      <c r="B56" s="101"/>
      <c r="G56" s="103"/>
    </row>
    <row r="57" spans="2:7" x14ac:dyDescent="0.35">
      <c r="B57" s="101"/>
      <c r="C57" s="111" t="s">
        <v>105</v>
      </c>
      <c r="D57" s="104" t="s">
        <v>106</v>
      </c>
      <c r="G57" s="103"/>
    </row>
    <row r="58" spans="2:7" x14ac:dyDescent="0.35">
      <c r="B58" s="101"/>
      <c r="C58" s="111" t="s">
        <v>107</v>
      </c>
      <c r="D58" s="104" t="s">
        <v>108</v>
      </c>
      <c r="G58" s="103"/>
    </row>
    <row r="59" spans="2:7" x14ac:dyDescent="0.35">
      <c r="B59" s="101"/>
      <c r="C59" s="111" t="s">
        <v>109</v>
      </c>
      <c r="D59" s="104" t="s">
        <v>110</v>
      </c>
      <c r="G59" s="103"/>
    </row>
    <row r="60" spans="2:7" x14ac:dyDescent="0.35">
      <c r="B60" s="101"/>
      <c r="C60" s="111" t="s">
        <v>111</v>
      </c>
      <c r="D60" s="104" t="s">
        <v>112</v>
      </c>
      <c r="G60" s="103"/>
    </row>
    <row r="61" spans="2:7" x14ac:dyDescent="0.35">
      <c r="B61" s="101"/>
      <c r="C61" s="111" t="s">
        <v>113</v>
      </c>
      <c r="D61" s="104" t="s">
        <v>114</v>
      </c>
      <c r="G61" s="103"/>
    </row>
    <row r="62" spans="2:7" x14ac:dyDescent="0.35">
      <c r="B62" s="101"/>
      <c r="C62" s="111"/>
      <c r="D62" s="104" t="s">
        <v>115</v>
      </c>
      <c r="G62" s="103"/>
    </row>
    <row r="63" spans="2:7" ht="18.5" x14ac:dyDescent="0.45">
      <c r="B63" s="101"/>
      <c r="C63" s="112" t="s">
        <v>116</v>
      </c>
      <c r="D63" s="104" t="s">
        <v>117</v>
      </c>
      <c r="G63" s="103"/>
    </row>
    <row r="64" spans="2:7" x14ac:dyDescent="0.35">
      <c r="B64" s="101"/>
      <c r="C64" s="111" t="s">
        <v>118</v>
      </c>
      <c r="D64" s="104" t="s">
        <v>119</v>
      </c>
      <c r="G64" s="103"/>
    </row>
    <row r="65" spans="2:7" x14ac:dyDescent="0.35">
      <c r="B65" s="101"/>
      <c r="D65" s="104" t="s">
        <v>120</v>
      </c>
      <c r="G65" s="103"/>
    </row>
    <row r="66" spans="2:7" x14ac:dyDescent="0.35">
      <c r="B66" s="101"/>
      <c r="C66" s="111" t="s">
        <v>121</v>
      </c>
      <c r="D66" s="104" t="s">
        <v>122</v>
      </c>
      <c r="G66" s="103"/>
    </row>
    <row r="67" spans="2:7" x14ac:dyDescent="0.35">
      <c r="B67" s="599" t="s">
        <v>169</v>
      </c>
      <c r="C67" s="600"/>
      <c r="D67" s="110" t="s">
        <v>170</v>
      </c>
      <c r="E67" s="113"/>
      <c r="F67" s="113"/>
      <c r="G67" s="114"/>
    </row>
  </sheetData>
  <mergeCells count="2">
    <mergeCell ref="D32:D33"/>
    <mergeCell ref="B67:C67"/>
  </mergeCells>
  <pageMargins left="0.7" right="0.7" top="0.75" bottom="0.75" header="0.3" footer="0.3"/>
  <pageSetup scale="64" orientation="portrait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8185-2CDB-49DB-93DD-F177A265A689}">
  <dimension ref="A1:F63"/>
  <sheetViews>
    <sheetView zoomScale="80" zoomScaleNormal="80" workbookViewId="0">
      <selection activeCell="F50" sqref="F50:F51"/>
    </sheetView>
  </sheetViews>
  <sheetFormatPr baseColWidth="10" defaultRowHeight="14.5" x14ac:dyDescent="0.35"/>
  <cols>
    <col min="1" max="2" width="11.453125" style="37" customWidth="1"/>
    <col min="3" max="3" width="6" style="38" customWidth="1"/>
    <col min="4" max="4" width="66.7265625" style="37" customWidth="1"/>
    <col min="5" max="5" width="5.7265625" style="39" customWidth="1"/>
    <col min="6" max="6" width="5.7265625" style="37" customWidth="1"/>
  </cols>
  <sheetData>
    <row r="1" spans="1:6" ht="15" thickBot="1" x14ac:dyDescent="0.4">
      <c r="A1" s="150"/>
      <c r="B1" s="151"/>
      <c r="C1" s="152"/>
      <c r="D1" s="151"/>
      <c r="E1" s="153"/>
      <c r="F1" s="154"/>
    </row>
    <row r="2" spans="1:6" ht="15" thickBot="1" x14ac:dyDescent="0.4">
      <c r="A2" s="155"/>
      <c r="B2" s="147"/>
      <c r="C2" s="148"/>
      <c r="D2" s="147"/>
      <c r="E2" s="149"/>
      <c r="F2" s="156"/>
    </row>
    <row r="3" spans="1:6" ht="14.5" customHeight="1" thickBot="1" x14ac:dyDescent="0.4">
      <c r="A3" s="155"/>
      <c r="B3" s="601" t="s">
        <v>184</v>
      </c>
      <c r="C3" s="601"/>
      <c r="D3" s="601"/>
      <c r="E3" s="149"/>
      <c r="F3" s="156"/>
    </row>
    <row r="4" spans="1:6" ht="14.5" customHeight="1" thickBot="1" x14ac:dyDescent="0.4">
      <c r="A4" s="155"/>
      <c r="B4" s="601"/>
      <c r="C4" s="601"/>
      <c r="D4" s="601"/>
      <c r="E4" s="149"/>
      <c r="F4" s="156"/>
    </row>
    <row r="5" spans="1:6" ht="14.5" customHeight="1" thickBot="1" x14ac:dyDescent="0.4">
      <c r="A5" s="155"/>
      <c r="B5" s="601"/>
      <c r="C5" s="601"/>
      <c r="D5" s="601"/>
      <c r="E5" s="149"/>
      <c r="F5" s="156"/>
    </row>
    <row r="6" spans="1:6" ht="15" thickBot="1" x14ac:dyDescent="0.4">
      <c r="A6" s="155"/>
      <c r="B6" s="147"/>
      <c r="C6" s="148"/>
      <c r="D6" s="147"/>
      <c r="E6" s="149"/>
      <c r="F6" s="156"/>
    </row>
    <row r="7" spans="1:6" ht="15" thickBot="1" x14ac:dyDescent="0.4">
      <c r="A7" s="155"/>
      <c r="B7" s="147"/>
      <c r="C7" s="148"/>
      <c r="D7" s="147"/>
      <c r="E7" s="149"/>
      <c r="F7" s="156"/>
    </row>
    <row r="8" spans="1:6" ht="15" thickBot="1" x14ac:dyDescent="0.4">
      <c r="A8" s="155"/>
      <c r="B8" s="147"/>
      <c r="C8" s="148"/>
      <c r="D8" s="147"/>
      <c r="E8" s="149"/>
      <c r="F8" s="156"/>
    </row>
    <row r="9" spans="1:6" ht="20.149999999999999" customHeight="1" x14ac:dyDescent="0.35">
      <c r="A9" s="464" t="s">
        <v>22</v>
      </c>
      <c r="B9" s="454"/>
      <c r="C9" s="574" t="s">
        <v>23</v>
      </c>
      <c r="D9" s="576" t="s">
        <v>24</v>
      </c>
      <c r="E9" s="574" t="s">
        <v>25</v>
      </c>
      <c r="F9" s="572" t="s">
        <v>26</v>
      </c>
    </row>
    <row r="10" spans="1:6" ht="20.149999999999999" customHeight="1" x14ac:dyDescent="0.35">
      <c r="A10" s="464"/>
      <c r="B10" s="454"/>
      <c r="C10" s="574"/>
      <c r="D10" s="576"/>
      <c r="E10" s="574"/>
      <c r="F10" s="572"/>
    </row>
    <row r="11" spans="1:6" ht="20.149999999999999" customHeight="1" thickBot="1" x14ac:dyDescent="0.4">
      <c r="A11" s="465"/>
      <c r="B11" s="456"/>
      <c r="C11" s="575"/>
      <c r="D11" s="577"/>
      <c r="E11" s="575"/>
      <c r="F11" s="573"/>
    </row>
    <row r="12" spans="1:6" ht="25" customHeight="1" x14ac:dyDescent="0.35">
      <c r="A12" s="586" t="s">
        <v>27</v>
      </c>
      <c r="B12" s="587"/>
      <c r="C12" s="81">
        <v>1</v>
      </c>
      <c r="D12" s="43" t="s">
        <v>177</v>
      </c>
      <c r="E12" s="41"/>
      <c r="F12" s="42" t="s">
        <v>29</v>
      </c>
    </row>
    <row r="13" spans="1:6" ht="25" customHeight="1" x14ac:dyDescent="0.35">
      <c r="A13" s="588"/>
      <c r="B13" s="589"/>
      <c r="C13" s="83">
        <v>1</v>
      </c>
      <c r="D13" s="37" t="s">
        <v>28</v>
      </c>
      <c r="E13" s="44"/>
      <c r="F13" s="45" t="s">
        <v>29</v>
      </c>
    </row>
    <row r="14" spans="1:6" ht="25" customHeight="1" x14ac:dyDescent="0.35">
      <c r="A14" s="588"/>
      <c r="B14" s="589"/>
      <c r="C14" s="83">
        <v>1</v>
      </c>
      <c r="D14" s="43" t="s">
        <v>31</v>
      </c>
      <c r="E14" s="46" t="s">
        <v>29</v>
      </c>
      <c r="F14" s="45" t="s">
        <v>134</v>
      </c>
    </row>
    <row r="15" spans="1:6" ht="25" customHeight="1" x14ac:dyDescent="0.35">
      <c r="A15" s="588"/>
      <c r="B15" s="589"/>
      <c r="C15" s="83">
        <v>2</v>
      </c>
      <c r="D15" s="43" t="s">
        <v>32</v>
      </c>
      <c r="E15" s="139" t="s">
        <v>29</v>
      </c>
      <c r="F15" s="47" t="s">
        <v>134</v>
      </c>
    </row>
    <row r="16" spans="1:6" ht="25" customHeight="1" thickBot="1" x14ac:dyDescent="0.4">
      <c r="A16" s="597"/>
      <c r="B16" s="598"/>
      <c r="C16" s="82"/>
      <c r="D16" s="48" t="s">
        <v>228</v>
      </c>
      <c r="E16" s="49"/>
      <c r="F16" s="50"/>
    </row>
    <row r="17" spans="1:6" ht="35.15" customHeight="1" thickBot="1" x14ac:dyDescent="0.4">
      <c r="A17" s="586" t="s">
        <v>33</v>
      </c>
      <c r="B17" s="587"/>
      <c r="C17" s="81">
        <v>1</v>
      </c>
      <c r="D17" s="144" t="s">
        <v>34</v>
      </c>
      <c r="E17" s="145" t="s">
        <v>29</v>
      </c>
      <c r="F17" s="146"/>
    </row>
    <row r="18" spans="1:6" ht="35.15" customHeight="1" x14ac:dyDescent="0.35">
      <c r="A18" s="588"/>
      <c r="B18" s="589"/>
      <c r="C18" s="605">
        <v>2</v>
      </c>
      <c r="D18" s="607" t="s">
        <v>36</v>
      </c>
      <c r="E18" s="602" t="s">
        <v>29</v>
      </c>
      <c r="F18" s="602"/>
    </row>
    <row r="19" spans="1:6" ht="40" customHeight="1" thickBot="1" x14ac:dyDescent="0.4">
      <c r="A19" s="597"/>
      <c r="B19" s="598"/>
      <c r="C19" s="606"/>
      <c r="D19" s="608"/>
      <c r="E19" s="603"/>
      <c r="F19" s="603"/>
    </row>
    <row r="20" spans="1:6" ht="30" customHeight="1" x14ac:dyDescent="0.35">
      <c r="A20" s="590" t="s">
        <v>37</v>
      </c>
      <c r="B20" s="591"/>
      <c r="C20" s="81">
        <v>1</v>
      </c>
      <c r="D20" s="40" t="s">
        <v>38</v>
      </c>
      <c r="E20" s="41"/>
      <c r="F20" s="85" t="s">
        <v>29</v>
      </c>
    </row>
    <row r="21" spans="1:6" ht="30" customHeight="1" x14ac:dyDescent="0.35">
      <c r="A21" s="609"/>
      <c r="B21" s="610"/>
      <c r="C21" s="83">
        <v>1</v>
      </c>
      <c r="D21" s="43" t="s">
        <v>39</v>
      </c>
      <c r="E21" s="46"/>
      <c r="F21" s="86" t="s">
        <v>29</v>
      </c>
    </row>
    <row r="22" spans="1:6" ht="30" customHeight="1" x14ac:dyDescent="0.35">
      <c r="A22" s="609"/>
      <c r="B22" s="610"/>
      <c r="C22" s="83">
        <v>1</v>
      </c>
      <c r="D22" s="43" t="s">
        <v>40</v>
      </c>
      <c r="E22" s="46"/>
      <c r="F22" s="86" t="s">
        <v>29</v>
      </c>
    </row>
    <row r="23" spans="1:6" ht="30" customHeight="1" x14ac:dyDescent="0.35">
      <c r="A23" s="609"/>
      <c r="B23" s="610"/>
      <c r="C23" s="83">
        <v>1</v>
      </c>
      <c r="D23" s="43" t="s">
        <v>179</v>
      </c>
      <c r="E23" s="139"/>
      <c r="F23" s="140" t="s">
        <v>134</v>
      </c>
    </row>
    <row r="24" spans="1:6" ht="30" customHeight="1" thickBot="1" x14ac:dyDescent="0.4">
      <c r="A24" s="592"/>
      <c r="B24" s="593"/>
      <c r="C24" s="82">
        <v>1</v>
      </c>
      <c r="D24" s="54" t="s">
        <v>178</v>
      </c>
      <c r="E24" s="49"/>
      <c r="F24" s="89" t="s">
        <v>29</v>
      </c>
    </row>
    <row r="25" spans="1:6" ht="32.15" customHeight="1" x14ac:dyDescent="0.35">
      <c r="A25" s="594" t="s">
        <v>42</v>
      </c>
      <c r="B25" s="594" t="s">
        <v>43</v>
      </c>
      <c r="C25" s="81">
        <v>1</v>
      </c>
      <c r="D25" s="40" t="s">
        <v>44</v>
      </c>
      <c r="E25" s="41"/>
      <c r="F25" s="85" t="s">
        <v>29</v>
      </c>
    </row>
    <row r="26" spans="1:6" ht="32.15" customHeight="1" x14ac:dyDescent="0.35">
      <c r="A26" s="595"/>
      <c r="B26" s="595"/>
      <c r="C26" s="83">
        <v>1</v>
      </c>
      <c r="D26" s="43" t="s">
        <v>45</v>
      </c>
      <c r="E26" s="46"/>
      <c r="F26" s="86" t="s">
        <v>29</v>
      </c>
    </row>
    <row r="27" spans="1:6" ht="32.15" customHeight="1" thickBot="1" x14ac:dyDescent="0.4">
      <c r="A27" s="595"/>
      <c r="B27" s="596"/>
      <c r="C27" s="82"/>
      <c r="D27" s="54"/>
      <c r="E27" s="49"/>
      <c r="F27" s="89"/>
    </row>
    <row r="28" spans="1:6" ht="32.15" customHeight="1" x14ac:dyDescent="0.35">
      <c r="A28" s="595"/>
      <c r="B28" s="595" t="s">
        <v>47</v>
      </c>
      <c r="C28" s="550">
        <v>1</v>
      </c>
      <c r="D28" s="552" t="s">
        <v>48</v>
      </c>
      <c r="E28" s="554"/>
      <c r="F28" s="556" t="s">
        <v>29</v>
      </c>
    </row>
    <row r="29" spans="1:6" ht="32.15" customHeight="1" thickBot="1" x14ac:dyDescent="0.4">
      <c r="A29" s="596"/>
      <c r="B29" s="596"/>
      <c r="C29" s="551"/>
      <c r="D29" s="553"/>
      <c r="E29" s="555"/>
      <c r="F29" s="557"/>
    </row>
    <row r="30" spans="1:6" ht="15" customHeight="1" x14ac:dyDescent="0.35">
      <c r="A30" s="558" t="s">
        <v>50</v>
      </c>
      <c r="B30" s="559"/>
      <c r="C30" s="562" t="s">
        <v>51</v>
      </c>
      <c r="D30" s="563"/>
      <c r="E30" s="55"/>
      <c r="F30" s="56"/>
    </row>
    <row r="31" spans="1:6" ht="15.75" customHeight="1" x14ac:dyDescent="0.35">
      <c r="A31" s="560"/>
      <c r="B31" s="618"/>
      <c r="C31" s="83">
        <v>3</v>
      </c>
      <c r="D31" s="43" t="s">
        <v>52</v>
      </c>
      <c r="E31" s="46"/>
      <c r="F31" s="45" t="s">
        <v>29</v>
      </c>
    </row>
    <row r="32" spans="1:6" x14ac:dyDescent="0.35">
      <c r="A32" s="560"/>
      <c r="B32" s="618"/>
      <c r="C32" s="83">
        <v>3</v>
      </c>
      <c r="D32" s="43" t="s">
        <v>54</v>
      </c>
      <c r="E32" s="46"/>
      <c r="F32" s="45" t="s">
        <v>29</v>
      </c>
    </row>
    <row r="33" spans="1:6" ht="15" customHeight="1" x14ac:dyDescent="0.35">
      <c r="A33" s="560"/>
      <c r="B33" s="618"/>
      <c r="C33" s="83"/>
      <c r="D33" s="611" t="s">
        <v>229</v>
      </c>
      <c r="E33" s="46"/>
      <c r="F33" s="45"/>
    </row>
    <row r="34" spans="1:6" x14ac:dyDescent="0.35">
      <c r="A34" s="560"/>
      <c r="B34" s="618"/>
      <c r="C34" s="83"/>
      <c r="D34" s="611"/>
      <c r="E34" s="46"/>
      <c r="F34" s="45"/>
    </row>
    <row r="35" spans="1:6" x14ac:dyDescent="0.35">
      <c r="A35" s="560"/>
      <c r="B35" s="618"/>
      <c r="C35" s="83"/>
      <c r="D35" s="611"/>
      <c r="E35" s="46"/>
      <c r="F35" s="45"/>
    </row>
    <row r="36" spans="1:6" ht="15" thickBot="1" x14ac:dyDescent="0.4">
      <c r="A36" s="560"/>
      <c r="B36" s="618"/>
      <c r="C36" s="562" t="s">
        <v>57</v>
      </c>
      <c r="D36" s="563"/>
      <c r="E36" s="46"/>
      <c r="F36" s="45"/>
    </row>
    <row r="37" spans="1:6" x14ac:dyDescent="0.35">
      <c r="A37" s="560"/>
      <c r="B37" s="618"/>
      <c r="C37" s="81"/>
      <c r="D37" s="193" t="s">
        <v>59</v>
      </c>
      <c r="E37" s="46"/>
      <c r="F37" s="45"/>
    </row>
    <row r="38" spans="1:6" x14ac:dyDescent="0.35">
      <c r="A38" s="560"/>
      <c r="B38" s="618"/>
      <c r="C38" s="83">
        <v>1</v>
      </c>
      <c r="D38" s="194" t="s">
        <v>182</v>
      </c>
      <c r="E38" s="46"/>
      <c r="F38" s="45" t="s">
        <v>29</v>
      </c>
    </row>
    <row r="39" spans="1:6" x14ac:dyDescent="0.35">
      <c r="A39" s="560"/>
      <c r="B39" s="618"/>
      <c r="C39" s="83">
        <v>6</v>
      </c>
      <c r="D39" s="194" t="s">
        <v>230</v>
      </c>
      <c r="E39" s="46"/>
      <c r="F39" s="568" t="s">
        <v>29</v>
      </c>
    </row>
    <row r="40" spans="1:6" x14ac:dyDescent="0.35">
      <c r="A40" s="560"/>
      <c r="B40" s="618"/>
      <c r="C40" s="83"/>
      <c r="D40" s="194" t="s">
        <v>181</v>
      </c>
      <c r="E40" s="46"/>
      <c r="F40" s="569"/>
    </row>
    <row r="41" spans="1:6" x14ac:dyDescent="0.35">
      <c r="A41" s="560"/>
      <c r="B41" s="618"/>
      <c r="C41" s="83"/>
      <c r="D41" s="194"/>
      <c r="E41" s="46"/>
      <c r="F41" s="45"/>
    </row>
    <row r="42" spans="1:6" ht="15" customHeight="1" x14ac:dyDescent="0.35">
      <c r="A42" s="560"/>
      <c r="B42" s="618"/>
      <c r="C42" s="83"/>
      <c r="D42" s="195" t="s">
        <v>63</v>
      </c>
      <c r="E42" s="46"/>
      <c r="F42" s="45"/>
    </row>
    <row r="43" spans="1:6" ht="15" customHeight="1" x14ac:dyDescent="0.35">
      <c r="A43" s="560"/>
      <c r="B43" s="618"/>
      <c r="C43" s="83">
        <v>1</v>
      </c>
      <c r="D43" s="604" t="s">
        <v>180</v>
      </c>
      <c r="E43" s="46"/>
      <c r="F43" s="568" t="s">
        <v>29</v>
      </c>
    </row>
    <row r="44" spans="1:6" ht="15" customHeight="1" x14ac:dyDescent="0.35">
      <c r="A44" s="560"/>
      <c r="B44" s="618"/>
      <c r="C44" s="83"/>
      <c r="D44" s="604"/>
      <c r="E44" s="46"/>
      <c r="F44" s="569"/>
    </row>
    <row r="45" spans="1:6" x14ac:dyDescent="0.35">
      <c r="A45" s="560"/>
      <c r="B45" s="618"/>
      <c r="C45" s="83">
        <v>6</v>
      </c>
      <c r="D45" s="194" t="s">
        <v>231</v>
      </c>
      <c r="E45" s="46"/>
      <c r="F45" s="568" t="s">
        <v>29</v>
      </c>
    </row>
    <row r="46" spans="1:6" x14ac:dyDescent="0.35">
      <c r="A46" s="560"/>
      <c r="B46" s="618"/>
      <c r="C46" s="83">
        <v>1</v>
      </c>
      <c r="D46" s="194" t="s">
        <v>61</v>
      </c>
      <c r="E46" s="46"/>
      <c r="F46" s="569"/>
    </row>
    <row r="47" spans="1:6" x14ac:dyDescent="0.35">
      <c r="A47" s="560"/>
      <c r="B47" s="618"/>
      <c r="C47" s="83"/>
      <c r="D47" s="194"/>
      <c r="E47" s="46"/>
      <c r="F47" s="45"/>
    </row>
    <row r="48" spans="1:6" x14ac:dyDescent="0.35">
      <c r="A48" s="560"/>
      <c r="B48" s="618"/>
      <c r="C48" s="83"/>
      <c r="D48" s="195" t="s">
        <v>68</v>
      </c>
      <c r="E48" s="46"/>
      <c r="F48" s="45"/>
    </row>
    <row r="49" spans="1:6" ht="15" customHeight="1" x14ac:dyDescent="0.35">
      <c r="A49" s="560"/>
      <c r="B49" s="618"/>
      <c r="C49" s="83">
        <v>1</v>
      </c>
      <c r="D49" s="194" t="s">
        <v>64</v>
      </c>
      <c r="E49" s="46"/>
      <c r="F49" s="45" t="s">
        <v>29</v>
      </c>
    </row>
    <row r="50" spans="1:6" x14ac:dyDescent="0.35">
      <c r="A50" s="560"/>
      <c r="B50" s="618"/>
      <c r="C50" s="83">
        <v>1</v>
      </c>
      <c r="D50" s="194" t="s">
        <v>69</v>
      </c>
      <c r="E50" s="46"/>
      <c r="F50" s="568" t="s">
        <v>29</v>
      </c>
    </row>
    <row r="51" spans="1:6" x14ac:dyDescent="0.35">
      <c r="A51" s="560"/>
      <c r="B51" s="618"/>
      <c r="C51" s="83"/>
      <c r="D51" s="194" t="s">
        <v>183</v>
      </c>
      <c r="E51" s="46"/>
      <c r="F51" s="569"/>
    </row>
    <row r="52" spans="1:6" x14ac:dyDescent="0.35">
      <c r="A52" s="560"/>
      <c r="B52" s="618"/>
      <c r="C52" s="83"/>
      <c r="D52" s="194" t="s">
        <v>232</v>
      </c>
      <c r="E52" s="46"/>
      <c r="F52" s="45"/>
    </row>
    <row r="53" spans="1:6" x14ac:dyDescent="0.35">
      <c r="A53" s="560"/>
      <c r="B53" s="618"/>
      <c r="C53" s="83"/>
      <c r="D53" s="621" t="s">
        <v>233</v>
      </c>
      <c r="E53" s="46"/>
      <c r="F53" s="45"/>
    </row>
    <row r="54" spans="1:6" ht="25" customHeight="1" x14ac:dyDescent="0.35">
      <c r="A54" s="560"/>
      <c r="B54" s="618"/>
      <c r="C54" s="83"/>
      <c r="D54" s="621"/>
      <c r="E54" s="46"/>
      <c r="F54" s="45"/>
    </row>
    <row r="55" spans="1:6" ht="25" customHeight="1" thickBot="1" x14ac:dyDescent="0.4">
      <c r="A55" s="619"/>
      <c r="B55" s="620"/>
      <c r="C55" s="82"/>
      <c r="D55" s="196" t="s">
        <v>70</v>
      </c>
      <c r="E55" s="49"/>
      <c r="F55" s="50"/>
    </row>
    <row r="56" spans="1:6" ht="25" customHeight="1" x14ac:dyDescent="0.35">
      <c r="A56" s="141"/>
      <c r="B56" s="143"/>
      <c r="C56" s="157"/>
      <c r="D56" s="158"/>
      <c r="E56" s="66"/>
      <c r="F56" s="67"/>
    </row>
    <row r="57" spans="1:6" ht="25" customHeight="1" thickBot="1" x14ac:dyDescent="0.4">
      <c r="A57" s="141"/>
      <c r="B57" s="143"/>
      <c r="C57" s="157"/>
      <c r="D57" s="158"/>
      <c r="E57" s="66"/>
      <c r="F57" s="67"/>
    </row>
    <row r="58" spans="1:6" ht="16.5" customHeight="1" x14ac:dyDescent="0.35">
      <c r="A58" s="612" t="s">
        <v>71</v>
      </c>
      <c r="B58" s="613"/>
      <c r="C58" s="613"/>
      <c r="D58" s="613"/>
      <c r="E58" s="613"/>
      <c r="F58" s="614"/>
    </row>
    <row r="59" spans="1:6" ht="16.5" customHeight="1" x14ac:dyDescent="0.35">
      <c r="A59" s="615"/>
      <c r="B59" s="616"/>
      <c r="C59" s="616"/>
      <c r="D59" s="616"/>
      <c r="E59" s="616"/>
      <c r="F59" s="617"/>
    </row>
    <row r="60" spans="1:6" x14ac:dyDescent="0.35">
      <c r="A60" s="73" t="s">
        <v>72</v>
      </c>
      <c r="F60" s="74"/>
    </row>
    <row r="61" spans="1:6" ht="30" customHeight="1" x14ac:dyDescent="0.35">
      <c r="A61" s="546" t="s">
        <v>73</v>
      </c>
      <c r="B61" s="547"/>
      <c r="C61" s="547"/>
      <c r="D61" s="547"/>
      <c r="E61" s="547"/>
      <c r="F61" s="548"/>
    </row>
    <row r="62" spans="1:6" ht="15" thickBot="1" x14ac:dyDescent="0.4">
      <c r="A62" s="75" t="s">
        <v>74</v>
      </c>
      <c r="B62" s="76"/>
      <c r="C62" s="77"/>
      <c r="D62" s="76"/>
      <c r="E62" s="78"/>
      <c r="F62" s="79"/>
    </row>
    <row r="63" spans="1:6" ht="42" customHeight="1" x14ac:dyDescent="0.35"/>
  </sheetData>
  <mergeCells count="32">
    <mergeCell ref="D33:D35"/>
    <mergeCell ref="A58:F59"/>
    <mergeCell ref="A61:F61"/>
    <mergeCell ref="E28:E29"/>
    <mergeCell ref="F28:F29"/>
    <mergeCell ref="A30:B55"/>
    <mergeCell ref="C30:D30"/>
    <mergeCell ref="C36:D36"/>
    <mergeCell ref="A25:A29"/>
    <mergeCell ref="B25:B27"/>
    <mergeCell ref="B28:B29"/>
    <mergeCell ref="C28:C29"/>
    <mergeCell ref="D28:D29"/>
    <mergeCell ref="F39:F40"/>
    <mergeCell ref="F45:F46"/>
    <mergeCell ref="D53:D54"/>
    <mergeCell ref="F50:F51"/>
    <mergeCell ref="B3:D5"/>
    <mergeCell ref="E18:E19"/>
    <mergeCell ref="F18:F19"/>
    <mergeCell ref="D43:D44"/>
    <mergeCell ref="F43:F44"/>
    <mergeCell ref="A12:B16"/>
    <mergeCell ref="A17:B19"/>
    <mergeCell ref="C18:C19"/>
    <mergeCell ref="D18:D19"/>
    <mergeCell ref="A20:B24"/>
    <mergeCell ref="F9:F11"/>
    <mergeCell ref="A9:B11"/>
    <mergeCell ref="C9:C11"/>
    <mergeCell ref="D9:D11"/>
    <mergeCell ref="E9:E11"/>
  </mergeCells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8C24-9496-43E6-9410-747712456B35}">
  <dimension ref="A1:F46"/>
  <sheetViews>
    <sheetView topLeftCell="A3" zoomScale="80" zoomScaleNormal="80" workbookViewId="0">
      <selection activeCell="I5" sqref="I5"/>
    </sheetView>
  </sheetViews>
  <sheetFormatPr baseColWidth="10" defaultRowHeight="14.5" x14ac:dyDescent="0.35"/>
  <cols>
    <col min="2" max="2" width="21.54296875" customWidth="1"/>
    <col min="4" max="4" width="69.54296875" customWidth="1"/>
    <col min="5" max="6" width="11.54296875" style="1"/>
  </cols>
  <sheetData>
    <row r="1" spans="1:6" ht="15" thickBot="1" x14ac:dyDescent="0.4">
      <c r="A1" s="184"/>
      <c r="B1" s="178"/>
      <c r="C1" s="178"/>
      <c r="D1" s="178"/>
      <c r="E1" s="185"/>
      <c r="F1" s="186"/>
    </row>
    <row r="2" spans="1:6" ht="15" customHeight="1" thickBot="1" x14ac:dyDescent="0.4">
      <c r="A2" s="187"/>
      <c r="B2" s="578" t="s">
        <v>224</v>
      </c>
      <c r="C2" s="579"/>
      <c r="D2" s="580"/>
      <c r="E2" s="183"/>
      <c r="F2" s="188"/>
    </row>
    <row r="3" spans="1:6" ht="15" customHeight="1" thickBot="1" x14ac:dyDescent="0.4">
      <c r="A3" s="187"/>
      <c r="B3" s="581"/>
      <c r="C3" s="582"/>
      <c r="D3" s="583"/>
      <c r="E3" s="183"/>
      <c r="F3" s="188"/>
    </row>
    <row r="4" spans="1:6" ht="15" customHeight="1" thickBot="1" x14ac:dyDescent="0.4">
      <c r="A4" s="187"/>
      <c r="B4" s="581"/>
      <c r="C4" s="582"/>
      <c r="D4" s="583"/>
      <c r="E4" s="183"/>
      <c r="F4" s="188"/>
    </row>
    <row r="5" spans="1:6" ht="15" thickBot="1" x14ac:dyDescent="0.4">
      <c r="A5" s="187"/>
      <c r="B5" s="622"/>
      <c r="C5" s="623"/>
      <c r="D5" s="624"/>
      <c r="E5" s="183"/>
      <c r="F5" s="188"/>
    </row>
    <row r="6" spans="1:6" ht="15" thickBot="1" x14ac:dyDescent="0.4">
      <c r="A6" s="187"/>
      <c r="B6" s="177"/>
      <c r="C6" s="177"/>
      <c r="D6" s="177"/>
      <c r="E6" s="183"/>
      <c r="F6" s="188"/>
    </row>
    <row r="7" spans="1:6" ht="15" thickBot="1" x14ac:dyDescent="0.4">
      <c r="A7" s="189"/>
      <c r="B7" s="181"/>
      <c r="C7" s="181"/>
      <c r="D7" s="181"/>
      <c r="E7" s="190"/>
      <c r="F7" s="191"/>
    </row>
    <row r="8" spans="1:6" ht="20.149999999999999" customHeight="1" x14ac:dyDescent="0.35">
      <c r="A8" s="464" t="s">
        <v>22</v>
      </c>
      <c r="B8" s="454"/>
      <c r="C8" s="574" t="s">
        <v>23</v>
      </c>
      <c r="D8" s="576" t="s">
        <v>24</v>
      </c>
      <c r="E8" s="574" t="s">
        <v>25</v>
      </c>
      <c r="F8" s="572" t="s">
        <v>26</v>
      </c>
    </row>
    <row r="9" spans="1:6" ht="20.149999999999999" customHeight="1" x14ac:dyDescent="0.35">
      <c r="A9" s="464"/>
      <c r="B9" s="454"/>
      <c r="C9" s="574"/>
      <c r="D9" s="576"/>
      <c r="E9" s="574"/>
      <c r="F9" s="572"/>
    </row>
    <row r="10" spans="1:6" ht="20.149999999999999" customHeight="1" thickBot="1" x14ac:dyDescent="0.4">
      <c r="A10" s="465"/>
      <c r="B10" s="456"/>
      <c r="C10" s="575"/>
      <c r="D10" s="577"/>
      <c r="E10" s="575"/>
      <c r="F10" s="573"/>
    </row>
    <row r="11" spans="1:6" ht="25" customHeight="1" x14ac:dyDescent="0.35">
      <c r="A11" s="586" t="s">
        <v>186</v>
      </c>
      <c r="B11" s="587"/>
      <c r="C11" s="81">
        <v>1</v>
      </c>
      <c r="D11" s="40" t="s">
        <v>28</v>
      </c>
      <c r="E11" s="41"/>
      <c r="F11" s="85" t="s">
        <v>29</v>
      </c>
    </row>
    <row r="12" spans="1:6" ht="25" customHeight="1" thickBot="1" x14ac:dyDescent="0.4">
      <c r="A12" s="588"/>
      <c r="B12" s="589"/>
      <c r="C12" s="82">
        <v>1</v>
      </c>
      <c r="D12" s="54" t="s">
        <v>185</v>
      </c>
      <c r="E12" s="161"/>
      <c r="F12" s="89" t="s">
        <v>29</v>
      </c>
    </row>
    <row r="13" spans="1:6" ht="35.15" customHeight="1" thickBot="1" x14ac:dyDescent="0.4">
      <c r="A13" s="586" t="s">
        <v>33</v>
      </c>
      <c r="B13" s="587"/>
      <c r="C13" s="81">
        <v>1</v>
      </c>
      <c r="D13" s="51" t="s">
        <v>189</v>
      </c>
      <c r="E13" s="55" t="s">
        <v>29</v>
      </c>
      <c r="F13" s="90" t="s">
        <v>134</v>
      </c>
    </row>
    <row r="14" spans="1:6" ht="35.15" customHeight="1" thickBot="1" x14ac:dyDescent="0.4">
      <c r="A14" s="588"/>
      <c r="B14" s="589"/>
      <c r="C14" s="81">
        <v>1</v>
      </c>
      <c r="D14" s="51" t="s">
        <v>35</v>
      </c>
      <c r="E14" s="52" t="s">
        <v>134</v>
      </c>
      <c r="F14" s="88" t="s">
        <v>134</v>
      </c>
    </row>
    <row r="15" spans="1:6" ht="30" customHeight="1" x14ac:dyDescent="0.35">
      <c r="A15" s="590" t="s">
        <v>37</v>
      </c>
      <c r="B15" s="591"/>
      <c r="C15" s="81">
        <v>1</v>
      </c>
      <c r="D15" s="40" t="s">
        <v>187</v>
      </c>
      <c r="E15" s="41"/>
      <c r="F15" s="85" t="s">
        <v>29</v>
      </c>
    </row>
    <row r="16" spans="1:6" ht="30" customHeight="1" thickBot="1" x14ac:dyDescent="0.4">
      <c r="A16" s="592"/>
      <c r="B16" s="593"/>
      <c r="C16" s="82">
        <v>1</v>
      </c>
      <c r="D16" s="54" t="s">
        <v>41</v>
      </c>
      <c r="E16" s="49"/>
      <c r="F16" s="89" t="s">
        <v>29</v>
      </c>
    </row>
    <row r="17" spans="1:6" ht="32.15" customHeight="1" x14ac:dyDescent="0.35">
      <c r="A17" s="594" t="s">
        <v>42</v>
      </c>
      <c r="B17" s="594" t="s">
        <v>43</v>
      </c>
      <c r="C17" s="81">
        <v>1</v>
      </c>
      <c r="D17" s="162" t="s">
        <v>198</v>
      </c>
      <c r="E17" s="41"/>
      <c r="F17" s="85" t="s">
        <v>29</v>
      </c>
    </row>
    <row r="18" spans="1:6" ht="32.15" customHeight="1" x14ac:dyDescent="0.35">
      <c r="A18" s="595"/>
      <c r="B18" s="595"/>
      <c r="C18" s="83">
        <v>1</v>
      </c>
      <c r="D18" s="163" t="s">
        <v>45</v>
      </c>
      <c r="E18" s="46"/>
      <c r="F18" s="86" t="s">
        <v>29</v>
      </c>
    </row>
    <row r="19" spans="1:6" ht="32.15" customHeight="1" thickBot="1" x14ac:dyDescent="0.4">
      <c r="A19" s="595"/>
      <c r="B19" s="596"/>
      <c r="C19" s="83">
        <v>1</v>
      </c>
      <c r="D19" s="164" t="s">
        <v>188</v>
      </c>
      <c r="E19" s="49"/>
      <c r="F19" s="89" t="s">
        <v>29</v>
      </c>
    </row>
    <row r="20" spans="1:6" ht="32.15" customHeight="1" x14ac:dyDescent="0.35">
      <c r="A20" s="595"/>
      <c r="B20" s="595" t="s">
        <v>47</v>
      </c>
      <c r="C20" s="625">
        <v>1</v>
      </c>
      <c r="D20" s="552" t="s">
        <v>49</v>
      </c>
      <c r="E20" s="554"/>
      <c r="F20" s="556" t="s">
        <v>29</v>
      </c>
    </row>
    <row r="21" spans="1:6" ht="32.15" customHeight="1" thickBot="1" x14ac:dyDescent="0.4">
      <c r="A21" s="596"/>
      <c r="B21" s="596"/>
      <c r="C21" s="551"/>
      <c r="D21" s="553"/>
      <c r="E21" s="555"/>
      <c r="F21" s="557"/>
    </row>
    <row r="22" spans="1:6" ht="15" customHeight="1" thickBot="1" x14ac:dyDescent="0.4">
      <c r="A22" s="558" t="s">
        <v>50</v>
      </c>
      <c r="B22" s="559"/>
      <c r="C22" s="562" t="s">
        <v>51</v>
      </c>
      <c r="D22" s="563"/>
      <c r="E22" s="55"/>
      <c r="F22" s="90"/>
    </row>
    <row r="23" spans="1:6" ht="15.75" customHeight="1" x14ac:dyDescent="0.35">
      <c r="A23" s="560"/>
      <c r="B23" s="561"/>
      <c r="C23" s="81">
        <v>1</v>
      </c>
      <c r="D23" s="58" t="s">
        <v>190</v>
      </c>
      <c r="E23" s="57"/>
      <c r="F23" s="86" t="s">
        <v>29</v>
      </c>
    </row>
    <row r="24" spans="1:6" x14ac:dyDescent="0.35">
      <c r="A24" s="560"/>
      <c r="B24" s="561"/>
      <c r="C24" s="550"/>
      <c r="D24" s="564"/>
      <c r="E24" s="57"/>
      <c r="F24" s="86"/>
    </row>
    <row r="25" spans="1:6" ht="15" customHeight="1" x14ac:dyDescent="0.35">
      <c r="A25" s="560"/>
      <c r="B25" s="561"/>
      <c r="C25" s="550"/>
      <c r="D25" s="564"/>
      <c r="E25" s="57"/>
      <c r="F25" s="86"/>
    </row>
    <row r="26" spans="1:6" ht="15" thickBot="1" x14ac:dyDescent="0.4">
      <c r="A26" s="560"/>
      <c r="B26" s="561"/>
      <c r="C26" s="82"/>
      <c r="D26" s="60"/>
      <c r="E26" s="57"/>
      <c r="F26" s="86"/>
    </row>
    <row r="27" spans="1:6" x14ac:dyDescent="0.35">
      <c r="A27" s="560"/>
      <c r="B27" s="561"/>
      <c r="C27" s="562" t="s">
        <v>57</v>
      </c>
      <c r="D27" s="565"/>
      <c r="E27" s="57"/>
      <c r="F27" s="86"/>
    </row>
    <row r="28" spans="1:6" x14ac:dyDescent="0.35">
      <c r="A28" s="560"/>
      <c r="B28" s="561"/>
      <c r="C28" s="61">
        <v>1</v>
      </c>
      <c r="D28" s="62" t="s">
        <v>191</v>
      </c>
      <c r="E28" s="57"/>
      <c r="F28" s="86" t="s">
        <v>29</v>
      </c>
    </row>
    <row r="29" spans="1:6" x14ac:dyDescent="0.35">
      <c r="A29" s="560"/>
      <c r="B29" s="561"/>
      <c r="C29" s="626">
        <v>6</v>
      </c>
      <c r="D29" s="628" t="s">
        <v>193</v>
      </c>
      <c r="E29" s="57"/>
      <c r="F29" s="86" t="s">
        <v>29</v>
      </c>
    </row>
    <row r="30" spans="1:6" x14ac:dyDescent="0.35">
      <c r="A30" s="560"/>
      <c r="B30" s="561"/>
      <c r="C30" s="627"/>
      <c r="D30" s="629"/>
      <c r="E30" s="57"/>
      <c r="F30" s="86"/>
    </row>
    <row r="31" spans="1:6" ht="15" thickBot="1" x14ac:dyDescent="0.4">
      <c r="A31" s="560"/>
      <c r="B31" s="561"/>
      <c r="C31" s="61"/>
      <c r="D31" s="64"/>
      <c r="E31" s="57"/>
      <c r="F31" s="86" t="s">
        <v>29</v>
      </c>
    </row>
    <row r="32" spans="1:6" x14ac:dyDescent="0.35">
      <c r="A32" s="560"/>
      <c r="B32" s="561"/>
      <c r="C32" s="61"/>
      <c r="D32" s="630" t="s">
        <v>62</v>
      </c>
      <c r="E32" s="57"/>
      <c r="F32" s="86"/>
    </row>
    <row r="33" spans="1:6" x14ac:dyDescent="0.35">
      <c r="A33" s="560"/>
      <c r="B33" s="561"/>
      <c r="C33" s="61"/>
      <c r="D33" s="631"/>
      <c r="E33" s="57"/>
      <c r="F33" s="86"/>
    </row>
    <row r="34" spans="1:6" ht="15" customHeight="1" x14ac:dyDescent="0.35">
      <c r="A34" s="560"/>
      <c r="B34" s="561"/>
      <c r="C34" s="61">
        <v>1</v>
      </c>
      <c r="D34" s="62" t="s">
        <v>194</v>
      </c>
      <c r="E34" s="57"/>
      <c r="F34" s="86" t="s">
        <v>29</v>
      </c>
    </row>
    <row r="35" spans="1:6" x14ac:dyDescent="0.35">
      <c r="A35" s="560"/>
      <c r="B35" s="561"/>
      <c r="C35" s="61">
        <v>1</v>
      </c>
      <c r="D35" s="59" t="s">
        <v>195</v>
      </c>
      <c r="E35" s="57"/>
      <c r="F35" s="86" t="s">
        <v>29</v>
      </c>
    </row>
    <row r="36" spans="1:6" x14ac:dyDescent="0.35">
      <c r="A36" s="560"/>
      <c r="B36" s="561"/>
      <c r="C36" s="626">
        <v>6</v>
      </c>
      <c r="D36" s="628" t="s">
        <v>193</v>
      </c>
      <c r="E36" s="57"/>
      <c r="F36" s="86" t="s">
        <v>29</v>
      </c>
    </row>
    <row r="37" spans="1:6" x14ac:dyDescent="0.35">
      <c r="A37" s="560"/>
      <c r="B37" s="561"/>
      <c r="C37" s="627"/>
      <c r="D37" s="629"/>
      <c r="E37" s="57"/>
      <c r="F37" s="86" t="s">
        <v>29</v>
      </c>
    </row>
    <row r="38" spans="1:6" x14ac:dyDescent="0.35">
      <c r="A38" s="560"/>
      <c r="B38" s="561"/>
      <c r="C38" s="80"/>
      <c r="D38" s="63"/>
      <c r="E38" s="57"/>
      <c r="F38" s="86"/>
    </row>
    <row r="39" spans="1:6" ht="25" customHeight="1" thickBot="1" x14ac:dyDescent="0.4">
      <c r="A39" s="141"/>
      <c r="B39" s="143"/>
      <c r="C39" s="142"/>
      <c r="D39" s="68"/>
      <c r="E39" s="66"/>
      <c r="F39" s="91"/>
    </row>
    <row r="40" spans="1:6" ht="16.5" customHeight="1" x14ac:dyDescent="0.35">
      <c r="A40" s="69" t="s">
        <v>71</v>
      </c>
      <c r="B40" s="70"/>
      <c r="C40" s="70"/>
      <c r="D40" s="70"/>
      <c r="E40" s="92"/>
      <c r="F40" s="93"/>
    </row>
    <row r="41" spans="1:6" ht="16.5" customHeight="1" x14ac:dyDescent="0.35">
      <c r="A41" s="71"/>
      <c r="B41" s="72"/>
      <c r="C41" s="72"/>
      <c r="D41" s="72"/>
      <c r="E41" s="38"/>
      <c r="F41" s="94"/>
    </row>
    <row r="42" spans="1:6" x14ac:dyDescent="0.35">
      <c r="A42" s="73" t="s">
        <v>196</v>
      </c>
      <c r="B42" s="37"/>
      <c r="C42" s="38"/>
      <c r="D42" s="37"/>
      <c r="E42" s="39"/>
      <c r="F42" s="95"/>
    </row>
    <row r="43" spans="1:6" ht="30" customHeight="1" x14ac:dyDescent="0.35">
      <c r="A43" s="546" t="s">
        <v>73</v>
      </c>
      <c r="B43" s="547"/>
      <c r="C43" s="547"/>
      <c r="D43" s="547"/>
      <c r="E43" s="547"/>
      <c r="F43" s="548"/>
    </row>
    <row r="44" spans="1:6" ht="15" thickBot="1" x14ac:dyDescent="0.4">
      <c r="A44" s="75" t="s">
        <v>74</v>
      </c>
      <c r="B44" s="76"/>
      <c r="C44" s="77"/>
      <c r="D44" s="76"/>
      <c r="E44" s="78"/>
      <c r="F44" s="96"/>
    </row>
    <row r="45" spans="1:6" x14ac:dyDescent="0.35">
      <c r="A45" s="549"/>
      <c r="B45" s="549"/>
      <c r="C45" s="549"/>
      <c r="D45" s="549"/>
    </row>
    <row r="46" spans="1:6" x14ac:dyDescent="0.35">
      <c r="A46" s="547"/>
      <c r="B46" s="547"/>
      <c r="C46" s="547"/>
      <c r="D46" s="547"/>
    </row>
  </sheetData>
  <mergeCells count="28">
    <mergeCell ref="A43:F43"/>
    <mergeCell ref="A45:D46"/>
    <mergeCell ref="C36:C37"/>
    <mergeCell ref="D36:D37"/>
    <mergeCell ref="D32:D33"/>
    <mergeCell ref="C20:C21"/>
    <mergeCell ref="D20:D21"/>
    <mergeCell ref="E20:E21"/>
    <mergeCell ref="F20:F21"/>
    <mergeCell ref="A22:B38"/>
    <mergeCell ref="C22:D22"/>
    <mergeCell ref="C24:C25"/>
    <mergeCell ref="D24:D25"/>
    <mergeCell ref="C27:D27"/>
    <mergeCell ref="C29:C30"/>
    <mergeCell ref="D29:D30"/>
    <mergeCell ref="A11:B12"/>
    <mergeCell ref="A13:B14"/>
    <mergeCell ref="A15:B16"/>
    <mergeCell ref="A17:A21"/>
    <mergeCell ref="B17:B19"/>
    <mergeCell ref="B20:B21"/>
    <mergeCell ref="F8:F10"/>
    <mergeCell ref="B2:D5"/>
    <mergeCell ref="A8:B10"/>
    <mergeCell ref="C8:C10"/>
    <mergeCell ref="D8:D10"/>
    <mergeCell ref="E8:E10"/>
  </mergeCells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8677-7C3C-416B-A3FF-9F0C6190AB0B}">
  <dimension ref="A2:L27"/>
  <sheetViews>
    <sheetView workbookViewId="0">
      <selection activeCell="D19" sqref="D19"/>
    </sheetView>
  </sheetViews>
  <sheetFormatPr baseColWidth="10" defaultRowHeight="14.5" x14ac:dyDescent="0.35"/>
  <cols>
    <col min="1" max="1" width="26.7265625" customWidth="1"/>
    <col min="2" max="2" width="14.1796875" style="3" bestFit="1" customWidth="1"/>
    <col min="8" max="8" width="23.1796875" bestFit="1" customWidth="1"/>
    <col min="9" max="9" width="15.1796875" bestFit="1" customWidth="1"/>
  </cols>
  <sheetData>
    <row r="2" spans="1:12" ht="15" thickBot="1" x14ac:dyDescent="0.4"/>
    <row r="3" spans="1:12" x14ac:dyDescent="0.35">
      <c r="A3" s="6" t="s">
        <v>0</v>
      </c>
      <c r="B3" s="7">
        <v>1000000</v>
      </c>
      <c r="C3" s="8"/>
      <c r="D3" s="8"/>
      <c r="E3" s="9"/>
      <c r="H3" s="6" t="s">
        <v>0</v>
      </c>
      <c r="I3" s="7">
        <v>1000000</v>
      </c>
      <c r="J3" s="8"/>
      <c r="K3" s="8"/>
      <c r="L3" s="9"/>
    </row>
    <row r="4" spans="1:12" x14ac:dyDescent="0.35">
      <c r="A4" s="10"/>
      <c r="B4" s="11"/>
      <c r="E4" s="12"/>
      <c r="H4" s="10"/>
      <c r="I4" s="11"/>
      <c r="L4" s="12"/>
    </row>
    <row r="5" spans="1:12" x14ac:dyDescent="0.35">
      <c r="A5" s="10" t="s">
        <v>1</v>
      </c>
      <c r="B5" s="11">
        <v>900000</v>
      </c>
      <c r="E5" s="12"/>
      <c r="H5" s="10" t="s">
        <v>3</v>
      </c>
      <c r="I5" s="11">
        <v>120000</v>
      </c>
      <c r="L5" s="12"/>
    </row>
    <row r="6" spans="1:12" ht="15" thickBot="1" x14ac:dyDescent="0.4">
      <c r="A6" s="10"/>
      <c r="B6" s="11"/>
      <c r="E6" s="12"/>
      <c r="H6" s="10" t="s">
        <v>4</v>
      </c>
      <c r="I6" s="11">
        <v>10000</v>
      </c>
      <c r="L6" s="12"/>
    </row>
    <row r="7" spans="1:12" ht="15" customHeight="1" x14ac:dyDescent="0.35">
      <c r="A7" s="10" t="s">
        <v>5</v>
      </c>
      <c r="B7" s="13">
        <v>9000</v>
      </c>
      <c r="C7" s="632" t="s">
        <v>6</v>
      </c>
      <c r="D7" s="633"/>
      <c r="E7" s="634"/>
      <c r="H7" s="10" t="s">
        <v>7</v>
      </c>
      <c r="I7" s="13">
        <f>+I5*5%</f>
        <v>6000</v>
      </c>
      <c r="J7" s="632" t="s">
        <v>6</v>
      </c>
      <c r="K7" s="633"/>
      <c r="L7" s="634"/>
    </row>
    <row r="8" spans="1:12" x14ac:dyDescent="0.35">
      <c r="A8" s="10" t="s">
        <v>8</v>
      </c>
      <c r="B8" s="13">
        <v>750</v>
      </c>
      <c r="C8" s="635"/>
      <c r="D8" s="636"/>
      <c r="E8" s="637"/>
      <c r="H8" s="10" t="s">
        <v>9</v>
      </c>
      <c r="I8" s="13">
        <f>+I3*5%</f>
        <v>50000</v>
      </c>
      <c r="J8" s="635"/>
      <c r="K8" s="636"/>
      <c r="L8" s="637"/>
    </row>
    <row r="9" spans="1:12" ht="15" thickBot="1" x14ac:dyDescent="0.4">
      <c r="A9" s="10" t="s">
        <v>10</v>
      </c>
      <c r="B9" s="13">
        <f>+B3*8%</f>
        <v>80000</v>
      </c>
      <c r="C9" s="638"/>
      <c r="D9" s="639"/>
      <c r="E9" s="640"/>
      <c r="H9" s="14" t="s">
        <v>11</v>
      </c>
      <c r="I9" s="15">
        <f>+I5-(I6+I7+I8)</f>
        <v>54000</v>
      </c>
      <c r="J9" s="638"/>
      <c r="K9" s="639"/>
      <c r="L9" s="640"/>
    </row>
    <row r="10" spans="1:12" ht="15" thickBot="1" x14ac:dyDescent="0.4">
      <c r="A10" s="10"/>
      <c r="B10" s="11"/>
      <c r="E10" s="12"/>
      <c r="H10" s="10" t="s">
        <v>2</v>
      </c>
      <c r="I10" s="15">
        <v>50000</v>
      </c>
      <c r="J10" s="16"/>
      <c r="L10" s="12"/>
    </row>
    <row r="11" spans="1:12" ht="15" thickBot="1" x14ac:dyDescent="0.4">
      <c r="A11" s="10" t="s">
        <v>11</v>
      </c>
      <c r="B11" s="13">
        <f>+B5-(B7+B8+B9)</f>
        <v>810250</v>
      </c>
      <c r="C11" s="641" t="s">
        <v>12</v>
      </c>
      <c r="D11" s="642"/>
      <c r="E11" s="643"/>
      <c r="H11" s="10"/>
      <c r="I11" s="13"/>
      <c r="J11" s="641" t="s">
        <v>12</v>
      </c>
      <c r="K11" s="642"/>
      <c r="L11" s="643"/>
    </row>
    <row r="12" spans="1:12" ht="15" thickBot="1" x14ac:dyDescent="0.4">
      <c r="A12" s="10"/>
      <c r="B12" s="13"/>
      <c r="C12" s="1"/>
      <c r="D12" s="1"/>
      <c r="E12" s="17"/>
      <c r="H12" s="16"/>
      <c r="J12" s="18"/>
      <c r="K12" s="1"/>
      <c r="L12" s="17"/>
    </row>
    <row r="13" spans="1:12" ht="15" thickBot="1" x14ac:dyDescent="0.4">
      <c r="A13" s="10"/>
      <c r="B13" s="11"/>
      <c r="E13" s="12"/>
      <c r="H13" s="19" t="s">
        <v>13</v>
      </c>
      <c r="I13" s="20">
        <f>+I9+I10</f>
        <v>104000</v>
      </c>
      <c r="J13" s="641" t="s">
        <v>14</v>
      </c>
      <c r="K13" s="642"/>
      <c r="L13" s="643"/>
    </row>
    <row r="14" spans="1:12" ht="15" thickBot="1" x14ac:dyDescent="0.4">
      <c r="A14" s="19" t="s">
        <v>15</v>
      </c>
      <c r="B14" s="20">
        <f>+B3-B11</f>
        <v>189750</v>
      </c>
      <c r="C14" s="641" t="s">
        <v>14</v>
      </c>
      <c r="D14" s="642"/>
      <c r="E14" s="643"/>
      <c r="H14" s="10" t="s">
        <v>16</v>
      </c>
      <c r="I14" s="11">
        <v>900000</v>
      </c>
      <c r="L14" s="12"/>
    </row>
    <row r="15" spans="1:12" ht="15" thickBot="1" x14ac:dyDescent="0.4">
      <c r="H15" s="10"/>
      <c r="I15" s="11"/>
      <c r="L15" s="12"/>
    </row>
    <row r="16" spans="1:12" x14ac:dyDescent="0.35">
      <c r="H16" s="10" t="s">
        <v>5</v>
      </c>
      <c r="I16" s="13">
        <v>9000</v>
      </c>
      <c r="J16" s="632" t="s">
        <v>6</v>
      </c>
      <c r="K16" s="633"/>
      <c r="L16" s="634"/>
    </row>
    <row r="17" spans="8:12" x14ac:dyDescent="0.35">
      <c r="H17" s="10" t="s">
        <v>8</v>
      </c>
      <c r="I17" s="13">
        <v>750</v>
      </c>
      <c r="J17" s="635"/>
      <c r="K17" s="636"/>
      <c r="L17" s="637"/>
    </row>
    <row r="18" spans="8:12" ht="15" thickBot="1" x14ac:dyDescent="0.4">
      <c r="H18" s="10" t="s">
        <v>10</v>
      </c>
      <c r="I18" s="13">
        <v>80000</v>
      </c>
      <c r="J18" s="638"/>
      <c r="K18" s="639"/>
      <c r="L18" s="640"/>
    </row>
    <row r="19" spans="8:12" ht="15" thickBot="1" x14ac:dyDescent="0.4">
      <c r="H19" s="10"/>
      <c r="I19" s="11"/>
      <c r="L19" s="12"/>
    </row>
    <row r="20" spans="8:12" ht="15" thickBot="1" x14ac:dyDescent="0.4">
      <c r="H20" s="10" t="s">
        <v>11</v>
      </c>
      <c r="I20" s="13">
        <f>+I14-(I16+I17+I18)</f>
        <v>810250</v>
      </c>
      <c r="J20" s="641" t="s">
        <v>12</v>
      </c>
      <c r="K20" s="642"/>
      <c r="L20" s="643"/>
    </row>
    <row r="21" spans="8:12" ht="15" thickBot="1" x14ac:dyDescent="0.4">
      <c r="H21" s="21"/>
      <c r="I21" s="22"/>
      <c r="J21" s="1"/>
      <c r="K21" s="1"/>
      <c r="L21" s="17"/>
    </row>
    <row r="22" spans="8:12" x14ac:dyDescent="0.35">
      <c r="H22" s="23" t="s">
        <v>0</v>
      </c>
      <c r="I22" s="24">
        <f>+I3</f>
        <v>1000000</v>
      </c>
      <c r="J22" s="8"/>
      <c r="K22" s="8"/>
      <c r="L22" s="9"/>
    </row>
    <row r="23" spans="8:12" x14ac:dyDescent="0.35">
      <c r="H23" s="25" t="s">
        <v>17</v>
      </c>
      <c r="I23" s="26">
        <f>+I13</f>
        <v>104000</v>
      </c>
      <c r="L23" s="12"/>
    </row>
    <row r="24" spans="8:12" x14ac:dyDescent="0.35">
      <c r="H24" s="25"/>
      <c r="I24" s="25"/>
      <c r="L24" s="12"/>
    </row>
    <row r="25" spans="8:12" ht="15" thickBot="1" x14ac:dyDescent="0.4">
      <c r="H25" s="27" t="s">
        <v>18</v>
      </c>
      <c r="I25" s="28">
        <f>+I22-I23</f>
        <v>896000</v>
      </c>
      <c r="J25" s="29"/>
      <c r="K25" s="29"/>
      <c r="L25" s="30"/>
    </row>
    <row r="26" spans="8:12" ht="15" thickBot="1" x14ac:dyDescent="0.4">
      <c r="H26" s="31" t="s">
        <v>19</v>
      </c>
      <c r="I26" s="32">
        <f>+I25-I20</f>
        <v>85750</v>
      </c>
      <c r="J26" s="33"/>
      <c r="K26" s="33"/>
      <c r="L26" s="34"/>
    </row>
    <row r="27" spans="8:12" ht="15" thickBot="1" x14ac:dyDescent="0.4">
      <c r="H27" s="35" t="s">
        <v>20</v>
      </c>
      <c r="I27" s="36">
        <f>+I26-I8</f>
        <v>35750</v>
      </c>
      <c r="J27" s="644" t="s">
        <v>21</v>
      </c>
      <c r="K27" s="645"/>
      <c r="L27" s="646"/>
    </row>
  </sheetData>
  <mergeCells count="9">
    <mergeCell ref="J16:L18"/>
    <mergeCell ref="J20:L20"/>
    <mergeCell ref="J27:L27"/>
    <mergeCell ref="C7:E9"/>
    <mergeCell ref="J7:L9"/>
    <mergeCell ref="C11:E11"/>
    <mergeCell ref="J11:L11"/>
    <mergeCell ref="J13:L13"/>
    <mergeCell ref="C14:E14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DDFC-6AD0-4F4A-9689-8FD577762E11}">
  <dimension ref="B1:G50"/>
  <sheetViews>
    <sheetView zoomScale="80" zoomScaleNormal="80" workbookViewId="0">
      <selection activeCell="E23" sqref="E23"/>
    </sheetView>
  </sheetViews>
  <sheetFormatPr baseColWidth="10" defaultRowHeight="14.5" x14ac:dyDescent="0.35"/>
  <cols>
    <col min="3" max="3" width="21.54296875" customWidth="1"/>
    <col min="5" max="5" width="92.1796875" bestFit="1" customWidth="1"/>
  </cols>
  <sheetData>
    <row r="1" spans="2:7" ht="15" thickBot="1" x14ac:dyDescent="0.4">
      <c r="B1" s="174"/>
      <c r="C1" s="178"/>
      <c r="D1" s="178"/>
      <c r="E1" s="178"/>
      <c r="F1" s="178"/>
      <c r="G1" s="179"/>
    </row>
    <row r="2" spans="2:7" ht="15" customHeight="1" thickBot="1" x14ac:dyDescent="0.4">
      <c r="B2" s="175"/>
      <c r="C2" s="177"/>
      <c r="D2" s="159"/>
      <c r="E2" s="173"/>
      <c r="F2" s="177"/>
      <c r="G2" s="180"/>
    </row>
    <row r="3" spans="2:7" ht="15" customHeight="1" thickBot="1" x14ac:dyDescent="0.4">
      <c r="B3" s="175"/>
      <c r="C3" s="173"/>
      <c r="D3" s="601" t="s">
        <v>225</v>
      </c>
      <c r="E3" s="601"/>
      <c r="F3" s="177"/>
      <c r="G3" s="180"/>
    </row>
    <row r="4" spans="2:7" ht="15" customHeight="1" thickBot="1" x14ac:dyDescent="0.4">
      <c r="B4" s="175"/>
      <c r="C4" s="173"/>
      <c r="D4" s="601"/>
      <c r="E4" s="601"/>
      <c r="F4" s="177"/>
      <c r="G4" s="180"/>
    </row>
    <row r="5" spans="2:7" ht="14.5" customHeight="1" thickBot="1" x14ac:dyDescent="0.4">
      <c r="B5" s="175"/>
      <c r="C5" s="173"/>
      <c r="D5" s="601"/>
      <c r="E5" s="601"/>
      <c r="F5" s="177"/>
      <c r="G5" s="180"/>
    </row>
    <row r="6" spans="2:7" ht="14.5" customHeight="1" thickBot="1" x14ac:dyDescent="0.4">
      <c r="B6" s="175"/>
      <c r="C6" s="173"/>
      <c r="D6" s="601"/>
      <c r="E6" s="601"/>
      <c r="F6" s="177"/>
      <c r="G6" s="180"/>
    </row>
    <row r="7" spans="2:7" ht="15" thickBot="1" x14ac:dyDescent="0.4">
      <c r="B7" s="175"/>
      <c r="C7" s="177"/>
      <c r="D7" s="177"/>
      <c r="E7" s="177"/>
      <c r="F7" s="177"/>
      <c r="G7" s="180"/>
    </row>
    <row r="8" spans="2:7" ht="15" thickBot="1" x14ac:dyDescent="0.4">
      <c r="B8" s="176"/>
      <c r="C8" s="181"/>
      <c r="D8" s="181"/>
      <c r="E8" s="181"/>
      <c r="F8" s="181"/>
      <c r="G8" s="182"/>
    </row>
    <row r="9" spans="2:7" ht="20.149999999999999" customHeight="1" x14ac:dyDescent="0.35">
      <c r="B9" s="464" t="s">
        <v>22</v>
      </c>
      <c r="C9" s="454"/>
      <c r="D9" s="574" t="s">
        <v>23</v>
      </c>
      <c r="E9" s="576" t="s">
        <v>24</v>
      </c>
      <c r="F9" s="574" t="s">
        <v>25</v>
      </c>
      <c r="G9" s="572" t="s">
        <v>26</v>
      </c>
    </row>
    <row r="10" spans="2:7" ht="20.149999999999999" customHeight="1" x14ac:dyDescent="0.35">
      <c r="B10" s="464"/>
      <c r="C10" s="454"/>
      <c r="D10" s="574"/>
      <c r="E10" s="576"/>
      <c r="F10" s="574"/>
      <c r="G10" s="572"/>
    </row>
    <row r="11" spans="2:7" ht="20.149999999999999" customHeight="1" thickBot="1" x14ac:dyDescent="0.4">
      <c r="B11" s="465"/>
      <c r="C11" s="456"/>
      <c r="D11" s="575"/>
      <c r="E11" s="577"/>
      <c r="F11" s="575"/>
      <c r="G11" s="573"/>
    </row>
    <row r="12" spans="2:7" ht="25" customHeight="1" x14ac:dyDescent="0.35">
      <c r="B12" s="586" t="s">
        <v>27</v>
      </c>
      <c r="C12" s="587"/>
      <c r="D12" s="81">
        <v>1</v>
      </c>
      <c r="E12" s="40" t="s">
        <v>214</v>
      </c>
      <c r="F12" s="41"/>
      <c r="G12" s="42" t="s">
        <v>29</v>
      </c>
    </row>
    <row r="13" spans="2:7" ht="25" customHeight="1" thickBot="1" x14ac:dyDescent="0.4">
      <c r="B13" s="588"/>
      <c r="C13" s="589"/>
      <c r="D13" s="83">
        <v>1</v>
      </c>
      <c r="E13" s="43" t="s">
        <v>212</v>
      </c>
      <c r="F13" s="44"/>
      <c r="G13" s="45" t="s">
        <v>29</v>
      </c>
    </row>
    <row r="14" spans="2:7" ht="35.15" customHeight="1" x14ac:dyDescent="0.35">
      <c r="B14" s="586" t="s">
        <v>33</v>
      </c>
      <c r="C14" s="587"/>
      <c r="D14" s="81">
        <v>1</v>
      </c>
      <c r="E14" s="51" t="s">
        <v>127</v>
      </c>
      <c r="F14" s="41" t="s">
        <v>29</v>
      </c>
      <c r="G14" s="42"/>
    </row>
    <row r="15" spans="2:7" ht="35.15" customHeight="1" thickBot="1" x14ac:dyDescent="0.4">
      <c r="B15" s="588"/>
      <c r="C15" s="589"/>
      <c r="D15" s="82">
        <v>1</v>
      </c>
      <c r="E15" s="135" t="s">
        <v>149</v>
      </c>
      <c r="F15" s="52" t="s">
        <v>29</v>
      </c>
      <c r="G15" s="53"/>
    </row>
    <row r="16" spans="2:7" ht="30" customHeight="1" x14ac:dyDescent="0.35">
      <c r="B16" s="590" t="s">
        <v>37</v>
      </c>
      <c r="C16" s="591"/>
      <c r="D16" s="81">
        <v>1</v>
      </c>
      <c r="E16" s="40" t="s">
        <v>213</v>
      </c>
      <c r="F16" s="41"/>
      <c r="G16" s="42" t="s">
        <v>29</v>
      </c>
    </row>
    <row r="17" spans="2:7" ht="30" customHeight="1" thickBot="1" x14ac:dyDescent="0.4">
      <c r="B17" s="592"/>
      <c r="C17" s="593"/>
      <c r="D17" s="82">
        <v>1</v>
      </c>
      <c r="E17" s="54" t="s">
        <v>41</v>
      </c>
      <c r="F17" s="49"/>
      <c r="G17" s="50" t="s">
        <v>29</v>
      </c>
    </row>
    <row r="18" spans="2:7" ht="32.15" customHeight="1" x14ac:dyDescent="0.35">
      <c r="B18" s="594" t="s">
        <v>42</v>
      </c>
      <c r="C18" s="594" t="s">
        <v>43</v>
      </c>
      <c r="D18" s="81">
        <v>1</v>
      </c>
      <c r="E18" s="40" t="s">
        <v>150</v>
      </c>
      <c r="F18" s="41"/>
      <c r="G18" s="42" t="s">
        <v>29</v>
      </c>
    </row>
    <row r="19" spans="2:7" ht="32.15" customHeight="1" thickBot="1" x14ac:dyDescent="0.4">
      <c r="B19" s="595"/>
      <c r="C19" s="596"/>
      <c r="D19" s="82">
        <v>1</v>
      </c>
      <c r="E19" s="54" t="s">
        <v>45</v>
      </c>
      <c r="F19" s="49"/>
      <c r="G19" s="50" t="s">
        <v>29</v>
      </c>
    </row>
    <row r="20" spans="2:7" ht="32.15" customHeight="1" x14ac:dyDescent="0.35">
      <c r="B20" s="595"/>
      <c r="C20" s="595" t="s">
        <v>47</v>
      </c>
      <c r="D20" s="550">
        <v>1</v>
      </c>
      <c r="E20" s="552" t="s">
        <v>151</v>
      </c>
      <c r="F20" s="554"/>
      <c r="G20" s="556" t="s">
        <v>29</v>
      </c>
    </row>
    <row r="21" spans="2:7" ht="32.15" customHeight="1" thickBot="1" x14ac:dyDescent="0.4">
      <c r="B21" s="596"/>
      <c r="C21" s="596"/>
      <c r="D21" s="551"/>
      <c r="E21" s="553"/>
      <c r="F21" s="554"/>
      <c r="G21" s="556"/>
    </row>
    <row r="22" spans="2:7" ht="15" customHeight="1" thickBot="1" x14ac:dyDescent="0.4">
      <c r="B22" s="558" t="s">
        <v>50</v>
      </c>
      <c r="C22" s="559"/>
      <c r="D22" s="562" t="s">
        <v>51</v>
      </c>
      <c r="E22" s="563"/>
      <c r="F22" s="169"/>
      <c r="G22" s="170"/>
    </row>
    <row r="23" spans="2:7" ht="15.75" customHeight="1" x14ac:dyDescent="0.35">
      <c r="B23" s="560"/>
      <c r="C23" s="561"/>
      <c r="D23" s="81">
        <v>1</v>
      </c>
      <c r="E23" s="166" t="s">
        <v>215</v>
      </c>
      <c r="F23" s="171"/>
      <c r="G23" s="172" t="s">
        <v>134</v>
      </c>
    </row>
    <row r="24" spans="2:7" ht="15.75" customHeight="1" x14ac:dyDescent="0.35">
      <c r="B24" s="560"/>
      <c r="C24" s="561"/>
      <c r="D24" s="83">
        <v>1</v>
      </c>
      <c r="E24" s="43" t="s">
        <v>216</v>
      </c>
      <c r="F24" s="171"/>
      <c r="G24" s="172" t="s">
        <v>134</v>
      </c>
    </row>
    <row r="25" spans="2:7" ht="15.75" customHeight="1" x14ac:dyDescent="0.35">
      <c r="B25" s="560"/>
      <c r="C25" s="561"/>
      <c r="D25" s="83">
        <v>1</v>
      </c>
      <c r="E25" s="167" t="s">
        <v>217</v>
      </c>
      <c r="F25" s="171"/>
      <c r="G25" s="172"/>
    </row>
    <row r="26" spans="2:7" ht="15.75" customHeight="1" x14ac:dyDescent="0.35">
      <c r="B26" s="560"/>
      <c r="C26" s="561"/>
      <c r="D26" s="83"/>
      <c r="E26" s="167" t="s">
        <v>218</v>
      </c>
      <c r="F26" s="171"/>
      <c r="G26" s="172"/>
    </row>
    <row r="27" spans="2:7" ht="15.75" customHeight="1" x14ac:dyDescent="0.35">
      <c r="B27" s="560"/>
      <c r="C27" s="561"/>
      <c r="D27" s="83"/>
      <c r="E27" s="160" t="s">
        <v>219</v>
      </c>
      <c r="F27" s="171"/>
      <c r="G27" s="172"/>
    </row>
    <row r="28" spans="2:7" x14ac:dyDescent="0.35">
      <c r="B28" s="560"/>
      <c r="C28" s="561"/>
      <c r="D28" s="550">
        <v>3</v>
      </c>
      <c r="E28" s="649" t="s">
        <v>220</v>
      </c>
      <c r="F28" s="171"/>
      <c r="G28" s="172" t="s">
        <v>134</v>
      </c>
    </row>
    <row r="29" spans="2:7" ht="15" customHeight="1" x14ac:dyDescent="0.35">
      <c r="B29" s="560"/>
      <c r="C29" s="561"/>
      <c r="D29" s="550"/>
      <c r="E29" s="649"/>
      <c r="F29" s="171"/>
      <c r="G29" s="172"/>
    </row>
    <row r="30" spans="2:7" ht="15" customHeight="1" x14ac:dyDescent="0.35">
      <c r="B30" s="560"/>
      <c r="C30" s="561"/>
      <c r="D30" s="83"/>
      <c r="E30" s="167" t="s">
        <v>221</v>
      </c>
      <c r="F30" s="171"/>
      <c r="G30" s="172"/>
    </row>
    <row r="31" spans="2:7" ht="15" thickBot="1" x14ac:dyDescent="0.4">
      <c r="B31" s="560"/>
      <c r="C31" s="561"/>
      <c r="D31" s="82">
        <v>1</v>
      </c>
      <c r="E31" s="168" t="s">
        <v>216</v>
      </c>
      <c r="F31" s="171"/>
      <c r="G31" s="172"/>
    </row>
    <row r="32" spans="2:7" x14ac:dyDescent="0.35">
      <c r="B32" s="560"/>
      <c r="C32" s="561"/>
      <c r="D32" s="650" t="s">
        <v>57</v>
      </c>
      <c r="E32" s="651"/>
      <c r="F32" s="57"/>
      <c r="G32" s="172"/>
    </row>
    <row r="33" spans="2:7" x14ac:dyDescent="0.35">
      <c r="B33" s="560"/>
      <c r="C33" s="561"/>
      <c r="D33" s="61">
        <v>1</v>
      </c>
      <c r="E33" s="62" t="s">
        <v>222</v>
      </c>
      <c r="F33" s="57"/>
      <c r="G33" s="172" t="s">
        <v>134</v>
      </c>
    </row>
    <row r="34" spans="2:7" x14ac:dyDescent="0.35">
      <c r="B34" s="560"/>
      <c r="C34" s="561"/>
      <c r="D34" s="626">
        <v>6</v>
      </c>
      <c r="E34" s="647" t="s">
        <v>152</v>
      </c>
      <c r="F34" s="57"/>
      <c r="G34" s="172"/>
    </row>
    <row r="35" spans="2:7" ht="15" thickBot="1" x14ac:dyDescent="0.4">
      <c r="B35" s="560"/>
      <c r="C35" s="561"/>
      <c r="D35" s="652"/>
      <c r="E35" s="648"/>
      <c r="F35" s="57"/>
      <c r="G35" s="172" t="s">
        <v>134</v>
      </c>
    </row>
    <row r="36" spans="2:7" ht="15" thickBot="1" x14ac:dyDescent="0.4">
      <c r="B36" s="560"/>
      <c r="C36" s="561"/>
      <c r="D36" s="136"/>
      <c r="E36" s="198" t="s">
        <v>237</v>
      </c>
      <c r="F36" s="57"/>
      <c r="G36" s="172"/>
    </row>
    <row r="37" spans="2:7" ht="15" thickBot="1" x14ac:dyDescent="0.4">
      <c r="B37" s="560"/>
      <c r="C37" s="561"/>
      <c r="D37" s="80"/>
      <c r="E37" s="197" t="s">
        <v>62</v>
      </c>
      <c r="F37" s="57"/>
      <c r="G37" s="172"/>
    </row>
    <row r="38" spans="2:7" ht="15" customHeight="1" x14ac:dyDescent="0.35">
      <c r="B38" s="560"/>
      <c r="C38" s="561"/>
      <c r="D38" s="61">
        <v>1</v>
      </c>
      <c r="E38" s="199" t="s">
        <v>234</v>
      </c>
      <c r="F38" s="57"/>
      <c r="G38" s="172" t="s">
        <v>134</v>
      </c>
    </row>
    <row r="39" spans="2:7" x14ac:dyDescent="0.35">
      <c r="B39" s="560"/>
      <c r="C39" s="561"/>
      <c r="D39" s="61">
        <v>1</v>
      </c>
      <c r="E39" s="200" t="s">
        <v>65</v>
      </c>
      <c r="F39" s="57"/>
      <c r="G39" s="172" t="s">
        <v>134</v>
      </c>
    </row>
    <row r="40" spans="2:7" ht="26" x14ac:dyDescent="0.35">
      <c r="B40" s="560"/>
      <c r="C40" s="561"/>
      <c r="D40" s="201">
        <v>1</v>
      </c>
      <c r="E40" s="200" t="s">
        <v>236</v>
      </c>
      <c r="F40" s="57"/>
      <c r="G40" s="172" t="s">
        <v>134</v>
      </c>
    </row>
    <row r="41" spans="2:7" x14ac:dyDescent="0.35">
      <c r="B41" s="560"/>
      <c r="C41" s="561"/>
      <c r="D41" s="61">
        <v>6</v>
      </c>
      <c r="E41" s="202" t="s">
        <v>235</v>
      </c>
      <c r="F41" s="57"/>
      <c r="G41" s="172" t="s">
        <v>134</v>
      </c>
    </row>
    <row r="42" spans="2:7" x14ac:dyDescent="0.35">
      <c r="B42" s="560"/>
      <c r="C42" s="561"/>
      <c r="D42" s="61">
        <v>1</v>
      </c>
      <c r="E42" s="62" t="s">
        <v>223</v>
      </c>
      <c r="F42" s="57"/>
      <c r="G42" s="172" t="s">
        <v>134</v>
      </c>
    </row>
    <row r="43" spans="2:7" ht="15" customHeight="1" thickBot="1" x14ac:dyDescent="0.4">
      <c r="B43" s="560"/>
      <c r="C43" s="561"/>
      <c r="D43" s="203"/>
      <c r="E43" s="204"/>
      <c r="F43" s="57"/>
      <c r="G43" s="172"/>
    </row>
    <row r="44" spans="2:7" ht="16.5" customHeight="1" x14ac:dyDescent="0.35">
      <c r="B44" s="69" t="s">
        <v>71</v>
      </c>
      <c r="C44" s="70"/>
      <c r="D44" s="72"/>
      <c r="E44" s="72"/>
      <c r="F44" s="70"/>
      <c r="G44" s="132"/>
    </row>
    <row r="45" spans="2:7" ht="16.5" customHeight="1" x14ac:dyDescent="0.35">
      <c r="B45" s="71"/>
      <c r="C45" s="72"/>
      <c r="D45" s="72"/>
      <c r="E45" s="72"/>
      <c r="F45" s="72"/>
      <c r="G45" s="133"/>
    </row>
    <row r="46" spans="2:7" x14ac:dyDescent="0.35">
      <c r="B46" s="73" t="s">
        <v>153</v>
      </c>
      <c r="C46" s="37"/>
      <c r="D46" s="38"/>
      <c r="E46" s="37"/>
      <c r="F46" s="39"/>
      <c r="G46" s="74"/>
    </row>
    <row r="47" spans="2:7" ht="30" customHeight="1" x14ac:dyDescent="0.35">
      <c r="B47" s="546" t="s">
        <v>73</v>
      </c>
      <c r="C47" s="547"/>
      <c r="D47" s="547"/>
      <c r="E47" s="547"/>
      <c r="F47" s="547"/>
      <c r="G47" s="548"/>
    </row>
    <row r="48" spans="2:7" ht="15" thickBot="1" x14ac:dyDescent="0.4">
      <c r="B48" s="75" t="s">
        <v>74</v>
      </c>
      <c r="C48" s="76"/>
      <c r="D48" s="77"/>
      <c r="E48" s="76"/>
      <c r="F48" s="78"/>
      <c r="G48" s="79"/>
    </row>
    <row r="49" spans="2:5" x14ac:dyDescent="0.35">
      <c r="B49" s="549"/>
      <c r="C49" s="549"/>
      <c r="D49" s="549"/>
      <c r="E49" s="549"/>
    </row>
    <row r="50" spans="2:5" x14ac:dyDescent="0.35">
      <c r="B50" s="547"/>
      <c r="C50" s="547"/>
      <c r="D50" s="547"/>
      <c r="E50" s="547"/>
    </row>
  </sheetData>
  <mergeCells count="25">
    <mergeCell ref="E34:E35"/>
    <mergeCell ref="B47:G47"/>
    <mergeCell ref="B49:E50"/>
    <mergeCell ref="D20:D21"/>
    <mergeCell ref="E20:E21"/>
    <mergeCell ref="F20:F21"/>
    <mergeCell ref="G20:G21"/>
    <mergeCell ref="B22:C43"/>
    <mergeCell ref="D22:E22"/>
    <mergeCell ref="D28:D29"/>
    <mergeCell ref="E28:E29"/>
    <mergeCell ref="D32:E32"/>
    <mergeCell ref="D34:D35"/>
    <mergeCell ref="B12:C13"/>
    <mergeCell ref="B14:C15"/>
    <mergeCell ref="B16:C17"/>
    <mergeCell ref="B18:B21"/>
    <mergeCell ref="C18:C19"/>
    <mergeCell ref="C20:C21"/>
    <mergeCell ref="D3:E6"/>
    <mergeCell ref="G9:G11"/>
    <mergeCell ref="B9:C11"/>
    <mergeCell ref="D9:D11"/>
    <mergeCell ref="E9:E11"/>
    <mergeCell ref="F9:F11"/>
  </mergeCells>
  <pageMargins left="0.7" right="0.7" top="0.75" bottom="0.75" header="0.3" footer="0.3"/>
  <pageSetup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8657-19CE-4BFF-A41A-75551F954D2B}">
  <dimension ref="B3:G54"/>
  <sheetViews>
    <sheetView topLeftCell="A13" zoomScale="115" zoomScaleNormal="115" workbookViewId="0">
      <selection activeCell="E23" sqref="E23"/>
    </sheetView>
  </sheetViews>
  <sheetFormatPr baseColWidth="10" defaultRowHeight="14.5" x14ac:dyDescent="0.35"/>
  <cols>
    <col min="3" max="3" width="21.54296875" customWidth="1"/>
    <col min="5" max="5" width="94.7265625" bestFit="1" customWidth="1"/>
  </cols>
  <sheetData>
    <row r="3" spans="2:7" x14ac:dyDescent="0.35">
      <c r="E3" s="654" t="s">
        <v>123</v>
      </c>
    </row>
    <row r="4" spans="2:7" x14ac:dyDescent="0.35">
      <c r="E4" s="654"/>
    </row>
    <row r="6" spans="2:7" ht="15" thickBot="1" x14ac:dyDescent="0.4"/>
    <row r="7" spans="2:7" ht="20.149999999999999" customHeight="1" x14ac:dyDescent="0.35">
      <c r="B7" s="655" t="s">
        <v>22</v>
      </c>
      <c r="C7" s="656"/>
      <c r="D7" s="657" t="s">
        <v>23</v>
      </c>
      <c r="E7" s="658" t="s">
        <v>24</v>
      </c>
      <c r="F7" s="657" t="s">
        <v>25</v>
      </c>
      <c r="G7" s="653" t="s">
        <v>26</v>
      </c>
    </row>
    <row r="8" spans="2:7" ht="20.149999999999999" customHeight="1" x14ac:dyDescent="0.35">
      <c r="B8" s="464"/>
      <c r="C8" s="454"/>
      <c r="D8" s="574"/>
      <c r="E8" s="576"/>
      <c r="F8" s="574"/>
      <c r="G8" s="572"/>
    </row>
    <row r="9" spans="2:7" ht="20.149999999999999" customHeight="1" thickBot="1" x14ac:dyDescent="0.4">
      <c r="B9" s="465"/>
      <c r="C9" s="456"/>
      <c r="D9" s="574"/>
      <c r="E9" s="576"/>
      <c r="F9" s="574"/>
      <c r="G9" s="572"/>
    </row>
    <row r="10" spans="2:7" ht="25" customHeight="1" x14ac:dyDescent="0.35">
      <c r="B10" s="586" t="s">
        <v>27</v>
      </c>
      <c r="C10" s="659"/>
      <c r="D10" s="115">
        <v>1</v>
      </c>
      <c r="E10" s="116" t="s">
        <v>28</v>
      </c>
      <c r="F10" s="117" t="s">
        <v>29</v>
      </c>
      <c r="G10" s="118"/>
    </row>
    <row r="11" spans="2:7" ht="25" customHeight="1" x14ac:dyDescent="0.35">
      <c r="B11" s="588"/>
      <c r="C11" s="660"/>
      <c r="D11" s="115">
        <v>1</v>
      </c>
      <c r="E11" s="116" t="s">
        <v>30</v>
      </c>
      <c r="F11" s="119" t="s">
        <v>29</v>
      </c>
      <c r="G11" s="118"/>
    </row>
    <row r="12" spans="2:7" ht="25" customHeight="1" x14ac:dyDescent="0.35">
      <c r="B12" s="588"/>
      <c r="C12" s="660"/>
      <c r="D12" s="115">
        <v>1</v>
      </c>
      <c r="E12" s="116" t="s">
        <v>124</v>
      </c>
      <c r="F12" s="117" t="s">
        <v>29</v>
      </c>
      <c r="G12" s="118"/>
    </row>
    <row r="13" spans="2:7" ht="25" customHeight="1" x14ac:dyDescent="0.35">
      <c r="B13" s="588"/>
      <c r="C13" s="660"/>
      <c r="D13" s="115">
        <v>1</v>
      </c>
      <c r="E13" s="116" t="s">
        <v>125</v>
      </c>
      <c r="F13" s="117" t="s">
        <v>29</v>
      </c>
      <c r="G13" s="118"/>
    </row>
    <row r="14" spans="2:7" ht="25" customHeight="1" thickBot="1" x14ac:dyDescent="0.4">
      <c r="B14" s="588"/>
      <c r="C14" s="660"/>
      <c r="D14" s="115">
        <v>1</v>
      </c>
      <c r="E14" s="116" t="s">
        <v>126</v>
      </c>
      <c r="F14" s="117" t="s">
        <v>29</v>
      </c>
      <c r="G14" s="118"/>
    </row>
    <row r="15" spans="2:7" ht="35.15" customHeight="1" x14ac:dyDescent="0.35">
      <c r="B15" s="586" t="s">
        <v>33</v>
      </c>
      <c r="C15" s="659"/>
      <c r="D15" s="115">
        <v>1</v>
      </c>
      <c r="E15" s="120" t="s">
        <v>127</v>
      </c>
      <c r="F15" s="117" t="s">
        <v>29</v>
      </c>
      <c r="G15" s="118"/>
    </row>
    <row r="16" spans="2:7" ht="35.15" customHeight="1" x14ac:dyDescent="0.35">
      <c r="B16" s="588"/>
      <c r="C16" s="660"/>
      <c r="D16" s="115">
        <v>1</v>
      </c>
      <c r="E16" s="116" t="s">
        <v>128</v>
      </c>
      <c r="F16" s="117"/>
      <c r="G16" s="118"/>
    </row>
    <row r="17" spans="2:7" ht="35.15" customHeight="1" thickBot="1" x14ac:dyDescent="0.4">
      <c r="B17" s="588"/>
      <c r="C17" s="660"/>
      <c r="D17" s="115">
        <v>1</v>
      </c>
      <c r="E17" s="116" t="s">
        <v>129</v>
      </c>
      <c r="F17" s="117" t="s">
        <v>29</v>
      </c>
      <c r="G17" s="118"/>
    </row>
    <row r="18" spans="2:7" ht="30" customHeight="1" x14ac:dyDescent="0.35">
      <c r="B18" s="590" t="s">
        <v>37</v>
      </c>
      <c r="C18" s="661"/>
      <c r="D18" s="115">
        <v>1</v>
      </c>
      <c r="E18" s="120" t="s">
        <v>130</v>
      </c>
      <c r="F18" s="117"/>
      <c r="G18" s="118" t="s">
        <v>29</v>
      </c>
    </row>
    <row r="19" spans="2:7" ht="30" customHeight="1" x14ac:dyDescent="0.35">
      <c r="B19" s="609"/>
      <c r="C19" s="662"/>
      <c r="D19" s="115">
        <v>1</v>
      </c>
      <c r="E19" s="116" t="s">
        <v>131</v>
      </c>
      <c r="F19" s="117"/>
      <c r="G19" s="118" t="s">
        <v>29</v>
      </c>
    </row>
    <row r="20" spans="2:7" ht="30" customHeight="1" x14ac:dyDescent="0.35">
      <c r="B20" s="609"/>
      <c r="C20" s="662"/>
      <c r="D20" s="115">
        <v>1</v>
      </c>
      <c r="E20" s="116" t="s">
        <v>132</v>
      </c>
      <c r="F20" s="117"/>
      <c r="G20" s="118" t="s">
        <v>29</v>
      </c>
    </row>
    <row r="21" spans="2:7" ht="30" customHeight="1" x14ac:dyDescent="0.35">
      <c r="B21" s="609"/>
      <c r="C21" s="662"/>
      <c r="D21" s="115">
        <v>1</v>
      </c>
      <c r="E21" s="116" t="s">
        <v>133</v>
      </c>
      <c r="F21" s="117"/>
      <c r="G21" s="118" t="s">
        <v>134</v>
      </c>
    </row>
    <row r="22" spans="2:7" ht="30" customHeight="1" x14ac:dyDescent="0.35">
      <c r="B22" s="609"/>
      <c r="C22" s="662"/>
      <c r="D22" s="115">
        <v>1</v>
      </c>
      <c r="E22" s="116" t="s">
        <v>135</v>
      </c>
      <c r="F22" s="117"/>
      <c r="G22" s="118" t="s">
        <v>134</v>
      </c>
    </row>
    <row r="23" spans="2:7" ht="30" customHeight="1" thickBot="1" x14ac:dyDescent="0.4">
      <c r="B23" s="609"/>
      <c r="C23" s="662"/>
      <c r="D23" s="115">
        <v>1</v>
      </c>
      <c r="E23" s="116" t="s">
        <v>136</v>
      </c>
      <c r="F23" s="117"/>
      <c r="G23" s="118" t="s">
        <v>134</v>
      </c>
    </row>
    <row r="24" spans="2:7" ht="54" customHeight="1" x14ac:dyDescent="0.35">
      <c r="B24" s="594" t="s">
        <v>42</v>
      </c>
      <c r="C24" s="590" t="s">
        <v>43</v>
      </c>
      <c r="D24" s="115">
        <v>1</v>
      </c>
      <c r="E24" s="116" t="s">
        <v>44</v>
      </c>
      <c r="F24" s="117"/>
      <c r="G24" s="118" t="s">
        <v>29</v>
      </c>
    </row>
    <row r="25" spans="2:7" ht="54" customHeight="1" x14ac:dyDescent="0.35">
      <c r="B25" s="595"/>
      <c r="C25" s="609"/>
      <c r="D25" s="115">
        <v>1</v>
      </c>
      <c r="E25" s="116" t="s">
        <v>45</v>
      </c>
      <c r="F25" s="117"/>
      <c r="G25" s="118" t="s">
        <v>29</v>
      </c>
    </row>
    <row r="26" spans="2:7" ht="36" customHeight="1" x14ac:dyDescent="0.35">
      <c r="B26" s="595"/>
      <c r="C26" s="609" t="s">
        <v>47</v>
      </c>
      <c r="D26" s="566">
        <v>1</v>
      </c>
      <c r="E26" s="663" t="s">
        <v>49</v>
      </c>
      <c r="F26" s="664"/>
      <c r="G26" s="664" t="s">
        <v>29</v>
      </c>
    </row>
    <row r="27" spans="2:7" ht="36" customHeight="1" thickBot="1" x14ac:dyDescent="0.4">
      <c r="B27" s="596"/>
      <c r="C27" s="592"/>
      <c r="D27" s="566"/>
      <c r="E27" s="663"/>
      <c r="F27" s="664"/>
      <c r="G27" s="664"/>
    </row>
    <row r="28" spans="2:7" ht="15" customHeight="1" x14ac:dyDescent="0.35">
      <c r="B28" s="121" t="s">
        <v>50</v>
      </c>
      <c r="C28" s="122"/>
      <c r="D28" s="123" t="s">
        <v>51</v>
      </c>
      <c r="E28" s="124"/>
      <c r="F28" s="55"/>
      <c r="G28" s="56"/>
    </row>
    <row r="29" spans="2:7" ht="15" customHeight="1" x14ac:dyDescent="0.35">
      <c r="B29" s="125"/>
      <c r="C29" s="126"/>
      <c r="D29" s="115">
        <v>1</v>
      </c>
      <c r="E29" s="127" t="s">
        <v>137</v>
      </c>
      <c r="F29" s="128"/>
      <c r="G29" s="90" t="s">
        <v>29</v>
      </c>
    </row>
    <row r="30" spans="2:7" ht="15.75" customHeight="1" x14ac:dyDescent="0.35">
      <c r="B30" s="125"/>
      <c r="C30" s="126"/>
      <c r="D30" s="115">
        <v>3</v>
      </c>
      <c r="E30" s="127" t="s">
        <v>53</v>
      </c>
      <c r="F30" s="57"/>
      <c r="G30" s="86" t="s">
        <v>29</v>
      </c>
    </row>
    <row r="31" spans="2:7" x14ac:dyDescent="0.35">
      <c r="B31" s="125"/>
      <c r="C31" s="126"/>
      <c r="D31" s="115">
        <v>3</v>
      </c>
      <c r="E31" s="129" t="s">
        <v>55</v>
      </c>
      <c r="F31" s="57"/>
      <c r="G31" s="86" t="s">
        <v>29</v>
      </c>
    </row>
    <row r="32" spans="2:7" x14ac:dyDescent="0.35">
      <c r="B32" s="125"/>
      <c r="C32" s="126"/>
      <c r="D32" s="115"/>
      <c r="E32" s="130" t="s">
        <v>56</v>
      </c>
      <c r="F32" s="57"/>
      <c r="G32" s="86" t="s">
        <v>29</v>
      </c>
    </row>
    <row r="33" spans="2:7" x14ac:dyDescent="0.35">
      <c r="B33" s="125"/>
      <c r="C33" s="126"/>
      <c r="D33" s="665" t="s">
        <v>57</v>
      </c>
      <c r="E33" s="666"/>
      <c r="F33" s="57"/>
      <c r="G33" s="45"/>
    </row>
    <row r="34" spans="2:7" x14ac:dyDescent="0.35">
      <c r="B34" s="125"/>
      <c r="C34" s="126"/>
      <c r="D34" s="115">
        <v>1</v>
      </c>
      <c r="E34" s="116" t="s">
        <v>58</v>
      </c>
      <c r="F34" s="57"/>
      <c r="G34" s="86" t="s">
        <v>29</v>
      </c>
    </row>
    <row r="35" spans="2:7" x14ac:dyDescent="0.35">
      <c r="B35" s="125"/>
      <c r="C35" s="126"/>
      <c r="D35" s="115">
        <v>6</v>
      </c>
      <c r="E35" s="127" t="s">
        <v>138</v>
      </c>
      <c r="F35" s="57"/>
      <c r="G35" s="86" t="s">
        <v>29</v>
      </c>
    </row>
    <row r="36" spans="2:7" x14ac:dyDescent="0.35">
      <c r="B36" s="125"/>
      <c r="C36" s="126"/>
      <c r="D36" s="115"/>
      <c r="E36" s="127"/>
      <c r="F36" s="57"/>
      <c r="G36" s="45"/>
    </row>
    <row r="37" spans="2:7" x14ac:dyDescent="0.35">
      <c r="B37" s="125"/>
      <c r="C37" s="126"/>
      <c r="D37" s="665" t="s">
        <v>62</v>
      </c>
      <c r="E37" s="666"/>
      <c r="F37" s="57"/>
      <c r="G37" s="45"/>
    </row>
    <row r="38" spans="2:7" ht="15" customHeight="1" x14ac:dyDescent="0.35">
      <c r="B38" s="125"/>
      <c r="C38" s="126"/>
      <c r="D38" s="115"/>
      <c r="E38" s="4"/>
      <c r="F38" s="57"/>
      <c r="G38" s="45"/>
    </row>
    <row r="39" spans="2:7" ht="15" customHeight="1" x14ac:dyDescent="0.35">
      <c r="B39" s="125"/>
      <c r="C39" s="126"/>
      <c r="D39" s="115">
        <v>1</v>
      </c>
      <c r="E39" s="116" t="s">
        <v>139</v>
      </c>
      <c r="F39" s="57"/>
      <c r="G39" s="45" t="s">
        <v>29</v>
      </c>
    </row>
    <row r="40" spans="2:7" ht="27" customHeight="1" x14ac:dyDescent="0.35">
      <c r="B40" s="125"/>
      <c r="C40" s="126"/>
      <c r="D40" s="115">
        <v>1</v>
      </c>
      <c r="E40" s="127" t="s">
        <v>140</v>
      </c>
      <c r="F40" s="57"/>
      <c r="G40" s="45" t="s">
        <v>29</v>
      </c>
    </row>
    <row r="41" spans="2:7" ht="27" customHeight="1" x14ac:dyDescent="0.35">
      <c r="B41" s="125"/>
      <c r="C41" s="126"/>
      <c r="D41" s="4">
        <v>1</v>
      </c>
      <c r="E41" s="127" t="s">
        <v>141</v>
      </c>
      <c r="F41" s="57"/>
      <c r="G41" s="45" t="s">
        <v>29</v>
      </c>
    </row>
    <row r="42" spans="2:7" x14ac:dyDescent="0.35">
      <c r="B42" s="125"/>
      <c r="C42" s="126"/>
      <c r="D42" s="115">
        <v>6</v>
      </c>
      <c r="E42" s="131" t="s">
        <v>142</v>
      </c>
      <c r="F42" s="57"/>
      <c r="G42" s="45" t="s">
        <v>29</v>
      </c>
    </row>
    <row r="43" spans="2:7" x14ac:dyDescent="0.35">
      <c r="B43" s="125"/>
      <c r="C43" s="126"/>
      <c r="D43" s="115">
        <v>6</v>
      </c>
      <c r="E43" s="116" t="s">
        <v>143</v>
      </c>
      <c r="F43" s="57"/>
      <c r="G43" s="45" t="s">
        <v>29</v>
      </c>
    </row>
    <row r="44" spans="2:7" ht="15" customHeight="1" x14ac:dyDescent="0.35">
      <c r="B44" s="125"/>
      <c r="C44" s="126"/>
      <c r="D44" s="115">
        <v>1</v>
      </c>
      <c r="E44" s="116" t="s">
        <v>144</v>
      </c>
      <c r="F44" s="57"/>
      <c r="G44" s="45" t="s">
        <v>29</v>
      </c>
    </row>
    <row r="45" spans="2:7" x14ac:dyDescent="0.35">
      <c r="B45" s="125"/>
      <c r="C45" s="126"/>
      <c r="D45" s="115">
        <v>1</v>
      </c>
      <c r="E45" s="116" t="s">
        <v>145</v>
      </c>
      <c r="F45" s="57"/>
      <c r="G45" s="45" t="s">
        <v>29</v>
      </c>
    </row>
    <row r="46" spans="2:7" ht="15" thickBot="1" x14ac:dyDescent="0.4">
      <c r="B46" s="125"/>
      <c r="C46" s="126"/>
      <c r="D46" s="5">
        <v>1</v>
      </c>
      <c r="E46" s="116" t="s">
        <v>146</v>
      </c>
      <c r="F46" s="57"/>
      <c r="G46" s="45" t="s">
        <v>29</v>
      </c>
    </row>
    <row r="47" spans="2:7" ht="16.5" customHeight="1" x14ac:dyDescent="0.35">
      <c r="B47" s="69" t="s">
        <v>71</v>
      </c>
      <c r="C47" s="70"/>
      <c r="D47" s="70"/>
      <c r="E47" s="70"/>
      <c r="F47" s="70"/>
      <c r="G47" s="132"/>
    </row>
    <row r="48" spans="2:7" ht="16.5" customHeight="1" x14ac:dyDescent="0.35">
      <c r="B48" s="71"/>
      <c r="C48" s="72"/>
      <c r="D48" s="72"/>
      <c r="E48" s="72"/>
      <c r="F48" s="72"/>
      <c r="G48" s="133"/>
    </row>
    <row r="49" spans="2:7" x14ac:dyDescent="0.35">
      <c r="B49" s="73" t="s">
        <v>72</v>
      </c>
      <c r="C49" s="37"/>
      <c r="D49" s="38"/>
      <c r="E49" s="37"/>
      <c r="F49" s="39"/>
      <c r="G49" s="74"/>
    </row>
    <row r="50" spans="2:7" ht="30" customHeight="1" x14ac:dyDescent="0.35">
      <c r="B50" s="546" t="s">
        <v>73</v>
      </c>
      <c r="C50" s="547"/>
      <c r="D50" s="547"/>
      <c r="E50" s="547"/>
      <c r="F50" s="547"/>
      <c r="G50" s="548"/>
    </row>
    <row r="51" spans="2:7" ht="15" thickBot="1" x14ac:dyDescent="0.4">
      <c r="B51" s="75" t="s">
        <v>74</v>
      </c>
      <c r="C51" s="76"/>
      <c r="D51" s="77"/>
      <c r="E51" s="76"/>
      <c r="F51" s="78"/>
      <c r="G51" s="79"/>
    </row>
    <row r="52" spans="2:7" ht="15" customHeight="1" x14ac:dyDescent="0.35">
      <c r="B52" t="s">
        <v>147</v>
      </c>
      <c r="C52" s="134"/>
      <c r="D52" s="134"/>
      <c r="E52" s="134"/>
    </row>
    <row r="53" spans="2:7" ht="15" customHeight="1" x14ac:dyDescent="0.35">
      <c r="B53" t="s">
        <v>148</v>
      </c>
    </row>
    <row r="54" spans="2:7" ht="15" customHeight="1" x14ac:dyDescent="0.35"/>
  </sheetData>
  <mergeCells count="19">
    <mergeCell ref="B50:G50"/>
    <mergeCell ref="D26:D27"/>
    <mergeCell ref="E26:E27"/>
    <mergeCell ref="F26:F27"/>
    <mergeCell ref="G26:G27"/>
    <mergeCell ref="D33:E33"/>
    <mergeCell ref="D37:E37"/>
    <mergeCell ref="B10:C14"/>
    <mergeCell ref="B15:C17"/>
    <mergeCell ref="B18:C23"/>
    <mergeCell ref="B24:B27"/>
    <mergeCell ref="C24:C25"/>
    <mergeCell ref="C26:C27"/>
    <mergeCell ref="G7:G9"/>
    <mergeCell ref="E3:E4"/>
    <mergeCell ref="B7:C9"/>
    <mergeCell ref="D7:D9"/>
    <mergeCell ref="E7:E9"/>
    <mergeCell ref="F7:F9"/>
  </mergeCells>
  <pageMargins left="0.7" right="0.7" top="0.75" bottom="0.75" header="0.3" footer="0.3"/>
  <pageSetup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AAAF-A4E5-4EFC-B341-D8B3C675DAA8}">
  <dimension ref="B3:G45"/>
  <sheetViews>
    <sheetView zoomScale="80" zoomScaleNormal="80" workbookViewId="0">
      <selection activeCell="A16" sqref="A16"/>
    </sheetView>
  </sheetViews>
  <sheetFormatPr baseColWidth="10" defaultRowHeight="14.5" x14ac:dyDescent="0.35"/>
  <cols>
    <col min="3" max="3" width="21.54296875" customWidth="1"/>
    <col min="5" max="5" width="69.54296875" customWidth="1"/>
  </cols>
  <sheetData>
    <row r="3" spans="2:7" x14ac:dyDescent="0.35">
      <c r="E3" s="654" t="s">
        <v>154</v>
      </c>
    </row>
    <row r="4" spans="2:7" x14ac:dyDescent="0.35">
      <c r="E4" s="654"/>
    </row>
    <row r="6" spans="2:7" ht="15" thickBot="1" x14ac:dyDescent="0.4"/>
    <row r="7" spans="2:7" ht="20.149999999999999" customHeight="1" x14ac:dyDescent="0.35">
      <c r="B7" s="655" t="s">
        <v>22</v>
      </c>
      <c r="C7" s="656"/>
      <c r="D7" s="657" t="s">
        <v>23</v>
      </c>
      <c r="E7" s="658" t="s">
        <v>24</v>
      </c>
      <c r="F7" s="657" t="s">
        <v>25</v>
      </c>
      <c r="G7" s="653" t="s">
        <v>26</v>
      </c>
    </row>
    <row r="8" spans="2:7" ht="20.149999999999999" customHeight="1" x14ac:dyDescent="0.35">
      <c r="B8" s="464"/>
      <c r="C8" s="454"/>
      <c r="D8" s="574"/>
      <c r="E8" s="576"/>
      <c r="F8" s="574"/>
      <c r="G8" s="572"/>
    </row>
    <row r="9" spans="2:7" ht="20.149999999999999" customHeight="1" thickBot="1" x14ac:dyDescent="0.4">
      <c r="B9" s="465"/>
      <c r="C9" s="456"/>
      <c r="D9" s="575"/>
      <c r="E9" s="577"/>
      <c r="F9" s="575"/>
      <c r="G9" s="573"/>
    </row>
    <row r="10" spans="2:7" ht="47.25" customHeight="1" x14ac:dyDescent="0.35">
      <c r="B10" s="586" t="s">
        <v>27</v>
      </c>
      <c r="C10" s="587"/>
      <c r="D10" s="81">
        <v>1</v>
      </c>
      <c r="E10" s="40" t="s">
        <v>28</v>
      </c>
      <c r="F10" s="41" t="s">
        <v>134</v>
      </c>
      <c r="G10" s="42"/>
    </row>
    <row r="11" spans="2:7" ht="47.25" customHeight="1" thickBot="1" x14ac:dyDescent="0.4">
      <c r="B11" s="588"/>
      <c r="C11" s="589"/>
      <c r="D11" s="83">
        <v>1</v>
      </c>
      <c r="E11" s="43" t="s">
        <v>30</v>
      </c>
      <c r="F11" s="44" t="s">
        <v>134</v>
      </c>
      <c r="G11" s="45"/>
    </row>
    <row r="12" spans="2:7" ht="35.15" customHeight="1" x14ac:dyDescent="0.35">
      <c r="B12" s="586" t="s">
        <v>33</v>
      </c>
      <c r="C12" s="587"/>
      <c r="D12" s="81">
        <v>1</v>
      </c>
      <c r="E12" s="51" t="s">
        <v>127</v>
      </c>
      <c r="F12" s="41" t="s">
        <v>29</v>
      </c>
      <c r="G12" s="42"/>
    </row>
    <row r="13" spans="2:7" ht="35.15" customHeight="1" x14ac:dyDescent="0.35">
      <c r="B13" s="588"/>
      <c r="C13" s="589"/>
      <c r="D13" s="83"/>
      <c r="E13" s="87" t="s">
        <v>155</v>
      </c>
      <c r="F13" s="52" t="s">
        <v>134</v>
      </c>
      <c r="G13" s="53"/>
    </row>
    <row r="14" spans="2:7" ht="35.15" customHeight="1" thickBot="1" x14ac:dyDescent="0.4">
      <c r="B14" s="588"/>
      <c r="C14" s="589"/>
      <c r="D14" s="82">
        <v>1</v>
      </c>
      <c r="E14" s="135" t="s">
        <v>156</v>
      </c>
      <c r="F14" s="52" t="s">
        <v>29</v>
      </c>
      <c r="G14" s="53"/>
    </row>
    <row r="15" spans="2:7" ht="40" customHeight="1" thickBot="1" x14ac:dyDescent="0.4">
      <c r="B15" s="597"/>
      <c r="C15" s="598"/>
      <c r="D15" s="83">
        <v>1</v>
      </c>
      <c r="E15" s="135" t="s">
        <v>156</v>
      </c>
      <c r="F15" s="49" t="s">
        <v>134</v>
      </c>
      <c r="G15" s="50"/>
    </row>
    <row r="16" spans="2:7" ht="30" customHeight="1" x14ac:dyDescent="0.35">
      <c r="B16" s="590" t="s">
        <v>37</v>
      </c>
      <c r="C16" s="591"/>
      <c r="D16" s="81">
        <v>1</v>
      </c>
      <c r="E16" s="40" t="s">
        <v>130</v>
      </c>
      <c r="F16" s="41"/>
      <c r="G16" s="42" t="s">
        <v>29</v>
      </c>
    </row>
    <row r="17" spans="2:7" ht="30" customHeight="1" thickBot="1" x14ac:dyDescent="0.4">
      <c r="B17" s="592"/>
      <c r="C17" s="593"/>
      <c r="D17" s="82">
        <v>1</v>
      </c>
      <c r="E17" s="54" t="s">
        <v>41</v>
      </c>
      <c r="F17" s="49"/>
      <c r="G17" s="50" t="s">
        <v>29</v>
      </c>
    </row>
    <row r="18" spans="2:7" ht="32.15" customHeight="1" x14ac:dyDescent="0.35">
      <c r="B18" s="594" t="s">
        <v>42</v>
      </c>
      <c r="C18" s="594" t="s">
        <v>43</v>
      </c>
      <c r="D18" s="81">
        <v>1</v>
      </c>
      <c r="E18" s="40" t="s">
        <v>44</v>
      </c>
      <c r="F18" s="41"/>
      <c r="G18" s="42" t="s">
        <v>29</v>
      </c>
    </row>
    <row r="19" spans="2:7" ht="32.15" customHeight="1" x14ac:dyDescent="0.35">
      <c r="B19" s="595"/>
      <c r="C19" s="595"/>
      <c r="D19" s="83">
        <v>1</v>
      </c>
      <c r="E19" s="43" t="s">
        <v>45</v>
      </c>
      <c r="F19" s="46"/>
      <c r="G19" s="45" t="s">
        <v>29</v>
      </c>
    </row>
    <row r="20" spans="2:7" ht="32.15" customHeight="1" thickBot="1" x14ac:dyDescent="0.4">
      <c r="B20" s="595"/>
      <c r="C20" s="596"/>
      <c r="D20" s="83">
        <v>1</v>
      </c>
      <c r="E20" s="43" t="s">
        <v>46</v>
      </c>
      <c r="F20" s="46"/>
      <c r="G20" s="45" t="s">
        <v>29</v>
      </c>
    </row>
    <row r="21" spans="2:7" ht="32.15" customHeight="1" x14ac:dyDescent="0.35">
      <c r="B21" s="595"/>
      <c r="C21" s="595" t="s">
        <v>47</v>
      </c>
      <c r="D21" s="625">
        <v>1</v>
      </c>
      <c r="E21" s="552" t="s">
        <v>49</v>
      </c>
      <c r="F21" s="570"/>
      <c r="G21" s="568" t="s">
        <v>29</v>
      </c>
    </row>
    <row r="22" spans="2:7" ht="32.15" customHeight="1" thickBot="1" x14ac:dyDescent="0.4">
      <c r="B22" s="596"/>
      <c r="C22" s="596"/>
      <c r="D22" s="551"/>
      <c r="E22" s="553"/>
      <c r="F22" s="555"/>
      <c r="G22" s="557"/>
    </row>
    <row r="23" spans="2:7" ht="15" customHeight="1" thickBot="1" x14ac:dyDescent="0.4">
      <c r="B23" s="558" t="s">
        <v>50</v>
      </c>
      <c r="C23" s="559"/>
      <c r="D23" s="562" t="s">
        <v>51</v>
      </c>
      <c r="E23" s="563"/>
      <c r="F23" s="55"/>
      <c r="G23" s="56"/>
    </row>
    <row r="24" spans="2:7" ht="15.75" customHeight="1" x14ac:dyDescent="0.35">
      <c r="B24" s="560"/>
      <c r="C24" s="561"/>
      <c r="D24" s="81">
        <v>2</v>
      </c>
      <c r="E24" s="58" t="s">
        <v>53</v>
      </c>
      <c r="F24" s="57"/>
      <c r="G24" s="45"/>
    </row>
    <row r="25" spans="2:7" x14ac:dyDescent="0.35">
      <c r="B25" s="560"/>
      <c r="C25" s="561"/>
      <c r="D25" s="550">
        <v>2</v>
      </c>
      <c r="E25" s="564" t="s">
        <v>55</v>
      </c>
      <c r="F25" s="57"/>
      <c r="G25" s="45"/>
    </row>
    <row r="26" spans="2:7" ht="15" customHeight="1" x14ac:dyDescent="0.35">
      <c r="B26" s="560"/>
      <c r="C26" s="561"/>
      <c r="D26" s="550"/>
      <c r="E26" s="564"/>
      <c r="F26" s="57"/>
      <c r="G26" s="45"/>
    </row>
    <row r="27" spans="2:7" ht="15" thickBot="1" x14ac:dyDescent="0.4">
      <c r="B27" s="560"/>
      <c r="C27" s="561"/>
      <c r="D27" s="82"/>
      <c r="E27" s="60" t="s">
        <v>56</v>
      </c>
      <c r="F27" s="57"/>
      <c r="G27" s="45"/>
    </row>
    <row r="28" spans="2:7" x14ac:dyDescent="0.35">
      <c r="B28" s="560"/>
      <c r="C28" s="561"/>
      <c r="D28" s="562" t="s">
        <v>57</v>
      </c>
      <c r="E28" s="565"/>
      <c r="F28" s="57"/>
      <c r="G28" s="45"/>
    </row>
    <row r="29" spans="2:7" x14ac:dyDescent="0.35">
      <c r="B29" s="560"/>
      <c r="C29" s="561"/>
      <c r="D29" s="61">
        <v>1</v>
      </c>
      <c r="E29" s="62" t="s">
        <v>58</v>
      </c>
      <c r="F29" s="57"/>
      <c r="G29" s="45"/>
    </row>
    <row r="30" spans="2:7" x14ac:dyDescent="0.35">
      <c r="B30" s="560"/>
      <c r="C30" s="561"/>
      <c r="D30" s="626">
        <v>4</v>
      </c>
      <c r="E30" s="628" t="s">
        <v>60</v>
      </c>
      <c r="F30" s="57"/>
      <c r="G30" s="45"/>
    </row>
    <row r="31" spans="2:7" x14ac:dyDescent="0.35">
      <c r="B31" s="560"/>
      <c r="C31" s="561"/>
      <c r="D31" s="627"/>
      <c r="E31" s="629"/>
      <c r="F31" s="57"/>
      <c r="G31" s="45"/>
    </row>
    <row r="32" spans="2:7" x14ac:dyDescent="0.35">
      <c r="B32" s="560"/>
      <c r="C32" s="561"/>
      <c r="D32" s="84"/>
      <c r="E32" s="64" t="s">
        <v>157</v>
      </c>
      <c r="F32" s="137"/>
      <c r="G32" s="45"/>
    </row>
    <row r="33" spans="2:7" x14ac:dyDescent="0.35">
      <c r="B33" s="560"/>
      <c r="C33" s="561"/>
      <c r="D33" s="115"/>
      <c r="E33" s="138" t="s">
        <v>62</v>
      </c>
      <c r="F33" s="117"/>
      <c r="G33" s="45"/>
    </row>
    <row r="34" spans="2:7" ht="15" customHeight="1" x14ac:dyDescent="0.35">
      <c r="B34" s="560"/>
      <c r="C34" s="561"/>
      <c r="D34" s="115">
        <v>1</v>
      </c>
      <c r="E34" s="116" t="s">
        <v>58</v>
      </c>
      <c r="F34" s="117"/>
      <c r="G34" s="45"/>
    </row>
    <row r="35" spans="2:7" x14ac:dyDescent="0.35">
      <c r="B35" s="560"/>
      <c r="C35" s="561"/>
      <c r="D35" s="115">
        <v>1</v>
      </c>
      <c r="E35" s="127" t="s">
        <v>65</v>
      </c>
      <c r="F35" s="117"/>
      <c r="G35" s="45"/>
    </row>
    <row r="36" spans="2:7" ht="26" x14ac:dyDescent="0.35">
      <c r="B36" s="560"/>
      <c r="C36" s="561"/>
      <c r="D36" s="5">
        <v>1</v>
      </c>
      <c r="E36" s="127" t="s">
        <v>66</v>
      </c>
      <c r="F36" s="117"/>
      <c r="G36" s="45"/>
    </row>
    <row r="37" spans="2:7" x14ac:dyDescent="0.35">
      <c r="B37" s="560"/>
      <c r="C37" s="561"/>
      <c r="D37" s="115">
        <v>4</v>
      </c>
      <c r="E37" s="131" t="s">
        <v>67</v>
      </c>
      <c r="F37" s="117"/>
      <c r="G37" s="45"/>
    </row>
    <row r="38" spans="2:7" ht="15" thickBot="1" x14ac:dyDescent="0.4">
      <c r="B38" s="560"/>
      <c r="C38" s="561"/>
      <c r="D38" s="80"/>
      <c r="E38" s="63"/>
      <c r="F38" s="128"/>
      <c r="G38" s="45"/>
    </row>
    <row r="39" spans="2:7" ht="16.5" customHeight="1" x14ac:dyDescent="0.35">
      <c r="B39" s="69" t="s">
        <v>71</v>
      </c>
      <c r="C39" s="70"/>
      <c r="D39" s="70"/>
      <c r="E39" s="70"/>
      <c r="F39" s="70"/>
      <c r="G39" s="132"/>
    </row>
    <row r="40" spans="2:7" ht="16.5" customHeight="1" x14ac:dyDescent="0.35">
      <c r="B40" s="71"/>
      <c r="C40" s="72"/>
      <c r="D40" s="72"/>
      <c r="E40" s="72"/>
      <c r="F40" s="72"/>
      <c r="G40" s="133"/>
    </row>
    <row r="41" spans="2:7" x14ac:dyDescent="0.35">
      <c r="B41" s="73" t="s">
        <v>72</v>
      </c>
      <c r="C41" s="37"/>
      <c r="D41" s="38"/>
      <c r="E41" s="37"/>
      <c r="F41" s="39"/>
      <c r="G41" s="74"/>
    </row>
    <row r="42" spans="2:7" ht="30" customHeight="1" x14ac:dyDescent="0.35">
      <c r="B42" s="546" t="s">
        <v>73</v>
      </c>
      <c r="C42" s="547"/>
      <c r="D42" s="547"/>
      <c r="E42" s="547"/>
      <c r="F42" s="547"/>
      <c r="G42" s="548"/>
    </row>
    <row r="43" spans="2:7" ht="15" thickBot="1" x14ac:dyDescent="0.4">
      <c r="B43" s="75" t="s">
        <v>74</v>
      </c>
      <c r="C43" s="76"/>
      <c r="D43" s="77"/>
      <c r="E43" s="76"/>
      <c r="F43" s="78"/>
      <c r="G43" s="79"/>
    </row>
    <row r="44" spans="2:7" x14ac:dyDescent="0.35">
      <c r="B44" s="549"/>
      <c r="C44" s="549"/>
      <c r="D44" s="549"/>
      <c r="E44" s="549"/>
    </row>
    <row r="45" spans="2:7" x14ac:dyDescent="0.35">
      <c r="B45" s="547"/>
      <c r="C45" s="547"/>
      <c r="D45" s="547"/>
      <c r="E45" s="547"/>
    </row>
  </sheetData>
  <mergeCells count="25">
    <mergeCell ref="E30:E31"/>
    <mergeCell ref="B42:G42"/>
    <mergeCell ref="B44:E45"/>
    <mergeCell ref="D21:D22"/>
    <mergeCell ref="E21:E22"/>
    <mergeCell ref="F21:F22"/>
    <mergeCell ref="G21:G22"/>
    <mergeCell ref="B23:C38"/>
    <mergeCell ref="D23:E23"/>
    <mergeCell ref="D25:D26"/>
    <mergeCell ref="E25:E26"/>
    <mergeCell ref="D28:E28"/>
    <mergeCell ref="D30:D31"/>
    <mergeCell ref="B10:C11"/>
    <mergeCell ref="B12:C15"/>
    <mergeCell ref="B16:C17"/>
    <mergeCell ref="B18:B22"/>
    <mergeCell ref="C18:C20"/>
    <mergeCell ref="C21:C22"/>
    <mergeCell ref="G7:G9"/>
    <mergeCell ref="E3:E4"/>
    <mergeCell ref="B7:C9"/>
    <mergeCell ref="D7:D9"/>
    <mergeCell ref="E7:E9"/>
    <mergeCell ref="F7:F9"/>
  </mergeCells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 RESPUESTAS EV.1  PAGObajo)</vt:lpstr>
      <vt:lpstr>BHOJA RESPUESTAS EV.1  PAGOBAJO</vt:lpstr>
      <vt:lpstr>BHOJA RESPUESTAS EV.1  PF</vt:lpstr>
      <vt:lpstr>Instrucciones</vt:lpstr>
      <vt:lpstr>Hoja de trabajo</vt:lpstr>
      <vt:lpstr>ASALARIADO</vt:lpstr>
      <vt:lpstr>CHK LIST HSBC</vt:lpstr>
      <vt:lpstr>CHK LIST SANTANDER</vt:lpstr>
      <vt:lpstr>CHK LIST  BANORTE</vt:lpstr>
      <vt:lpstr>CHK LIST SB 1</vt:lpstr>
      <vt:lpstr>CIERRE CIFRAS</vt:lpstr>
      <vt:lpstr>CHK LIST  CITIBNX</vt:lpstr>
      <vt:lpstr>CHK AFIRME</vt:lpstr>
      <vt:lpstr>CHK LIST BANREGIO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Palma</dc:creator>
  <cp:lastModifiedBy>Brenda Bautista</cp:lastModifiedBy>
  <cp:lastPrinted>2020-01-15T21:23:16Z</cp:lastPrinted>
  <dcterms:created xsi:type="dcterms:W3CDTF">2019-01-16T14:19:51Z</dcterms:created>
  <dcterms:modified xsi:type="dcterms:W3CDTF">2023-09-27T23:19:23Z</dcterms:modified>
</cp:coreProperties>
</file>