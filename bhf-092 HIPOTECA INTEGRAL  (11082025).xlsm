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106393\OneDrive - Santander Office 365\escritorio\FORMATOS 2024\"/>
    </mc:Choice>
  </mc:AlternateContent>
  <xr:revisionPtr revIDLastSave="0" documentId="8_{953C82FC-848B-4819-A570-AB589072A50B}" xr6:coauthVersionLast="47" xr6:coauthVersionMax="47" xr10:uidLastSave="{00000000-0000-0000-0000-000000000000}"/>
  <workbookProtection workbookAlgorithmName="SHA-512" workbookHashValue="uKHY8w1OizihJcAmoDbAzq/NXz2f3HsOs8LMDSWEm4eGDXgpvenaxAWc4yKn/OMVkafExHHMxq3AZ1km+lsrFg==" workbookSaltValue="KzdUcK8aiQNTNfJ+9yN0fA==" workbookSpinCount="100000" lockStructure="1"/>
  <bookViews>
    <workbookView xWindow="28690" yWindow="-110" windowWidth="21820" windowHeight="13000" firstSheet="2" activeTab="2" xr2:uid="{00000000-000D-0000-FFFF-FFFF00000000}"/>
  </bookViews>
  <sheets>
    <sheet name="Tablas" sheetId="6" state="hidden" r:id="rId1"/>
    <sheet name="Adm" sheetId="1" state="hidden" r:id="rId2"/>
    <sheet name="Captura" sheetId="2" r:id="rId3"/>
    <sheet name="CAT" sheetId="7" state="hidden" r:id="rId4"/>
  </sheets>
  <externalReferences>
    <externalReference r:id="rId5"/>
  </externalReferences>
  <definedNames>
    <definedName name="_xlnm.Print_Area" localSheetId="2">Captura!$C$1:$N$387</definedName>
    <definedName name="Ingresos">Adm!$AF$3:$AF$4</definedName>
    <definedName name="origen">[1]Adm!$U$3</definedName>
    <definedName name="_xlnm.Print_Titles" localSheetId="2">Captura!$68:$68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" i="2" l="1"/>
  <c r="E2" i="1"/>
  <c r="J2" i="1" s="1"/>
  <c r="Y13" i="2" l="1"/>
  <c r="Y12" i="2"/>
  <c r="D2" i="1"/>
  <c r="X2" i="1" l="1"/>
  <c r="G38" i="2" l="1"/>
  <c r="J7" i="7"/>
  <c r="J8" i="7"/>
  <c r="AA72" i="2"/>
  <c r="AA73" i="2"/>
  <c r="AA74" i="2"/>
  <c r="AA75" i="2"/>
  <c r="AA76" i="2"/>
  <c r="AA77" i="2"/>
  <c r="AA79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4" i="2"/>
  <c r="AA115" i="2"/>
  <c r="AA116" i="2"/>
  <c r="AA117" i="2"/>
  <c r="AA118" i="2"/>
  <c r="AA119" i="2"/>
  <c r="AA120" i="2"/>
  <c r="AA121" i="2"/>
  <c r="AA122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B72" i="2"/>
  <c r="AB73" i="2"/>
  <c r="AB74" i="2"/>
  <c r="AB75" i="2"/>
  <c r="AB76" i="2"/>
  <c r="AB77" i="2"/>
  <c r="AB79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4" i="2"/>
  <c r="AB115" i="2"/>
  <c r="AB116" i="2"/>
  <c r="AB117" i="2"/>
  <c r="AB118" i="2"/>
  <c r="AB119" i="2"/>
  <c r="AB120" i="2"/>
  <c r="AB121" i="2"/>
  <c r="AB122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B136" i="2"/>
  <c r="AB137" i="2"/>
  <c r="AB138" i="2"/>
  <c r="AB139" i="2"/>
  <c r="AB140" i="2"/>
  <c r="AB141" i="2"/>
  <c r="AB142" i="2"/>
  <c r="AB143" i="2"/>
  <c r="AB144" i="2"/>
  <c r="AB145" i="2"/>
  <c r="AB146" i="2"/>
  <c r="AB147" i="2"/>
  <c r="AB148" i="2"/>
  <c r="AB149" i="2"/>
  <c r="AB150" i="2"/>
  <c r="AB151" i="2"/>
  <c r="AB152" i="2"/>
  <c r="AB153" i="2"/>
  <c r="AB154" i="2"/>
  <c r="AB155" i="2"/>
  <c r="AB156" i="2"/>
  <c r="AB157" i="2"/>
  <c r="AB158" i="2"/>
  <c r="AB159" i="2"/>
  <c r="AB160" i="2"/>
  <c r="AB161" i="2"/>
  <c r="AB162" i="2"/>
  <c r="AB163" i="2"/>
  <c r="AB164" i="2"/>
  <c r="AB165" i="2"/>
  <c r="AB166" i="2"/>
  <c r="AB167" i="2"/>
  <c r="AB168" i="2"/>
  <c r="AB169" i="2"/>
  <c r="AB170" i="2"/>
  <c r="AB171" i="2"/>
  <c r="AB172" i="2"/>
  <c r="AB173" i="2"/>
  <c r="AB174" i="2"/>
  <c r="AB175" i="2"/>
  <c r="AB176" i="2"/>
  <c r="AB177" i="2"/>
  <c r="AB178" i="2"/>
  <c r="AB179" i="2"/>
  <c r="AB180" i="2"/>
  <c r="AB181" i="2"/>
  <c r="AB182" i="2"/>
  <c r="AB183" i="2"/>
  <c r="AB184" i="2"/>
  <c r="AB185" i="2"/>
  <c r="AB186" i="2"/>
  <c r="AB187" i="2"/>
  <c r="AB188" i="2"/>
  <c r="AB189" i="2"/>
  <c r="AB190" i="2"/>
  <c r="AB191" i="2"/>
  <c r="AB192" i="2"/>
  <c r="AB193" i="2"/>
  <c r="AB194" i="2"/>
  <c r="AB195" i="2"/>
  <c r="AB196" i="2"/>
  <c r="AB197" i="2"/>
  <c r="AB198" i="2"/>
  <c r="AB199" i="2"/>
  <c r="AB200" i="2"/>
  <c r="AB201" i="2"/>
  <c r="AB202" i="2"/>
  <c r="AB203" i="2"/>
  <c r="AB204" i="2"/>
  <c r="AB205" i="2"/>
  <c r="AB206" i="2"/>
  <c r="AB207" i="2"/>
  <c r="AB208" i="2"/>
  <c r="AB209" i="2"/>
  <c r="AB210" i="2"/>
  <c r="AB211" i="2"/>
  <c r="AB212" i="2"/>
  <c r="AB213" i="2"/>
  <c r="AB214" i="2"/>
  <c r="AB215" i="2"/>
  <c r="AB216" i="2"/>
  <c r="AB217" i="2"/>
  <c r="AB218" i="2"/>
  <c r="AB219" i="2"/>
  <c r="AB220" i="2"/>
  <c r="AB221" i="2"/>
  <c r="AB222" i="2"/>
  <c r="AB223" i="2"/>
  <c r="AB224" i="2"/>
  <c r="AB225" i="2"/>
  <c r="AB226" i="2"/>
  <c r="AB227" i="2"/>
  <c r="AB228" i="2"/>
  <c r="AB229" i="2"/>
  <c r="AB230" i="2"/>
  <c r="AB231" i="2"/>
  <c r="AB232" i="2"/>
  <c r="AB233" i="2"/>
  <c r="AB234" i="2"/>
  <c r="AB235" i="2"/>
  <c r="AB236" i="2"/>
  <c r="AB237" i="2"/>
  <c r="AB238" i="2"/>
  <c r="AB239" i="2"/>
  <c r="AB240" i="2"/>
  <c r="AB241" i="2"/>
  <c r="AB242" i="2"/>
  <c r="AB243" i="2"/>
  <c r="AB244" i="2"/>
  <c r="AB245" i="2"/>
  <c r="AB246" i="2"/>
  <c r="AB247" i="2"/>
  <c r="AB248" i="2"/>
  <c r="AB249" i="2"/>
  <c r="AB250" i="2"/>
  <c r="AB251" i="2"/>
  <c r="AB252" i="2"/>
  <c r="AB253" i="2"/>
  <c r="AB254" i="2"/>
  <c r="AB255" i="2"/>
  <c r="AB256" i="2"/>
  <c r="AB257" i="2"/>
  <c r="AB258" i="2"/>
  <c r="AB259" i="2"/>
  <c r="AB260" i="2"/>
  <c r="AB261" i="2"/>
  <c r="AB262" i="2"/>
  <c r="AB263" i="2"/>
  <c r="AB264" i="2"/>
  <c r="AB265" i="2"/>
  <c r="AB266" i="2"/>
  <c r="AB267" i="2"/>
  <c r="AB268" i="2"/>
  <c r="AB269" i="2"/>
  <c r="AB270" i="2"/>
  <c r="AB271" i="2"/>
  <c r="AB272" i="2"/>
  <c r="AB273" i="2"/>
  <c r="AB274" i="2"/>
  <c r="AB275" i="2"/>
  <c r="AB276" i="2"/>
  <c r="AB277" i="2"/>
  <c r="AB278" i="2"/>
  <c r="AB279" i="2"/>
  <c r="AB280" i="2"/>
  <c r="AB281" i="2"/>
  <c r="AB282" i="2"/>
  <c r="AB283" i="2"/>
  <c r="AB284" i="2"/>
  <c r="AB285" i="2"/>
  <c r="AB286" i="2"/>
  <c r="AB287" i="2"/>
  <c r="AB288" i="2"/>
  <c r="AB289" i="2"/>
  <c r="AB290" i="2"/>
  <c r="AB291" i="2"/>
  <c r="AB292" i="2"/>
  <c r="AB293" i="2"/>
  <c r="AB294" i="2"/>
  <c r="AB295" i="2"/>
  <c r="AB296" i="2"/>
  <c r="AB297" i="2"/>
  <c r="AB298" i="2"/>
  <c r="AB299" i="2"/>
  <c r="AB300" i="2"/>
  <c r="AB301" i="2"/>
  <c r="AB302" i="2"/>
  <c r="AB303" i="2"/>
  <c r="AB304" i="2"/>
  <c r="AB305" i="2"/>
  <c r="AB306" i="2"/>
  <c r="AB307" i="2"/>
  <c r="AB308" i="2"/>
  <c r="AB309" i="2"/>
  <c r="AB310" i="2"/>
  <c r="AB311" i="2"/>
  <c r="AB312" i="2"/>
  <c r="AB313" i="2"/>
  <c r="AB314" i="2"/>
  <c r="AB315" i="2"/>
  <c r="AB316" i="2"/>
  <c r="AB317" i="2"/>
  <c r="AB318" i="2"/>
  <c r="AB319" i="2"/>
  <c r="AB320" i="2"/>
  <c r="AB321" i="2"/>
  <c r="AB322" i="2"/>
  <c r="AB323" i="2"/>
  <c r="AB324" i="2"/>
  <c r="AB325" i="2"/>
  <c r="AB326" i="2"/>
  <c r="AB327" i="2"/>
  <c r="AB328" i="2"/>
  <c r="AB329" i="2"/>
  <c r="AB330" i="2"/>
  <c r="AB331" i="2"/>
  <c r="AB332" i="2"/>
  <c r="AB333" i="2"/>
  <c r="AB334" i="2"/>
  <c r="AB335" i="2"/>
  <c r="AB336" i="2"/>
  <c r="AB337" i="2"/>
  <c r="AB338" i="2"/>
  <c r="AB339" i="2"/>
  <c r="AB340" i="2"/>
  <c r="AB341" i="2"/>
  <c r="AB342" i="2"/>
  <c r="AB343" i="2"/>
  <c r="AB344" i="2"/>
  <c r="AB345" i="2"/>
  <c r="AB346" i="2"/>
  <c r="AB347" i="2"/>
  <c r="AB348" i="2"/>
  <c r="AB349" i="2"/>
  <c r="AB350" i="2"/>
  <c r="AB351" i="2"/>
  <c r="AB352" i="2"/>
  <c r="AB353" i="2"/>
  <c r="AB354" i="2"/>
  <c r="AB355" i="2"/>
  <c r="AB356" i="2"/>
  <c r="AB357" i="2"/>
  <c r="AB358" i="2"/>
  <c r="AB359" i="2"/>
  <c r="AB360" i="2"/>
  <c r="AB361" i="2"/>
  <c r="AB362" i="2"/>
  <c r="AB363" i="2"/>
  <c r="AB364" i="2"/>
  <c r="AB365" i="2"/>
  <c r="AB366" i="2"/>
  <c r="AB367" i="2"/>
  <c r="AB368" i="2"/>
  <c r="AB369" i="2"/>
  <c r="AA60" i="2"/>
  <c r="AA58" i="2"/>
  <c r="Z63" i="2"/>
  <c r="Y2" i="1" l="1"/>
  <c r="D14" i="7" s="1"/>
  <c r="Z114" i="2"/>
  <c r="Z109" i="2"/>
  <c r="Z105" i="2"/>
  <c r="Z101" i="2"/>
  <c r="Z97" i="2"/>
  <c r="Z93" i="2"/>
  <c r="Z89" i="2"/>
  <c r="Z85" i="2"/>
  <c r="Z81" i="2"/>
  <c r="Z76" i="2"/>
  <c r="Z72" i="2"/>
  <c r="Z196" i="2"/>
  <c r="Z132" i="2"/>
  <c r="Z281" i="2"/>
  <c r="Z153" i="2"/>
  <c r="Z116" i="2"/>
  <c r="Z74" i="2"/>
  <c r="Z360" i="2"/>
  <c r="Z344" i="2"/>
  <c r="Z332" i="2"/>
  <c r="Z316" i="2"/>
  <c r="Z304" i="2"/>
  <c r="Z292" i="2"/>
  <c r="Z280" i="2"/>
  <c r="Z268" i="2"/>
  <c r="Z256" i="2"/>
  <c r="Z244" i="2"/>
  <c r="Z240" i="2"/>
  <c r="Z236" i="2"/>
  <c r="Z232" i="2"/>
  <c r="Z228" i="2"/>
  <c r="Z224" i="2"/>
  <c r="Z220" i="2"/>
  <c r="Z216" i="2"/>
  <c r="Z212" i="2"/>
  <c r="Z208" i="2"/>
  <c r="Z204" i="2"/>
  <c r="Z200" i="2"/>
  <c r="Z192" i="2"/>
  <c r="Z188" i="2"/>
  <c r="Z184" i="2"/>
  <c r="Z180" i="2"/>
  <c r="Z176" i="2"/>
  <c r="Z172" i="2"/>
  <c r="Z168" i="2"/>
  <c r="Z164" i="2"/>
  <c r="Z160" i="2"/>
  <c r="Z156" i="2"/>
  <c r="Z152" i="2"/>
  <c r="Z148" i="2"/>
  <c r="Z144" i="2"/>
  <c r="Z140" i="2"/>
  <c r="Z136" i="2"/>
  <c r="Z368" i="2"/>
  <c r="Z356" i="2"/>
  <c r="Z348" i="2"/>
  <c r="Z340" i="2"/>
  <c r="Z328" i="2"/>
  <c r="Z320" i="2"/>
  <c r="Z312" i="2"/>
  <c r="Z296" i="2"/>
  <c r="Z284" i="2"/>
  <c r="Z276" i="2"/>
  <c r="Z264" i="2"/>
  <c r="Z248" i="2"/>
  <c r="Z364" i="2"/>
  <c r="Z352" i="2"/>
  <c r="Z336" i="2"/>
  <c r="Z324" i="2"/>
  <c r="Z308" i="2"/>
  <c r="Z300" i="2"/>
  <c r="Z288" i="2"/>
  <c r="Z272" i="2"/>
  <c r="Z260" i="2"/>
  <c r="Z252" i="2"/>
  <c r="Z334" i="2"/>
  <c r="Z206" i="2"/>
  <c r="Z100" i="2"/>
  <c r="Z84" i="2"/>
  <c r="Z325" i="2"/>
  <c r="Z237" i="2"/>
  <c r="Z145" i="2"/>
  <c r="Z369" i="2"/>
  <c r="Z365" i="2"/>
  <c r="Z361" i="2"/>
  <c r="Z357" i="2"/>
  <c r="Z353" i="2"/>
  <c r="Z349" i="2"/>
  <c r="Z345" i="2"/>
  <c r="Z341" i="2"/>
  <c r="Z333" i="2"/>
  <c r="Z329" i="2"/>
  <c r="Z321" i="2"/>
  <c r="Z317" i="2"/>
  <c r="Z313" i="2"/>
  <c r="Z309" i="2"/>
  <c r="Z305" i="2"/>
  <c r="Z301" i="2"/>
  <c r="Z297" i="2"/>
  <c r="Z293" i="2"/>
  <c r="Z289" i="2"/>
  <c r="Z285" i="2"/>
  <c r="Z277" i="2"/>
  <c r="Z273" i="2"/>
  <c r="Z269" i="2"/>
  <c r="Z265" i="2"/>
  <c r="Z257" i="2"/>
  <c r="Z253" i="2"/>
  <c r="Z249" i="2"/>
  <c r="Z245" i="2"/>
  <c r="Z241" i="2"/>
  <c r="Z233" i="2"/>
  <c r="Z229" i="2"/>
  <c r="Z225" i="2"/>
  <c r="Z221" i="2"/>
  <c r="Z217" i="2"/>
  <c r="Z213" i="2"/>
  <c r="Z209" i="2"/>
  <c r="Z205" i="2"/>
  <c r="Z201" i="2"/>
  <c r="Z197" i="2"/>
  <c r="Z193" i="2"/>
  <c r="Z189" i="2"/>
  <c r="Z185" i="2"/>
  <c r="Z181" i="2"/>
  <c r="Z177" i="2"/>
  <c r="Z173" i="2"/>
  <c r="Z169" i="2"/>
  <c r="Z165" i="2"/>
  <c r="Z161" i="2"/>
  <c r="Z157" i="2"/>
  <c r="Z149" i="2"/>
  <c r="Z141" i="2"/>
  <c r="Z137" i="2"/>
  <c r="Z133" i="2"/>
  <c r="Z129" i="2"/>
  <c r="Z125" i="2"/>
  <c r="Z120" i="2"/>
  <c r="Z128" i="2"/>
  <c r="Z124" i="2"/>
  <c r="Z110" i="2"/>
  <c r="Z98" i="2"/>
  <c r="Z94" i="2"/>
  <c r="Z82" i="2"/>
  <c r="Z77" i="2"/>
  <c r="Z73" i="2"/>
  <c r="Z354" i="2"/>
  <c r="Z306" i="2"/>
  <c r="Z254" i="2"/>
  <c r="Z226" i="2"/>
  <c r="Z178" i="2"/>
  <c r="Z126" i="2"/>
  <c r="Z121" i="2"/>
  <c r="Z117" i="2"/>
  <c r="Z112" i="2"/>
  <c r="Z108" i="2"/>
  <c r="Z104" i="2"/>
  <c r="Z96" i="2"/>
  <c r="Z92" i="2"/>
  <c r="Z88" i="2"/>
  <c r="Z79" i="2"/>
  <c r="Z75" i="2"/>
  <c r="Z318" i="2"/>
  <c r="Z290" i="2"/>
  <c r="Z270" i="2"/>
  <c r="Z242" i="2"/>
  <c r="Z190" i="2"/>
  <c r="Z162" i="2"/>
  <c r="Z142" i="2"/>
  <c r="Z122" i="2"/>
  <c r="Z118" i="2"/>
  <c r="Z106" i="2"/>
  <c r="Z102" i="2"/>
  <c r="Z90" i="2"/>
  <c r="Z86" i="2"/>
  <c r="Z337" i="2"/>
  <c r="Z261" i="2"/>
  <c r="Z366" i="2"/>
  <c r="Z362" i="2"/>
  <c r="Z346" i="2"/>
  <c r="Z338" i="2"/>
  <c r="Z326" i="2"/>
  <c r="Z314" i="2"/>
  <c r="Z302" i="2"/>
  <c r="Z294" i="2"/>
  <c r="Z286" i="2"/>
  <c r="Z278" i="2"/>
  <c r="Z266" i="2"/>
  <c r="Z262" i="2"/>
  <c r="Z250" i="2"/>
  <c r="Z238" i="2"/>
  <c r="Z230" i="2"/>
  <c r="Z222" i="2"/>
  <c r="Z214" i="2"/>
  <c r="Z202" i="2"/>
  <c r="Z194" i="2"/>
  <c r="Z186" i="2"/>
  <c r="Z174" i="2"/>
  <c r="Z170" i="2"/>
  <c r="Z154" i="2"/>
  <c r="Z146" i="2"/>
  <c r="Z138" i="2"/>
  <c r="Z130" i="2"/>
  <c r="Z358" i="2"/>
  <c r="Z350" i="2"/>
  <c r="Z342" i="2"/>
  <c r="Z330" i="2"/>
  <c r="Z322" i="2"/>
  <c r="Z310" i="2"/>
  <c r="Z298" i="2"/>
  <c r="Z282" i="2"/>
  <c r="Z274" i="2"/>
  <c r="Z258" i="2"/>
  <c r="Z246" i="2"/>
  <c r="Z234" i="2"/>
  <c r="Z218" i="2"/>
  <c r="Z210" i="2"/>
  <c r="Z198" i="2"/>
  <c r="Z182" i="2"/>
  <c r="Z166" i="2"/>
  <c r="Z158" i="2"/>
  <c r="Z150" i="2"/>
  <c r="Z134" i="2"/>
  <c r="Z363" i="2"/>
  <c r="Z355" i="2"/>
  <c r="Z347" i="2"/>
  <c r="Z339" i="2"/>
  <c r="Z335" i="2"/>
  <c r="Z327" i="2"/>
  <c r="Z319" i="2"/>
  <c r="Z311" i="2"/>
  <c r="Z303" i="2"/>
  <c r="Z295" i="2"/>
  <c r="Z287" i="2"/>
  <c r="Z279" i="2"/>
  <c r="Z271" i="2"/>
  <c r="Z263" i="2"/>
  <c r="Z255" i="2"/>
  <c r="Z243" i="2"/>
  <c r="Z235" i="2"/>
  <c r="Z227" i="2"/>
  <c r="Z219" i="2"/>
  <c r="Z215" i="2"/>
  <c r="Z207" i="2"/>
  <c r="Z195" i="2"/>
  <c r="Z187" i="2"/>
  <c r="Z179" i="2"/>
  <c r="Z171" i="2"/>
  <c r="Z163" i="2"/>
  <c r="Z155" i="2"/>
  <c r="Z143" i="2"/>
  <c r="Z135" i="2"/>
  <c r="Z127" i="2"/>
  <c r="Z119" i="2"/>
  <c r="Z111" i="2"/>
  <c r="Z103" i="2"/>
  <c r="Z95" i="2"/>
  <c r="Z87" i="2"/>
  <c r="Z367" i="2"/>
  <c r="Z359" i="2"/>
  <c r="Z351" i="2"/>
  <c r="Z343" i="2"/>
  <c r="Z331" i="2"/>
  <c r="Z323" i="2"/>
  <c r="Z315" i="2"/>
  <c r="Z307" i="2"/>
  <c r="Z299" i="2"/>
  <c r="Z291" i="2"/>
  <c r="Z283" i="2"/>
  <c r="Z275" i="2"/>
  <c r="Z267" i="2"/>
  <c r="Z259" i="2"/>
  <c r="Z251" i="2"/>
  <c r="Z247" i="2"/>
  <c r="Z239" i="2"/>
  <c r="Z231" i="2"/>
  <c r="Z223" i="2"/>
  <c r="Z211" i="2"/>
  <c r="Z203" i="2"/>
  <c r="Z199" i="2"/>
  <c r="Z191" i="2"/>
  <c r="Z183" i="2"/>
  <c r="Z175" i="2"/>
  <c r="Z167" i="2"/>
  <c r="Z159" i="2"/>
  <c r="Z151" i="2"/>
  <c r="Z147" i="2"/>
  <c r="Z139" i="2"/>
  <c r="Z131" i="2"/>
  <c r="Z115" i="2"/>
  <c r="Z107" i="2"/>
  <c r="Z99" i="2"/>
  <c r="Z91" i="2"/>
  <c r="Z83" i="2"/>
  <c r="AJ69" i="2"/>
  <c r="T70" i="2"/>
  <c r="T71" i="2" s="1"/>
  <c r="T72" i="2" l="1"/>
  <c r="U71" i="2"/>
  <c r="U72" i="2" l="1"/>
  <c r="T73" i="2"/>
  <c r="T74" i="2" l="1"/>
  <c r="U73" i="2"/>
  <c r="U74" i="2" l="1"/>
  <c r="T75" i="2"/>
  <c r="U75" i="2" l="1"/>
  <c r="T76" i="2"/>
  <c r="U76" i="2" l="1"/>
  <c r="T77" i="2"/>
  <c r="U77" i="2" l="1"/>
  <c r="T78" i="2"/>
  <c r="U78" i="2" l="1"/>
  <c r="T79" i="2"/>
  <c r="U79" i="2" l="1"/>
  <c r="T80" i="2"/>
  <c r="U80" i="2" l="1"/>
  <c r="T81" i="2"/>
  <c r="U81" i="2" l="1"/>
  <c r="T82" i="2"/>
  <c r="T83" i="2" s="1"/>
  <c r="U83" i="2" l="1"/>
  <c r="T84" i="2"/>
  <c r="U84" i="2" l="1"/>
  <c r="T85" i="2"/>
  <c r="U85" i="2" l="1"/>
  <c r="T86" i="2"/>
  <c r="U86" i="2" l="1"/>
  <c r="T87" i="2"/>
  <c r="U87" i="2" l="1"/>
  <c r="T88" i="2"/>
  <c r="U88" i="2" l="1"/>
  <c r="T89" i="2"/>
  <c r="U89" i="2" l="1"/>
  <c r="T90" i="2"/>
  <c r="U90" i="2" l="1"/>
  <c r="T91" i="2"/>
  <c r="U91" i="2" l="1"/>
  <c r="T92" i="2"/>
  <c r="U92" i="2" l="1"/>
  <c r="T93" i="2"/>
  <c r="U93" i="2" l="1"/>
  <c r="T94" i="2"/>
  <c r="T95" i="2" s="1"/>
  <c r="U95" i="2" s="1"/>
  <c r="T96" i="2" l="1"/>
  <c r="U96" i="2" s="1"/>
  <c r="T97" i="2" l="1"/>
  <c r="U97" i="2" s="1"/>
  <c r="T98" i="2" l="1"/>
  <c r="U98" i="2" s="1"/>
  <c r="T99" i="2" l="1"/>
  <c r="U99" i="2" s="1"/>
  <c r="T100" i="2" l="1"/>
  <c r="U100" i="2" s="1"/>
  <c r="T101" i="2" l="1"/>
  <c r="U101" i="2" s="1"/>
  <c r="T102" i="2" l="1"/>
  <c r="U102" i="2" s="1"/>
  <c r="T103" i="2"/>
  <c r="U103" i="2" s="1"/>
  <c r="T104" i="2" l="1"/>
  <c r="U104" i="2" s="1"/>
  <c r="T105" i="2" l="1"/>
  <c r="U105" i="2" s="1"/>
  <c r="T106" i="2" l="1"/>
  <c r="T107" i="2" l="1"/>
  <c r="U107" i="2" s="1"/>
  <c r="T108" i="2" l="1"/>
  <c r="U108" i="2" s="1"/>
  <c r="T109" i="2" l="1"/>
  <c r="U109" i="2" s="1"/>
  <c r="T110" i="2" l="1"/>
  <c r="U110" i="2" s="1"/>
  <c r="T111" i="2" l="1"/>
  <c r="U111" i="2" s="1"/>
  <c r="T112" i="2" l="1"/>
  <c r="U112" i="2" s="1"/>
  <c r="T113" i="2" l="1"/>
  <c r="U113" i="2" s="1"/>
  <c r="T114" i="2" l="1"/>
  <c r="U114" i="2" s="1"/>
  <c r="T115" i="2" l="1"/>
  <c r="U115" i="2" s="1"/>
  <c r="T116" i="2" l="1"/>
  <c r="U116" i="2" s="1"/>
  <c r="T117" i="2" l="1"/>
  <c r="U117" i="2" s="1"/>
  <c r="T118" i="2" l="1"/>
  <c r="T119" i="2" l="1"/>
  <c r="U119" i="2" s="1"/>
  <c r="T120" i="2" l="1"/>
  <c r="U120" i="2" s="1"/>
  <c r="T121" i="2" l="1"/>
  <c r="U121" i="2" s="1"/>
  <c r="T122" i="2" l="1"/>
  <c r="U122" i="2" s="1"/>
  <c r="T123" i="2" l="1"/>
  <c r="U123" i="2" s="1"/>
  <c r="T124" i="2" l="1"/>
  <c r="U124" i="2" s="1"/>
  <c r="T125" i="2" l="1"/>
  <c r="U125" i="2" s="1"/>
  <c r="T126" i="2" l="1"/>
  <c r="U126" i="2" s="1"/>
  <c r="T127" i="2" l="1"/>
  <c r="U127" i="2" s="1"/>
  <c r="T128" i="2" l="1"/>
  <c r="U128" i="2" s="1"/>
  <c r="T129" i="2" l="1"/>
  <c r="U129" i="2" s="1"/>
  <c r="T130" i="2" l="1"/>
  <c r="T131" i="2" l="1"/>
  <c r="U131" i="2" s="1"/>
  <c r="T132" i="2" l="1"/>
  <c r="U132" i="2" s="1"/>
  <c r="T133" i="2" l="1"/>
  <c r="U133" i="2" s="1"/>
  <c r="T134" i="2" l="1"/>
  <c r="U134" i="2" s="1"/>
  <c r="T135" i="2" l="1"/>
  <c r="U135" i="2" s="1"/>
  <c r="T136" i="2" l="1"/>
  <c r="U136" i="2" s="1"/>
  <c r="T137" i="2" l="1"/>
  <c r="U137" i="2" s="1"/>
  <c r="T138" i="2" l="1"/>
  <c r="U138" i="2" s="1"/>
  <c r="T139" i="2" l="1"/>
  <c r="U139" i="2" s="1"/>
  <c r="T140" i="2" l="1"/>
  <c r="U140" i="2" s="1"/>
  <c r="T141" i="2" l="1"/>
  <c r="U141" i="2" s="1"/>
  <c r="T142" i="2" l="1"/>
  <c r="T143" i="2" l="1"/>
  <c r="U143" i="2" s="1"/>
  <c r="T144" i="2" l="1"/>
  <c r="U144" i="2" s="1"/>
  <c r="T145" i="2" l="1"/>
  <c r="U145" i="2" s="1"/>
  <c r="T146" i="2" l="1"/>
  <c r="U146" i="2" s="1"/>
  <c r="T147" i="2" l="1"/>
  <c r="U147" i="2" s="1"/>
  <c r="T148" i="2" l="1"/>
  <c r="U148" i="2" s="1"/>
  <c r="T149" i="2" l="1"/>
  <c r="U149" i="2" s="1"/>
  <c r="T150" i="2" l="1"/>
  <c r="U150" i="2" s="1"/>
  <c r="T151" i="2" l="1"/>
  <c r="U151" i="2" s="1"/>
  <c r="T152" i="2" l="1"/>
  <c r="U152" i="2" s="1"/>
  <c r="T153" i="2" l="1"/>
  <c r="U153" i="2" s="1"/>
  <c r="T154" i="2" l="1"/>
  <c r="T155" i="2" l="1"/>
  <c r="U155" i="2" s="1"/>
  <c r="T156" i="2" l="1"/>
  <c r="U156" i="2" s="1"/>
  <c r="T157" i="2" l="1"/>
  <c r="U157" i="2" s="1"/>
  <c r="T158" i="2" l="1"/>
  <c r="U158" i="2" s="1"/>
  <c r="T159" i="2" l="1"/>
  <c r="U159" i="2" s="1"/>
  <c r="T160" i="2" l="1"/>
  <c r="U160" i="2" s="1"/>
  <c r="T161" i="2" l="1"/>
  <c r="U161" i="2" s="1"/>
  <c r="T162" i="2" l="1"/>
  <c r="U162" i="2" s="1"/>
  <c r="T163" i="2" l="1"/>
  <c r="U163" i="2" s="1"/>
  <c r="T164" i="2" l="1"/>
  <c r="U164" i="2" s="1"/>
  <c r="T165" i="2" l="1"/>
  <c r="U165" i="2" s="1"/>
  <c r="T166" i="2" l="1"/>
  <c r="T167" i="2" l="1"/>
  <c r="U167" i="2" s="1"/>
  <c r="T168" i="2" l="1"/>
  <c r="U168" i="2" s="1"/>
  <c r="T169" i="2" l="1"/>
  <c r="U169" i="2" s="1"/>
  <c r="T170" i="2" l="1"/>
  <c r="U170" i="2" s="1"/>
  <c r="T171" i="2" l="1"/>
  <c r="U171" i="2" s="1"/>
  <c r="T172" i="2" l="1"/>
  <c r="U172" i="2" s="1"/>
  <c r="T173" i="2" l="1"/>
  <c r="U173" i="2" s="1"/>
  <c r="T174" i="2" l="1"/>
  <c r="U174" i="2" s="1"/>
  <c r="T175" i="2" l="1"/>
  <c r="U175" i="2" s="1"/>
  <c r="T176" i="2" l="1"/>
  <c r="U176" i="2" s="1"/>
  <c r="T177" i="2" l="1"/>
  <c r="U177" i="2" s="1"/>
  <c r="T178" i="2" l="1"/>
  <c r="T179" i="2" l="1"/>
  <c r="U179" i="2" s="1"/>
  <c r="T180" i="2" l="1"/>
  <c r="U180" i="2" s="1"/>
  <c r="T181" i="2" l="1"/>
  <c r="U181" i="2" s="1"/>
  <c r="T182" i="2" l="1"/>
  <c r="U182" i="2" s="1"/>
  <c r="T183" i="2" l="1"/>
  <c r="U183" i="2" s="1"/>
  <c r="T184" i="2" l="1"/>
  <c r="U184" i="2" s="1"/>
  <c r="T185" i="2" l="1"/>
  <c r="U185" i="2" s="1"/>
  <c r="T186" i="2" l="1"/>
  <c r="U186" i="2" s="1"/>
  <c r="T187" i="2" l="1"/>
  <c r="U187" i="2" s="1"/>
  <c r="T188" i="2" l="1"/>
  <c r="U188" i="2" s="1"/>
  <c r="T189" i="2" l="1"/>
  <c r="U189" i="2" s="1"/>
  <c r="T190" i="2" l="1"/>
  <c r="T191" i="2" l="1"/>
  <c r="U191" i="2" s="1"/>
  <c r="T192" i="2" l="1"/>
  <c r="U192" i="2" s="1"/>
  <c r="T193" i="2" l="1"/>
  <c r="U193" i="2" s="1"/>
  <c r="T194" i="2" l="1"/>
  <c r="U194" i="2" s="1"/>
  <c r="T195" i="2" l="1"/>
  <c r="U195" i="2" s="1"/>
  <c r="T196" i="2" l="1"/>
  <c r="U196" i="2" s="1"/>
  <c r="T197" i="2" l="1"/>
  <c r="U197" i="2" s="1"/>
  <c r="T198" i="2" l="1"/>
  <c r="U198" i="2" s="1"/>
  <c r="T199" i="2" l="1"/>
  <c r="U199" i="2" s="1"/>
  <c r="T200" i="2" l="1"/>
  <c r="U200" i="2" s="1"/>
  <c r="T201" i="2" l="1"/>
  <c r="U201" i="2" s="1"/>
  <c r="T202" i="2" l="1"/>
  <c r="T203" i="2" l="1"/>
  <c r="U203" i="2" s="1"/>
  <c r="T204" i="2" l="1"/>
  <c r="U204" i="2" s="1"/>
  <c r="T205" i="2" l="1"/>
  <c r="U205" i="2" s="1"/>
  <c r="T206" i="2" l="1"/>
  <c r="U206" i="2" s="1"/>
  <c r="T207" i="2" l="1"/>
  <c r="U207" i="2" s="1"/>
  <c r="T208" i="2" l="1"/>
  <c r="U208" i="2" s="1"/>
  <c r="T209" i="2" l="1"/>
  <c r="U209" i="2" s="1"/>
  <c r="T210" i="2" l="1"/>
  <c r="U210" i="2" s="1"/>
  <c r="T211" i="2" l="1"/>
  <c r="U211" i="2" s="1"/>
  <c r="T212" i="2" l="1"/>
  <c r="U212" i="2" s="1"/>
  <c r="T213" i="2" l="1"/>
  <c r="U213" i="2" s="1"/>
  <c r="T214" i="2" l="1"/>
  <c r="T215" i="2" l="1"/>
  <c r="U215" i="2" s="1"/>
  <c r="T216" i="2" l="1"/>
  <c r="U216" i="2" s="1"/>
  <c r="T217" i="2" l="1"/>
  <c r="U217" i="2" s="1"/>
  <c r="T218" i="2" l="1"/>
  <c r="U218" i="2" s="1"/>
  <c r="T219" i="2" l="1"/>
  <c r="U219" i="2" s="1"/>
  <c r="T220" i="2" l="1"/>
  <c r="U220" i="2" s="1"/>
  <c r="T221" i="2" l="1"/>
  <c r="U221" i="2" s="1"/>
  <c r="T222" i="2" l="1"/>
  <c r="U222" i="2" s="1"/>
  <c r="T223" i="2" l="1"/>
  <c r="U223" i="2" s="1"/>
  <c r="T224" i="2" l="1"/>
  <c r="U224" i="2" s="1"/>
  <c r="T225" i="2" l="1"/>
  <c r="U225" i="2" s="1"/>
  <c r="T226" i="2" l="1"/>
  <c r="T227" i="2" l="1"/>
  <c r="U227" i="2" s="1"/>
  <c r="T228" i="2" l="1"/>
  <c r="U228" i="2" s="1"/>
  <c r="T229" i="2" l="1"/>
  <c r="U229" i="2" s="1"/>
  <c r="T230" i="2" l="1"/>
  <c r="U230" i="2" s="1"/>
  <c r="T231" i="2" l="1"/>
  <c r="U231" i="2" s="1"/>
  <c r="T232" i="2" l="1"/>
  <c r="U232" i="2" s="1"/>
  <c r="T233" i="2" l="1"/>
  <c r="U233" i="2" s="1"/>
  <c r="T234" i="2" l="1"/>
  <c r="U234" i="2" s="1"/>
  <c r="T235" i="2" l="1"/>
  <c r="U235" i="2" s="1"/>
  <c r="T236" i="2" l="1"/>
  <c r="U236" i="2" s="1"/>
  <c r="T237" i="2" l="1"/>
  <c r="U237" i="2" s="1"/>
  <c r="T238" i="2" l="1"/>
  <c r="T239" i="2" l="1"/>
  <c r="U239" i="2" s="1"/>
  <c r="T240" i="2" l="1"/>
  <c r="U240" i="2" s="1"/>
  <c r="T241" i="2" l="1"/>
  <c r="U241" i="2" s="1"/>
  <c r="T242" i="2" l="1"/>
  <c r="U242" i="2" s="1"/>
  <c r="T243" i="2" l="1"/>
  <c r="U243" i="2" s="1"/>
  <c r="T244" i="2" l="1"/>
  <c r="U244" i="2" s="1"/>
  <c r="T245" i="2" l="1"/>
  <c r="U245" i="2" s="1"/>
  <c r="T246" i="2" l="1"/>
  <c r="U246" i="2" s="1"/>
  <c r="T247" i="2" l="1"/>
  <c r="U247" i="2" s="1"/>
  <c r="T248" i="2" l="1"/>
  <c r="U248" i="2" s="1"/>
  <c r="T249" i="2" l="1"/>
  <c r="U249" i="2" s="1"/>
  <c r="T250" i="2" l="1"/>
  <c r="T251" i="2" l="1"/>
  <c r="U251" i="2" s="1"/>
  <c r="T252" i="2" l="1"/>
  <c r="U252" i="2" s="1"/>
  <c r="T253" i="2" l="1"/>
  <c r="U253" i="2" s="1"/>
  <c r="T254" i="2" l="1"/>
  <c r="U254" i="2" s="1"/>
  <c r="T255" i="2" l="1"/>
  <c r="U255" i="2" s="1"/>
  <c r="T256" i="2" l="1"/>
  <c r="U256" i="2" s="1"/>
  <c r="T257" i="2" l="1"/>
  <c r="U257" i="2" s="1"/>
  <c r="T258" i="2" l="1"/>
  <c r="U258" i="2" s="1"/>
  <c r="T259" i="2" l="1"/>
  <c r="U259" i="2" s="1"/>
  <c r="T260" i="2" l="1"/>
  <c r="U260" i="2" s="1"/>
  <c r="T261" i="2" l="1"/>
  <c r="U261" i="2" s="1"/>
  <c r="T262" i="2" l="1"/>
  <c r="T263" i="2" l="1"/>
  <c r="U263" i="2" s="1"/>
  <c r="T264" i="2" l="1"/>
  <c r="U264" i="2" s="1"/>
  <c r="T265" i="2" l="1"/>
  <c r="U265" i="2" s="1"/>
  <c r="T266" i="2" l="1"/>
  <c r="U266" i="2" s="1"/>
  <c r="T267" i="2" l="1"/>
  <c r="U267" i="2" s="1"/>
  <c r="T268" i="2" l="1"/>
  <c r="U268" i="2" s="1"/>
  <c r="T269" i="2" l="1"/>
  <c r="U269" i="2" s="1"/>
  <c r="T270" i="2" l="1"/>
  <c r="U270" i="2" s="1"/>
  <c r="T271" i="2" l="1"/>
  <c r="U271" i="2" s="1"/>
  <c r="T272" i="2" l="1"/>
  <c r="U272" i="2" s="1"/>
  <c r="T273" i="2" l="1"/>
  <c r="U273" i="2" s="1"/>
  <c r="T274" i="2" l="1"/>
  <c r="T275" i="2" l="1"/>
  <c r="U275" i="2" s="1"/>
  <c r="T276" i="2" l="1"/>
  <c r="U276" i="2" s="1"/>
  <c r="T277" i="2" l="1"/>
  <c r="U277" i="2" s="1"/>
  <c r="T278" i="2" l="1"/>
  <c r="U278" i="2" s="1"/>
  <c r="T279" i="2" l="1"/>
  <c r="U279" i="2" s="1"/>
  <c r="T280" i="2" l="1"/>
  <c r="U280" i="2" s="1"/>
  <c r="T281" i="2" l="1"/>
  <c r="U281" i="2" s="1"/>
  <c r="T282" i="2" l="1"/>
  <c r="U282" i="2" s="1"/>
  <c r="T283" i="2" l="1"/>
  <c r="U283" i="2" s="1"/>
  <c r="T284" i="2" l="1"/>
  <c r="U284" i="2" s="1"/>
  <c r="T285" i="2" l="1"/>
  <c r="U285" i="2" s="1"/>
  <c r="T286" i="2" l="1"/>
  <c r="T287" i="2" l="1"/>
  <c r="U287" i="2" s="1"/>
  <c r="T288" i="2" l="1"/>
  <c r="U288" i="2" s="1"/>
  <c r="T289" i="2" l="1"/>
  <c r="U289" i="2" s="1"/>
  <c r="T290" i="2" l="1"/>
  <c r="U290" i="2" s="1"/>
  <c r="T291" i="2" l="1"/>
  <c r="U291" i="2" s="1"/>
  <c r="T292" i="2" l="1"/>
  <c r="U292" i="2" s="1"/>
  <c r="T293" i="2" l="1"/>
  <c r="U293" i="2" s="1"/>
  <c r="T294" i="2" l="1"/>
  <c r="U294" i="2" s="1"/>
  <c r="T295" i="2" l="1"/>
  <c r="U295" i="2" s="1"/>
  <c r="T296" i="2" l="1"/>
  <c r="U296" i="2" s="1"/>
  <c r="T297" i="2" l="1"/>
  <c r="U297" i="2" s="1"/>
  <c r="T298" i="2" l="1"/>
  <c r="T299" i="2" l="1"/>
  <c r="U299" i="2" s="1"/>
  <c r="T300" i="2" l="1"/>
  <c r="U300" i="2" s="1"/>
  <c r="T301" i="2" l="1"/>
  <c r="U301" i="2" s="1"/>
  <c r="T302" i="2" l="1"/>
  <c r="U302" i="2" s="1"/>
  <c r="T303" i="2" l="1"/>
  <c r="U303" i="2" s="1"/>
  <c r="T304" i="2" l="1"/>
  <c r="U304" i="2" s="1"/>
  <c r="T305" i="2" l="1"/>
  <c r="U305" i="2" s="1"/>
  <c r="T306" i="2" l="1"/>
  <c r="U306" i="2" s="1"/>
  <c r="T307" i="2" l="1"/>
  <c r="U307" i="2" s="1"/>
  <c r="T308" i="2" l="1"/>
  <c r="U308" i="2" s="1"/>
  <c r="T309" i="2" l="1"/>
  <c r="T310" i="2" l="1"/>
  <c r="T311" i="2" s="1"/>
  <c r="U309" i="2"/>
  <c r="T312" i="2" l="1"/>
  <c r="U311" i="2"/>
  <c r="T313" i="2" l="1"/>
  <c r="U312" i="2"/>
  <c r="T314" i="2" l="1"/>
  <c r="U313" i="2"/>
  <c r="U314" i="2" l="1"/>
  <c r="T315" i="2"/>
  <c r="T316" i="2" l="1"/>
  <c r="U315" i="2"/>
  <c r="U316" i="2" l="1"/>
  <c r="T317" i="2"/>
  <c r="T318" i="2" l="1"/>
  <c r="U317" i="2"/>
  <c r="U318" i="2" l="1"/>
  <c r="T319" i="2"/>
  <c r="T320" i="2" l="1"/>
  <c r="U319" i="2"/>
  <c r="U320" i="2" l="1"/>
  <c r="T321" i="2"/>
  <c r="T322" i="2" l="1"/>
  <c r="T323" i="2" s="1"/>
  <c r="U321" i="2"/>
  <c r="T324" i="2" l="1"/>
  <c r="U323" i="2"/>
  <c r="U324" i="2" l="1"/>
  <c r="T325" i="2"/>
  <c r="T326" i="2" l="1"/>
  <c r="U325" i="2"/>
  <c r="U326" i="2" l="1"/>
  <c r="T327" i="2"/>
  <c r="T328" i="2" l="1"/>
  <c r="U327" i="2"/>
  <c r="U328" i="2" l="1"/>
  <c r="T329" i="2"/>
  <c r="T330" i="2" l="1"/>
  <c r="U329" i="2"/>
  <c r="U330" i="2" l="1"/>
  <c r="T331" i="2"/>
  <c r="T332" i="2" l="1"/>
  <c r="U331" i="2"/>
  <c r="U332" i="2" l="1"/>
  <c r="T333" i="2"/>
  <c r="T334" i="2" l="1"/>
  <c r="T335" i="2" s="1"/>
  <c r="U333" i="2"/>
  <c r="T336" i="2" l="1"/>
  <c r="U335" i="2"/>
  <c r="U336" i="2" l="1"/>
  <c r="T337" i="2"/>
  <c r="T338" i="2" l="1"/>
  <c r="U337" i="2"/>
  <c r="U338" i="2" l="1"/>
  <c r="T339" i="2"/>
  <c r="T340" i="2" l="1"/>
  <c r="U339" i="2"/>
  <c r="U340" i="2" l="1"/>
  <c r="T341" i="2"/>
  <c r="T342" i="2" l="1"/>
  <c r="U341" i="2"/>
  <c r="U342" i="2" l="1"/>
  <c r="T343" i="2"/>
  <c r="T344" i="2" l="1"/>
  <c r="U343" i="2"/>
  <c r="U344" i="2" l="1"/>
  <c r="T345" i="2"/>
  <c r="T346" i="2" l="1"/>
  <c r="T347" i="2" s="1"/>
  <c r="U345" i="2"/>
  <c r="T348" i="2" l="1"/>
  <c r="U347" i="2"/>
  <c r="U348" i="2" l="1"/>
  <c r="T349" i="2"/>
  <c r="T350" i="2" l="1"/>
  <c r="U349" i="2"/>
  <c r="T351" i="2" l="1"/>
  <c r="U350" i="2"/>
  <c r="T352" i="2" l="1"/>
  <c r="U351" i="2"/>
  <c r="U352" i="2" l="1"/>
  <c r="T353" i="2"/>
  <c r="T354" i="2" l="1"/>
  <c r="U353" i="2"/>
  <c r="U354" i="2" l="1"/>
  <c r="T355" i="2"/>
  <c r="T356" i="2" l="1"/>
  <c r="U355" i="2"/>
  <c r="T357" i="2" l="1"/>
  <c r="U356" i="2"/>
  <c r="T358" i="2" l="1"/>
  <c r="T359" i="2" s="1"/>
  <c r="U357" i="2"/>
  <c r="T360" i="2" l="1"/>
  <c r="U359" i="2"/>
  <c r="U360" i="2" l="1"/>
  <c r="T361" i="2"/>
  <c r="T362" i="2" l="1"/>
  <c r="U361" i="2"/>
  <c r="T363" i="2" l="1"/>
  <c r="U362" i="2"/>
  <c r="T364" i="2" l="1"/>
  <c r="U363" i="2"/>
  <c r="U364" i="2" l="1"/>
  <c r="T365" i="2"/>
  <c r="T366" i="2" l="1"/>
  <c r="U365" i="2"/>
  <c r="U366" i="2" l="1"/>
  <c r="T367" i="2"/>
  <c r="T368" i="2" l="1"/>
  <c r="U367" i="2"/>
  <c r="U368" i="2" l="1"/>
  <c r="T369" i="2"/>
  <c r="U369" i="2" s="1"/>
  <c r="T2" i="1" l="1"/>
  <c r="H30" i="2" s="1"/>
  <c r="B2" i="1" l="1"/>
  <c r="A2" i="1"/>
  <c r="AA63" i="2" l="1"/>
  <c r="AB71" i="2"/>
  <c r="M3" i="2"/>
  <c r="N4" i="2" s="1"/>
  <c r="C66" i="2" s="1"/>
  <c r="U4" i="1" l="1"/>
  <c r="I68" i="2" s="1"/>
  <c r="U3" i="1"/>
  <c r="V3" i="1" l="1"/>
  <c r="H68" i="2"/>
  <c r="W3" i="1"/>
  <c r="G56" i="2" s="1"/>
  <c r="AD2" i="2" l="1"/>
  <c r="Y1" i="2"/>
  <c r="C9" i="1"/>
  <c r="Y3" i="2"/>
  <c r="G42" i="2"/>
  <c r="O25" i="7"/>
  <c r="O26" i="7" s="1"/>
  <c r="P26" i="7" s="1"/>
  <c r="E22" i="7"/>
  <c r="J13" i="7"/>
  <c r="C11" i="7"/>
  <c r="D9" i="7"/>
  <c r="D8" i="7"/>
  <c r="J6" i="7"/>
  <c r="D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Z12" i="2" l="1"/>
  <c r="AA12" i="2" s="1"/>
  <c r="AD3" i="2" s="1"/>
  <c r="Z13" i="2"/>
  <c r="AA13" i="2" s="1"/>
  <c r="AB13" i="2" s="1"/>
  <c r="E21" i="7"/>
  <c r="AG66" i="2"/>
  <c r="B69" i="2"/>
  <c r="Y2" i="2"/>
  <c r="Y4" i="2" s="1"/>
  <c r="O27" i="7"/>
  <c r="O28" i="7" s="1"/>
  <c r="J12" i="7"/>
  <c r="C11" i="1"/>
  <c r="P27" i="7" l="1"/>
  <c r="AB12" i="2"/>
  <c r="P28" i="7"/>
  <c r="O29" i="7"/>
  <c r="AB14" i="2" l="1"/>
  <c r="P29" i="7"/>
  <c r="O30" i="7"/>
  <c r="P30" i="7" l="1"/>
  <c r="O31" i="7"/>
  <c r="C32" i="2" l="1"/>
  <c r="M40" i="2" s="1"/>
  <c r="O32" i="7"/>
  <c r="P31" i="7"/>
  <c r="G58" i="2" l="1"/>
  <c r="K56" i="2"/>
  <c r="G40" i="2"/>
  <c r="M44" i="2"/>
  <c r="D15" i="7" s="1"/>
  <c r="M42" i="2"/>
  <c r="P32" i="7"/>
  <c r="O33" i="7"/>
  <c r="P33" i="7" l="1"/>
  <c r="O34" i="7"/>
  <c r="P34" i="7" l="1"/>
  <c r="O35" i="7"/>
  <c r="O36" i="7" l="1"/>
  <c r="P35" i="7"/>
  <c r="P36" i="7" l="1"/>
  <c r="O37" i="7"/>
  <c r="O38" i="7" l="1"/>
  <c r="P38" i="7" l="1"/>
  <c r="O39" i="7"/>
  <c r="P39" i="7" l="1"/>
  <c r="O40" i="7"/>
  <c r="P40" i="7" l="1"/>
  <c r="O41" i="7"/>
  <c r="P41" i="7" l="1"/>
  <c r="O42" i="7"/>
  <c r="P42" i="7" l="1"/>
  <c r="O43" i="7"/>
  <c r="P43" i="7" l="1"/>
  <c r="O44" i="7"/>
  <c r="O45" i="7" l="1"/>
  <c r="P44" i="7"/>
  <c r="P45" i="7" l="1"/>
  <c r="O46" i="7"/>
  <c r="P46" i="7" l="1"/>
  <c r="O47" i="7"/>
  <c r="P47" i="7" l="1"/>
  <c r="O48" i="7"/>
  <c r="P48" i="7" l="1"/>
  <c r="O49" i="7"/>
  <c r="O50" i="7" l="1"/>
  <c r="P50" i="7" l="1"/>
  <c r="O51" i="7"/>
  <c r="P51" i="7" l="1"/>
  <c r="O52" i="7"/>
  <c r="P52" i="7" l="1"/>
  <c r="O53" i="7"/>
  <c r="P53" i="7" l="1"/>
  <c r="O54" i="7"/>
  <c r="P54" i="7" l="1"/>
  <c r="O55" i="7"/>
  <c r="P55" i="7" l="1"/>
  <c r="O56" i="7"/>
  <c r="P56" i="7" l="1"/>
  <c r="O57" i="7"/>
  <c r="P57" i="7" l="1"/>
  <c r="O58" i="7"/>
  <c r="P58" i="7" l="1"/>
  <c r="O59" i="7"/>
  <c r="P59" i="7" l="1"/>
  <c r="O60" i="7"/>
  <c r="P60" i="7" l="1"/>
  <c r="O61" i="7"/>
  <c r="O62" i="7" l="1"/>
  <c r="P62" i="7" l="1"/>
  <c r="O63" i="7"/>
  <c r="P63" i="7" l="1"/>
  <c r="O64" i="7"/>
  <c r="P64" i="7" l="1"/>
  <c r="O65" i="7"/>
  <c r="O66" i="7" l="1"/>
  <c r="P65" i="7"/>
  <c r="P66" i="7" l="1"/>
  <c r="O67" i="7"/>
  <c r="P67" i="7" l="1"/>
  <c r="O68" i="7"/>
  <c r="P68" i="7" l="1"/>
  <c r="O69" i="7"/>
  <c r="P69" i="7" l="1"/>
  <c r="O70" i="7"/>
  <c r="P70" i="7" l="1"/>
  <c r="O71" i="7"/>
  <c r="P71" i="7" l="1"/>
  <c r="O72" i="7"/>
  <c r="P72" i="7" l="1"/>
  <c r="O73" i="7"/>
  <c r="O74" i="7" l="1"/>
  <c r="P74" i="7" l="1"/>
  <c r="O75" i="7"/>
  <c r="P75" i="7" l="1"/>
  <c r="O76" i="7"/>
  <c r="P76" i="7" l="1"/>
  <c r="O77" i="7"/>
  <c r="P77" i="7" l="1"/>
  <c r="O78" i="7"/>
  <c r="P78" i="7" l="1"/>
  <c r="O79" i="7"/>
  <c r="P79" i="7" l="1"/>
  <c r="O80" i="7"/>
  <c r="P80" i="7" l="1"/>
  <c r="O81" i="7"/>
  <c r="P81" i="7" l="1"/>
  <c r="O82" i="7"/>
  <c r="P82" i="7" l="1"/>
  <c r="O83" i="7"/>
  <c r="P83" i="7" l="1"/>
  <c r="O84" i="7"/>
  <c r="P84" i="7" l="1"/>
  <c r="O85" i="7"/>
  <c r="O86" i="7" l="1"/>
  <c r="P86" i="7" l="1"/>
  <c r="O87" i="7"/>
  <c r="P87" i="7" l="1"/>
  <c r="O88" i="7"/>
  <c r="P88" i="7" l="1"/>
  <c r="O89" i="7"/>
  <c r="P89" i="7" l="1"/>
  <c r="O90" i="7"/>
  <c r="P90" i="7" l="1"/>
  <c r="O91" i="7"/>
  <c r="P91" i="7" l="1"/>
  <c r="O92" i="7"/>
  <c r="P92" i="7" l="1"/>
  <c r="O93" i="7"/>
  <c r="O94" i="7" l="1"/>
  <c r="P93" i="7"/>
  <c r="P94" i="7" l="1"/>
  <c r="O95" i="7"/>
  <c r="P95" i="7" l="1"/>
  <c r="O96" i="7"/>
  <c r="P96" i="7" l="1"/>
  <c r="O97" i="7"/>
  <c r="O98" i="7" l="1"/>
  <c r="P98" i="7" l="1"/>
  <c r="O99" i="7"/>
  <c r="P99" i="7" l="1"/>
  <c r="O100" i="7"/>
  <c r="P100" i="7" l="1"/>
  <c r="O101" i="7"/>
  <c r="P101" i="7" l="1"/>
  <c r="O102" i="7"/>
  <c r="P102" i="7" l="1"/>
  <c r="O103" i="7"/>
  <c r="P103" i="7" l="1"/>
  <c r="O104" i="7"/>
  <c r="P104" i="7" l="1"/>
  <c r="O105" i="7"/>
  <c r="P105" i="7" l="1"/>
  <c r="O106" i="7"/>
  <c r="P106" i="7" l="1"/>
  <c r="O107" i="7"/>
  <c r="P107" i="7" l="1"/>
  <c r="O108" i="7"/>
  <c r="O109" i="7" l="1"/>
  <c r="P108" i="7"/>
  <c r="O110" i="7" l="1"/>
  <c r="P110" i="7" l="1"/>
  <c r="O111" i="7"/>
  <c r="P111" i="7" l="1"/>
  <c r="O112" i="7"/>
  <c r="P112" i="7" l="1"/>
  <c r="O113" i="7"/>
  <c r="P113" i="7" l="1"/>
  <c r="O114" i="7"/>
  <c r="P114" i="7" l="1"/>
  <c r="O115" i="7"/>
  <c r="P115" i="7" l="1"/>
  <c r="O116" i="7"/>
  <c r="P116" i="7" l="1"/>
  <c r="O117" i="7"/>
  <c r="P117" i="7" l="1"/>
  <c r="O118" i="7"/>
  <c r="P118" i="7" l="1"/>
  <c r="O119" i="7"/>
  <c r="P119" i="7" l="1"/>
  <c r="O120" i="7"/>
  <c r="P120" i="7" l="1"/>
  <c r="O121" i="7"/>
  <c r="O122" i="7" l="1"/>
  <c r="P122" i="7" l="1"/>
  <c r="O123" i="7"/>
  <c r="P123" i="7" l="1"/>
  <c r="O124" i="7"/>
  <c r="P124" i="7" l="1"/>
  <c r="O125" i="7"/>
  <c r="P125" i="7" l="1"/>
  <c r="O126" i="7"/>
  <c r="P126" i="7" l="1"/>
  <c r="O127" i="7"/>
  <c r="P127" i="7" l="1"/>
  <c r="O128" i="7"/>
  <c r="P128" i="7" l="1"/>
  <c r="O129" i="7"/>
  <c r="P129" i="7" l="1"/>
  <c r="O130" i="7"/>
  <c r="P130" i="7" l="1"/>
  <c r="O131" i="7"/>
  <c r="P131" i="7" l="1"/>
  <c r="O132" i="7"/>
  <c r="P132" i="7" l="1"/>
  <c r="O133" i="7"/>
  <c r="O134" i="7" l="1"/>
  <c r="P134" i="7" l="1"/>
  <c r="O135" i="7"/>
  <c r="P135" i="7" l="1"/>
  <c r="O136" i="7"/>
  <c r="O137" i="7" l="1"/>
  <c r="P136" i="7"/>
  <c r="P137" i="7" l="1"/>
  <c r="O138" i="7"/>
  <c r="P138" i="7" l="1"/>
  <c r="O139" i="7"/>
  <c r="P139" i="7" l="1"/>
  <c r="O140" i="7"/>
  <c r="P140" i="7" l="1"/>
  <c r="O141" i="7"/>
  <c r="P141" i="7" l="1"/>
  <c r="O142" i="7"/>
  <c r="P142" i="7" l="1"/>
  <c r="O143" i="7"/>
  <c r="P143" i="7" l="1"/>
  <c r="O144" i="7"/>
  <c r="P144" i="7" l="1"/>
  <c r="O145" i="7"/>
  <c r="O146" i="7" l="1"/>
  <c r="P146" i="7" l="1"/>
  <c r="O147" i="7"/>
  <c r="P147" i="7" l="1"/>
  <c r="O148" i="7"/>
  <c r="P148" i="7" l="1"/>
  <c r="O149" i="7"/>
  <c r="P149" i="7" l="1"/>
  <c r="O150" i="7"/>
  <c r="P150" i="7" l="1"/>
  <c r="O151" i="7"/>
  <c r="O152" i="7" l="1"/>
  <c r="P151" i="7"/>
  <c r="P152" i="7" l="1"/>
  <c r="O153" i="7"/>
  <c r="P153" i="7" l="1"/>
  <c r="O154" i="7"/>
  <c r="P154" i="7" l="1"/>
  <c r="O155" i="7"/>
  <c r="P155" i="7" l="1"/>
  <c r="O156" i="7"/>
  <c r="P156" i="7" l="1"/>
  <c r="O157" i="7"/>
  <c r="O158" i="7" l="1"/>
  <c r="P158" i="7" l="1"/>
  <c r="O159" i="7"/>
  <c r="P159" i="7" l="1"/>
  <c r="O160" i="7"/>
  <c r="P160" i="7" l="1"/>
  <c r="O161" i="7"/>
  <c r="P161" i="7" l="1"/>
  <c r="O162" i="7"/>
  <c r="P162" i="7" l="1"/>
  <c r="O163" i="7"/>
  <c r="P163" i="7" l="1"/>
  <c r="O164" i="7"/>
  <c r="P164" i="7" l="1"/>
  <c r="O165" i="7"/>
  <c r="P165" i="7" l="1"/>
  <c r="O166" i="7"/>
  <c r="P166" i="7" l="1"/>
  <c r="O167" i="7"/>
  <c r="P167" i="7" l="1"/>
  <c r="O168" i="7"/>
  <c r="P168" i="7" l="1"/>
  <c r="O169" i="7"/>
  <c r="O170" i="7" l="1"/>
  <c r="P170" i="7" l="1"/>
  <c r="O171" i="7"/>
  <c r="P171" i="7" l="1"/>
  <c r="O172" i="7"/>
  <c r="P172" i="7" l="1"/>
  <c r="O173" i="7"/>
  <c r="P173" i="7" l="1"/>
  <c r="O174" i="7"/>
  <c r="P174" i="7" l="1"/>
  <c r="O175" i="7"/>
  <c r="P175" i="7" l="1"/>
  <c r="O176" i="7"/>
  <c r="P176" i="7" l="1"/>
  <c r="O177" i="7"/>
  <c r="P177" i="7" l="1"/>
  <c r="O178" i="7"/>
  <c r="P178" i="7" l="1"/>
  <c r="O179" i="7"/>
  <c r="P179" i="7" l="1"/>
  <c r="O180" i="7"/>
  <c r="P180" i="7" l="1"/>
  <c r="O181" i="7"/>
  <c r="O182" i="7" l="1"/>
  <c r="P182" i="7" l="1"/>
  <c r="O183" i="7"/>
  <c r="P183" i="7" l="1"/>
  <c r="O184" i="7"/>
  <c r="P184" i="7" l="1"/>
  <c r="O185" i="7"/>
  <c r="P185" i="7" l="1"/>
  <c r="O186" i="7"/>
  <c r="P186" i="7" l="1"/>
  <c r="O187" i="7"/>
  <c r="P187" i="7" l="1"/>
  <c r="O188" i="7"/>
  <c r="P188" i="7" l="1"/>
  <c r="O189" i="7"/>
  <c r="P189" i="7" l="1"/>
  <c r="O190" i="7"/>
  <c r="P190" i="7" l="1"/>
  <c r="O191" i="7"/>
  <c r="P191" i="7" l="1"/>
  <c r="O192" i="7"/>
  <c r="P192" i="7" l="1"/>
  <c r="O193" i="7"/>
  <c r="O194" i="7" l="1"/>
  <c r="P194" i="7" l="1"/>
  <c r="O195" i="7"/>
  <c r="P195" i="7" l="1"/>
  <c r="O196" i="7"/>
  <c r="P196" i="7" l="1"/>
  <c r="O197" i="7"/>
  <c r="P197" i="7" l="1"/>
  <c r="O198" i="7"/>
  <c r="P198" i="7" l="1"/>
  <c r="O199" i="7"/>
  <c r="P199" i="7" l="1"/>
  <c r="O200" i="7"/>
  <c r="P200" i="7" l="1"/>
  <c r="O201" i="7"/>
  <c r="P201" i="7" l="1"/>
  <c r="O202" i="7"/>
  <c r="P202" i="7" l="1"/>
  <c r="O203" i="7"/>
  <c r="P203" i="7" l="1"/>
  <c r="O204" i="7"/>
  <c r="P204" i="7" l="1"/>
  <c r="O205" i="7"/>
  <c r="O206" i="7" l="1"/>
  <c r="P206" i="7" l="1"/>
  <c r="O207" i="7"/>
  <c r="P207" i="7" l="1"/>
  <c r="O208" i="7"/>
  <c r="P208" i="7" l="1"/>
  <c r="O209" i="7"/>
  <c r="P209" i="7" l="1"/>
  <c r="O210" i="7"/>
  <c r="P210" i="7" l="1"/>
  <c r="O211" i="7"/>
  <c r="P211" i="7" l="1"/>
  <c r="O212" i="7"/>
  <c r="P212" i="7" l="1"/>
  <c r="O213" i="7"/>
  <c r="P213" i="7" l="1"/>
  <c r="O214" i="7"/>
  <c r="P214" i="7" l="1"/>
  <c r="O215" i="7"/>
  <c r="P215" i="7" l="1"/>
  <c r="O216" i="7"/>
  <c r="P216" i="7" l="1"/>
  <c r="O217" i="7"/>
  <c r="O218" i="7" l="1"/>
  <c r="P218" i="7" l="1"/>
  <c r="O219" i="7"/>
  <c r="P219" i="7" l="1"/>
  <c r="O220" i="7"/>
  <c r="P220" i="7" l="1"/>
  <c r="O221" i="7"/>
  <c r="P221" i="7" l="1"/>
  <c r="O222" i="7"/>
  <c r="P222" i="7" l="1"/>
  <c r="O223" i="7"/>
  <c r="P223" i="7" l="1"/>
  <c r="O224" i="7"/>
  <c r="P224" i="7" l="1"/>
  <c r="O225" i="7"/>
  <c r="P225" i="7" l="1"/>
  <c r="O226" i="7"/>
  <c r="P226" i="7" l="1"/>
  <c r="O227" i="7"/>
  <c r="P227" i="7" l="1"/>
  <c r="O228" i="7"/>
  <c r="P228" i="7" l="1"/>
  <c r="O229" i="7"/>
  <c r="O230" i="7" l="1"/>
  <c r="P230" i="7" l="1"/>
  <c r="O231" i="7"/>
  <c r="P231" i="7" l="1"/>
  <c r="O232" i="7"/>
  <c r="P232" i="7" l="1"/>
  <c r="O233" i="7"/>
  <c r="P233" i="7" l="1"/>
  <c r="O234" i="7"/>
  <c r="P234" i="7" l="1"/>
  <c r="O235" i="7"/>
  <c r="P235" i="7" l="1"/>
  <c r="O236" i="7"/>
  <c r="O237" i="7" l="1"/>
  <c r="P236" i="7"/>
  <c r="P237" i="7" l="1"/>
  <c r="O238" i="7"/>
  <c r="P238" i="7" l="1"/>
  <c r="O239" i="7"/>
  <c r="P239" i="7" l="1"/>
  <c r="O240" i="7"/>
  <c r="P240" i="7" l="1"/>
  <c r="O241" i="7"/>
  <c r="O242" i="7" l="1"/>
  <c r="P242" i="7" l="1"/>
  <c r="O243" i="7"/>
  <c r="P243" i="7" l="1"/>
  <c r="O244" i="7"/>
  <c r="P244" i="7" l="1"/>
  <c r="O245" i="7"/>
  <c r="P245" i="7" l="1"/>
  <c r="O246" i="7"/>
  <c r="P246" i="7" l="1"/>
  <c r="O247" i="7"/>
  <c r="P247" i="7" l="1"/>
  <c r="O248" i="7"/>
  <c r="P248" i="7" l="1"/>
  <c r="O249" i="7"/>
  <c r="P249" i="7" l="1"/>
  <c r="O250" i="7"/>
  <c r="P250" i="7" l="1"/>
  <c r="O251" i="7"/>
  <c r="P251" i="7" l="1"/>
  <c r="O252" i="7"/>
  <c r="P252" i="7" l="1"/>
  <c r="O253" i="7"/>
  <c r="O254" i="7" l="1"/>
  <c r="P254" i="7" l="1"/>
  <c r="O255" i="7"/>
  <c r="P255" i="7" l="1"/>
  <c r="O256" i="7"/>
  <c r="P256" i="7" l="1"/>
  <c r="O257" i="7"/>
  <c r="P257" i="7" l="1"/>
  <c r="O258" i="7"/>
  <c r="P258" i="7" l="1"/>
  <c r="O259" i="7"/>
  <c r="P259" i="7" l="1"/>
  <c r="O260" i="7"/>
  <c r="P260" i="7" l="1"/>
  <c r="O261" i="7"/>
  <c r="P261" i="7" l="1"/>
  <c r="O262" i="7"/>
  <c r="P262" i="7" l="1"/>
  <c r="O263" i="7"/>
  <c r="P263" i="7" l="1"/>
  <c r="O264" i="7"/>
  <c r="O265" i="7" l="1"/>
  <c r="P264" i="7"/>
  <c r="O266" i="7" l="1"/>
  <c r="P266" i="7" l="1"/>
  <c r="O267" i="7"/>
  <c r="P267" i="7" l="1"/>
  <c r="O268" i="7"/>
  <c r="P268" i="7" l="1"/>
  <c r="O269" i="7"/>
  <c r="P269" i="7" l="1"/>
  <c r="O270" i="7"/>
  <c r="P270" i="7" l="1"/>
  <c r="O271" i="7"/>
  <c r="P271" i="7" l="1"/>
  <c r="O272" i="7"/>
  <c r="P272" i="7" l="1"/>
  <c r="O273" i="7"/>
  <c r="P273" i="7" l="1"/>
  <c r="O274" i="7"/>
  <c r="P274" i="7" l="1"/>
  <c r="O275" i="7"/>
  <c r="P275" i="7" l="1"/>
  <c r="O276" i="7"/>
  <c r="P276" i="7" l="1"/>
  <c r="O277" i="7"/>
  <c r="O278" i="7" l="1"/>
  <c r="P278" i="7" l="1"/>
  <c r="O279" i="7"/>
  <c r="P279" i="7" l="1"/>
  <c r="O280" i="7"/>
  <c r="P280" i="7" l="1"/>
  <c r="O281" i="7"/>
  <c r="P281" i="7" l="1"/>
  <c r="O282" i="7"/>
  <c r="P282" i="7" l="1"/>
  <c r="O283" i="7"/>
  <c r="P283" i="7" l="1"/>
  <c r="O284" i="7"/>
  <c r="P284" i="7" l="1"/>
  <c r="O285" i="7"/>
  <c r="P285" i="7" l="1"/>
  <c r="O286" i="7"/>
  <c r="P286" i="7" l="1"/>
  <c r="O287" i="7"/>
  <c r="P287" i="7" l="1"/>
  <c r="O288" i="7"/>
  <c r="P288" i="7" l="1"/>
  <c r="O289" i="7"/>
  <c r="O290" i="7" l="1"/>
  <c r="P290" i="7" l="1"/>
  <c r="O291" i="7"/>
  <c r="P291" i="7" l="1"/>
  <c r="O292" i="7"/>
  <c r="P292" i="7" l="1"/>
  <c r="O293" i="7"/>
  <c r="P293" i="7" l="1"/>
  <c r="O294" i="7"/>
  <c r="P294" i="7" l="1"/>
  <c r="O295" i="7"/>
  <c r="P295" i="7" l="1"/>
  <c r="O296" i="7"/>
  <c r="P296" i="7" l="1"/>
  <c r="O297" i="7"/>
  <c r="P297" i="7" l="1"/>
  <c r="O298" i="7"/>
  <c r="P298" i="7" l="1"/>
  <c r="O299" i="7"/>
  <c r="P299" i="7" l="1"/>
  <c r="O300" i="7"/>
  <c r="P300" i="7" l="1"/>
  <c r="O301" i="7"/>
  <c r="O302" i="7" l="1"/>
  <c r="P302" i="7" l="1"/>
  <c r="O303" i="7"/>
  <c r="P303" i="7" l="1"/>
  <c r="O304" i="7"/>
  <c r="P304" i="7" l="1"/>
  <c r="O305" i="7"/>
  <c r="P305" i="7" l="1"/>
  <c r="O306" i="7"/>
  <c r="P306" i="7" l="1"/>
  <c r="O307" i="7"/>
  <c r="P307" i="7" l="1"/>
  <c r="O308" i="7"/>
  <c r="P308" i="7" l="1"/>
  <c r="O309" i="7"/>
  <c r="P309" i="7" l="1"/>
  <c r="O310" i="7"/>
  <c r="P310" i="7" l="1"/>
  <c r="O311" i="7"/>
  <c r="P311" i="7" l="1"/>
  <c r="O312" i="7"/>
  <c r="P312" i="7" l="1"/>
  <c r="O313" i="7"/>
  <c r="O314" i="7" l="1"/>
  <c r="P314" i="7" l="1"/>
  <c r="O315" i="7"/>
  <c r="P315" i="7" l="1"/>
  <c r="O316" i="7"/>
  <c r="P316" i="7" l="1"/>
  <c r="O317" i="7"/>
  <c r="P317" i="7" l="1"/>
  <c r="O318" i="7"/>
  <c r="P318" i="7" l="1"/>
  <c r="O319" i="7"/>
  <c r="P319" i="7" l="1"/>
  <c r="O320" i="7"/>
  <c r="P320" i="7" l="1"/>
  <c r="O321" i="7"/>
  <c r="P321" i="7" l="1"/>
  <c r="O322" i="7"/>
  <c r="P322" i="7" l="1"/>
  <c r="O323" i="7"/>
  <c r="P323" i="7" l="1"/>
  <c r="O324" i="7"/>
  <c r="P324" i="7" s="1"/>
  <c r="Y6" i="2"/>
  <c r="AF3" i="2" l="1"/>
  <c r="AF4" i="2" l="1"/>
  <c r="R2" i="1"/>
  <c r="K54" i="2" s="1"/>
  <c r="J9" i="7"/>
  <c r="D17" i="7" s="1"/>
  <c r="L69" i="2"/>
  <c r="G46" i="2"/>
  <c r="M38" i="2"/>
  <c r="AF5" i="2"/>
  <c r="I1" i="6" s="1"/>
  <c r="H70" i="2" l="1"/>
  <c r="D70" i="2"/>
  <c r="E70" i="2" s="1"/>
  <c r="K48" i="2"/>
  <c r="M48" i="2"/>
  <c r="G44" i="2"/>
  <c r="AG63" i="2"/>
  <c r="AG70" i="2" s="1"/>
  <c r="J10" i="7"/>
  <c r="K4" i="1"/>
  <c r="O2" i="1"/>
  <c r="L2" i="1"/>
  <c r="B70" i="2"/>
  <c r="I70" i="2"/>
  <c r="J24" i="7"/>
  <c r="H25" i="7" s="1"/>
  <c r="H20" i="7" s="1"/>
  <c r="B1" i="6"/>
  <c r="AE2" i="1" s="1"/>
  <c r="J70" i="2"/>
  <c r="G54" i="2"/>
  <c r="C70" i="2"/>
  <c r="G70" i="2" l="1"/>
  <c r="K2" i="1"/>
  <c r="U178" i="2"/>
  <c r="U262" i="2"/>
  <c r="U226" i="2"/>
  <c r="U82" i="2"/>
  <c r="U334" i="2"/>
  <c r="U250" i="2"/>
  <c r="U346" i="2"/>
  <c r="U322" i="2"/>
  <c r="AG65" i="2"/>
  <c r="U142" i="2"/>
  <c r="U118" i="2"/>
  <c r="U190" i="2"/>
  <c r="U274" i="2"/>
  <c r="U130" i="2"/>
  <c r="U214" i="2"/>
  <c r="U298" i="2"/>
  <c r="U202" i="2"/>
  <c r="J14" i="7"/>
  <c r="U106" i="2"/>
  <c r="U310" i="2"/>
  <c r="U154" i="2"/>
  <c r="U238" i="2"/>
  <c r="U94" i="2"/>
  <c r="U166" i="2"/>
  <c r="U358" i="2"/>
  <c r="U286" i="2"/>
  <c r="A25" i="7"/>
  <c r="L25" i="7"/>
  <c r="B25" i="7"/>
  <c r="F25" i="7"/>
  <c r="G25" i="7"/>
  <c r="G20" i="7" s="1"/>
  <c r="G52" i="2"/>
  <c r="G60" i="2" s="1"/>
  <c r="AD9" i="2"/>
  <c r="AF9" i="2" s="1"/>
  <c r="M46" i="2" s="1"/>
  <c r="AG64" i="2" l="1"/>
  <c r="AI70" i="2" s="1"/>
  <c r="AH70" i="2" s="1"/>
  <c r="AJ70" i="2" s="1"/>
  <c r="J11" i="7"/>
  <c r="D25" i="7" s="1"/>
  <c r="C25" i="7" s="1"/>
  <c r="J25" i="7" s="1"/>
  <c r="K70" i="2"/>
  <c r="P49" i="7"/>
  <c r="P97" i="7"/>
  <c r="P145" i="7"/>
  <c r="P193" i="7"/>
  <c r="P241" i="7"/>
  <c r="P289" i="7"/>
  <c r="P181" i="7"/>
  <c r="P61" i="7"/>
  <c r="P109" i="7"/>
  <c r="P157" i="7"/>
  <c r="P205" i="7"/>
  <c r="P253" i="7"/>
  <c r="P301" i="7"/>
  <c r="P85" i="7"/>
  <c r="P277" i="7"/>
  <c r="P73" i="7"/>
  <c r="P121" i="7"/>
  <c r="P169" i="7"/>
  <c r="P217" i="7"/>
  <c r="P265" i="7"/>
  <c r="P313" i="7"/>
  <c r="P37" i="7"/>
  <c r="P133" i="7"/>
  <c r="P229" i="7"/>
  <c r="AE70" i="2" l="1"/>
  <c r="I25" i="7"/>
  <c r="S25" i="7" s="1"/>
  <c r="F70" i="2"/>
  <c r="L70" i="2" s="1"/>
  <c r="AF71" i="2"/>
  <c r="AG71" i="2"/>
  <c r="AI71" i="2" s="1"/>
  <c r="AH71" i="2" s="1"/>
  <c r="AE71" i="2" s="1"/>
  <c r="AA71" i="2"/>
  <c r="G26" i="7"/>
  <c r="H26" i="7"/>
  <c r="A26" i="7"/>
  <c r="F26" i="7"/>
  <c r="L26" i="7"/>
  <c r="B26" i="7"/>
  <c r="D71" i="2" l="1"/>
  <c r="E71" i="2" s="1"/>
  <c r="H71" i="2"/>
  <c r="C71" i="2"/>
  <c r="B71" i="2"/>
  <c r="I71" i="2"/>
  <c r="J71" i="2"/>
  <c r="AJ71" i="2"/>
  <c r="Z71" i="2"/>
  <c r="M50" i="2"/>
  <c r="D16" i="7"/>
  <c r="D18" i="7" s="1"/>
  <c r="S24" i="7" s="1"/>
  <c r="D26" i="7"/>
  <c r="G71" i="2" l="1"/>
  <c r="F71" i="2" s="1"/>
  <c r="AG72" i="2"/>
  <c r="AI72" i="2" s="1"/>
  <c r="AH72" i="2" s="1"/>
  <c r="AE72" i="2" s="1"/>
  <c r="AF72" i="2"/>
  <c r="I26" i="7"/>
  <c r="C26" i="7"/>
  <c r="K71" i="2" l="1"/>
  <c r="AJ72" i="2"/>
  <c r="AG73" i="2" s="1"/>
  <c r="AI73" i="2" s="1"/>
  <c r="AH73" i="2" s="1"/>
  <c r="S26" i="7"/>
  <c r="L71" i="2"/>
  <c r="J26" i="7"/>
  <c r="AF73" i="2" l="1"/>
  <c r="AE73" i="2"/>
  <c r="AJ73" i="2"/>
  <c r="D72" i="2"/>
  <c r="C72" i="2"/>
  <c r="G27" i="7"/>
  <c r="H27" i="7"/>
  <c r="I72" i="2"/>
  <c r="J72" i="2"/>
  <c r="B72" i="2"/>
  <c r="H72" i="2"/>
  <c r="A27" i="7"/>
  <c r="B27" i="7"/>
  <c r="L27" i="7"/>
  <c r="F27" i="7"/>
  <c r="E72" i="2" l="1"/>
  <c r="G72" i="2" s="1"/>
  <c r="AG74" i="2"/>
  <c r="AI74" i="2" s="1"/>
  <c r="AH74" i="2" s="1"/>
  <c r="AE74" i="2" s="1"/>
  <c r="AF74" i="2"/>
  <c r="D27" i="7"/>
  <c r="I27" i="7" s="1"/>
  <c r="K72" i="2" l="1"/>
  <c r="F72" i="2"/>
  <c r="L72" i="2" s="1"/>
  <c r="AJ74" i="2"/>
  <c r="AF75" i="2" s="1"/>
  <c r="C27" i="7"/>
  <c r="J27" i="7" s="1"/>
  <c r="S27" i="7"/>
  <c r="AG75" i="2" l="1"/>
  <c r="AI75" i="2" s="1"/>
  <c r="AH75" i="2" s="1"/>
  <c r="AE75" i="2" s="1"/>
  <c r="D73" i="2"/>
  <c r="C73" i="2"/>
  <c r="G28" i="7"/>
  <c r="H28" i="7"/>
  <c r="I73" i="2"/>
  <c r="H73" i="2"/>
  <c r="B73" i="2"/>
  <c r="J73" i="2"/>
  <c r="B28" i="7"/>
  <c r="D28" i="7" s="1"/>
  <c r="F28" i="7"/>
  <c r="A28" i="7"/>
  <c r="L28" i="7"/>
  <c r="E73" i="2" l="1"/>
  <c r="G73" i="2" s="1"/>
  <c r="AJ75" i="2"/>
  <c r="AG76" i="2" s="1"/>
  <c r="AI76" i="2" s="1"/>
  <c r="AH76" i="2" s="1"/>
  <c r="C28" i="7"/>
  <c r="I28" i="7"/>
  <c r="AF76" i="2" l="1"/>
  <c r="AE76" i="2"/>
  <c r="AJ76" i="2"/>
  <c r="S28" i="7"/>
  <c r="F73" i="2"/>
  <c r="K73" i="2"/>
  <c r="J28" i="7"/>
  <c r="AF77" i="2" l="1"/>
  <c r="AG77" i="2"/>
  <c r="AI77" i="2" s="1"/>
  <c r="AH77" i="2" s="1"/>
  <c r="G29" i="7"/>
  <c r="H29" i="7"/>
  <c r="L73" i="2"/>
  <c r="B29" i="7"/>
  <c r="D29" i="7" s="1"/>
  <c r="F29" i="7"/>
  <c r="L29" i="7"/>
  <c r="A29" i="7"/>
  <c r="AE77" i="2" l="1"/>
  <c r="AJ77" i="2"/>
  <c r="D74" i="2"/>
  <c r="C74" i="2"/>
  <c r="J74" i="2"/>
  <c r="I74" i="2"/>
  <c r="H74" i="2"/>
  <c r="B74" i="2"/>
  <c r="C29" i="7"/>
  <c r="I29" i="7"/>
  <c r="E74" i="2" l="1"/>
  <c r="G74" i="2" s="1"/>
  <c r="AG78" i="2"/>
  <c r="AI78" i="2" s="1"/>
  <c r="AH78" i="2" s="1"/>
  <c r="AE78" i="2" s="1"/>
  <c r="AF78" i="2"/>
  <c r="S29" i="7"/>
  <c r="J29" i="7"/>
  <c r="K74" i="2" l="1"/>
  <c r="F74" i="2"/>
  <c r="AJ78" i="2"/>
  <c r="AG79" i="2" s="1"/>
  <c r="AI79" i="2" s="1"/>
  <c r="AH79" i="2" s="1"/>
  <c r="AE79" i="2" s="1"/>
  <c r="G30" i="7"/>
  <c r="H30" i="7"/>
  <c r="L74" i="2"/>
  <c r="A30" i="7"/>
  <c r="B30" i="7"/>
  <c r="D30" i="7" s="1"/>
  <c r="F30" i="7"/>
  <c r="L30" i="7"/>
  <c r="AF79" i="2" l="1"/>
  <c r="AJ79" i="2"/>
  <c r="AG80" i="2" s="1"/>
  <c r="AI80" i="2" s="1"/>
  <c r="AH80" i="2" s="1"/>
  <c r="D75" i="2"/>
  <c r="C75" i="2"/>
  <c r="H75" i="2"/>
  <c r="J75" i="2"/>
  <c r="I75" i="2"/>
  <c r="B75" i="2"/>
  <c r="C30" i="7"/>
  <c r="I30" i="7"/>
  <c r="S30" i="7" s="1"/>
  <c r="E75" i="2" l="1"/>
  <c r="G75" i="2" s="1"/>
  <c r="F75" i="2" s="1"/>
  <c r="L75" i="2" s="1"/>
  <c r="AF80" i="2"/>
  <c r="AE80" i="2"/>
  <c r="AJ80" i="2"/>
  <c r="AG81" i="2" s="1"/>
  <c r="AI81" i="2" s="1"/>
  <c r="AH81" i="2" s="1"/>
  <c r="AE81" i="2" s="1"/>
  <c r="J30" i="7"/>
  <c r="D76" i="2" l="1"/>
  <c r="AF81" i="2"/>
  <c r="AJ81" i="2"/>
  <c r="AG82" i="2" s="1"/>
  <c r="AI82" i="2" s="1"/>
  <c r="AH82" i="2" s="1"/>
  <c r="C76" i="2"/>
  <c r="G31" i="7"/>
  <c r="H31" i="7"/>
  <c r="K75" i="2"/>
  <c r="J76" i="2"/>
  <c r="B76" i="2"/>
  <c r="H76" i="2"/>
  <c r="I76" i="2"/>
  <c r="L31" i="7"/>
  <c r="F31" i="7"/>
  <c r="B31" i="7"/>
  <c r="D31" i="7" s="1"/>
  <c r="A31" i="7"/>
  <c r="E76" i="2" l="1"/>
  <c r="G76" i="2" s="1"/>
  <c r="K76" i="2" s="1"/>
  <c r="AF82" i="2"/>
  <c r="AE82" i="2"/>
  <c r="AJ82" i="2"/>
  <c r="C31" i="7"/>
  <c r="J31" i="7" s="1"/>
  <c r="I31" i="7"/>
  <c r="S31" i="7" s="1"/>
  <c r="AG83" i="2" l="1"/>
  <c r="AI83" i="2" s="1"/>
  <c r="AH83" i="2" s="1"/>
  <c r="AE83" i="2" s="1"/>
  <c r="AF83" i="2"/>
  <c r="G32" i="7"/>
  <c r="H32" i="7"/>
  <c r="F76" i="2"/>
  <c r="L76" i="2" s="1"/>
  <c r="L32" i="7"/>
  <c r="F32" i="7"/>
  <c r="A32" i="7"/>
  <c r="B32" i="7"/>
  <c r="D32" i="7" s="1"/>
  <c r="AJ83" i="2" l="1"/>
  <c r="D77" i="2"/>
  <c r="C77" i="2"/>
  <c r="J77" i="2"/>
  <c r="B77" i="2"/>
  <c r="H77" i="2"/>
  <c r="I77" i="2"/>
  <c r="C32" i="7"/>
  <c r="J32" i="7" s="1"/>
  <c r="I32" i="7"/>
  <c r="S32" i="7" s="1"/>
  <c r="E77" i="2" l="1"/>
  <c r="G77" i="2" s="1"/>
  <c r="K77" i="2" s="1"/>
  <c r="AF84" i="2"/>
  <c r="AG84" i="2"/>
  <c r="AI84" i="2" s="1"/>
  <c r="AH84" i="2" s="1"/>
  <c r="G33" i="7"/>
  <c r="H33" i="7"/>
  <c r="L33" i="7"/>
  <c r="A33" i="7"/>
  <c r="F33" i="7"/>
  <c r="B33" i="7"/>
  <c r="D33" i="7" s="1"/>
  <c r="AE84" i="2" l="1"/>
  <c r="AJ84" i="2"/>
  <c r="F77" i="2"/>
  <c r="L77" i="2" s="1"/>
  <c r="C33" i="7"/>
  <c r="J33" i="7" s="1"/>
  <c r="I33" i="7"/>
  <c r="S33" i="7" s="1"/>
  <c r="AA78" i="2" l="1"/>
  <c r="AG85" i="2"/>
  <c r="AI85" i="2" s="1"/>
  <c r="AH85" i="2" s="1"/>
  <c r="AF85" i="2"/>
  <c r="D78" i="2"/>
  <c r="AB78" i="2" s="1"/>
  <c r="C78" i="2"/>
  <c r="G34" i="7"/>
  <c r="H34" i="7"/>
  <c r="I78" i="2"/>
  <c r="J78" i="2"/>
  <c r="B78" i="2"/>
  <c r="H78" i="2"/>
  <c r="B34" i="7"/>
  <c r="D34" i="7" s="1"/>
  <c r="A34" i="7"/>
  <c r="L34" i="7"/>
  <c r="F34" i="7"/>
  <c r="E78" i="2" l="1"/>
  <c r="Z78" i="2"/>
  <c r="AE85" i="2"/>
  <c r="AJ85" i="2"/>
  <c r="C34" i="7"/>
  <c r="J34" i="7" s="1"/>
  <c r="I34" i="7"/>
  <c r="S34" i="7" s="1"/>
  <c r="G78" i="2" l="1"/>
  <c r="K78" i="2" s="1"/>
  <c r="AG86" i="2"/>
  <c r="AI86" i="2" s="1"/>
  <c r="AH86" i="2" s="1"/>
  <c r="AF86" i="2"/>
  <c r="G35" i="7"/>
  <c r="H35" i="7"/>
  <c r="F35" i="7"/>
  <c r="B35" i="7"/>
  <c r="D35" i="7" s="1"/>
  <c r="A35" i="7"/>
  <c r="L35" i="7"/>
  <c r="F78" i="2" l="1"/>
  <c r="L78" i="2" s="1"/>
  <c r="D79" i="2" s="1"/>
  <c r="AE86" i="2"/>
  <c r="AJ86" i="2"/>
  <c r="C35" i="7"/>
  <c r="J35" i="7" s="1"/>
  <c r="I35" i="7"/>
  <c r="S35" i="7" s="1"/>
  <c r="J79" i="2" l="1"/>
  <c r="B79" i="2"/>
  <c r="H79" i="2"/>
  <c r="I79" i="2"/>
  <c r="C79" i="2"/>
  <c r="E79" i="2"/>
  <c r="G79" i="2" s="1"/>
  <c r="K79" i="2" s="1"/>
  <c r="AF87" i="2"/>
  <c r="AG87" i="2"/>
  <c r="AI87" i="2" s="1"/>
  <c r="AH87" i="2" s="1"/>
  <c r="G36" i="7"/>
  <c r="H36" i="7"/>
  <c r="B36" i="7"/>
  <c r="D36" i="7" s="1"/>
  <c r="L36" i="7"/>
  <c r="A36" i="7"/>
  <c r="F36" i="7"/>
  <c r="AE87" i="2" l="1"/>
  <c r="AJ87" i="2"/>
  <c r="F79" i="2"/>
  <c r="L79" i="2" s="1"/>
  <c r="C36" i="7"/>
  <c r="J36" i="7" s="1"/>
  <c r="I36" i="7"/>
  <c r="S36" i="7" s="1"/>
  <c r="C80" i="2" l="1"/>
  <c r="AG88" i="2"/>
  <c r="AI88" i="2" s="1"/>
  <c r="AH88" i="2" s="1"/>
  <c r="AF88" i="2"/>
  <c r="AA80" i="2"/>
  <c r="D80" i="2"/>
  <c r="AB80" i="2" s="1"/>
  <c r="G37" i="7"/>
  <c r="H37" i="7"/>
  <c r="H80" i="2"/>
  <c r="I80" i="2"/>
  <c r="J80" i="2"/>
  <c r="B80" i="2"/>
  <c r="F37" i="7"/>
  <c r="L37" i="7"/>
  <c r="B37" i="7"/>
  <c r="D37" i="7" s="1"/>
  <c r="A37" i="7"/>
  <c r="E80" i="2" l="1"/>
  <c r="AE88" i="2"/>
  <c r="AJ88" i="2"/>
  <c r="Z80" i="2"/>
  <c r="I37" i="7"/>
  <c r="S37" i="7" s="1"/>
  <c r="C37" i="7"/>
  <c r="J37" i="7" s="1"/>
  <c r="G80" i="2" l="1"/>
  <c r="K80" i="2" s="1"/>
  <c r="AG89" i="2"/>
  <c r="AI89" i="2" s="1"/>
  <c r="AH89" i="2" s="1"/>
  <c r="AF89" i="2"/>
  <c r="G38" i="7"/>
  <c r="H38" i="7"/>
  <c r="B38" i="7"/>
  <c r="D38" i="7" s="1"/>
  <c r="A38" i="7"/>
  <c r="F38" i="7"/>
  <c r="L38" i="7"/>
  <c r="F80" i="2" l="1"/>
  <c r="L80" i="2" s="1"/>
  <c r="AE89" i="2"/>
  <c r="AJ89" i="2"/>
  <c r="C38" i="7"/>
  <c r="J38" i="7" s="1"/>
  <c r="I38" i="7"/>
  <c r="S38" i="7" s="1"/>
  <c r="I81" i="2" l="1"/>
  <c r="H81" i="2"/>
  <c r="J81" i="2"/>
  <c r="C81" i="2"/>
  <c r="B81" i="2"/>
  <c r="D81" i="2"/>
  <c r="E81" i="2" s="1"/>
  <c r="AF90" i="2"/>
  <c r="AG90" i="2"/>
  <c r="AI90" i="2" s="1"/>
  <c r="AH90" i="2" s="1"/>
  <c r="AE90" i="2" s="1"/>
  <c r="G39" i="7"/>
  <c r="H39" i="7"/>
  <c r="L39" i="7"/>
  <c r="A39" i="7"/>
  <c r="B39" i="7"/>
  <c r="D39" i="7" s="1"/>
  <c r="F39" i="7"/>
  <c r="G81" i="2" l="1"/>
  <c r="K81" i="2" s="1"/>
  <c r="AJ90" i="2"/>
  <c r="AG91" i="2" s="1"/>
  <c r="AI91" i="2" s="1"/>
  <c r="AH91" i="2" s="1"/>
  <c r="C39" i="7"/>
  <c r="J39" i="7" s="1"/>
  <c r="I39" i="7"/>
  <c r="S39" i="7" s="1"/>
  <c r="F81" i="2" l="1"/>
  <c r="L81" i="2" s="1"/>
  <c r="B82" i="2" s="1"/>
  <c r="AF91" i="2"/>
  <c r="AE91" i="2"/>
  <c r="AJ91" i="2"/>
  <c r="AG92" i="2" s="1"/>
  <c r="AI92" i="2" s="1"/>
  <c r="AH92" i="2" s="1"/>
  <c r="G40" i="7"/>
  <c r="H40" i="7"/>
  <c r="L40" i="7"/>
  <c r="A40" i="7"/>
  <c r="F40" i="7"/>
  <c r="B40" i="7"/>
  <c r="D40" i="7" s="1"/>
  <c r="J82" i="2" l="1"/>
  <c r="H82" i="2"/>
  <c r="C82" i="2"/>
  <c r="D82" i="2"/>
  <c r="E82" i="2" s="1"/>
  <c r="G82" i="2" s="1"/>
  <c r="I82" i="2"/>
  <c r="AF92" i="2"/>
  <c r="AE92" i="2"/>
  <c r="AJ92" i="2"/>
  <c r="C40" i="7"/>
  <c r="J40" i="7" s="1"/>
  <c r="I40" i="7"/>
  <c r="S40" i="7" s="1"/>
  <c r="K82" i="2" l="1"/>
  <c r="AF93" i="2"/>
  <c r="AG93" i="2"/>
  <c r="AI93" i="2" s="1"/>
  <c r="AH93" i="2" s="1"/>
  <c r="AE93" i="2" s="1"/>
  <c r="G41" i="7"/>
  <c r="H41" i="7"/>
  <c r="F82" i="2"/>
  <c r="L82" i="2" s="1"/>
  <c r="F41" i="7"/>
  <c r="B41" i="7"/>
  <c r="D41" i="7" s="1"/>
  <c r="A41" i="7"/>
  <c r="L41" i="7"/>
  <c r="AJ93" i="2" l="1"/>
  <c r="D83" i="2"/>
  <c r="C83" i="2"/>
  <c r="I83" i="2"/>
  <c r="B83" i="2"/>
  <c r="J83" i="2"/>
  <c r="H83" i="2"/>
  <c r="C41" i="7"/>
  <c r="J41" i="7" s="1"/>
  <c r="I41" i="7"/>
  <c r="S41" i="7" s="1"/>
  <c r="E83" i="2" l="1"/>
  <c r="G83" i="2" s="1"/>
  <c r="K83" i="2" s="1"/>
  <c r="AG94" i="2"/>
  <c r="AI94" i="2" s="1"/>
  <c r="AH94" i="2" s="1"/>
  <c r="AE94" i="2" s="1"/>
  <c r="AF94" i="2"/>
  <c r="G42" i="7"/>
  <c r="H42" i="7"/>
  <c r="L42" i="7"/>
  <c r="B42" i="7"/>
  <c r="D42" i="7" s="1"/>
  <c r="F42" i="7"/>
  <c r="A42" i="7"/>
  <c r="AJ94" i="2" l="1"/>
  <c r="AG95" i="2" s="1"/>
  <c r="AI95" i="2" s="1"/>
  <c r="AH95" i="2" s="1"/>
  <c r="AE95" i="2" s="1"/>
  <c r="F83" i="2"/>
  <c r="L83" i="2" s="1"/>
  <c r="C42" i="7"/>
  <c r="J42" i="7" s="1"/>
  <c r="I42" i="7"/>
  <c r="S42" i="7" s="1"/>
  <c r="AF95" i="2" l="1"/>
  <c r="AJ95" i="2"/>
  <c r="D84" i="2"/>
  <c r="C84" i="2"/>
  <c r="G43" i="7"/>
  <c r="H43" i="7"/>
  <c r="H84" i="2"/>
  <c r="J84" i="2"/>
  <c r="B84" i="2"/>
  <c r="I84" i="2"/>
  <c r="F43" i="7"/>
  <c r="L43" i="7"/>
  <c r="B43" i="7"/>
  <c r="D43" i="7" s="1"/>
  <c r="A43" i="7"/>
  <c r="E84" i="2" l="1"/>
  <c r="G84" i="2" s="1"/>
  <c r="K84" i="2" s="1"/>
  <c r="AF96" i="2"/>
  <c r="AG96" i="2"/>
  <c r="AI96" i="2" s="1"/>
  <c r="AH96" i="2" s="1"/>
  <c r="AE96" i="2" s="1"/>
  <c r="I43" i="7"/>
  <c r="S43" i="7" s="1"/>
  <c r="C43" i="7"/>
  <c r="J43" i="7" s="1"/>
  <c r="AJ96" i="2" l="1"/>
  <c r="AF97" i="2" s="1"/>
  <c r="G44" i="7"/>
  <c r="H44" i="7"/>
  <c r="F84" i="2"/>
  <c r="L84" i="2" s="1"/>
  <c r="A44" i="7"/>
  <c r="F44" i="7"/>
  <c r="B44" i="7"/>
  <c r="D44" i="7" s="1"/>
  <c r="L44" i="7"/>
  <c r="AG97" i="2" l="1"/>
  <c r="AI97" i="2" s="1"/>
  <c r="AH97" i="2" s="1"/>
  <c r="AE97" i="2" s="1"/>
  <c r="D85" i="2"/>
  <c r="C85" i="2"/>
  <c r="H85" i="2"/>
  <c r="I85" i="2"/>
  <c r="B85" i="2"/>
  <c r="J85" i="2"/>
  <c r="C44" i="7"/>
  <c r="J44" i="7" s="1"/>
  <c r="I44" i="7"/>
  <c r="S44" i="7" s="1"/>
  <c r="E85" i="2" l="1"/>
  <c r="G85" i="2" s="1"/>
  <c r="K85" i="2" s="1"/>
  <c r="AJ97" i="2"/>
  <c r="AF98" i="2" s="1"/>
  <c r="G45" i="7"/>
  <c r="H45" i="7"/>
  <c r="A45" i="7"/>
  <c r="B45" i="7"/>
  <c r="D45" i="7" s="1"/>
  <c r="F45" i="7"/>
  <c r="L45" i="7"/>
  <c r="AG98" i="2" l="1"/>
  <c r="AI98" i="2" s="1"/>
  <c r="AH98" i="2" s="1"/>
  <c r="AE98" i="2" s="1"/>
  <c r="F85" i="2"/>
  <c r="L85" i="2" s="1"/>
  <c r="C45" i="7"/>
  <c r="J45" i="7" s="1"/>
  <c r="I45" i="7"/>
  <c r="S45" i="7" s="1"/>
  <c r="AJ98" i="2" l="1"/>
  <c r="D86" i="2"/>
  <c r="C86" i="2"/>
  <c r="G46" i="7"/>
  <c r="H46" i="7"/>
  <c r="H86" i="2"/>
  <c r="B86" i="2"/>
  <c r="I86" i="2"/>
  <c r="J86" i="2"/>
  <c r="B46" i="7"/>
  <c r="D46" i="7" s="1"/>
  <c r="L46" i="7"/>
  <c r="F46" i="7"/>
  <c r="A46" i="7"/>
  <c r="E86" i="2" l="1"/>
  <c r="G86" i="2" s="1"/>
  <c r="K86" i="2" s="1"/>
  <c r="AG99" i="2"/>
  <c r="AI99" i="2" s="1"/>
  <c r="AH99" i="2" s="1"/>
  <c r="AE99" i="2" s="1"/>
  <c r="AF99" i="2"/>
  <c r="C46" i="7"/>
  <c r="J46" i="7" s="1"/>
  <c r="I46" i="7"/>
  <c r="S46" i="7" s="1"/>
  <c r="AJ99" i="2" l="1"/>
  <c r="G47" i="7"/>
  <c r="H47" i="7"/>
  <c r="F86" i="2"/>
  <c r="L86" i="2" s="1"/>
  <c r="L47" i="7"/>
  <c r="A47" i="7"/>
  <c r="F47" i="7"/>
  <c r="B47" i="7"/>
  <c r="D47" i="7" s="1"/>
  <c r="AG100" i="2" l="1"/>
  <c r="AI100" i="2" s="1"/>
  <c r="AH100" i="2" s="1"/>
  <c r="AE100" i="2" s="1"/>
  <c r="AF100" i="2"/>
  <c r="D87" i="2"/>
  <c r="C87" i="2"/>
  <c r="H87" i="2"/>
  <c r="B87" i="2"/>
  <c r="I87" i="2"/>
  <c r="J87" i="2"/>
  <c r="C47" i="7"/>
  <c r="J47" i="7" s="1"/>
  <c r="I47" i="7"/>
  <c r="S47" i="7" s="1"/>
  <c r="E87" i="2" l="1"/>
  <c r="G87" i="2" s="1"/>
  <c r="AJ100" i="2"/>
  <c r="G48" i="7"/>
  <c r="H48" i="7"/>
  <c r="B48" i="7"/>
  <c r="D48" i="7" s="1"/>
  <c r="F48" i="7"/>
  <c r="L48" i="7"/>
  <c r="A48" i="7"/>
  <c r="AF101" i="2" l="1"/>
  <c r="AG101" i="2"/>
  <c r="AI101" i="2" s="1"/>
  <c r="AH101" i="2" s="1"/>
  <c r="AE101" i="2" s="1"/>
  <c r="C48" i="7"/>
  <c r="J48" i="7" s="1"/>
  <c r="I48" i="7"/>
  <c r="S48" i="7" s="1"/>
  <c r="AJ101" i="2" l="1"/>
  <c r="G49" i="7"/>
  <c r="H49" i="7"/>
  <c r="B49" i="7"/>
  <c r="D49" i="7" s="1"/>
  <c r="A49" i="7"/>
  <c r="F49" i="7"/>
  <c r="L49" i="7"/>
  <c r="AG102" i="2" l="1"/>
  <c r="AI102" i="2" s="1"/>
  <c r="AH102" i="2" s="1"/>
  <c r="AE102" i="2" s="1"/>
  <c r="AF102" i="2"/>
  <c r="C49" i="7"/>
  <c r="J49" i="7" s="1"/>
  <c r="I49" i="7"/>
  <c r="S49" i="7" s="1"/>
  <c r="AJ102" i="2" l="1"/>
  <c r="G50" i="7"/>
  <c r="H50" i="7"/>
  <c r="A50" i="7"/>
  <c r="F50" i="7"/>
  <c r="B50" i="7"/>
  <c r="D50" i="7" s="1"/>
  <c r="L50" i="7"/>
  <c r="AG103" i="2" l="1"/>
  <c r="AI103" i="2" s="1"/>
  <c r="AH103" i="2" s="1"/>
  <c r="AE103" i="2" s="1"/>
  <c r="AF103" i="2"/>
  <c r="C50" i="7"/>
  <c r="J50" i="7" s="1"/>
  <c r="I50" i="7"/>
  <c r="S50" i="7" s="1"/>
  <c r="AJ103" i="2" l="1"/>
  <c r="AF104" i="2" s="1"/>
  <c r="G51" i="7"/>
  <c r="H51" i="7"/>
  <c r="B51" i="7"/>
  <c r="D51" i="7" s="1"/>
  <c r="F51" i="7"/>
  <c r="L51" i="7"/>
  <c r="A51" i="7"/>
  <c r="AG104" i="2" l="1"/>
  <c r="AI104" i="2" s="1"/>
  <c r="AH104" i="2" s="1"/>
  <c r="AE104" i="2" s="1"/>
  <c r="C51" i="7"/>
  <c r="J51" i="7" s="1"/>
  <c r="I51" i="7"/>
  <c r="S51" i="7" s="1"/>
  <c r="AJ104" i="2" l="1"/>
  <c r="AF105" i="2" s="1"/>
  <c r="G52" i="7"/>
  <c r="H52" i="7"/>
  <c r="L52" i="7"/>
  <c r="F52" i="7"/>
  <c r="A52" i="7"/>
  <c r="B52" i="7"/>
  <c r="D52" i="7" s="1"/>
  <c r="AG105" i="2" l="1"/>
  <c r="AI105" i="2" s="1"/>
  <c r="AH105" i="2" s="1"/>
  <c r="AE105" i="2" s="1"/>
  <c r="C52" i="7"/>
  <c r="J52" i="7" s="1"/>
  <c r="I52" i="7"/>
  <c r="S52" i="7" s="1"/>
  <c r="AJ105" i="2" l="1"/>
  <c r="AF106" i="2" s="1"/>
  <c r="G53" i="7"/>
  <c r="H53" i="7"/>
  <c r="B53" i="7"/>
  <c r="D53" i="7" s="1"/>
  <c r="A53" i="7"/>
  <c r="L53" i="7"/>
  <c r="F53" i="7"/>
  <c r="AG106" i="2" l="1"/>
  <c r="AI106" i="2" s="1"/>
  <c r="AH106" i="2" s="1"/>
  <c r="AE106" i="2" s="1"/>
  <c r="C53" i="7"/>
  <c r="J53" i="7" s="1"/>
  <c r="I53" i="7"/>
  <c r="S53" i="7" s="1"/>
  <c r="AJ106" i="2" l="1"/>
  <c r="AF107" i="2" s="1"/>
  <c r="G54" i="7"/>
  <c r="H54" i="7"/>
  <c r="B54" i="7"/>
  <c r="D54" i="7" s="1"/>
  <c r="L54" i="7"/>
  <c r="F54" i="7"/>
  <c r="A54" i="7"/>
  <c r="AG107" i="2" l="1"/>
  <c r="AI107" i="2" s="1"/>
  <c r="AH107" i="2" s="1"/>
  <c r="AE107" i="2" s="1"/>
  <c r="I54" i="7"/>
  <c r="S54" i="7" s="1"/>
  <c r="C54" i="7"/>
  <c r="J54" i="7" s="1"/>
  <c r="AJ107" i="2" l="1"/>
  <c r="AF108" i="2" s="1"/>
  <c r="G55" i="7"/>
  <c r="H55" i="7"/>
  <c r="B55" i="7"/>
  <c r="D55" i="7" s="1"/>
  <c r="A55" i="7"/>
  <c r="F55" i="7"/>
  <c r="L55" i="7"/>
  <c r="AG108" i="2" l="1"/>
  <c r="AI108" i="2" s="1"/>
  <c r="AH108" i="2" s="1"/>
  <c r="AE108" i="2" s="1"/>
  <c r="C55" i="7"/>
  <c r="J55" i="7" s="1"/>
  <c r="I55" i="7"/>
  <c r="S55" i="7" s="1"/>
  <c r="AJ108" i="2" l="1"/>
  <c r="AF109" i="2" s="1"/>
  <c r="G56" i="7"/>
  <c r="H56" i="7"/>
  <c r="L56" i="7"/>
  <c r="A56" i="7"/>
  <c r="B56" i="7"/>
  <c r="D56" i="7" s="1"/>
  <c r="F56" i="7"/>
  <c r="AG109" i="2" l="1"/>
  <c r="AI109" i="2" s="1"/>
  <c r="AH109" i="2" s="1"/>
  <c r="AE109" i="2" s="1"/>
  <c r="C56" i="7"/>
  <c r="J56" i="7" s="1"/>
  <c r="I56" i="7"/>
  <c r="S56" i="7" s="1"/>
  <c r="AJ109" i="2" l="1"/>
  <c r="AG110" i="2" s="1"/>
  <c r="AI110" i="2" s="1"/>
  <c r="AH110" i="2" s="1"/>
  <c r="AE110" i="2" s="1"/>
  <c r="G57" i="7"/>
  <c r="H57" i="7"/>
  <c r="L57" i="7"/>
  <c r="F57" i="7"/>
  <c r="B57" i="7"/>
  <c r="D57" i="7" s="1"/>
  <c r="A57" i="7"/>
  <c r="AF110" i="2" l="1"/>
  <c r="AJ110" i="2"/>
  <c r="C57" i="7"/>
  <c r="J57" i="7" s="1"/>
  <c r="I57" i="7"/>
  <c r="S57" i="7" s="1"/>
  <c r="AF111" i="2" l="1"/>
  <c r="AG111" i="2"/>
  <c r="AI111" i="2" s="1"/>
  <c r="AH111" i="2" s="1"/>
  <c r="AE111" i="2" s="1"/>
  <c r="G58" i="7"/>
  <c r="H58" i="7"/>
  <c r="A58" i="7"/>
  <c r="B58" i="7"/>
  <c r="D58" i="7" s="1"/>
  <c r="L58" i="7"/>
  <c r="F58" i="7"/>
  <c r="AJ111" i="2" l="1"/>
  <c r="AG112" i="2" s="1"/>
  <c r="AI112" i="2" s="1"/>
  <c r="AH112" i="2" s="1"/>
  <c r="C58" i="7"/>
  <c r="J58" i="7" s="1"/>
  <c r="I58" i="7"/>
  <c r="S58" i="7" s="1"/>
  <c r="AF112" i="2" l="1"/>
  <c r="AE112" i="2"/>
  <c r="AJ112" i="2"/>
  <c r="G59" i="7"/>
  <c r="H59" i="7"/>
  <c r="A59" i="7"/>
  <c r="F59" i="7"/>
  <c r="L59" i="7"/>
  <c r="B59" i="7"/>
  <c r="D59" i="7" s="1"/>
  <c r="AG113" i="2" l="1"/>
  <c r="AI113" i="2" s="1"/>
  <c r="AH113" i="2" s="1"/>
  <c r="AF113" i="2"/>
  <c r="C59" i="7"/>
  <c r="J59" i="7" s="1"/>
  <c r="I59" i="7"/>
  <c r="S59" i="7" s="1"/>
  <c r="AE113" i="2" l="1"/>
  <c r="AJ113" i="2"/>
  <c r="G60" i="7"/>
  <c r="H60" i="7"/>
  <c r="F60" i="7"/>
  <c r="A60" i="7"/>
  <c r="L60" i="7"/>
  <c r="B60" i="7"/>
  <c r="D60" i="7" s="1"/>
  <c r="AF114" i="2" l="1"/>
  <c r="AG114" i="2"/>
  <c r="AI114" i="2" s="1"/>
  <c r="AH114" i="2" s="1"/>
  <c r="C60" i="7"/>
  <c r="J60" i="7" s="1"/>
  <c r="I60" i="7"/>
  <c r="S60" i="7" s="1"/>
  <c r="AE114" i="2" l="1"/>
  <c r="AJ114" i="2"/>
  <c r="G61" i="7"/>
  <c r="H61" i="7"/>
  <c r="B61" i="7"/>
  <c r="D61" i="7" s="1"/>
  <c r="A61" i="7"/>
  <c r="F61" i="7"/>
  <c r="L61" i="7"/>
  <c r="AG115" i="2" l="1"/>
  <c r="AI115" i="2" s="1"/>
  <c r="AH115" i="2" s="1"/>
  <c r="AE115" i="2" s="1"/>
  <c r="AF115" i="2"/>
  <c r="I61" i="7"/>
  <c r="S61" i="7" s="1"/>
  <c r="C61" i="7"/>
  <c r="J61" i="7" s="1"/>
  <c r="AJ115" i="2" l="1"/>
  <c r="AF116" i="2" s="1"/>
  <c r="G62" i="7"/>
  <c r="H62" i="7"/>
  <c r="B62" i="7"/>
  <c r="D62" i="7" s="1"/>
  <c r="L62" i="7"/>
  <c r="F62" i="7"/>
  <c r="A62" i="7"/>
  <c r="AG116" i="2" l="1"/>
  <c r="AI116" i="2" s="1"/>
  <c r="AH116" i="2" s="1"/>
  <c r="AE116" i="2" s="1"/>
  <c r="C62" i="7"/>
  <c r="J62" i="7" s="1"/>
  <c r="I62" i="7"/>
  <c r="S62" i="7" s="1"/>
  <c r="AJ116" i="2" l="1"/>
  <c r="AF117" i="2" s="1"/>
  <c r="G63" i="7"/>
  <c r="H63" i="7"/>
  <c r="L63" i="7"/>
  <c r="F63" i="7"/>
  <c r="B63" i="7"/>
  <c r="D63" i="7" s="1"/>
  <c r="A63" i="7"/>
  <c r="AG117" i="2" l="1"/>
  <c r="AI117" i="2" s="1"/>
  <c r="AH117" i="2" s="1"/>
  <c r="AE117" i="2" s="1"/>
  <c r="C63" i="7"/>
  <c r="J63" i="7" s="1"/>
  <c r="I63" i="7"/>
  <c r="S63" i="7" s="1"/>
  <c r="AJ117" i="2" l="1"/>
  <c r="AG118" i="2" s="1"/>
  <c r="AI118" i="2" s="1"/>
  <c r="AH118" i="2" s="1"/>
  <c r="G64" i="7"/>
  <c r="H64" i="7"/>
  <c r="F64" i="7"/>
  <c r="L64" i="7"/>
  <c r="A64" i="7"/>
  <c r="B64" i="7"/>
  <c r="D64" i="7" s="1"/>
  <c r="AF118" i="2" l="1"/>
  <c r="AE118" i="2"/>
  <c r="AJ118" i="2"/>
  <c r="I64" i="7"/>
  <c r="S64" i="7" s="1"/>
  <c r="C64" i="7"/>
  <c r="J64" i="7" s="1"/>
  <c r="AF119" i="2" l="1"/>
  <c r="AG119" i="2"/>
  <c r="AI119" i="2" s="1"/>
  <c r="AH119" i="2" s="1"/>
  <c r="G65" i="7"/>
  <c r="H65" i="7"/>
  <c r="B65" i="7"/>
  <c r="D65" i="7" s="1"/>
  <c r="L65" i="7"/>
  <c r="A65" i="7"/>
  <c r="F65" i="7"/>
  <c r="AE119" i="2" l="1"/>
  <c r="AJ119" i="2"/>
  <c r="I65" i="7"/>
  <c r="S65" i="7" s="1"/>
  <c r="C65" i="7"/>
  <c r="J65" i="7" s="1"/>
  <c r="AF120" i="2" l="1"/>
  <c r="AG120" i="2"/>
  <c r="AI120" i="2" s="1"/>
  <c r="AH120" i="2" s="1"/>
  <c r="G66" i="7"/>
  <c r="H66" i="7"/>
  <c r="B66" i="7"/>
  <c r="D66" i="7" s="1"/>
  <c r="L66" i="7"/>
  <c r="A66" i="7"/>
  <c r="F66" i="7"/>
  <c r="AE120" i="2" l="1"/>
  <c r="AJ120" i="2"/>
  <c r="C66" i="7"/>
  <c r="J66" i="7" s="1"/>
  <c r="I66" i="7"/>
  <c r="S66" i="7" s="1"/>
  <c r="AF121" i="2" l="1"/>
  <c r="AG121" i="2"/>
  <c r="AI121" i="2" s="1"/>
  <c r="AH121" i="2" s="1"/>
  <c r="G67" i="7"/>
  <c r="H67" i="7"/>
  <c r="F67" i="7"/>
  <c r="L67" i="7"/>
  <c r="B67" i="7"/>
  <c r="D67" i="7" s="1"/>
  <c r="A67" i="7"/>
  <c r="AE121" i="2" l="1"/>
  <c r="AJ121" i="2"/>
  <c r="C67" i="7"/>
  <c r="J67" i="7" s="1"/>
  <c r="I67" i="7"/>
  <c r="S67" i="7" s="1"/>
  <c r="AG122" i="2" l="1"/>
  <c r="AI122" i="2" s="1"/>
  <c r="AH122" i="2" s="1"/>
  <c r="AE122" i="2" s="1"/>
  <c r="AF122" i="2"/>
  <c r="G68" i="7"/>
  <c r="H68" i="7"/>
  <c r="A68" i="7"/>
  <c r="B68" i="7"/>
  <c r="D68" i="7" s="1"/>
  <c r="L68" i="7"/>
  <c r="F68" i="7"/>
  <c r="AJ122" i="2" l="1"/>
  <c r="AG123" i="2" s="1"/>
  <c r="AI123" i="2" s="1"/>
  <c r="AH123" i="2" s="1"/>
  <c r="AE123" i="2" s="1"/>
  <c r="C68" i="7"/>
  <c r="J68" i="7" s="1"/>
  <c r="I68" i="7"/>
  <c r="S68" i="7" s="1"/>
  <c r="AF123" i="2" l="1"/>
  <c r="AJ123" i="2"/>
  <c r="G69" i="7"/>
  <c r="H69" i="7"/>
  <c r="A69" i="7"/>
  <c r="F69" i="7"/>
  <c r="L69" i="7"/>
  <c r="B69" i="7"/>
  <c r="D69" i="7" s="1"/>
  <c r="AF124" i="2" l="1"/>
  <c r="AG124" i="2"/>
  <c r="AI124" i="2" s="1"/>
  <c r="AH124" i="2" s="1"/>
  <c r="AE124" i="2" s="1"/>
  <c r="C69" i="7"/>
  <c r="J69" i="7" s="1"/>
  <c r="I69" i="7"/>
  <c r="S69" i="7" s="1"/>
  <c r="AJ124" i="2" l="1"/>
  <c r="G70" i="7"/>
  <c r="H70" i="7"/>
  <c r="B70" i="7"/>
  <c r="D70" i="7" s="1"/>
  <c r="F70" i="7"/>
  <c r="L70" i="7"/>
  <c r="A70" i="7"/>
  <c r="AF125" i="2" l="1"/>
  <c r="AG125" i="2"/>
  <c r="AI125" i="2" s="1"/>
  <c r="AH125" i="2" s="1"/>
  <c r="AE125" i="2" s="1"/>
  <c r="C70" i="7"/>
  <c r="J70" i="7" s="1"/>
  <c r="I70" i="7"/>
  <c r="S70" i="7" s="1"/>
  <c r="AJ125" i="2" l="1"/>
  <c r="G71" i="7"/>
  <c r="H71" i="7"/>
  <c r="L71" i="7"/>
  <c r="F71" i="7"/>
  <c r="B71" i="7"/>
  <c r="D71" i="7" s="1"/>
  <c r="A71" i="7"/>
  <c r="AF126" i="2" l="1"/>
  <c r="AG126" i="2"/>
  <c r="AI126" i="2" s="1"/>
  <c r="AH126" i="2" s="1"/>
  <c r="I71" i="7"/>
  <c r="S71" i="7" s="1"/>
  <c r="C71" i="7"/>
  <c r="J71" i="7" s="1"/>
  <c r="AE126" i="2" l="1"/>
  <c r="AJ126" i="2"/>
  <c r="G72" i="7"/>
  <c r="H72" i="7"/>
  <c r="A72" i="7"/>
  <c r="B72" i="7"/>
  <c r="D72" i="7" s="1"/>
  <c r="F72" i="7"/>
  <c r="L72" i="7"/>
  <c r="AF127" i="2" l="1"/>
  <c r="AG127" i="2"/>
  <c r="AI127" i="2" s="1"/>
  <c r="AH127" i="2" s="1"/>
  <c r="AE127" i="2" s="1"/>
  <c r="C72" i="7"/>
  <c r="J72" i="7" s="1"/>
  <c r="I72" i="7"/>
  <c r="S72" i="7" s="1"/>
  <c r="AJ127" i="2" l="1"/>
  <c r="G73" i="7"/>
  <c r="H73" i="7"/>
  <c r="L73" i="7"/>
  <c r="A73" i="7"/>
  <c r="B73" i="7"/>
  <c r="D73" i="7" s="1"/>
  <c r="F73" i="7"/>
  <c r="AG128" i="2" l="1"/>
  <c r="AI128" i="2" s="1"/>
  <c r="AH128" i="2" s="1"/>
  <c r="AF128" i="2"/>
  <c r="C73" i="7"/>
  <c r="J73" i="7" s="1"/>
  <c r="I73" i="7"/>
  <c r="S73" i="7" s="1"/>
  <c r="AE128" i="2" l="1"/>
  <c r="AJ128" i="2"/>
  <c r="G74" i="7"/>
  <c r="H74" i="7"/>
  <c r="A74" i="7"/>
  <c r="L74" i="7"/>
  <c r="B74" i="7"/>
  <c r="D74" i="7" s="1"/>
  <c r="F74" i="7"/>
  <c r="AF129" i="2" l="1"/>
  <c r="AG129" i="2"/>
  <c r="AI129" i="2" s="1"/>
  <c r="AH129" i="2" s="1"/>
  <c r="C74" i="7"/>
  <c r="J74" i="7" s="1"/>
  <c r="I74" i="7"/>
  <c r="S74" i="7" s="1"/>
  <c r="AE129" i="2" l="1"/>
  <c r="AJ129" i="2"/>
  <c r="G75" i="7"/>
  <c r="H75" i="7"/>
  <c r="L75" i="7"/>
  <c r="A75" i="7"/>
  <c r="F75" i="7"/>
  <c r="B75" i="7"/>
  <c r="D75" i="7" s="1"/>
  <c r="AF130" i="2" l="1"/>
  <c r="AG130" i="2"/>
  <c r="AI130" i="2" s="1"/>
  <c r="AH130" i="2" s="1"/>
  <c r="C75" i="7"/>
  <c r="J75" i="7" s="1"/>
  <c r="I75" i="7"/>
  <c r="S75" i="7" s="1"/>
  <c r="AE130" i="2" l="1"/>
  <c r="AJ130" i="2"/>
  <c r="G76" i="7"/>
  <c r="H76" i="7"/>
  <c r="A76" i="7"/>
  <c r="B76" i="7"/>
  <c r="D76" i="7" s="1"/>
  <c r="F76" i="7"/>
  <c r="L76" i="7"/>
  <c r="AF131" i="2" l="1"/>
  <c r="AG131" i="2"/>
  <c r="AI131" i="2" s="1"/>
  <c r="AH131" i="2" s="1"/>
  <c r="C76" i="7"/>
  <c r="J76" i="7" s="1"/>
  <c r="I76" i="7"/>
  <c r="S76" i="7" s="1"/>
  <c r="AE131" i="2" l="1"/>
  <c r="AJ131" i="2"/>
  <c r="G77" i="7"/>
  <c r="H77" i="7"/>
  <c r="B77" i="7"/>
  <c r="D77" i="7" s="1"/>
  <c r="L77" i="7"/>
  <c r="A77" i="7"/>
  <c r="F77" i="7"/>
  <c r="AG132" i="2" l="1"/>
  <c r="AI132" i="2" s="1"/>
  <c r="AH132" i="2" s="1"/>
  <c r="AE132" i="2" s="1"/>
  <c r="AF132" i="2"/>
  <c r="C77" i="7"/>
  <c r="J77" i="7" s="1"/>
  <c r="I77" i="7"/>
  <c r="S77" i="7" s="1"/>
  <c r="AJ132" i="2" l="1"/>
  <c r="G78" i="7"/>
  <c r="H78" i="7"/>
  <c r="A78" i="7"/>
  <c r="L78" i="7"/>
  <c r="B78" i="7"/>
  <c r="D78" i="7" s="1"/>
  <c r="F78" i="7"/>
  <c r="AF133" i="2" l="1"/>
  <c r="AG133" i="2"/>
  <c r="AI133" i="2" s="1"/>
  <c r="AH133" i="2" s="1"/>
  <c r="C78" i="7"/>
  <c r="J78" i="7" s="1"/>
  <c r="I78" i="7"/>
  <c r="S78" i="7" s="1"/>
  <c r="AE133" i="2" l="1"/>
  <c r="AJ133" i="2"/>
  <c r="G79" i="7"/>
  <c r="H79" i="7"/>
  <c r="L79" i="7"/>
  <c r="F79" i="7"/>
  <c r="B79" i="7"/>
  <c r="D79" i="7" s="1"/>
  <c r="A79" i="7"/>
  <c r="AF134" i="2" l="1"/>
  <c r="AG134" i="2"/>
  <c r="AI134" i="2" s="1"/>
  <c r="AH134" i="2" s="1"/>
  <c r="AE134" i="2" s="1"/>
  <c r="I79" i="7"/>
  <c r="S79" i="7" s="1"/>
  <c r="C79" i="7"/>
  <c r="J79" i="7" s="1"/>
  <c r="AJ134" i="2" l="1"/>
  <c r="AG135" i="2" s="1"/>
  <c r="AI135" i="2" s="1"/>
  <c r="AH135" i="2" s="1"/>
  <c r="AE135" i="2" s="1"/>
  <c r="G80" i="7"/>
  <c r="H80" i="7"/>
  <c r="F80" i="7"/>
  <c r="B80" i="7"/>
  <c r="D80" i="7" s="1"/>
  <c r="A80" i="7"/>
  <c r="L80" i="7"/>
  <c r="AJ135" i="2" l="1"/>
  <c r="AF135" i="2"/>
  <c r="I80" i="7"/>
  <c r="S80" i="7" s="1"/>
  <c r="C80" i="7"/>
  <c r="J80" i="7" s="1"/>
  <c r="AG136" i="2" l="1"/>
  <c r="AI136" i="2" s="1"/>
  <c r="AH136" i="2" s="1"/>
  <c r="AE136" i="2" s="1"/>
  <c r="AF136" i="2"/>
  <c r="G81" i="7"/>
  <c r="H81" i="7"/>
  <c r="A81" i="7"/>
  <c r="F81" i="7"/>
  <c r="L81" i="7"/>
  <c r="B81" i="7"/>
  <c r="D81" i="7" s="1"/>
  <c r="AJ136" i="2" l="1"/>
  <c r="C81" i="7"/>
  <c r="J81" i="7" s="1"/>
  <c r="I81" i="7"/>
  <c r="S81" i="7" s="1"/>
  <c r="AF137" i="2" l="1"/>
  <c r="AG137" i="2"/>
  <c r="AI137" i="2" s="1"/>
  <c r="AH137" i="2" s="1"/>
  <c r="AE137" i="2" s="1"/>
  <c r="G82" i="7"/>
  <c r="H82" i="7"/>
  <c r="B82" i="7"/>
  <c r="D82" i="7" s="1"/>
  <c r="A82" i="7"/>
  <c r="F82" i="7"/>
  <c r="L82" i="7"/>
  <c r="AJ137" i="2" l="1"/>
  <c r="C82" i="7"/>
  <c r="J82" i="7" s="1"/>
  <c r="I82" i="7"/>
  <c r="S82" i="7" s="1"/>
  <c r="AF138" i="2" l="1"/>
  <c r="AG138" i="2"/>
  <c r="AI138" i="2" s="1"/>
  <c r="AH138" i="2" s="1"/>
  <c r="AE138" i="2" s="1"/>
  <c r="G83" i="7"/>
  <c r="H83" i="7"/>
  <c r="A83" i="7"/>
  <c r="L83" i="7"/>
  <c r="B83" i="7"/>
  <c r="D83" i="7" s="1"/>
  <c r="F83" i="7"/>
  <c r="AJ138" i="2" l="1"/>
  <c r="C83" i="7"/>
  <c r="J83" i="7" s="1"/>
  <c r="I83" i="7"/>
  <c r="S83" i="7" s="1"/>
  <c r="AF139" i="2" l="1"/>
  <c r="AG139" i="2"/>
  <c r="AI139" i="2" s="1"/>
  <c r="AH139" i="2" s="1"/>
  <c r="AE139" i="2" s="1"/>
  <c r="G84" i="7"/>
  <c r="H84" i="7"/>
  <c r="A84" i="7"/>
  <c r="B84" i="7"/>
  <c r="D84" i="7" s="1"/>
  <c r="F84" i="7"/>
  <c r="L84" i="7"/>
  <c r="AJ139" i="2" l="1"/>
  <c r="C84" i="7"/>
  <c r="J84" i="7" s="1"/>
  <c r="I84" i="7"/>
  <c r="S84" i="7" s="1"/>
  <c r="AG140" i="2" l="1"/>
  <c r="AI140" i="2" s="1"/>
  <c r="AH140" i="2" s="1"/>
  <c r="AE140" i="2" s="1"/>
  <c r="AF140" i="2"/>
  <c r="G85" i="7"/>
  <c r="H85" i="7"/>
  <c r="F85" i="7"/>
  <c r="B85" i="7"/>
  <c r="D85" i="7" s="1"/>
  <c r="L85" i="7"/>
  <c r="A85" i="7"/>
  <c r="AJ140" i="2" l="1"/>
  <c r="AF141" i="2" s="1"/>
  <c r="C85" i="7"/>
  <c r="J85" i="7" s="1"/>
  <c r="I85" i="7"/>
  <c r="S85" i="7" s="1"/>
  <c r="AG141" i="2" l="1"/>
  <c r="AI141" i="2" s="1"/>
  <c r="AH141" i="2" s="1"/>
  <c r="AE141" i="2" s="1"/>
  <c r="G86" i="7"/>
  <c r="H86" i="7"/>
  <c r="L86" i="7"/>
  <c r="B86" i="7"/>
  <c r="D86" i="7" s="1"/>
  <c r="A86" i="7"/>
  <c r="F86" i="7"/>
  <c r="AJ141" i="2" l="1"/>
  <c r="AG142" i="2" s="1"/>
  <c r="AI142" i="2" s="1"/>
  <c r="AH142" i="2" s="1"/>
  <c r="C86" i="7"/>
  <c r="J86" i="7" s="1"/>
  <c r="I86" i="7"/>
  <c r="S86" i="7" s="1"/>
  <c r="AF142" i="2" l="1"/>
  <c r="AE142" i="2"/>
  <c r="AJ142" i="2"/>
  <c r="G87" i="7"/>
  <c r="H87" i="7"/>
  <c r="B87" i="7"/>
  <c r="D87" i="7" s="1"/>
  <c r="A87" i="7"/>
  <c r="L87" i="7"/>
  <c r="F87" i="7"/>
  <c r="AG143" i="2" l="1"/>
  <c r="AI143" i="2" s="1"/>
  <c r="AH143" i="2" s="1"/>
  <c r="AF143" i="2"/>
  <c r="C87" i="7"/>
  <c r="J87" i="7" s="1"/>
  <c r="I87" i="7"/>
  <c r="S87" i="7" s="1"/>
  <c r="AE143" i="2" l="1"/>
  <c r="AJ143" i="2"/>
  <c r="G88" i="7"/>
  <c r="H88" i="7"/>
  <c r="F88" i="7"/>
  <c r="B88" i="7"/>
  <c r="D88" i="7" s="1"/>
  <c r="L88" i="7"/>
  <c r="A88" i="7"/>
  <c r="AG144" i="2" l="1"/>
  <c r="AI144" i="2" s="1"/>
  <c r="AH144" i="2" s="1"/>
  <c r="AE144" i="2" s="1"/>
  <c r="AF144" i="2"/>
  <c r="C88" i="7"/>
  <c r="J88" i="7" s="1"/>
  <c r="I88" i="7"/>
  <c r="S88" i="7" s="1"/>
  <c r="AJ144" i="2" l="1"/>
  <c r="G89" i="7"/>
  <c r="H89" i="7"/>
  <c r="B89" i="7"/>
  <c r="D89" i="7" s="1"/>
  <c r="A89" i="7"/>
  <c r="L89" i="7"/>
  <c r="F89" i="7"/>
  <c r="AG145" i="2" l="1"/>
  <c r="AI145" i="2" s="1"/>
  <c r="AH145" i="2" s="1"/>
  <c r="AF145" i="2"/>
  <c r="C89" i="7"/>
  <c r="J89" i="7" s="1"/>
  <c r="I89" i="7"/>
  <c r="S89" i="7" s="1"/>
  <c r="AE145" i="2" l="1"/>
  <c r="AJ145" i="2"/>
  <c r="G90" i="7"/>
  <c r="H90" i="7"/>
  <c r="F90" i="7"/>
  <c r="A90" i="7"/>
  <c r="B90" i="7"/>
  <c r="D90" i="7" s="1"/>
  <c r="L90" i="7"/>
  <c r="AF146" i="2" l="1"/>
  <c r="AG146" i="2"/>
  <c r="AI146" i="2" s="1"/>
  <c r="AH146" i="2" s="1"/>
  <c r="C90" i="7"/>
  <c r="J90" i="7" s="1"/>
  <c r="I90" i="7"/>
  <c r="S90" i="7" s="1"/>
  <c r="AE146" i="2" l="1"/>
  <c r="AJ146" i="2"/>
  <c r="G91" i="7"/>
  <c r="H91" i="7"/>
  <c r="A91" i="7"/>
  <c r="L91" i="7"/>
  <c r="F91" i="7"/>
  <c r="B91" i="7"/>
  <c r="D91" i="7" s="1"/>
  <c r="AG147" i="2" l="1"/>
  <c r="AI147" i="2" s="1"/>
  <c r="AH147" i="2" s="1"/>
  <c r="AE147" i="2" s="1"/>
  <c r="AF147" i="2"/>
  <c r="C91" i="7"/>
  <c r="J91" i="7" s="1"/>
  <c r="I91" i="7"/>
  <c r="S91" i="7" s="1"/>
  <c r="AJ147" i="2" l="1"/>
  <c r="G92" i="7"/>
  <c r="H92" i="7"/>
  <c r="B92" i="7"/>
  <c r="D92" i="7" s="1"/>
  <c r="F92" i="7"/>
  <c r="L92" i="7"/>
  <c r="A92" i="7"/>
  <c r="AF148" i="2" l="1"/>
  <c r="AG148" i="2"/>
  <c r="AI148" i="2" s="1"/>
  <c r="AH148" i="2" s="1"/>
  <c r="C92" i="7"/>
  <c r="J92" i="7" s="1"/>
  <c r="I92" i="7"/>
  <c r="S92" i="7" s="1"/>
  <c r="AE148" i="2" l="1"/>
  <c r="AJ148" i="2"/>
  <c r="G93" i="7"/>
  <c r="H93" i="7"/>
  <c r="B93" i="7"/>
  <c r="D93" i="7" s="1"/>
  <c r="A93" i="7"/>
  <c r="L93" i="7"/>
  <c r="F93" i="7"/>
  <c r="AG149" i="2" l="1"/>
  <c r="AI149" i="2" s="1"/>
  <c r="AH149" i="2" s="1"/>
  <c r="AE149" i="2" s="1"/>
  <c r="AF149" i="2"/>
  <c r="I93" i="7"/>
  <c r="S93" i="7" s="1"/>
  <c r="C93" i="7"/>
  <c r="J93" i="7" s="1"/>
  <c r="AJ149" i="2" l="1"/>
  <c r="G94" i="7"/>
  <c r="H94" i="7"/>
  <c r="L94" i="7"/>
  <c r="F94" i="7"/>
  <c r="B94" i="7"/>
  <c r="D94" i="7" s="1"/>
  <c r="A94" i="7"/>
  <c r="AG150" i="2" l="1"/>
  <c r="AI150" i="2" s="1"/>
  <c r="AH150" i="2" s="1"/>
  <c r="AE150" i="2" s="1"/>
  <c r="AF150" i="2"/>
  <c r="C94" i="7"/>
  <c r="J94" i="7" s="1"/>
  <c r="I94" i="7"/>
  <c r="S94" i="7" s="1"/>
  <c r="AJ150" i="2" l="1"/>
  <c r="G95" i="7"/>
  <c r="H95" i="7"/>
  <c r="B95" i="7"/>
  <c r="D95" i="7" s="1"/>
  <c r="L95" i="7"/>
  <c r="A95" i="7"/>
  <c r="F95" i="7"/>
  <c r="AF151" i="2" l="1"/>
  <c r="AG151" i="2"/>
  <c r="AI151" i="2" s="1"/>
  <c r="AH151" i="2" s="1"/>
  <c r="AE151" i="2" s="1"/>
  <c r="C95" i="7"/>
  <c r="J95" i="7" s="1"/>
  <c r="I95" i="7"/>
  <c r="S95" i="7" s="1"/>
  <c r="AJ151" i="2" l="1"/>
  <c r="G96" i="7"/>
  <c r="H96" i="7"/>
  <c r="F96" i="7"/>
  <c r="B96" i="7"/>
  <c r="D96" i="7" s="1"/>
  <c r="L96" i="7"/>
  <c r="A96" i="7"/>
  <c r="AF152" i="2" l="1"/>
  <c r="AG152" i="2"/>
  <c r="AI152" i="2" s="1"/>
  <c r="AH152" i="2" s="1"/>
  <c r="C96" i="7"/>
  <c r="J96" i="7" s="1"/>
  <c r="I96" i="7"/>
  <c r="S96" i="7" s="1"/>
  <c r="AE152" i="2" l="1"/>
  <c r="AJ152" i="2"/>
  <c r="G97" i="7"/>
  <c r="H97" i="7"/>
  <c r="L97" i="7"/>
  <c r="A97" i="7"/>
  <c r="F97" i="7"/>
  <c r="B97" i="7"/>
  <c r="D97" i="7" s="1"/>
  <c r="AF153" i="2" l="1"/>
  <c r="AG153" i="2"/>
  <c r="AI153" i="2" s="1"/>
  <c r="AH153" i="2" s="1"/>
  <c r="C97" i="7"/>
  <c r="J97" i="7" s="1"/>
  <c r="I97" i="7"/>
  <c r="S97" i="7" s="1"/>
  <c r="AE153" i="2" l="1"/>
  <c r="AJ153" i="2"/>
  <c r="G98" i="7"/>
  <c r="H98" i="7"/>
  <c r="L98" i="7"/>
  <c r="F98" i="7"/>
  <c r="B98" i="7"/>
  <c r="D98" i="7" s="1"/>
  <c r="A98" i="7"/>
  <c r="AF154" i="2" l="1"/>
  <c r="AG154" i="2"/>
  <c r="AI154" i="2" s="1"/>
  <c r="AH154" i="2" s="1"/>
  <c r="C98" i="7"/>
  <c r="J98" i="7" s="1"/>
  <c r="I98" i="7"/>
  <c r="S98" i="7" s="1"/>
  <c r="AE154" i="2" l="1"/>
  <c r="AJ154" i="2"/>
  <c r="G99" i="7"/>
  <c r="H99" i="7"/>
  <c r="A99" i="7"/>
  <c r="F99" i="7"/>
  <c r="B99" i="7"/>
  <c r="D99" i="7" s="1"/>
  <c r="L99" i="7"/>
  <c r="AG155" i="2" l="1"/>
  <c r="AI155" i="2" s="1"/>
  <c r="AH155" i="2" s="1"/>
  <c r="AF155" i="2"/>
  <c r="C99" i="7"/>
  <c r="J99" i="7" s="1"/>
  <c r="I99" i="7"/>
  <c r="S99" i="7" s="1"/>
  <c r="AE155" i="2" l="1"/>
  <c r="AJ155" i="2"/>
  <c r="G100" i="7"/>
  <c r="H100" i="7"/>
  <c r="A100" i="7"/>
  <c r="L100" i="7"/>
  <c r="B100" i="7"/>
  <c r="D100" i="7" s="1"/>
  <c r="F100" i="7"/>
  <c r="AF156" i="2" l="1"/>
  <c r="AG156" i="2"/>
  <c r="AI156" i="2" s="1"/>
  <c r="AH156" i="2" s="1"/>
  <c r="C100" i="7"/>
  <c r="J100" i="7" s="1"/>
  <c r="I100" i="7"/>
  <c r="S100" i="7" s="1"/>
  <c r="AE156" i="2" l="1"/>
  <c r="AJ156" i="2"/>
  <c r="G101" i="7"/>
  <c r="H101" i="7"/>
  <c r="F101" i="7"/>
  <c r="L101" i="7"/>
  <c r="A101" i="7"/>
  <c r="B101" i="7"/>
  <c r="D101" i="7" s="1"/>
  <c r="AG157" i="2" l="1"/>
  <c r="AI157" i="2" s="1"/>
  <c r="AH157" i="2" s="1"/>
  <c r="AF157" i="2"/>
  <c r="C101" i="7"/>
  <c r="J101" i="7" s="1"/>
  <c r="I101" i="7"/>
  <c r="S101" i="7" s="1"/>
  <c r="AE157" i="2" l="1"/>
  <c r="AJ157" i="2"/>
  <c r="G102" i="7"/>
  <c r="H102" i="7"/>
  <c r="F102" i="7"/>
  <c r="L102" i="7"/>
  <c r="B102" i="7"/>
  <c r="D102" i="7" s="1"/>
  <c r="A102" i="7"/>
  <c r="AF158" i="2" l="1"/>
  <c r="AG158" i="2"/>
  <c r="AI158" i="2" s="1"/>
  <c r="AH158" i="2" s="1"/>
  <c r="AE158" i="2" s="1"/>
  <c r="C102" i="7"/>
  <c r="J102" i="7" s="1"/>
  <c r="I102" i="7"/>
  <c r="S102" i="7" s="1"/>
  <c r="AJ158" i="2" l="1"/>
  <c r="G103" i="7"/>
  <c r="H103" i="7"/>
  <c r="F103" i="7"/>
  <c r="L103" i="7"/>
  <c r="A103" i="7"/>
  <c r="B103" i="7"/>
  <c r="D103" i="7" s="1"/>
  <c r="AG159" i="2" l="1"/>
  <c r="AI159" i="2" s="1"/>
  <c r="AH159" i="2" s="1"/>
  <c r="AE159" i="2" s="1"/>
  <c r="AF159" i="2"/>
  <c r="C103" i="7"/>
  <c r="J103" i="7" s="1"/>
  <c r="I103" i="7"/>
  <c r="S103" i="7" s="1"/>
  <c r="AJ159" i="2" l="1"/>
  <c r="AF160" i="2" s="1"/>
  <c r="G104" i="7"/>
  <c r="H104" i="7"/>
  <c r="B104" i="7"/>
  <c r="D104" i="7" s="1"/>
  <c r="A104" i="7"/>
  <c r="L104" i="7"/>
  <c r="F104" i="7"/>
  <c r="AG160" i="2" l="1"/>
  <c r="AI160" i="2" s="1"/>
  <c r="AH160" i="2" s="1"/>
  <c r="AE160" i="2" s="1"/>
  <c r="C104" i="7"/>
  <c r="J104" i="7" s="1"/>
  <c r="I104" i="7"/>
  <c r="S104" i="7" s="1"/>
  <c r="AJ160" i="2" l="1"/>
  <c r="AF161" i="2" s="1"/>
  <c r="G105" i="7"/>
  <c r="H105" i="7"/>
  <c r="A105" i="7"/>
  <c r="L105" i="7"/>
  <c r="B105" i="7"/>
  <c r="D105" i="7" s="1"/>
  <c r="F105" i="7"/>
  <c r="AG161" i="2" l="1"/>
  <c r="AI161" i="2" s="1"/>
  <c r="AH161" i="2" s="1"/>
  <c r="AE161" i="2" s="1"/>
  <c r="C105" i="7"/>
  <c r="J105" i="7" s="1"/>
  <c r="I105" i="7"/>
  <c r="S105" i="7" s="1"/>
  <c r="AJ161" i="2" l="1"/>
  <c r="AG162" i="2" s="1"/>
  <c r="AI162" i="2" s="1"/>
  <c r="AH162" i="2" s="1"/>
  <c r="G106" i="7"/>
  <c r="H106" i="7"/>
  <c r="L106" i="7"/>
  <c r="A106" i="7"/>
  <c r="F106" i="7"/>
  <c r="B106" i="7"/>
  <c r="D106" i="7" s="1"/>
  <c r="AF162" i="2" l="1"/>
  <c r="AE162" i="2"/>
  <c r="AJ162" i="2"/>
  <c r="C106" i="7"/>
  <c r="J106" i="7" s="1"/>
  <c r="I106" i="7"/>
  <c r="S106" i="7" s="1"/>
  <c r="AG163" i="2" l="1"/>
  <c r="AI163" i="2" s="1"/>
  <c r="AH163" i="2" s="1"/>
  <c r="AE163" i="2" s="1"/>
  <c r="AF163" i="2"/>
  <c r="G107" i="7"/>
  <c r="H107" i="7"/>
  <c r="A107" i="7"/>
  <c r="B107" i="7"/>
  <c r="D107" i="7" s="1"/>
  <c r="F107" i="7"/>
  <c r="L107" i="7"/>
  <c r="AJ163" i="2" l="1"/>
  <c r="C107" i="7"/>
  <c r="J107" i="7" s="1"/>
  <c r="I107" i="7"/>
  <c r="S107" i="7" s="1"/>
  <c r="AG164" i="2" l="1"/>
  <c r="AI164" i="2" s="1"/>
  <c r="AH164" i="2" s="1"/>
  <c r="AE164" i="2" s="1"/>
  <c r="AF164" i="2"/>
  <c r="G108" i="7"/>
  <c r="H108" i="7"/>
  <c r="F108" i="7"/>
  <c r="L108" i="7"/>
  <c r="A108" i="7"/>
  <c r="B108" i="7"/>
  <c r="D108" i="7" s="1"/>
  <c r="AJ164" i="2" l="1"/>
  <c r="I108" i="7"/>
  <c r="S108" i="7" s="1"/>
  <c r="C108" i="7"/>
  <c r="J108" i="7" s="1"/>
  <c r="AF165" i="2" l="1"/>
  <c r="AG165" i="2"/>
  <c r="AI165" i="2" s="1"/>
  <c r="AH165" i="2" s="1"/>
  <c r="AE165" i="2" s="1"/>
  <c r="G109" i="7"/>
  <c r="H109" i="7"/>
  <c r="F109" i="7"/>
  <c r="A109" i="7"/>
  <c r="L109" i="7"/>
  <c r="B109" i="7"/>
  <c r="D109" i="7" s="1"/>
  <c r="AJ165" i="2" l="1"/>
  <c r="C109" i="7"/>
  <c r="J109" i="7" s="1"/>
  <c r="I109" i="7"/>
  <c r="S109" i="7" s="1"/>
  <c r="AF166" i="2" l="1"/>
  <c r="AG166" i="2"/>
  <c r="AI166" i="2" s="1"/>
  <c r="AH166" i="2" s="1"/>
  <c r="AE166" i="2" s="1"/>
  <c r="G110" i="7"/>
  <c r="H110" i="7"/>
  <c r="B110" i="7"/>
  <c r="D110" i="7" s="1"/>
  <c r="L110" i="7"/>
  <c r="A110" i="7"/>
  <c r="F110" i="7"/>
  <c r="AJ166" i="2" l="1"/>
  <c r="I110" i="7"/>
  <c r="S110" i="7" s="1"/>
  <c r="C110" i="7"/>
  <c r="J110" i="7" s="1"/>
  <c r="AG167" i="2" l="1"/>
  <c r="AI167" i="2" s="1"/>
  <c r="AH167" i="2" s="1"/>
  <c r="AE167" i="2" s="1"/>
  <c r="AF167" i="2"/>
  <c r="G111" i="7"/>
  <c r="H111" i="7"/>
  <c r="L111" i="7"/>
  <c r="B111" i="7"/>
  <c r="D111" i="7" s="1"/>
  <c r="A111" i="7"/>
  <c r="F111" i="7"/>
  <c r="AJ167" i="2" l="1"/>
  <c r="AF168" i="2" s="1"/>
  <c r="I111" i="7"/>
  <c r="S111" i="7" s="1"/>
  <c r="C111" i="7"/>
  <c r="J111" i="7" s="1"/>
  <c r="AG168" i="2" l="1"/>
  <c r="AI168" i="2" s="1"/>
  <c r="AH168" i="2" s="1"/>
  <c r="AE168" i="2" s="1"/>
  <c r="G112" i="7"/>
  <c r="H112" i="7"/>
  <c r="L112" i="7"/>
  <c r="A112" i="7"/>
  <c r="F112" i="7"/>
  <c r="B112" i="7"/>
  <c r="D112" i="7" s="1"/>
  <c r="AJ168" i="2" l="1"/>
  <c r="AG169" i="2" s="1"/>
  <c r="AI169" i="2" s="1"/>
  <c r="AH169" i="2" s="1"/>
  <c r="AE169" i="2" s="1"/>
  <c r="C112" i="7"/>
  <c r="J112" i="7" s="1"/>
  <c r="I112" i="7"/>
  <c r="S112" i="7" s="1"/>
  <c r="AF169" i="2" l="1"/>
  <c r="AJ169" i="2"/>
  <c r="G113" i="7"/>
  <c r="H113" i="7"/>
  <c r="F113" i="7"/>
  <c r="L113" i="7"/>
  <c r="A113" i="7"/>
  <c r="B113" i="7"/>
  <c r="D113" i="7" s="1"/>
  <c r="AF170" i="2" l="1"/>
  <c r="AG170" i="2"/>
  <c r="AI170" i="2" s="1"/>
  <c r="AH170" i="2" s="1"/>
  <c r="C113" i="7"/>
  <c r="J113" i="7" s="1"/>
  <c r="I113" i="7"/>
  <c r="S113" i="7" s="1"/>
  <c r="AE170" i="2" l="1"/>
  <c r="AJ170" i="2"/>
  <c r="G114" i="7"/>
  <c r="H114" i="7"/>
  <c r="L114" i="7"/>
  <c r="A114" i="7"/>
  <c r="B114" i="7"/>
  <c r="D114" i="7" s="1"/>
  <c r="F114" i="7"/>
  <c r="AG171" i="2" l="1"/>
  <c r="AI171" i="2" s="1"/>
  <c r="AH171" i="2" s="1"/>
  <c r="AE171" i="2" s="1"/>
  <c r="AF171" i="2"/>
  <c r="C114" i="7"/>
  <c r="J114" i="7" s="1"/>
  <c r="I114" i="7"/>
  <c r="S114" i="7" s="1"/>
  <c r="AJ171" i="2" l="1"/>
  <c r="G115" i="7"/>
  <c r="H115" i="7"/>
  <c r="B115" i="7"/>
  <c r="D115" i="7" s="1"/>
  <c r="F115" i="7"/>
  <c r="L115" i="7"/>
  <c r="A115" i="7"/>
  <c r="AF172" i="2" l="1"/>
  <c r="AG172" i="2"/>
  <c r="AI172" i="2" s="1"/>
  <c r="AH172" i="2" s="1"/>
  <c r="I115" i="7"/>
  <c r="S115" i="7" s="1"/>
  <c r="C115" i="7"/>
  <c r="J115" i="7" s="1"/>
  <c r="AE172" i="2" l="1"/>
  <c r="AJ172" i="2"/>
  <c r="G116" i="7"/>
  <c r="H116" i="7"/>
  <c r="F116" i="7"/>
  <c r="B116" i="7"/>
  <c r="D116" i="7" s="1"/>
  <c r="A116" i="7"/>
  <c r="L116" i="7"/>
  <c r="AF173" i="2" l="1"/>
  <c r="AG173" i="2"/>
  <c r="AI173" i="2" s="1"/>
  <c r="AH173" i="2" s="1"/>
  <c r="AE173" i="2" s="1"/>
  <c r="I116" i="7"/>
  <c r="S116" i="7" s="1"/>
  <c r="C116" i="7"/>
  <c r="J116" i="7" s="1"/>
  <c r="AJ173" i="2" l="1"/>
  <c r="G117" i="7"/>
  <c r="H117" i="7"/>
  <c r="B117" i="7"/>
  <c r="D117" i="7" s="1"/>
  <c r="F117" i="7"/>
  <c r="L117" i="7"/>
  <c r="A117" i="7"/>
  <c r="AF174" i="2" l="1"/>
  <c r="AG174" i="2"/>
  <c r="AI174" i="2" s="1"/>
  <c r="AH174" i="2" s="1"/>
  <c r="AE174" i="2" s="1"/>
  <c r="C117" i="7"/>
  <c r="J117" i="7" s="1"/>
  <c r="I117" i="7"/>
  <c r="S117" i="7" s="1"/>
  <c r="AJ174" i="2" l="1"/>
  <c r="G118" i="7"/>
  <c r="H118" i="7"/>
  <c r="F118" i="7"/>
  <c r="A118" i="7"/>
  <c r="L118" i="7"/>
  <c r="B118" i="7"/>
  <c r="D118" i="7" s="1"/>
  <c r="AF175" i="2" l="1"/>
  <c r="AG175" i="2"/>
  <c r="AI175" i="2" s="1"/>
  <c r="AH175" i="2" s="1"/>
  <c r="C118" i="7"/>
  <c r="J118" i="7" s="1"/>
  <c r="I118" i="7"/>
  <c r="S118" i="7" s="1"/>
  <c r="AE175" i="2" l="1"/>
  <c r="AJ175" i="2"/>
  <c r="G119" i="7"/>
  <c r="H119" i="7"/>
  <c r="L119" i="7"/>
  <c r="F119" i="7"/>
  <c r="A119" i="7"/>
  <c r="B119" i="7"/>
  <c r="D119" i="7" s="1"/>
  <c r="AF176" i="2" l="1"/>
  <c r="AG176" i="2"/>
  <c r="AI176" i="2" s="1"/>
  <c r="AH176" i="2" s="1"/>
  <c r="C119" i="7"/>
  <c r="J119" i="7" s="1"/>
  <c r="I119" i="7"/>
  <c r="S119" i="7" s="1"/>
  <c r="AE176" i="2" l="1"/>
  <c r="AJ176" i="2"/>
  <c r="G120" i="7"/>
  <c r="H120" i="7"/>
  <c r="L120" i="7"/>
  <c r="F120" i="7"/>
  <c r="A120" i="7"/>
  <c r="B120" i="7"/>
  <c r="D120" i="7" s="1"/>
  <c r="AG177" i="2" l="1"/>
  <c r="AI177" i="2" s="1"/>
  <c r="AH177" i="2" s="1"/>
  <c r="AE177" i="2" s="1"/>
  <c r="AF177" i="2"/>
  <c r="C120" i="7"/>
  <c r="J120" i="7" s="1"/>
  <c r="I120" i="7"/>
  <c r="S120" i="7" s="1"/>
  <c r="AJ177" i="2" l="1"/>
  <c r="G121" i="7"/>
  <c r="H121" i="7"/>
  <c r="F121" i="7"/>
  <c r="B121" i="7"/>
  <c r="D121" i="7" s="1"/>
  <c r="L121" i="7"/>
  <c r="A121" i="7"/>
  <c r="AF178" i="2" l="1"/>
  <c r="AG178" i="2"/>
  <c r="AI178" i="2" s="1"/>
  <c r="AH178" i="2" s="1"/>
  <c r="AE178" i="2" s="1"/>
  <c r="C121" i="7"/>
  <c r="J121" i="7" s="1"/>
  <c r="I121" i="7"/>
  <c r="S121" i="7" s="1"/>
  <c r="AJ178" i="2" l="1"/>
  <c r="G122" i="7"/>
  <c r="H122" i="7"/>
  <c r="B122" i="7"/>
  <c r="D122" i="7" s="1"/>
  <c r="L122" i="7"/>
  <c r="A122" i="7"/>
  <c r="F122" i="7"/>
  <c r="AG179" i="2" l="1"/>
  <c r="AI179" i="2" s="1"/>
  <c r="AH179" i="2" s="1"/>
  <c r="AE179" i="2" s="1"/>
  <c r="AF179" i="2"/>
  <c r="C122" i="7"/>
  <c r="J122" i="7" s="1"/>
  <c r="I122" i="7"/>
  <c r="S122" i="7" s="1"/>
  <c r="AJ179" i="2" l="1"/>
  <c r="G123" i="7"/>
  <c r="H123" i="7"/>
  <c r="A123" i="7"/>
  <c r="B123" i="7"/>
  <c r="D123" i="7" s="1"/>
  <c r="F123" i="7"/>
  <c r="L123" i="7"/>
  <c r="AF180" i="2" l="1"/>
  <c r="AG180" i="2"/>
  <c r="AI180" i="2" s="1"/>
  <c r="AH180" i="2" s="1"/>
  <c r="AE180" i="2" s="1"/>
  <c r="C123" i="7"/>
  <c r="J123" i="7" s="1"/>
  <c r="I123" i="7"/>
  <c r="S123" i="7" s="1"/>
  <c r="AJ180" i="2" l="1"/>
  <c r="AG181" i="2" s="1"/>
  <c r="AI181" i="2" s="1"/>
  <c r="AH181" i="2" s="1"/>
  <c r="AE181" i="2" s="1"/>
  <c r="G124" i="7"/>
  <c r="H124" i="7"/>
  <c r="F124" i="7"/>
  <c r="A124" i="7"/>
  <c r="B124" i="7"/>
  <c r="D124" i="7" s="1"/>
  <c r="L124" i="7"/>
  <c r="AF181" i="2" l="1"/>
  <c r="AJ181" i="2"/>
  <c r="I124" i="7"/>
  <c r="S124" i="7" s="1"/>
  <c r="C124" i="7"/>
  <c r="J124" i="7" s="1"/>
  <c r="AG182" i="2" l="1"/>
  <c r="AI182" i="2" s="1"/>
  <c r="AH182" i="2" s="1"/>
  <c r="AF182" i="2"/>
  <c r="G125" i="7"/>
  <c r="H125" i="7"/>
  <c r="F125" i="7"/>
  <c r="B125" i="7"/>
  <c r="D125" i="7" s="1"/>
  <c r="A125" i="7"/>
  <c r="L125" i="7"/>
  <c r="AE182" i="2" l="1"/>
  <c r="AJ182" i="2"/>
  <c r="C125" i="7"/>
  <c r="J125" i="7" s="1"/>
  <c r="I125" i="7"/>
  <c r="S125" i="7" s="1"/>
  <c r="AG183" i="2" l="1"/>
  <c r="AI183" i="2" s="1"/>
  <c r="AH183" i="2" s="1"/>
  <c r="AF183" i="2"/>
  <c r="G126" i="7"/>
  <c r="H126" i="7"/>
  <c r="A126" i="7"/>
  <c r="B126" i="7"/>
  <c r="D126" i="7" s="1"/>
  <c r="F126" i="7"/>
  <c r="L126" i="7"/>
  <c r="AE183" i="2" l="1"/>
  <c r="AJ183" i="2"/>
  <c r="C126" i="7"/>
  <c r="J126" i="7" s="1"/>
  <c r="I126" i="7"/>
  <c r="S126" i="7" s="1"/>
  <c r="AG184" i="2" l="1"/>
  <c r="AI184" i="2" s="1"/>
  <c r="AH184" i="2" s="1"/>
  <c r="AE184" i="2" s="1"/>
  <c r="AF184" i="2"/>
  <c r="G127" i="7"/>
  <c r="H127" i="7"/>
  <c r="L127" i="7"/>
  <c r="A127" i="7"/>
  <c r="F127" i="7"/>
  <c r="B127" i="7"/>
  <c r="D127" i="7" s="1"/>
  <c r="AJ184" i="2" l="1"/>
  <c r="AF185" i="2" s="1"/>
  <c r="C127" i="7"/>
  <c r="J127" i="7" s="1"/>
  <c r="I127" i="7"/>
  <c r="S127" i="7" s="1"/>
  <c r="AG185" i="2" l="1"/>
  <c r="AI185" i="2" s="1"/>
  <c r="AH185" i="2" s="1"/>
  <c r="AE185" i="2" s="1"/>
  <c r="G128" i="7"/>
  <c r="H128" i="7"/>
  <c r="F128" i="7"/>
  <c r="L128" i="7"/>
  <c r="B128" i="7"/>
  <c r="D128" i="7" s="1"/>
  <c r="A128" i="7"/>
  <c r="AJ185" i="2" l="1"/>
  <c r="AG186" i="2" s="1"/>
  <c r="AI186" i="2" s="1"/>
  <c r="AH186" i="2" s="1"/>
  <c r="C128" i="7"/>
  <c r="J128" i="7" s="1"/>
  <c r="I128" i="7"/>
  <c r="S128" i="7" s="1"/>
  <c r="AF186" i="2" l="1"/>
  <c r="AE186" i="2"/>
  <c r="AJ186" i="2"/>
  <c r="G129" i="7"/>
  <c r="H129" i="7"/>
  <c r="A129" i="7"/>
  <c r="F129" i="7"/>
  <c r="B129" i="7"/>
  <c r="D129" i="7" s="1"/>
  <c r="L129" i="7"/>
  <c r="AF187" i="2" l="1"/>
  <c r="AG187" i="2"/>
  <c r="AI187" i="2" s="1"/>
  <c r="AH187" i="2" s="1"/>
  <c r="C129" i="7"/>
  <c r="J129" i="7" s="1"/>
  <c r="I129" i="7"/>
  <c r="S129" i="7" s="1"/>
  <c r="AE187" i="2" l="1"/>
  <c r="AJ187" i="2"/>
  <c r="G130" i="7"/>
  <c r="H130" i="7"/>
  <c r="B130" i="7"/>
  <c r="D130" i="7" s="1"/>
  <c r="F130" i="7"/>
  <c r="A130" i="7"/>
  <c r="L130" i="7"/>
  <c r="AG188" i="2" l="1"/>
  <c r="AI188" i="2" s="1"/>
  <c r="AH188" i="2" s="1"/>
  <c r="AE188" i="2" s="1"/>
  <c r="AF188" i="2"/>
  <c r="C130" i="7"/>
  <c r="J130" i="7" s="1"/>
  <c r="I130" i="7"/>
  <c r="S130" i="7" s="1"/>
  <c r="AJ188" i="2" l="1"/>
  <c r="G131" i="7"/>
  <c r="H131" i="7"/>
  <c r="F131" i="7"/>
  <c r="A131" i="7"/>
  <c r="B131" i="7"/>
  <c r="D131" i="7" s="1"/>
  <c r="L131" i="7"/>
  <c r="AG189" i="2" l="1"/>
  <c r="AI189" i="2" s="1"/>
  <c r="AH189" i="2" s="1"/>
  <c r="AF189" i="2"/>
  <c r="C131" i="7"/>
  <c r="J131" i="7" s="1"/>
  <c r="I131" i="7"/>
  <c r="S131" i="7" s="1"/>
  <c r="AJ189" i="2" l="1"/>
  <c r="AE189" i="2"/>
  <c r="G132" i="7"/>
  <c r="H132" i="7"/>
  <c r="A132" i="7"/>
  <c r="B132" i="7"/>
  <c r="D132" i="7" s="1"/>
  <c r="F132" i="7"/>
  <c r="L132" i="7"/>
  <c r="AG190" i="2" l="1"/>
  <c r="AI190" i="2" s="1"/>
  <c r="AH190" i="2" s="1"/>
  <c r="AF190" i="2"/>
  <c r="C132" i="7"/>
  <c r="J132" i="7" s="1"/>
  <c r="I132" i="7"/>
  <c r="S132" i="7" s="1"/>
  <c r="AE190" i="2" l="1"/>
  <c r="AJ190" i="2"/>
  <c r="G133" i="7"/>
  <c r="H133" i="7"/>
  <c r="F133" i="7"/>
  <c r="L133" i="7"/>
  <c r="A133" i="7"/>
  <c r="B133" i="7"/>
  <c r="D133" i="7" s="1"/>
  <c r="AF191" i="2" l="1"/>
  <c r="AG191" i="2"/>
  <c r="AI191" i="2" s="1"/>
  <c r="AH191" i="2" s="1"/>
  <c r="C133" i="7"/>
  <c r="J133" i="7" s="1"/>
  <c r="I133" i="7"/>
  <c r="S133" i="7" s="1"/>
  <c r="AE191" i="2" l="1"/>
  <c r="AJ191" i="2"/>
  <c r="G134" i="7"/>
  <c r="H134" i="7"/>
  <c r="F134" i="7"/>
  <c r="L134" i="7"/>
  <c r="B134" i="7"/>
  <c r="D134" i="7" s="1"/>
  <c r="A134" i="7"/>
  <c r="AG192" i="2" l="1"/>
  <c r="AI192" i="2" s="1"/>
  <c r="AH192" i="2" s="1"/>
  <c r="AF192" i="2"/>
  <c r="C134" i="7"/>
  <c r="J134" i="7" s="1"/>
  <c r="I134" i="7"/>
  <c r="S134" i="7" s="1"/>
  <c r="AE192" i="2" l="1"/>
  <c r="AJ192" i="2"/>
  <c r="G135" i="7"/>
  <c r="H135" i="7"/>
  <c r="A135" i="7"/>
  <c r="B135" i="7"/>
  <c r="D135" i="7" s="1"/>
  <c r="F135" i="7"/>
  <c r="L135" i="7"/>
  <c r="AG193" i="2" l="1"/>
  <c r="AI193" i="2" s="1"/>
  <c r="AH193" i="2" s="1"/>
  <c r="AF193" i="2"/>
  <c r="C135" i="7"/>
  <c r="J135" i="7" s="1"/>
  <c r="I135" i="7"/>
  <c r="S135" i="7" s="1"/>
  <c r="AE193" i="2" l="1"/>
  <c r="AJ193" i="2"/>
  <c r="G136" i="7"/>
  <c r="H136" i="7"/>
  <c r="A136" i="7"/>
  <c r="F136" i="7"/>
  <c r="L136" i="7"/>
  <c r="B136" i="7"/>
  <c r="D136" i="7" s="1"/>
  <c r="AF194" i="2" l="1"/>
  <c r="AG194" i="2"/>
  <c r="AI194" i="2" s="1"/>
  <c r="AH194" i="2" s="1"/>
  <c r="AE194" i="2" s="1"/>
  <c r="C136" i="7"/>
  <c r="J136" i="7" s="1"/>
  <c r="I136" i="7"/>
  <c r="S136" i="7" s="1"/>
  <c r="AJ194" i="2" l="1"/>
  <c r="G137" i="7"/>
  <c r="H137" i="7"/>
  <c r="A137" i="7"/>
  <c r="F137" i="7"/>
  <c r="B137" i="7"/>
  <c r="D137" i="7" s="1"/>
  <c r="L137" i="7"/>
  <c r="AF195" i="2" l="1"/>
  <c r="AG195" i="2"/>
  <c r="AI195" i="2" s="1"/>
  <c r="AH195" i="2" s="1"/>
  <c r="C137" i="7"/>
  <c r="J137" i="7" s="1"/>
  <c r="I137" i="7"/>
  <c r="S137" i="7" s="1"/>
  <c r="AE195" i="2" l="1"/>
  <c r="AJ195" i="2"/>
  <c r="G138" i="7"/>
  <c r="H138" i="7"/>
  <c r="A138" i="7"/>
  <c r="F138" i="7"/>
  <c r="L138" i="7"/>
  <c r="B138" i="7"/>
  <c r="D138" i="7" s="1"/>
  <c r="AF196" i="2" l="1"/>
  <c r="AG196" i="2"/>
  <c r="AI196" i="2" s="1"/>
  <c r="AH196" i="2" s="1"/>
  <c r="C138" i="7"/>
  <c r="J138" i="7" s="1"/>
  <c r="I138" i="7"/>
  <c r="S138" i="7" s="1"/>
  <c r="AE196" i="2" l="1"/>
  <c r="AJ196" i="2"/>
  <c r="G139" i="7"/>
  <c r="H139" i="7"/>
  <c r="A139" i="7"/>
  <c r="B139" i="7"/>
  <c r="D139" i="7" s="1"/>
  <c r="F139" i="7"/>
  <c r="L139" i="7"/>
  <c r="AF197" i="2" l="1"/>
  <c r="AG197" i="2"/>
  <c r="AI197" i="2" s="1"/>
  <c r="AH197" i="2" s="1"/>
  <c r="I139" i="7"/>
  <c r="S139" i="7" s="1"/>
  <c r="C139" i="7"/>
  <c r="J139" i="7" s="1"/>
  <c r="AE197" i="2" l="1"/>
  <c r="AJ197" i="2"/>
  <c r="G140" i="7"/>
  <c r="H140" i="7"/>
  <c r="B140" i="7"/>
  <c r="D140" i="7" s="1"/>
  <c r="L140" i="7"/>
  <c r="A140" i="7"/>
  <c r="F140" i="7"/>
  <c r="AF198" i="2" l="1"/>
  <c r="AG198" i="2"/>
  <c r="AI198" i="2" s="1"/>
  <c r="AH198" i="2" s="1"/>
  <c r="AE198" i="2" s="1"/>
  <c r="I140" i="7"/>
  <c r="S140" i="7" s="1"/>
  <c r="C140" i="7"/>
  <c r="J140" i="7" s="1"/>
  <c r="AJ198" i="2" l="1"/>
  <c r="G141" i="7"/>
  <c r="H141" i="7"/>
  <c r="A141" i="7"/>
  <c r="F141" i="7"/>
  <c r="L141" i="7"/>
  <c r="B141" i="7"/>
  <c r="D141" i="7" s="1"/>
  <c r="AF199" i="2" l="1"/>
  <c r="AG199" i="2"/>
  <c r="AI199" i="2" s="1"/>
  <c r="AH199" i="2" s="1"/>
  <c r="C141" i="7"/>
  <c r="J141" i="7" s="1"/>
  <c r="I141" i="7"/>
  <c r="S141" i="7" s="1"/>
  <c r="AE199" i="2" l="1"/>
  <c r="AJ199" i="2"/>
  <c r="G142" i="7"/>
  <c r="H142" i="7"/>
  <c r="L142" i="7"/>
  <c r="B142" i="7"/>
  <c r="D142" i="7" s="1"/>
  <c r="A142" i="7"/>
  <c r="F142" i="7"/>
  <c r="AG200" i="2" l="1"/>
  <c r="AI200" i="2" s="1"/>
  <c r="AH200" i="2" s="1"/>
  <c r="AE200" i="2" s="1"/>
  <c r="AF200" i="2"/>
  <c r="C142" i="7"/>
  <c r="J142" i="7" s="1"/>
  <c r="I142" i="7"/>
  <c r="S142" i="7" s="1"/>
  <c r="AJ200" i="2" l="1"/>
  <c r="G143" i="7"/>
  <c r="H143" i="7"/>
  <c r="A143" i="7"/>
  <c r="L143" i="7"/>
  <c r="B143" i="7"/>
  <c r="D143" i="7" s="1"/>
  <c r="F143" i="7"/>
  <c r="AG201" i="2" l="1"/>
  <c r="AI201" i="2" s="1"/>
  <c r="AH201" i="2" s="1"/>
  <c r="AF201" i="2"/>
  <c r="C143" i="7"/>
  <c r="J143" i="7" s="1"/>
  <c r="I143" i="7"/>
  <c r="S143" i="7" s="1"/>
  <c r="AE201" i="2" l="1"/>
  <c r="AJ201" i="2"/>
  <c r="G144" i="7"/>
  <c r="H144" i="7"/>
  <c r="A144" i="7"/>
  <c r="B144" i="7"/>
  <c r="D144" i="7" s="1"/>
  <c r="L144" i="7"/>
  <c r="F144" i="7"/>
  <c r="AF202" i="2" l="1"/>
  <c r="AG202" i="2"/>
  <c r="AI202" i="2" s="1"/>
  <c r="AH202" i="2" s="1"/>
  <c r="AE202" i="2" s="1"/>
  <c r="C144" i="7"/>
  <c r="J144" i="7" s="1"/>
  <c r="I144" i="7"/>
  <c r="S144" i="7" s="1"/>
  <c r="AJ202" i="2" l="1"/>
  <c r="G145" i="7"/>
  <c r="H145" i="7"/>
  <c r="A145" i="7"/>
  <c r="L145" i="7"/>
  <c r="B145" i="7"/>
  <c r="D145" i="7" s="1"/>
  <c r="F145" i="7"/>
  <c r="AF203" i="2" l="1"/>
  <c r="AG203" i="2"/>
  <c r="AI203" i="2" s="1"/>
  <c r="AH203" i="2" s="1"/>
  <c r="AE203" i="2" s="1"/>
  <c r="C145" i="7"/>
  <c r="J145" i="7" s="1"/>
  <c r="I145" i="7"/>
  <c r="S145" i="7" s="1"/>
  <c r="AJ203" i="2" l="1"/>
  <c r="G146" i="7"/>
  <c r="H146" i="7"/>
  <c r="L146" i="7"/>
  <c r="B146" i="7"/>
  <c r="D146" i="7" s="1"/>
  <c r="A146" i="7"/>
  <c r="F146" i="7"/>
  <c r="AF204" i="2" l="1"/>
  <c r="AG204" i="2"/>
  <c r="AI204" i="2" s="1"/>
  <c r="AH204" i="2" s="1"/>
  <c r="AE204" i="2" s="1"/>
  <c r="C146" i="7"/>
  <c r="J146" i="7" s="1"/>
  <c r="I146" i="7"/>
  <c r="S146" i="7" s="1"/>
  <c r="AJ204" i="2" l="1"/>
  <c r="G147" i="7"/>
  <c r="H147" i="7"/>
  <c r="F147" i="7"/>
  <c r="L147" i="7"/>
  <c r="B147" i="7"/>
  <c r="D147" i="7" s="1"/>
  <c r="A147" i="7"/>
  <c r="AF205" i="2" l="1"/>
  <c r="AG205" i="2"/>
  <c r="AI205" i="2" s="1"/>
  <c r="AH205" i="2" s="1"/>
  <c r="AE205" i="2" s="1"/>
  <c r="C147" i="7"/>
  <c r="J147" i="7" s="1"/>
  <c r="I147" i="7"/>
  <c r="S147" i="7" s="1"/>
  <c r="AJ205" i="2" l="1"/>
  <c r="G148" i="7"/>
  <c r="H148" i="7"/>
  <c r="F148" i="7"/>
  <c r="B148" i="7"/>
  <c r="D148" i="7" s="1"/>
  <c r="L148" i="7"/>
  <c r="A148" i="7"/>
  <c r="AG206" i="2" l="1"/>
  <c r="AI206" i="2" s="1"/>
  <c r="AH206" i="2" s="1"/>
  <c r="AE206" i="2" s="1"/>
  <c r="AF206" i="2"/>
  <c r="I148" i="7"/>
  <c r="S148" i="7" s="1"/>
  <c r="C148" i="7"/>
  <c r="J148" i="7" s="1"/>
  <c r="AJ206" i="2" l="1"/>
  <c r="AF207" i="2" s="1"/>
  <c r="G149" i="7"/>
  <c r="H149" i="7"/>
  <c r="A149" i="7"/>
  <c r="F149" i="7"/>
  <c r="B149" i="7"/>
  <c r="D149" i="7" s="1"/>
  <c r="L149" i="7"/>
  <c r="AG207" i="2" l="1"/>
  <c r="AI207" i="2" s="1"/>
  <c r="AH207" i="2" s="1"/>
  <c r="AE207" i="2" s="1"/>
  <c r="I149" i="7"/>
  <c r="S149" i="7" s="1"/>
  <c r="C149" i="7"/>
  <c r="J149" i="7" s="1"/>
  <c r="AJ207" i="2" l="1"/>
  <c r="AF208" i="2" s="1"/>
  <c r="G150" i="7"/>
  <c r="H150" i="7"/>
  <c r="F150" i="7"/>
  <c r="B150" i="7"/>
  <c r="D150" i="7" s="1"/>
  <c r="A150" i="7"/>
  <c r="L150" i="7"/>
  <c r="AG208" i="2" l="1"/>
  <c r="AI208" i="2" s="1"/>
  <c r="AH208" i="2" s="1"/>
  <c r="AE208" i="2" s="1"/>
  <c r="C150" i="7"/>
  <c r="J150" i="7" s="1"/>
  <c r="I150" i="7"/>
  <c r="S150" i="7" s="1"/>
  <c r="AJ208" i="2" l="1"/>
  <c r="AF209" i="2" s="1"/>
  <c r="G151" i="7"/>
  <c r="H151" i="7"/>
  <c r="L151" i="7"/>
  <c r="A151" i="7"/>
  <c r="B151" i="7"/>
  <c r="D151" i="7" s="1"/>
  <c r="F151" i="7"/>
  <c r="AG209" i="2" l="1"/>
  <c r="AI209" i="2" s="1"/>
  <c r="AH209" i="2" s="1"/>
  <c r="AE209" i="2" s="1"/>
  <c r="C151" i="7"/>
  <c r="J151" i="7" s="1"/>
  <c r="I151" i="7"/>
  <c r="S151" i="7" s="1"/>
  <c r="AJ209" i="2" l="1"/>
  <c r="AF210" i="2" s="1"/>
  <c r="G152" i="7"/>
  <c r="H152" i="7"/>
  <c r="F152" i="7"/>
  <c r="B152" i="7"/>
  <c r="D152" i="7" s="1"/>
  <c r="A152" i="7"/>
  <c r="L152" i="7"/>
  <c r="AG210" i="2" l="1"/>
  <c r="AI210" i="2" s="1"/>
  <c r="AH210" i="2" s="1"/>
  <c r="AE210" i="2" s="1"/>
  <c r="I152" i="7"/>
  <c r="S152" i="7" s="1"/>
  <c r="C152" i="7"/>
  <c r="J152" i="7" s="1"/>
  <c r="AJ210" i="2" l="1"/>
  <c r="AF211" i="2" s="1"/>
  <c r="G153" i="7"/>
  <c r="H153" i="7"/>
  <c r="F153" i="7"/>
  <c r="L153" i="7"/>
  <c r="B153" i="7"/>
  <c r="D153" i="7" s="1"/>
  <c r="A153" i="7"/>
  <c r="AG211" i="2" l="1"/>
  <c r="AI211" i="2" s="1"/>
  <c r="AH211" i="2" s="1"/>
  <c r="AE211" i="2" s="1"/>
  <c r="C153" i="7"/>
  <c r="J153" i="7" s="1"/>
  <c r="I153" i="7"/>
  <c r="S153" i="7" s="1"/>
  <c r="AJ211" i="2" l="1"/>
  <c r="AG212" i="2" s="1"/>
  <c r="AI212" i="2" s="1"/>
  <c r="AH212" i="2" s="1"/>
  <c r="AE212" i="2" s="1"/>
  <c r="G154" i="7"/>
  <c r="H154" i="7"/>
  <c r="B154" i="7"/>
  <c r="D154" i="7" s="1"/>
  <c r="L154" i="7"/>
  <c r="A154" i="7"/>
  <c r="F154" i="7"/>
  <c r="AF212" i="2" l="1"/>
  <c r="AJ212" i="2"/>
  <c r="C154" i="7"/>
  <c r="J154" i="7" s="1"/>
  <c r="I154" i="7"/>
  <c r="S154" i="7" s="1"/>
  <c r="AG213" i="2" l="1"/>
  <c r="AI213" i="2" s="1"/>
  <c r="AH213" i="2" s="1"/>
  <c r="AE213" i="2" s="1"/>
  <c r="AF213" i="2"/>
  <c r="G155" i="7"/>
  <c r="H155" i="7"/>
  <c r="L155" i="7"/>
  <c r="A155" i="7"/>
  <c r="F155" i="7"/>
  <c r="B155" i="7"/>
  <c r="D155" i="7" s="1"/>
  <c r="AJ213" i="2" l="1"/>
  <c r="C155" i="7"/>
  <c r="J155" i="7" s="1"/>
  <c r="I155" i="7"/>
  <c r="S155" i="7" s="1"/>
  <c r="AF214" i="2" l="1"/>
  <c r="AG214" i="2"/>
  <c r="AI214" i="2" s="1"/>
  <c r="AH214" i="2" s="1"/>
  <c r="AE214" i="2" s="1"/>
  <c r="G156" i="7"/>
  <c r="H156" i="7"/>
  <c r="F156" i="7"/>
  <c r="A156" i="7"/>
  <c r="B156" i="7"/>
  <c r="D156" i="7" s="1"/>
  <c r="L156" i="7"/>
  <c r="AJ214" i="2" l="1"/>
  <c r="I156" i="7"/>
  <c r="S156" i="7" s="1"/>
  <c r="C156" i="7"/>
  <c r="J156" i="7" s="1"/>
  <c r="AF215" i="2" l="1"/>
  <c r="AG215" i="2"/>
  <c r="AI215" i="2" s="1"/>
  <c r="AH215" i="2" s="1"/>
  <c r="AE215" i="2" s="1"/>
  <c r="G157" i="7"/>
  <c r="H157" i="7"/>
  <c r="F157" i="7"/>
  <c r="B157" i="7"/>
  <c r="D157" i="7" s="1"/>
  <c r="A157" i="7"/>
  <c r="L157" i="7"/>
  <c r="AJ215" i="2" l="1"/>
  <c r="I157" i="7"/>
  <c r="S157" i="7" s="1"/>
  <c r="C157" i="7"/>
  <c r="J157" i="7" s="1"/>
  <c r="AF216" i="2" l="1"/>
  <c r="AG216" i="2"/>
  <c r="AI216" i="2" s="1"/>
  <c r="AH216" i="2" s="1"/>
  <c r="AE216" i="2" s="1"/>
  <c r="G158" i="7"/>
  <c r="H158" i="7"/>
  <c r="L158" i="7"/>
  <c r="A158" i="7"/>
  <c r="F158" i="7"/>
  <c r="B158" i="7"/>
  <c r="D158" i="7" s="1"/>
  <c r="AJ216" i="2" l="1"/>
  <c r="C158" i="7"/>
  <c r="J158" i="7" s="1"/>
  <c r="I158" i="7"/>
  <c r="S158" i="7" s="1"/>
  <c r="AG217" i="2" l="1"/>
  <c r="AI217" i="2" s="1"/>
  <c r="AH217" i="2" s="1"/>
  <c r="AE217" i="2" s="1"/>
  <c r="AF217" i="2"/>
  <c r="G159" i="7"/>
  <c r="H159" i="7"/>
  <c r="F159" i="7"/>
  <c r="L159" i="7"/>
  <c r="B159" i="7"/>
  <c r="D159" i="7" s="1"/>
  <c r="A159" i="7"/>
  <c r="AJ217" i="2" l="1"/>
  <c r="AG218" i="2" s="1"/>
  <c r="AI218" i="2" s="1"/>
  <c r="AH218" i="2" s="1"/>
  <c r="AE218" i="2" s="1"/>
  <c r="C159" i="7"/>
  <c r="J159" i="7" s="1"/>
  <c r="I159" i="7"/>
  <c r="S159" i="7" s="1"/>
  <c r="AF218" i="2" l="1"/>
  <c r="AJ218" i="2"/>
  <c r="G160" i="7"/>
  <c r="H160" i="7"/>
  <c r="A160" i="7"/>
  <c r="L160" i="7"/>
  <c r="B160" i="7"/>
  <c r="D160" i="7" s="1"/>
  <c r="F160" i="7"/>
  <c r="AG219" i="2" l="1"/>
  <c r="AI219" i="2" s="1"/>
  <c r="AH219" i="2" s="1"/>
  <c r="AE219" i="2" s="1"/>
  <c r="AF219" i="2"/>
  <c r="C160" i="7"/>
  <c r="J160" i="7" s="1"/>
  <c r="I160" i="7"/>
  <c r="S160" i="7" s="1"/>
  <c r="AJ219" i="2" l="1"/>
  <c r="G161" i="7"/>
  <c r="H161" i="7"/>
  <c r="F161" i="7"/>
  <c r="B161" i="7"/>
  <c r="D161" i="7" s="1"/>
  <c r="L161" i="7"/>
  <c r="A161" i="7"/>
  <c r="AG220" i="2" l="1"/>
  <c r="AI220" i="2" s="1"/>
  <c r="AH220" i="2" s="1"/>
  <c r="AE220" i="2" s="1"/>
  <c r="AF220" i="2"/>
  <c r="C161" i="7"/>
  <c r="J161" i="7" s="1"/>
  <c r="I161" i="7"/>
  <c r="S161" i="7" s="1"/>
  <c r="AJ220" i="2" l="1"/>
  <c r="AF221" i="2" s="1"/>
  <c r="G162" i="7"/>
  <c r="H162" i="7"/>
  <c r="L162" i="7"/>
  <c r="B162" i="7"/>
  <c r="D162" i="7" s="1"/>
  <c r="A162" i="7"/>
  <c r="F162" i="7"/>
  <c r="AG221" i="2" l="1"/>
  <c r="AI221" i="2" s="1"/>
  <c r="AH221" i="2" s="1"/>
  <c r="AE221" i="2" s="1"/>
  <c r="C162" i="7"/>
  <c r="J162" i="7" s="1"/>
  <c r="I162" i="7"/>
  <c r="S162" i="7" s="1"/>
  <c r="AJ221" i="2" l="1"/>
  <c r="AF222" i="2" s="1"/>
  <c r="G163" i="7"/>
  <c r="H163" i="7"/>
  <c r="A163" i="7"/>
  <c r="L163" i="7"/>
  <c r="B163" i="7"/>
  <c r="D163" i="7" s="1"/>
  <c r="F163" i="7"/>
  <c r="AG222" i="2" l="1"/>
  <c r="AI222" i="2" s="1"/>
  <c r="AH222" i="2" s="1"/>
  <c r="AE222" i="2" s="1"/>
  <c r="C163" i="7"/>
  <c r="J163" i="7" s="1"/>
  <c r="I163" i="7"/>
  <c r="S163" i="7" s="1"/>
  <c r="AJ222" i="2" l="1"/>
  <c r="AF223" i="2" s="1"/>
  <c r="G164" i="7"/>
  <c r="H164" i="7"/>
  <c r="F164" i="7"/>
  <c r="B164" i="7"/>
  <c r="D164" i="7" s="1"/>
  <c r="L164" i="7"/>
  <c r="A164" i="7"/>
  <c r="AG223" i="2" l="1"/>
  <c r="AI223" i="2" s="1"/>
  <c r="AH223" i="2" s="1"/>
  <c r="AE223" i="2" s="1"/>
  <c r="C164" i="7"/>
  <c r="J164" i="7" s="1"/>
  <c r="I164" i="7"/>
  <c r="S164" i="7" s="1"/>
  <c r="AJ223" i="2" l="1"/>
  <c r="AG224" i="2" s="1"/>
  <c r="AI224" i="2" s="1"/>
  <c r="AH224" i="2" s="1"/>
  <c r="AE224" i="2" s="1"/>
  <c r="G165" i="7"/>
  <c r="H165" i="7"/>
  <c r="F165" i="7"/>
  <c r="B165" i="7"/>
  <c r="D165" i="7" s="1"/>
  <c r="A165" i="7"/>
  <c r="L165" i="7"/>
  <c r="AF224" i="2" l="1"/>
  <c r="AJ224" i="2"/>
  <c r="AG225" i="2" s="1"/>
  <c r="AI225" i="2" s="1"/>
  <c r="AH225" i="2" s="1"/>
  <c r="AE225" i="2" s="1"/>
  <c r="C165" i="7"/>
  <c r="J165" i="7" s="1"/>
  <c r="I165" i="7"/>
  <c r="S165" i="7" s="1"/>
  <c r="AF225" i="2" l="1"/>
  <c r="AJ225" i="2"/>
  <c r="G166" i="7"/>
  <c r="H166" i="7"/>
  <c r="F166" i="7"/>
  <c r="L166" i="7"/>
  <c r="A166" i="7"/>
  <c r="B166" i="7"/>
  <c r="D166" i="7" s="1"/>
  <c r="AF226" i="2" l="1"/>
  <c r="AG226" i="2"/>
  <c r="AI226" i="2" s="1"/>
  <c r="AH226" i="2" s="1"/>
  <c r="C166" i="7"/>
  <c r="J166" i="7" s="1"/>
  <c r="I166" i="7"/>
  <c r="S166" i="7" s="1"/>
  <c r="AE226" i="2" l="1"/>
  <c r="AJ226" i="2"/>
  <c r="G167" i="7"/>
  <c r="H167" i="7"/>
  <c r="F167" i="7"/>
  <c r="A167" i="7"/>
  <c r="B167" i="7"/>
  <c r="D167" i="7" s="1"/>
  <c r="L167" i="7"/>
  <c r="AF227" i="2" l="1"/>
  <c r="AG227" i="2"/>
  <c r="AI227" i="2" s="1"/>
  <c r="AH227" i="2" s="1"/>
  <c r="AE227" i="2" s="1"/>
  <c r="I167" i="7"/>
  <c r="S167" i="7" s="1"/>
  <c r="C167" i="7"/>
  <c r="J167" i="7" s="1"/>
  <c r="AJ227" i="2" l="1"/>
  <c r="G168" i="7"/>
  <c r="H168" i="7"/>
  <c r="L168" i="7"/>
  <c r="B168" i="7"/>
  <c r="D168" i="7" s="1"/>
  <c r="F168" i="7"/>
  <c r="A168" i="7"/>
  <c r="AG228" i="2" l="1"/>
  <c r="AI228" i="2" s="1"/>
  <c r="AH228" i="2" s="1"/>
  <c r="AF228" i="2"/>
  <c r="C168" i="7"/>
  <c r="J168" i="7" s="1"/>
  <c r="I168" i="7"/>
  <c r="S168" i="7" s="1"/>
  <c r="AE228" i="2" l="1"/>
  <c r="AJ228" i="2"/>
  <c r="G169" i="7"/>
  <c r="H169" i="7"/>
  <c r="F169" i="7"/>
  <c r="B169" i="7"/>
  <c r="D169" i="7" s="1"/>
  <c r="L169" i="7"/>
  <c r="A169" i="7"/>
  <c r="AG229" i="2" l="1"/>
  <c r="AI229" i="2" s="1"/>
  <c r="AH229" i="2" s="1"/>
  <c r="AE229" i="2" s="1"/>
  <c r="AF229" i="2"/>
  <c r="C169" i="7"/>
  <c r="J169" i="7" s="1"/>
  <c r="I169" i="7"/>
  <c r="S169" i="7" s="1"/>
  <c r="AJ229" i="2" l="1"/>
  <c r="G170" i="7"/>
  <c r="H170" i="7"/>
  <c r="F170" i="7"/>
  <c r="B170" i="7"/>
  <c r="D170" i="7" s="1"/>
  <c r="A170" i="7"/>
  <c r="L170" i="7"/>
  <c r="AG230" i="2" l="1"/>
  <c r="AI230" i="2" s="1"/>
  <c r="AH230" i="2" s="1"/>
  <c r="AF230" i="2"/>
  <c r="C170" i="7"/>
  <c r="J170" i="7" s="1"/>
  <c r="I170" i="7"/>
  <c r="S170" i="7" s="1"/>
  <c r="AE230" i="2" l="1"/>
  <c r="AJ230" i="2"/>
  <c r="G171" i="7"/>
  <c r="H171" i="7"/>
  <c r="A171" i="7"/>
  <c r="F171" i="7"/>
  <c r="B171" i="7"/>
  <c r="D171" i="7" s="1"/>
  <c r="L171" i="7"/>
  <c r="AG231" i="2" l="1"/>
  <c r="AI231" i="2" s="1"/>
  <c r="AH231" i="2" s="1"/>
  <c r="AE231" i="2" s="1"/>
  <c r="AF231" i="2"/>
  <c r="C171" i="7"/>
  <c r="J171" i="7" s="1"/>
  <c r="I171" i="7"/>
  <c r="S171" i="7" s="1"/>
  <c r="AJ231" i="2" l="1"/>
  <c r="G172" i="7"/>
  <c r="H172" i="7"/>
  <c r="A172" i="7"/>
  <c r="B172" i="7"/>
  <c r="D172" i="7" s="1"/>
  <c r="F172" i="7"/>
  <c r="L172" i="7"/>
  <c r="AF232" i="2" l="1"/>
  <c r="AG232" i="2"/>
  <c r="AI232" i="2" s="1"/>
  <c r="AH232" i="2" s="1"/>
  <c r="C172" i="7"/>
  <c r="J172" i="7" s="1"/>
  <c r="I172" i="7"/>
  <c r="S172" i="7" s="1"/>
  <c r="AE232" i="2" l="1"/>
  <c r="AJ232" i="2"/>
  <c r="G173" i="7"/>
  <c r="H173" i="7"/>
  <c r="A173" i="7"/>
  <c r="F173" i="7"/>
  <c r="B173" i="7"/>
  <c r="D173" i="7" s="1"/>
  <c r="L173" i="7"/>
  <c r="AF233" i="2" l="1"/>
  <c r="AG233" i="2"/>
  <c r="AI233" i="2" s="1"/>
  <c r="AH233" i="2" s="1"/>
  <c r="AE233" i="2" s="1"/>
  <c r="I173" i="7"/>
  <c r="S173" i="7" s="1"/>
  <c r="C173" i="7"/>
  <c r="J173" i="7" s="1"/>
  <c r="AJ233" i="2" l="1"/>
  <c r="G174" i="7"/>
  <c r="H174" i="7"/>
  <c r="B174" i="7"/>
  <c r="D174" i="7" s="1"/>
  <c r="L174" i="7"/>
  <c r="F174" i="7"/>
  <c r="A174" i="7"/>
  <c r="AF234" i="2" l="1"/>
  <c r="AG234" i="2"/>
  <c r="AI234" i="2" s="1"/>
  <c r="AH234" i="2" s="1"/>
  <c r="I174" i="7"/>
  <c r="S174" i="7" s="1"/>
  <c r="C174" i="7"/>
  <c r="J174" i="7" s="1"/>
  <c r="AE234" i="2" l="1"/>
  <c r="AJ234" i="2"/>
  <c r="G175" i="7"/>
  <c r="H175" i="7"/>
  <c r="B175" i="7"/>
  <c r="D175" i="7" s="1"/>
  <c r="F175" i="7"/>
  <c r="L175" i="7"/>
  <c r="A175" i="7"/>
  <c r="AG235" i="2" l="1"/>
  <c r="AI235" i="2" s="1"/>
  <c r="AH235" i="2" s="1"/>
  <c r="AE235" i="2" s="1"/>
  <c r="AF235" i="2"/>
  <c r="C175" i="7"/>
  <c r="J175" i="7" s="1"/>
  <c r="I175" i="7"/>
  <c r="S175" i="7" s="1"/>
  <c r="AJ235" i="2" l="1"/>
  <c r="G176" i="7"/>
  <c r="H176" i="7"/>
  <c r="F176" i="7"/>
  <c r="B176" i="7"/>
  <c r="D176" i="7" s="1"/>
  <c r="A176" i="7"/>
  <c r="L176" i="7"/>
  <c r="AG236" i="2" l="1"/>
  <c r="AI236" i="2" s="1"/>
  <c r="AH236" i="2" s="1"/>
  <c r="AE236" i="2" s="1"/>
  <c r="AF236" i="2"/>
  <c r="C176" i="7"/>
  <c r="J176" i="7" s="1"/>
  <c r="I176" i="7"/>
  <c r="S176" i="7" s="1"/>
  <c r="AJ236" i="2" l="1"/>
  <c r="G177" i="7"/>
  <c r="H177" i="7"/>
  <c r="L177" i="7"/>
  <c r="A177" i="7"/>
  <c r="F177" i="7"/>
  <c r="B177" i="7"/>
  <c r="D177" i="7" s="1"/>
  <c r="AF237" i="2" l="1"/>
  <c r="AG237" i="2"/>
  <c r="AI237" i="2" s="1"/>
  <c r="AH237" i="2" s="1"/>
  <c r="I177" i="7"/>
  <c r="S177" i="7" s="1"/>
  <c r="C177" i="7"/>
  <c r="J177" i="7" s="1"/>
  <c r="AE237" i="2" l="1"/>
  <c r="AJ237" i="2"/>
  <c r="G178" i="7"/>
  <c r="H178" i="7"/>
  <c r="F178" i="7"/>
  <c r="A178" i="7"/>
  <c r="B178" i="7"/>
  <c r="D178" i="7" s="1"/>
  <c r="L178" i="7"/>
  <c r="AF238" i="2" l="1"/>
  <c r="AG238" i="2"/>
  <c r="AI238" i="2" s="1"/>
  <c r="AH238" i="2" s="1"/>
  <c r="I178" i="7"/>
  <c r="S178" i="7" s="1"/>
  <c r="C178" i="7"/>
  <c r="J178" i="7" s="1"/>
  <c r="AE238" i="2" l="1"/>
  <c r="AJ238" i="2"/>
  <c r="G179" i="7"/>
  <c r="H179" i="7"/>
  <c r="F179" i="7"/>
  <c r="L179" i="7"/>
  <c r="B179" i="7"/>
  <c r="D179" i="7" s="1"/>
  <c r="A179" i="7"/>
  <c r="AG239" i="2" l="1"/>
  <c r="AI239" i="2" s="1"/>
  <c r="AH239" i="2" s="1"/>
  <c r="AF239" i="2"/>
  <c r="C179" i="7"/>
  <c r="J179" i="7" s="1"/>
  <c r="I179" i="7"/>
  <c r="S179" i="7" s="1"/>
  <c r="AE239" i="2" l="1"/>
  <c r="AJ239" i="2"/>
  <c r="G180" i="7"/>
  <c r="H180" i="7"/>
  <c r="L180" i="7"/>
  <c r="A180" i="7"/>
  <c r="B180" i="7"/>
  <c r="D180" i="7" s="1"/>
  <c r="F180" i="7"/>
  <c r="AG240" i="2" l="1"/>
  <c r="AI240" i="2" s="1"/>
  <c r="AH240" i="2" s="1"/>
  <c r="AE240" i="2" s="1"/>
  <c r="AF240" i="2"/>
  <c r="C180" i="7"/>
  <c r="J180" i="7" s="1"/>
  <c r="I180" i="7"/>
  <c r="S180" i="7" s="1"/>
  <c r="AJ240" i="2" l="1"/>
  <c r="G181" i="7"/>
  <c r="H181" i="7"/>
  <c r="F181" i="7"/>
  <c r="L181" i="7"/>
  <c r="A181" i="7"/>
  <c r="B181" i="7"/>
  <c r="D181" i="7" s="1"/>
  <c r="AG241" i="2" l="1"/>
  <c r="AI241" i="2" s="1"/>
  <c r="AH241" i="2" s="1"/>
  <c r="AF241" i="2"/>
  <c r="C181" i="7"/>
  <c r="J181" i="7" s="1"/>
  <c r="I181" i="7"/>
  <c r="S181" i="7" s="1"/>
  <c r="AE241" i="2" l="1"/>
  <c r="AJ241" i="2"/>
  <c r="G182" i="7"/>
  <c r="H182" i="7"/>
  <c r="L182" i="7"/>
  <c r="F182" i="7"/>
  <c r="B182" i="7"/>
  <c r="D182" i="7" s="1"/>
  <c r="A182" i="7"/>
  <c r="AF242" i="2" l="1"/>
  <c r="AG242" i="2"/>
  <c r="AI242" i="2" s="1"/>
  <c r="AH242" i="2" s="1"/>
  <c r="AE242" i="2" s="1"/>
  <c r="I182" i="7"/>
  <c r="S182" i="7" s="1"/>
  <c r="C182" i="7"/>
  <c r="J182" i="7" s="1"/>
  <c r="AJ242" i="2" l="1"/>
  <c r="AG243" i="2" s="1"/>
  <c r="AI243" i="2" s="1"/>
  <c r="AH243" i="2" s="1"/>
  <c r="AE243" i="2" s="1"/>
  <c r="G183" i="7"/>
  <c r="H183" i="7"/>
  <c r="L183" i="7"/>
  <c r="B183" i="7"/>
  <c r="D183" i="7" s="1"/>
  <c r="A183" i="7"/>
  <c r="F183" i="7"/>
  <c r="AJ243" i="2" l="1"/>
  <c r="AG244" i="2" s="1"/>
  <c r="AI244" i="2" s="1"/>
  <c r="AH244" i="2" s="1"/>
  <c r="AE244" i="2" s="1"/>
  <c r="AF243" i="2"/>
  <c r="C183" i="7"/>
  <c r="J183" i="7" s="1"/>
  <c r="I183" i="7"/>
  <c r="S183" i="7" s="1"/>
  <c r="AF244" i="2" l="1"/>
  <c r="AJ244" i="2"/>
  <c r="G184" i="7"/>
  <c r="H184" i="7"/>
  <c r="L184" i="7"/>
  <c r="B184" i="7"/>
  <c r="D184" i="7" s="1"/>
  <c r="A184" i="7"/>
  <c r="F184" i="7"/>
  <c r="AF245" i="2" l="1"/>
  <c r="AG245" i="2"/>
  <c r="AI245" i="2" s="1"/>
  <c r="AH245" i="2" s="1"/>
  <c r="AE245" i="2" s="1"/>
  <c r="C184" i="7"/>
  <c r="J184" i="7" s="1"/>
  <c r="I184" i="7"/>
  <c r="S184" i="7" s="1"/>
  <c r="AJ245" i="2" l="1"/>
  <c r="G185" i="7"/>
  <c r="H185" i="7"/>
  <c r="A185" i="7"/>
  <c r="B185" i="7"/>
  <c r="D185" i="7" s="1"/>
  <c r="L185" i="7"/>
  <c r="F185" i="7"/>
  <c r="AG246" i="2" l="1"/>
  <c r="AI246" i="2" s="1"/>
  <c r="AH246" i="2" s="1"/>
  <c r="AE246" i="2" s="1"/>
  <c r="AF246" i="2"/>
  <c r="C185" i="7"/>
  <c r="J185" i="7" s="1"/>
  <c r="I185" i="7"/>
  <c r="S185" i="7" s="1"/>
  <c r="AJ246" i="2" l="1"/>
  <c r="G186" i="7"/>
  <c r="H186" i="7"/>
  <c r="B186" i="7"/>
  <c r="D186" i="7" s="1"/>
  <c r="F186" i="7"/>
  <c r="A186" i="7"/>
  <c r="L186" i="7"/>
  <c r="AF247" i="2" l="1"/>
  <c r="AG247" i="2"/>
  <c r="AI247" i="2" s="1"/>
  <c r="AH247" i="2" s="1"/>
  <c r="AE247" i="2" s="1"/>
  <c r="I186" i="7"/>
  <c r="S186" i="7" s="1"/>
  <c r="C186" i="7"/>
  <c r="J186" i="7" s="1"/>
  <c r="AJ247" i="2" l="1"/>
  <c r="G187" i="7"/>
  <c r="H187" i="7"/>
  <c r="F187" i="7"/>
  <c r="L187" i="7"/>
  <c r="A187" i="7"/>
  <c r="B187" i="7"/>
  <c r="D187" i="7" s="1"/>
  <c r="AG248" i="2" l="1"/>
  <c r="AI248" i="2" s="1"/>
  <c r="AH248" i="2" s="1"/>
  <c r="AE248" i="2" s="1"/>
  <c r="AF248" i="2"/>
  <c r="C187" i="7"/>
  <c r="J187" i="7" s="1"/>
  <c r="I187" i="7"/>
  <c r="S187" i="7" s="1"/>
  <c r="AJ248" i="2" l="1"/>
  <c r="G188" i="7"/>
  <c r="H188" i="7"/>
  <c r="B188" i="7"/>
  <c r="D188" i="7" s="1"/>
  <c r="F188" i="7"/>
  <c r="A188" i="7"/>
  <c r="L188" i="7"/>
  <c r="AF249" i="2" l="1"/>
  <c r="AG249" i="2"/>
  <c r="AI249" i="2" s="1"/>
  <c r="AH249" i="2" s="1"/>
  <c r="AE249" i="2" s="1"/>
  <c r="I188" i="7"/>
  <c r="S188" i="7" s="1"/>
  <c r="C188" i="7"/>
  <c r="J188" i="7" s="1"/>
  <c r="AJ249" i="2" l="1"/>
  <c r="G189" i="7"/>
  <c r="H189" i="7"/>
  <c r="A189" i="7"/>
  <c r="B189" i="7"/>
  <c r="D189" i="7" s="1"/>
  <c r="F189" i="7"/>
  <c r="L189" i="7"/>
  <c r="AG250" i="2" l="1"/>
  <c r="AI250" i="2" s="1"/>
  <c r="AH250" i="2" s="1"/>
  <c r="AE250" i="2" s="1"/>
  <c r="AF250" i="2"/>
  <c r="C189" i="7"/>
  <c r="J189" i="7" s="1"/>
  <c r="I189" i="7"/>
  <c r="S189" i="7" s="1"/>
  <c r="AJ250" i="2" l="1"/>
  <c r="AF251" i="2" s="1"/>
  <c r="G190" i="7"/>
  <c r="H190" i="7"/>
  <c r="L190" i="7"/>
  <c r="F190" i="7"/>
  <c r="B190" i="7"/>
  <c r="D190" i="7" s="1"/>
  <c r="A190" i="7"/>
  <c r="AG251" i="2" l="1"/>
  <c r="AI251" i="2" s="1"/>
  <c r="AH251" i="2" s="1"/>
  <c r="AE251" i="2" s="1"/>
  <c r="I190" i="7"/>
  <c r="S190" i="7" s="1"/>
  <c r="C190" i="7"/>
  <c r="J190" i="7" s="1"/>
  <c r="AJ251" i="2" l="1"/>
  <c r="AF252" i="2" s="1"/>
  <c r="G191" i="7"/>
  <c r="H191" i="7"/>
  <c r="L191" i="7"/>
  <c r="A191" i="7"/>
  <c r="F191" i="7"/>
  <c r="B191" i="7"/>
  <c r="D191" i="7" s="1"/>
  <c r="AG252" i="2" l="1"/>
  <c r="AI252" i="2" s="1"/>
  <c r="AH252" i="2" s="1"/>
  <c r="AE252" i="2" s="1"/>
  <c r="C191" i="7"/>
  <c r="J191" i="7" s="1"/>
  <c r="I191" i="7"/>
  <c r="S191" i="7" s="1"/>
  <c r="AJ252" i="2" l="1"/>
  <c r="G192" i="7"/>
  <c r="H192" i="7"/>
  <c r="L192" i="7"/>
  <c r="A192" i="7"/>
  <c r="B192" i="7"/>
  <c r="D192" i="7" s="1"/>
  <c r="F192" i="7"/>
  <c r="AF253" i="2" l="1"/>
  <c r="AG253" i="2"/>
  <c r="AI253" i="2" s="1"/>
  <c r="AH253" i="2" s="1"/>
  <c r="AE253" i="2" s="1"/>
  <c r="C192" i="7"/>
  <c r="J192" i="7" s="1"/>
  <c r="I192" i="7"/>
  <c r="S192" i="7" s="1"/>
  <c r="AJ253" i="2" l="1"/>
  <c r="G193" i="7"/>
  <c r="H193" i="7"/>
  <c r="L193" i="7"/>
  <c r="B193" i="7"/>
  <c r="D193" i="7" s="1"/>
  <c r="A193" i="7"/>
  <c r="F193" i="7"/>
  <c r="AG254" i="2" l="1"/>
  <c r="AI254" i="2" s="1"/>
  <c r="AH254" i="2" s="1"/>
  <c r="AE254" i="2" s="1"/>
  <c r="AF254" i="2"/>
  <c r="C193" i="7"/>
  <c r="J193" i="7" s="1"/>
  <c r="I193" i="7"/>
  <c r="S193" i="7" s="1"/>
  <c r="AJ254" i="2" l="1"/>
  <c r="G194" i="7"/>
  <c r="H194" i="7"/>
  <c r="L194" i="7"/>
  <c r="A194" i="7"/>
  <c r="B194" i="7"/>
  <c r="D194" i="7" s="1"/>
  <c r="F194" i="7"/>
  <c r="AF255" i="2" l="1"/>
  <c r="AG255" i="2"/>
  <c r="AI255" i="2" s="1"/>
  <c r="AH255" i="2" s="1"/>
  <c r="C194" i="7"/>
  <c r="J194" i="7" s="1"/>
  <c r="I194" i="7"/>
  <c r="S194" i="7" s="1"/>
  <c r="AE255" i="2" l="1"/>
  <c r="AJ255" i="2"/>
  <c r="G195" i="7"/>
  <c r="H195" i="7"/>
  <c r="L195" i="7"/>
  <c r="A195" i="7"/>
  <c r="B195" i="7"/>
  <c r="D195" i="7" s="1"/>
  <c r="F195" i="7"/>
  <c r="AF256" i="2" l="1"/>
  <c r="AG256" i="2"/>
  <c r="AI256" i="2" s="1"/>
  <c r="AH256" i="2" s="1"/>
  <c r="C195" i="7"/>
  <c r="J195" i="7" s="1"/>
  <c r="I195" i="7"/>
  <c r="S195" i="7" s="1"/>
  <c r="AE256" i="2" l="1"/>
  <c r="AJ256" i="2"/>
  <c r="G196" i="7"/>
  <c r="H196" i="7"/>
  <c r="A196" i="7"/>
  <c r="B196" i="7"/>
  <c r="D196" i="7" s="1"/>
  <c r="L196" i="7"/>
  <c r="F196" i="7"/>
  <c r="AF257" i="2" l="1"/>
  <c r="AG257" i="2"/>
  <c r="AI257" i="2" s="1"/>
  <c r="AH257" i="2" s="1"/>
  <c r="C196" i="7"/>
  <c r="J196" i="7" s="1"/>
  <c r="I196" i="7"/>
  <c r="S196" i="7" s="1"/>
  <c r="AE257" i="2" l="1"/>
  <c r="AJ257" i="2"/>
  <c r="G197" i="7"/>
  <c r="H197" i="7"/>
  <c r="B197" i="7"/>
  <c r="D197" i="7" s="1"/>
  <c r="F197" i="7"/>
  <c r="A197" i="7"/>
  <c r="L197" i="7"/>
  <c r="AF258" i="2" l="1"/>
  <c r="AG258" i="2"/>
  <c r="AI258" i="2" s="1"/>
  <c r="AH258" i="2" s="1"/>
  <c r="C197" i="7"/>
  <c r="J197" i="7" s="1"/>
  <c r="I197" i="7"/>
  <c r="S197" i="7" s="1"/>
  <c r="AE258" i="2" l="1"/>
  <c r="AJ258" i="2"/>
  <c r="G198" i="7"/>
  <c r="H198" i="7"/>
  <c r="F198" i="7"/>
  <c r="A198" i="7"/>
  <c r="L198" i="7"/>
  <c r="B198" i="7"/>
  <c r="D198" i="7" s="1"/>
  <c r="AG259" i="2" l="1"/>
  <c r="AI259" i="2" s="1"/>
  <c r="AH259" i="2" s="1"/>
  <c r="AF259" i="2"/>
  <c r="C198" i="7"/>
  <c r="J198" i="7" s="1"/>
  <c r="I198" i="7"/>
  <c r="S198" i="7" s="1"/>
  <c r="AE259" i="2" l="1"/>
  <c r="AJ259" i="2"/>
  <c r="G199" i="7"/>
  <c r="H199" i="7"/>
  <c r="B199" i="7"/>
  <c r="D199" i="7" s="1"/>
  <c r="A199" i="7"/>
  <c r="F199" i="7"/>
  <c r="L199" i="7"/>
  <c r="AG260" i="2" l="1"/>
  <c r="AI260" i="2" s="1"/>
  <c r="AH260" i="2" s="1"/>
  <c r="AF260" i="2"/>
  <c r="C199" i="7"/>
  <c r="J199" i="7" s="1"/>
  <c r="I199" i="7"/>
  <c r="S199" i="7" s="1"/>
  <c r="AE260" i="2" l="1"/>
  <c r="AJ260" i="2"/>
  <c r="G200" i="7"/>
  <c r="H200" i="7"/>
  <c r="L200" i="7"/>
  <c r="B200" i="7"/>
  <c r="D200" i="7" s="1"/>
  <c r="A200" i="7"/>
  <c r="F200" i="7"/>
  <c r="AF261" i="2" l="1"/>
  <c r="AG261" i="2"/>
  <c r="AI261" i="2" s="1"/>
  <c r="AH261" i="2" s="1"/>
  <c r="AE261" i="2" s="1"/>
  <c r="C200" i="7"/>
  <c r="J200" i="7" s="1"/>
  <c r="I200" i="7"/>
  <c r="S200" i="7" s="1"/>
  <c r="AJ261" i="2" l="1"/>
  <c r="G201" i="7"/>
  <c r="H201" i="7"/>
  <c r="A201" i="7"/>
  <c r="B201" i="7"/>
  <c r="D201" i="7" s="1"/>
  <c r="F201" i="7"/>
  <c r="L201" i="7"/>
  <c r="AF262" i="2" l="1"/>
  <c r="AG262" i="2"/>
  <c r="AI262" i="2" s="1"/>
  <c r="AH262" i="2" s="1"/>
  <c r="AE262" i="2" s="1"/>
  <c r="C201" i="7"/>
  <c r="J201" i="7" s="1"/>
  <c r="I201" i="7"/>
  <c r="S201" i="7" s="1"/>
  <c r="AJ262" i="2" l="1"/>
  <c r="G202" i="7"/>
  <c r="H202" i="7"/>
  <c r="F202" i="7"/>
  <c r="A202" i="7"/>
  <c r="B202" i="7"/>
  <c r="D202" i="7" s="1"/>
  <c r="L202" i="7"/>
  <c r="AF263" i="2" l="1"/>
  <c r="AG263" i="2"/>
  <c r="AI263" i="2" s="1"/>
  <c r="AH263" i="2" s="1"/>
  <c r="C202" i="7"/>
  <c r="J202" i="7" s="1"/>
  <c r="I202" i="7"/>
  <c r="S202" i="7" s="1"/>
  <c r="AE263" i="2" l="1"/>
  <c r="AJ263" i="2"/>
  <c r="G203" i="7"/>
  <c r="H203" i="7"/>
  <c r="B203" i="7"/>
  <c r="D203" i="7" s="1"/>
  <c r="L203" i="7"/>
  <c r="A203" i="7"/>
  <c r="F203" i="7"/>
  <c r="AF264" i="2" l="1"/>
  <c r="AG264" i="2"/>
  <c r="AI264" i="2" s="1"/>
  <c r="AH264" i="2" s="1"/>
  <c r="C203" i="7"/>
  <c r="J203" i="7" s="1"/>
  <c r="I203" i="7"/>
  <c r="S203" i="7" s="1"/>
  <c r="AE264" i="2" l="1"/>
  <c r="AJ264" i="2"/>
  <c r="G204" i="7"/>
  <c r="H204" i="7"/>
  <c r="L204" i="7"/>
  <c r="A204" i="7"/>
  <c r="B204" i="7"/>
  <c r="D204" i="7" s="1"/>
  <c r="F204" i="7"/>
  <c r="AG265" i="2" l="1"/>
  <c r="AI265" i="2" s="1"/>
  <c r="AH265" i="2" s="1"/>
  <c r="AE265" i="2" s="1"/>
  <c r="AF265" i="2"/>
  <c r="C204" i="7"/>
  <c r="J204" i="7" s="1"/>
  <c r="I204" i="7"/>
  <c r="S204" i="7" s="1"/>
  <c r="AJ265" i="2" l="1"/>
  <c r="G205" i="7"/>
  <c r="H205" i="7"/>
  <c r="F205" i="7"/>
  <c r="L205" i="7"/>
  <c r="A205" i="7"/>
  <c r="B205" i="7"/>
  <c r="D205" i="7" s="1"/>
  <c r="AF266" i="2" l="1"/>
  <c r="AG266" i="2"/>
  <c r="AI266" i="2" s="1"/>
  <c r="AH266" i="2" s="1"/>
  <c r="AE266" i="2" s="1"/>
  <c r="I205" i="7"/>
  <c r="S205" i="7" s="1"/>
  <c r="C205" i="7"/>
  <c r="J205" i="7" s="1"/>
  <c r="AJ266" i="2" l="1"/>
  <c r="G206" i="7"/>
  <c r="H206" i="7"/>
  <c r="A206" i="7"/>
  <c r="B206" i="7"/>
  <c r="D206" i="7" s="1"/>
  <c r="F206" i="7"/>
  <c r="L206" i="7"/>
  <c r="AF267" i="2" l="1"/>
  <c r="AG267" i="2"/>
  <c r="AI267" i="2" s="1"/>
  <c r="AH267" i="2" s="1"/>
  <c r="I206" i="7"/>
  <c r="S206" i="7" s="1"/>
  <c r="C206" i="7"/>
  <c r="J206" i="7" s="1"/>
  <c r="AE267" i="2" l="1"/>
  <c r="AJ267" i="2"/>
  <c r="G207" i="7"/>
  <c r="H207" i="7"/>
  <c r="A207" i="7"/>
  <c r="F207" i="7"/>
  <c r="L207" i="7"/>
  <c r="B207" i="7"/>
  <c r="D207" i="7" s="1"/>
  <c r="C207" i="7" s="1"/>
  <c r="J207" i="7" s="1"/>
  <c r="H208" i="7" s="1"/>
  <c r="AG268" i="2" l="1"/>
  <c r="AI268" i="2" s="1"/>
  <c r="AH268" i="2" s="1"/>
  <c r="AE268" i="2" s="1"/>
  <c r="AF268" i="2"/>
  <c r="I207" i="7"/>
  <c r="S207" i="7" s="1"/>
  <c r="G208" i="7"/>
  <c r="F208" i="7"/>
  <c r="L208" i="7"/>
  <c r="A208" i="7"/>
  <c r="B208" i="7"/>
  <c r="D208" i="7" s="1"/>
  <c r="C208" i="7" s="1"/>
  <c r="J208" i="7" s="1"/>
  <c r="H209" i="7" s="1"/>
  <c r="AJ268" i="2" l="1"/>
  <c r="G209" i="7"/>
  <c r="B209" i="7"/>
  <c r="D209" i="7" s="1"/>
  <c r="C209" i="7" s="1"/>
  <c r="J209" i="7" s="1"/>
  <c r="H210" i="7" s="1"/>
  <c r="A209" i="7"/>
  <c r="F209" i="7"/>
  <c r="L209" i="7"/>
  <c r="I208" i="7"/>
  <c r="S208" i="7" s="1"/>
  <c r="AF269" i="2" l="1"/>
  <c r="AG269" i="2"/>
  <c r="AI269" i="2" s="1"/>
  <c r="AH269" i="2" s="1"/>
  <c r="AE269" i="2" s="1"/>
  <c r="G210" i="7"/>
  <c r="F210" i="7"/>
  <c r="A210" i="7"/>
  <c r="L210" i="7"/>
  <c r="B210" i="7"/>
  <c r="D210" i="7" s="1"/>
  <c r="I209" i="7"/>
  <c r="S209" i="7" s="1"/>
  <c r="AJ269" i="2" l="1"/>
  <c r="C210" i="7"/>
  <c r="J210" i="7" s="1"/>
  <c r="H211" i="7" s="1"/>
  <c r="I210" i="7"/>
  <c r="S210" i="7" s="1"/>
  <c r="AG270" i="2" l="1"/>
  <c r="AI270" i="2" s="1"/>
  <c r="AH270" i="2" s="1"/>
  <c r="AE270" i="2" s="1"/>
  <c r="AF270" i="2"/>
  <c r="G211" i="7"/>
  <c r="A211" i="7"/>
  <c r="L211" i="7"/>
  <c r="F211" i="7"/>
  <c r="B211" i="7"/>
  <c r="D211" i="7" s="1"/>
  <c r="C211" i="7" s="1"/>
  <c r="J211" i="7" s="1"/>
  <c r="H212" i="7" s="1"/>
  <c r="AJ270" i="2" l="1"/>
  <c r="G212" i="7"/>
  <c r="F212" i="7"/>
  <c r="L212" i="7"/>
  <c r="A212" i="7"/>
  <c r="B212" i="7"/>
  <c r="D212" i="7" s="1"/>
  <c r="C212" i="7" s="1"/>
  <c r="J212" i="7" s="1"/>
  <c r="H213" i="7" s="1"/>
  <c r="I211" i="7"/>
  <c r="S211" i="7" s="1"/>
  <c r="AG271" i="2" l="1"/>
  <c r="AI271" i="2" s="1"/>
  <c r="AH271" i="2" s="1"/>
  <c r="AE271" i="2" s="1"/>
  <c r="AF271" i="2"/>
  <c r="G213" i="7"/>
  <c r="A213" i="7"/>
  <c r="L213" i="7"/>
  <c r="B213" i="7"/>
  <c r="D213" i="7" s="1"/>
  <c r="F213" i="7"/>
  <c r="I212" i="7"/>
  <c r="S212" i="7" s="1"/>
  <c r="AJ271" i="2" l="1"/>
  <c r="C213" i="7"/>
  <c r="J213" i="7" s="1"/>
  <c r="H214" i="7" s="1"/>
  <c r="I213" i="7"/>
  <c r="S213" i="7" s="1"/>
  <c r="AG272" i="2" l="1"/>
  <c r="AI272" i="2" s="1"/>
  <c r="AH272" i="2" s="1"/>
  <c r="AE272" i="2" s="1"/>
  <c r="AF272" i="2"/>
  <c r="G214" i="7"/>
  <c r="F214" i="7"/>
  <c r="A214" i="7"/>
  <c r="B214" i="7"/>
  <c r="D214" i="7" s="1"/>
  <c r="L214" i="7"/>
  <c r="AJ272" i="2" l="1"/>
  <c r="C214" i="7"/>
  <c r="J214" i="7" s="1"/>
  <c r="H215" i="7" s="1"/>
  <c r="I214" i="7"/>
  <c r="S214" i="7" s="1"/>
  <c r="AG273" i="2" l="1"/>
  <c r="AI273" i="2" s="1"/>
  <c r="AH273" i="2" s="1"/>
  <c r="AE273" i="2" s="1"/>
  <c r="AF273" i="2"/>
  <c r="G215" i="7"/>
  <c r="L215" i="7"/>
  <c r="A215" i="7"/>
  <c r="B215" i="7"/>
  <c r="D215" i="7" s="1"/>
  <c r="F215" i="7"/>
  <c r="AJ273" i="2" l="1"/>
  <c r="C215" i="7"/>
  <c r="J215" i="7" s="1"/>
  <c r="H216" i="7" s="1"/>
  <c r="I215" i="7"/>
  <c r="S215" i="7" s="1"/>
  <c r="AG274" i="2" l="1"/>
  <c r="AI274" i="2" s="1"/>
  <c r="AH274" i="2" s="1"/>
  <c r="AE274" i="2" s="1"/>
  <c r="AF274" i="2"/>
  <c r="G216" i="7"/>
  <c r="A216" i="7"/>
  <c r="F216" i="7"/>
  <c r="B216" i="7"/>
  <c r="D216" i="7" s="1"/>
  <c r="C216" i="7" s="1"/>
  <c r="J216" i="7" s="1"/>
  <c r="H217" i="7" s="1"/>
  <c r="L216" i="7"/>
  <c r="AJ274" i="2" l="1"/>
  <c r="G217" i="7"/>
  <c r="L217" i="7"/>
  <c r="F217" i="7"/>
  <c r="A217" i="7"/>
  <c r="B217" i="7"/>
  <c r="D217" i="7" s="1"/>
  <c r="C217" i="7" s="1"/>
  <c r="J217" i="7" s="1"/>
  <c r="H218" i="7" s="1"/>
  <c r="I216" i="7"/>
  <c r="S216" i="7" s="1"/>
  <c r="AF275" i="2" l="1"/>
  <c r="AG275" i="2"/>
  <c r="AI275" i="2" s="1"/>
  <c r="AH275" i="2" s="1"/>
  <c r="AE275" i="2" s="1"/>
  <c r="G218" i="7"/>
  <c r="F218" i="7"/>
  <c r="L218" i="7"/>
  <c r="A218" i="7"/>
  <c r="B218" i="7"/>
  <c r="D218" i="7" s="1"/>
  <c r="C218" i="7" s="1"/>
  <c r="J218" i="7" s="1"/>
  <c r="H219" i="7" s="1"/>
  <c r="I217" i="7"/>
  <c r="S217" i="7" s="1"/>
  <c r="AJ275" i="2" l="1"/>
  <c r="AF276" i="2" s="1"/>
  <c r="G219" i="7"/>
  <c r="F219" i="7"/>
  <c r="B219" i="7"/>
  <c r="D219" i="7" s="1"/>
  <c r="C219" i="7" s="1"/>
  <c r="J219" i="7" s="1"/>
  <c r="H220" i="7" s="1"/>
  <c r="A219" i="7"/>
  <c r="L219" i="7"/>
  <c r="I218" i="7"/>
  <c r="S218" i="7" s="1"/>
  <c r="AG276" i="2" l="1"/>
  <c r="AI276" i="2" s="1"/>
  <c r="AH276" i="2" s="1"/>
  <c r="AE276" i="2" s="1"/>
  <c r="G220" i="7"/>
  <c r="F220" i="7"/>
  <c r="A220" i="7"/>
  <c r="L220" i="7"/>
  <c r="B220" i="7"/>
  <c r="D220" i="7" s="1"/>
  <c r="I219" i="7"/>
  <c r="S219" i="7" s="1"/>
  <c r="AJ276" i="2" l="1"/>
  <c r="AF277" i="2" s="1"/>
  <c r="C220" i="7"/>
  <c r="J220" i="7" s="1"/>
  <c r="H221" i="7" s="1"/>
  <c r="I220" i="7"/>
  <c r="S220" i="7" s="1"/>
  <c r="AG277" i="2" l="1"/>
  <c r="AI277" i="2" s="1"/>
  <c r="AH277" i="2" s="1"/>
  <c r="AE277" i="2" s="1"/>
  <c r="AJ277" i="2"/>
  <c r="G221" i="7"/>
  <c r="A221" i="7"/>
  <c r="L221" i="7"/>
  <c r="F221" i="7"/>
  <c r="B221" i="7"/>
  <c r="D221" i="7" s="1"/>
  <c r="AF278" i="2" l="1"/>
  <c r="AG278" i="2"/>
  <c r="AI278" i="2" s="1"/>
  <c r="AH278" i="2" s="1"/>
  <c r="C221" i="7"/>
  <c r="J221" i="7" s="1"/>
  <c r="H222" i="7" s="1"/>
  <c r="I221" i="7"/>
  <c r="S221" i="7" s="1"/>
  <c r="AE278" i="2" l="1"/>
  <c r="AJ278" i="2"/>
  <c r="G222" i="7"/>
  <c r="F222" i="7"/>
  <c r="L222" i="7"/>
  <c r="B222" i="7"/>
  <c r="D222" i="7" s="1"/>
  <c r="C222" i="7" s="1"/>
  <c r="J222" i="7" s="1"/>
  <c r="H223" i="7" s="1"/>
  <c r="A222" i="7"/>
  <c r="AG279" i="2" l="1"/>
  <c r="AI279" i="2" s="1"/>
  <c r="AH279" i="2" s="1"/>
  <c r="AF279" i="2"/>
  <c r="G223" i="7"/>
  <c r="A223" i="7"/>
  <c r="F223" i="7"/>
  <c r="L223" i="7"/>
  <c r="B223" i="7"/>
  <c r="D223" i="7" s="1"/>
  <c r="I222" i="7"/>
  <c r="S222" i="7" s="1"/>
  <c r="AE279" i="2" l="1"/>
  <c r="AJ279" i="2"/>
  <c r="C223" i="7"/>
  <c r="J223" i="7" s="1"/>
  <c r="H224" i="7" s="1"/>
  <c r="I223" i="7"/>
  <c r="S223" i="7" s="1"/>
  <c r="AG280" i="2" l="1"/>
  <c r="AI280" i="2" s="1"/>
  <c r="AH280" i="2" s="1"/>
  <c r="AE280" i="2" s="1"/>
  <c r="AF280" i="2"/>
  <c r="G224" i="7"/>
  <c r="B224" i="7"/>
  <c r="D224" i="7" s="1"/>
  <c r="C224" i="7" s="1"/>
  <c r="J224" i="7" s="1"/>
  <c r="H225" i="7" s="1"/>
  <c r="F224" i="7"/>
  <c r="L224" i="7"/>
  <c r="A224" i="7"/>
  <c r="AJ280" i="2" l="1"/>
  <c r="G225" i="7"/>
  <c r="A225" i="7"/>
  <c r="B225" i="7"/>
  <c r="D225" i="7" s="1"/>
  <c r="C225" i="7" s="1"/>
  <c r="J225" i="7" s="1"/>
  <c r="H226" i="7" s="1"/>
  <c r="F225" i="7"/>
  <c r="L225" i="7"/>
  <c r="I224" i="7"/>
  <c r="S224" i="7" s="1"/>
  <c r="AG281" i="2" l="1"/>
  <c r="AI281" i="2" s="1"/>
  <c r="AH281" i="2" s="1"/>
  <c r="AE281" i="2" s="1"/>
  <c r="AF281" i="2"/>
  <c r="G226" i="7"/>
  <c r="A226" i="7"/>
  <c r="F226" i="7"/>
  <c r="B226" i="7"/>
  <c r="D226" i="7" s="1"/>
  <c r="C226" i="7" s="1"/>
  <c r="J226" i="7" s="1"/>
  <c r="H227" i="7" s="1"/>
  <c r="L226" i="7"/>
  <c r="I225" i="7"/>
  <c r="S225" i="7" s="1"/>
  <c r="AJ281" i="2" l="1"/>
  <c r="I226" i="7"/>
  <c r="S226" i="7" s="1"/>
  <c r="G227" i="7"/>
  <c r="F227" i="7"/>
  <c r="A227" i="7"/>
  <c r="L227" i="7"/>
  <c r="B227" i="7"/>
  <c r="D227" i="7" s="1"/>
  <c r="AF282" i="2" l="1"/>
  <c r="AG282" i="2"/>
  <c r="AI282" i="2" s="1"/>
  <c r="AH282" i="2" s="1"/>
  <c r="AE282" i="2" s="1"/>
  <c r="C227" i="7"/>
  <c r="J227" i="7" s="1"/>
  <c r="H228" i="7" s="1"/>
  <c r="I227" i="7"/>
  <c r="S227" i="7" s="1"/>
  <c r="AJ282" i="2" l="1"/>
  <c r="G228" i="7"/>
  <c r="F228" i="7"/>
  <c r="B228" i="7"/>
  <c r="D228" i="7" s="1"/>
  <c r="C228" i="7" s="1"/>
  <c r="J228" i="7" s="1"/>
  <c r="H229" i="7" s="1"/>
  <c r="L228" i="7"/>
  <c r="A228" i="7"/>
  <c r="AG283" i="2" l="1"/>
  <c r="AI283" i="2" s="1"/>
  <c r="AH283" i="2" s="1"/>
  <c r="AF283" i="2"/>
  <c r="G229" i="7"/>
  <c r="F229" i="7"/>
  <c r="L229" i="7"/>
  <c r="B229" i="7"/>
  <c r="D229" i="7" s="1"/>
  <c r="C229" i="7" s="1"/>
  <c r="J229" i="7" s="1"/>
  <c r="H230" i="7" s="1"/>
  <c r="A229" i="7"/>
  <c r="I228" i="7"/>
  <c r="S228" i="7" s="1"/>
  <c r="AE283" i="2" l="1"/>
  <c r="AJ283" i="2"/>
  <c r="I229" i="7"/>
  <c r="S229" i="7" s="1"/>
  <c r="G230" i="7"/>
  <c r="L230" i="7"/>
  <c r="A230" i="7"/>
  <c r="F230" i="7"/>
  <c r="B230" i="7"/>
  <c r="D230" i="7" s="1"/>
  <c r="C230" i="7" s="1"/>
  <c r="J230" i="7" s="1"/>
  <c r="H231" i="7" s="1"/>
  <c r="AG284" i="2" l="1"/>
  <c r="AI284" i="2" s="1"/>
  <c r="AH284" i="2" s="1"/>
  <c r="AF284" i="2"/>
  <c r="G231" i="7"/>
  <c r="F231" i="7"/>
  <c r="B231" i="7"/>
  <c r="D231" i="7" s="1"/>
  <c r="A231" i="7"/>
  <c r="L231" i="7"/>
  <c r="I230" i="7"/>
  <c r="S230" i="7" s="1"/>
  <c r="AE284" i="2" l="1"/>
  <c r="AJ284" i="2"/>
  <c r="C231" i="7"/>
  <c r="J231" i="7" s="1"/>
  <c r="H232" i="7" s="1"/>
  <c r="I231" i="7"/>
  <c r="S231" i="7" s="1"/>
  <c r="AF285" i="2" l="1"/>
  <c r="AG285" i="2"/>
  <c r="AI285" i="2" s="1"/>
  <c r="AH285" i="2" s="1"/>
  <c r="G232" i="7"/>
  <c r="A232" i="7"/>
  <c r="B232" i="7"/>
  <c r="D232" i="7" s="1"/>
  <c r="F232" i="7"/>
  <c r="L232" i="7"/>
  <c r="AE285" i="2" l="1"/>
  <c r="AJ285" i="2"/>
  <c r="C232" i="7"/>
  <c r="J232" i="7" s="1"/>
  <c r="I232" i="7"/>
  <c r="S232" i="7" s="1"/>
  <c r="AG286" i="2" l="1"/>
  <c r="AI286" i="2" s="1"/>
  <c r="AH286" i="2" s="1"/>
  <c r="AF286" i="2"/>
  <c r="F233" i="7"/>
  <c r="H233" i="7"/>
  <c r="B233" i="7"/>
  <c r="D233" i="7" s="1"/>
  <c r="C233" i="7" s="1"/>
  <c r="J233" i="7" s="1"/>
  <c r="H234" i="7" s="1"/>
  <c r="L233" i="7"/>
  <c r="A233" i="7"/>
  <c r="G233" i="7"/>
  <c r="AE286" i="2" l="1"/>
  <c r="AJ286" i="2"/>
  <c r="I233" i="7"/>
  <c r="S233" i="7" s="1"/>
  <c r="G234" i="7"/>
  <c r="L234" i="7"/>
  <c r="B234" i="7"/>
  <c r="D234" i="7" s="1"/>
  <c r="F234" i="7"/>
  <c r="A234" i="7"/>
  <c r="AG287" i="2" l="1"/>
  <c r="AI287" i="2" s="1"/>
  <c r="AH287" i="2" s="1"/>
  <c r="AF287" i="2"/>
  <c r="C234" i="7"/>
  <c r="J234" i="7" s="1"/>
  <c r="H235" i="7" s="1"/>
  <c r="I234" i="7"/>
  <c r="S234" i="7" s="1"/>
  <c r="AE287" i="2" l="1"/>
  <c r="AJ287" i="2"/>
  <c r="G235" i="7"/>
  <c r="B235" i="7"/>
  <c r="D235" i="7" s="1"/>
  <c r="C235" i="7" s="1"/>
  <c r="J235" i="7" s="1"/>
  <c r="H236" i="7" s="1"/>
  <c r="A235" i="7"/>
  <c r="L235" i="7"/>
  <c r="F235" i="7"/>
  <c r="AG288" i="2" l="1"/>
  <c r="AI288" i="2" s="1"/>
  <c r="AH288" i="2" s="1"/>
  <c r="AE288" i="2" s="1"/>
  <c r="AF288" i="2"/>
  <c r="G236" i="7"/>
  <c r="L236" i="7"/>
  <c r="A236" i="7"/>
  <c r="B236" i="7"/>
  <c r="D236" i="7" s="1"/>
  <c r="C236" i="7" s="1"/>
  <c r="J236" i="7" s="1"/>
  <c r="H237" i="7" s="1"/>
  <c r="F236" i="7"/>
  <c r="I235" i="7"/>
  <c r="S235" i="7" s="1"/>
  <c r="AJ288" i="2" l="1"/>
  <c r="AG289" i="2" s="1"/>
  <c r="AI289" i="2" s="1"/>
  <c r="AH289" i="2" s="1"/>
  <c r="G237" i="7"/>
  <c r="L237" i="7"/>
  <c r="B237" i="7"/>
  <c r="D237" i="7" s="1"/>
  <c r="C237" i="7" s="1"/>
  <c r="J237" i="7" s="1"/>
  <c r="H238" i="7" s="1"/>
  <c r="F237" i="7"/>
  <c r="A237" i="7"/>
  <c r="I236" i="7"/>
  <c r="S236" i="7" s="1"/>
  <c r="AF289" i="2" l="1"/>
  <c r="AE289" i="2"/>
  <c r="AJ289" i="2"/>
  <c r="G238" i="7"/>
  <c r="A238" i="7"/>
  <c r="F238" i="7"/>
  <c r="B238" i="7"/>
  <c r="D238" i="7" s="1"/>
  <c r="C238" i="7" s="1"/>
  <c r="J238" i="7" s="1"/>
  <c r="H239" i="7" s="1"/>
  <c r="L238" i="7"/>
  <c r="I237" i="7"/>
  <c r="S237" i="7" s="1"/>
  <c r="AG290" i="2" l="1"/>
  <c r="AI290" i="2" s="1"/>
  <c r="AH290" i="2" s="1"/>
  <c r="AF290" i="2"/>
  <c r="G239" i="7"/>
  <c r="F239" i="7"/>
  <c r="A239" i="7"/>
  <c r="L239" i="7"/>
  <c r="B239" i="7"/>
  <c r="D239" i="7" s="1"/>
  <c r="I238" i="7"/>
  <c r="S238" i="7" s="1"/>
  <c r="AE290" i="2" l="1"/>
  <c r="AJ290" i="2"/>
  <c r="C239" i="7"/>
  <c r="J239" i="7" s="1"/>
  <c r="I239" i="7"/>
  <c r="S239" i="7" s="1"/>
  <c r="AG291" i="2" l="1"/>
  <c r="AI291" i="2" s="1"/>
  <c r="AH291" i="2" s="1"/>
  <c r="AF291" i="2"/>
  <c r="G240" i="7"/>
  <c r="H240" i="7"/>
  <c r="F240" i="7"/>
  <c r="A240" i="7"/>
  <c r="B240" i="7"/>
  <c r="D240" i="7" s="1"/>
  <c r="C240" i="7" s="1"/>
  <c r="J240" i="7" s="1"/>
  <c r="H241" i="7" s="1"/>
  <c r="L240" i="7"/>
  <c r="AE291" i="2" l="1"/>
  <c r="AJ291" i="2"/>
  <c r="I240" i="7"/>
  <c r="S240" i="7" s="1"/>
  <c r="G241" i="7"/>
  <c r="B241" i="7"/>
  <c r="D241" i="7" s="1"/>
  <c r="F241" i="7"/>
  <c r="L241" i="7"/>
  <c r="A241" i="7"/>
  <c r="AG292" i="2" l="1"/>
  <c r="AI292" i="2" s="1"/>
  <c r="AH292" i="2" s="1"/>
  <c r="AF292" i="2"/>
  <c r="C241" i="7"/>
  <c r="J241" i="7" s="1"/>
  <c r="H242" i="7" s="1"/>
  <c r="I241" i="7"/>
  <c r="S241" i="7" s="1"/>
  <c r="AE292" i="2" l="1"/>
  <c r="AJ292" i="2"/>
  <c r="G242" i="7"/>
  <c r="B242" i="7"/>
  <c r="D242" i="7" s="1"/>
  <c r="F242" i="7"/>
  <c r="A242" i="7"/>
  <c r="L242" i="7"/>
  <c r="AF293" i="2" l="1"/>
  <c r="AG293" i="2"/>
  <c r="AI293" i="2" s="1"/>
  <c r="AH293" i="2" s="1"/>
  <c r="C242" i="7"/>
  <c r="J242" i="7" s="1"/>
  <c r="I242" i="7"/>
  <c r="S242" i="7" s="1"/>
  <c r="AE293" i="2" l="1"/>
  <c r="AJ293" i="2"/>
  <c r="G243" i="7"/>
  <c r="H243" i="7"/>
  <c r="F243" i="7"/>
  <c r="B243" i="7"/>
  <c r="D243" i="7" s="1"/>
  <c r="C243" i="7" s="1"/>
  <c r="J243" i="7" s="1"/>
  <c r="H244" i="7" s="1"/>
  <c r="L243" i="7"/>
  <c r="A243" i="7"/>
  <c r="AF294" i="2" l="1"/>
  <c r="AG294" i="2"/>
  <c r="AI294" i="2" s="1"/>
  <c r="AH294" i="2" s="1"/>
  <c r="I243" i="7"/>
  <c r="S243" i="7" s="1"/>
  <c r="L244" i="7"/>
  <c r="F244" i="7"/>
  <c r="G244" i="7"/>
  <c r="B244" i="7"/>
  <c r="D244" i="7" s="1"/>
  <c r="C244" i="7" s="1"/>
  <c r="J244" i="7" s="1"/>
  <c r="H245" i="7" s="1"/>
  <c r="A244" i="7"/>
  <c r="AE294" i="2" l="1"/>
  <c r="AJ294" i="2"/>
  <c r="I244" i="7"/>
  <c r="S244" i="7" s="1"/>
  <c r="G245" i="7"/>
  <c r="F245" i="7"/>
  <c r="L245" i="7"/>
  <c r="A245" i="7"/>
  <c r="B245" i="7"/>
  <c r="D245" i="7" s="1"/>
  <c r="AG295" i="2" l="1"/>
  <c r="AI295" i="2" s="1"/>
  <c r="AH295" i="2" s="1"/>
  <c r="AF295" i="2"/>
  <c r="C245" i="7"/>
  <c r="J245" i="7" s="1"/>
  <c r="H246" i="7" s="1"/>
  <c r="I245" i="7"/>
  <c r="S245" i="7" s="1"/>
  <c r="AE295" i="2" l="1"/>
  <c r="AJ295" i="2"/>
  <c r="G246" i="7"/>
  <c r="F246" i="7"/>
  <c r="B246" i="7"/>
  <c r="D246" i="7" s="1"/>
  <c r="A246" i="7"/>
  <c r="L246" i="7"/>
  <c r="AF296" i="2" l="1"/>
  <c r="AG296" i="2"/>
  <c r="AI296" i="2" s="1"/>
  <c r="AH296" i="2" s="1"/>
  <c r="C246" i="7"/>
  <c r="J246" i="7" s="1"/>
  <c r="H247" i="7" s="1"/>
  <c r="I246" i="7"/>
  <c r="S246" i="7" s="1"/>
  <c r="AE296" i="2" l="1"/>
  <c r="AJ296" i="2"/>
  <c r="G247" i="7"/>
  <c r="F247" i="7"/>
  <c r="B247" i="7"/>
  <c r="D247" i="7" s="1"/>
  <c r="L247" i="7"/>
  <c r="A247" i="7"/>
  <c r="AG297" i="2" l="1"/>
  <c r="AI297" i="2" s="1"/>
  <c r="AH297" i="2" s="1"/>
  <c r="AF297" i="2"/>
  <c r="C247" i="7"/>
  <c r="J247" i="7" s="1"/>
  <c r="H248" i="7" s="1"/>
  <c r="I247" i="7"/>
  <c r="S247" i="7" s="1"/>
  <c r="AE297" i="2" l="1"/>
  <c r="AJ297" i="2"/>
  <c r="G248" i="7"/>
  <c r="A248" i="7"/>
  <c r="B248" i="7"/>
  <c r="D248" i="7" s="1"/>
  <c r="F248" i="7"/>
  <c r="L248" i="7"/>
  <c r="AG298" i="2" l="1"/>
  <c r="AI298" i="2" s="1"/>
  <c r="AH298" i="2" s="1"/>
  <c r="AF298" i="2"/>
  <c r="C248" i="7"/>
  <c r="J248" i="7" s="1"/>
  <c r="H249" i="7" s="1"/>
  <c r="I248" i="7"/>
  <c r="S248" i="7" s="1"/>
  <c r="AE298" i="2" l="1"/>
  <c r="AJ298" i="2"/>
  <c r="G249" i="7"/>
  <c r="B249" i="7"/>
  <c r="D249" i="7" s="1"/>
  <c r="C249" i="7" s="1"/>
  <c r="J249" i="7" s="1"/>
  <c r="H250" i="7" s="1"/>
  <c r="A249" i="7"/>
  <c r="L249" i="7"/>
  <c r="F249" i="7"/>
  <c r="AF299" i="2" l="1"/>
  <c r="AG299" i="2"/>
  <c r="AI299" i="2" s="1"/>
  <c r="AH299" i="2" s="1"/>
  <c r="I249" i="7"/>
  <c r="S249" i="7" s="1"/>
  <c r="G250" i="7"/>
  <c r="B250" i="7"/>
  <c r="D250" i="7" s="1"/>
  <c r="L250" i="7"/>
  <c r="F250" i="7"/>
  <c r="A250" i="7"/>
  <c r="AE299" i="2" l="1"/>
  <c r="AJ299" i="2"/>
  <c r="C250" i="7"/>
  <c r="J250" i="7" s="1"/>
  <c r="H251" i="7" s="1"/>
  <c r="I250" i="7"/>
  <c r="S250" i="7" s="1"/>
  <c r="AF300" i="2" l="1"/>
  <c r="AG300" i="2"/>
  <c r="AI300" i="2" s="1"/>
  <c r="AH300" i="2" s="1"/>
  <c r="AE300" i="2" s="1"/>
  <c r="G251" i="7"/>
  <c r="F251" i="7"/>
  <c r="L251" i="7"/>
  <c r="A251" i="7"/>
  <c r="B251" i="7"/>
  <c r="D251" i="7" s="1"/>
  <c r="C251" i="7" s="1"/>
  <c r="J251" i="7" s="1"/>
  <c r="H252" i="7" s="1"/>
  <c r="AJ300" i="2" l="1"/>
  <c r="AG301" i="2" s="1"/>
  <c r="AI301" i="2" s="1"/>
  <c r="AH301" i="2" s="1"/>
  <c r="G252" i="7"/>
  <c r="L252" i="7"/>
  <c r="B252" i="7"/>
  <c r="D252" i="7" s="1"/>
  <c r="A252" i="7"/>
  <c r="F252" i="7"/>
  <c r="I251" i="7"/>
  <c r="S251" i="7" s="1"/>
  <c r="AF301" i="2" l="1"/>
  <c r="AE301" i="2"/>
  <c r="AJ301" i="2"/>
  <c r="C252" i="7"/>
  <c r="J252" i="7" s="1"/>
  <c r="H253" i="7" s="1"/>
  <c r="I252" i="7"/>
  <c r="S252" i="7" s="1"/>
  <c r="AF302" i="2" l="1"/>
  <c r="AG302" i="2"/>
  <c r="AI302" i="2" s="1"/>
  <c r="AH302" i="2" s="1"/>
  <c r="G253" i="7"/>
  <c r="A253" i="7"/>
  <c r="F253" i="7"/>
  <c r="B253" i="7"/>
  <c r="D253" i="7" s="1"/>
  <c r="L253" i="7"/>
  <c r="AE302" i="2" l="1"/>
  <c r="AJ302" i="2"/>
  <c r="C253" i="7"/>
  <c r="J253" i="7" s="1"/>
  <c r="H254" i="7" s="1"/>
  <c r="I253" i="7"/>
  <c r="S253" i="7" s="1"/>
  <c r="AG303" i="2" l="1"/>
  <c r="AI303" i="2" s="1"/>
  <c r="AH303" i="2" s="1"/>
  <c r="AE303" i="2" s="1"/>
  <c r="AF303" i="2"/>
  <c r="G254" i="7"/>
  <c r="A254" i="7"/>
  <c r="F254" i="7"/>
  <c r="L254" i="7"/>
  <c r="B254" i="7"/>
  <c r="D254" i="7" s="1"/>
  <c r="C254" i="7" s="1"/>
  <c r="J254" i="7" s="1"/>
  <c r="H255" i="7" s="1"/>
  <c r="AJ303" i="2" l="1"/>
  <c r="AF304" i="2" s="1"/>
  <c r="G255" i="7"/>
  <c r="L255" i="7"/>
  <c r="A255" i="7"/>
  <c r="B255" i="7"/>
  <c r="D255" i="7" s="1"/>
  <c r="F255" i="7"/>
  <c r="I254" i="7"/>
  <c r="S254" i="7" s="1"/>
  <c r="AG304" i="2" l="1"/>
  <c r="AI304" i="2" s="1"/>
  <c r="AH304" i="2" s="1"/>
  <c r="AE304" i="2" s="1"/>
  <c r="C255" i="7"/>
  <c r="J255" i="7" s="1"/>
  <c r="H256" i="7" s="1"/>
  <c r="I255" i="7"/>
  <c r="S255" i="7" s="1"/>
  <c r="AJ304" i="2" l="1"/>
  <c r="AG305" i="2" s="1"/>
  <c r="AI305" i="2" s="1"/>
  <c r="AH305" i="2" s="1"/>
  <c r="AE305" i="2" s="1"/>
  <c r="G256" i="7"/>
  <c r="L256" i="7"/>
  <c r="B256" i="7"/>
  <c r="D256" i="7" s="1"/>
  <c r="C256" i="7" s="1"/>
  <c r="J256" i="7" s="1"/>
  <c r="H257" i="7" s="1"/>
  <c r="A256" i="7"/>
  <c r="F256" i="7"/>
  <c r="AF305" i="2" l="1"/>
  <c r="AJ305" i="2"/>
  <c r="G257" i="7"/>
  <c r="F257" i="7"/>
  <c r="L257" i="7"/>
  <c r="B257" i="7"/>
  <c r="D257" i="7" s="1"/>
  <c r="A257" i="7"/>
  <c r="I256" i="7"/>
  <c r="S256" i="7" s="1"/>
  <c r="AF306" i="2" l="1"/>
  <c r="AG306" i="2"/>
  <c r="AI306" i="2" s="1"/>
  <c r="AH306" i="2" s="1"/>
  <c r="AE306" i="2" s="1"/>
  <c r="C257" i="7"/>
  <c r="J257" i="7" s="1"/>
  <c r="H258" i="7" s="1"/>
  <c r="I257" i="7"/>
  <c r="S257" i="7" s="1"/>
  <c r="AJ306" i="2" l="1"/>
  <c r="AG307" i="2" s="1"/>
  <c r="AI307" i="2" s="1"/>
  <c r="AH307" i="2" s="1"/>
  <c r="AE307" i="2" s="1"/>
  <c r="G258" i="7"/>
  <c r="F258" i="7"/>
  <c r="B258" i="7"/>
  <c r="D258" i="7" s="1"/>
  <c r="C258" i="7" s="1"/>
  <c r="J258" i="7" s="1"/>
  <c r="H259" i="7" s="1"/>
  <c r="L258" i="7"/>
  <c r="A258" i="7"/>
  <c r="AF307" i="2" l="1"/>
  <c r="AJ307" i="2"/>
  <c r="AF308" i="2" s="1"/>
  <c r="I258" i="7"/>
  <c r="S258" i="7" s="1"/>
  <c r="G259" i="7"/>
  <c r="B259" i="7"/>
  <c r="D259" i="7" s="1"/>
  <c r="F259" i="7"/>
  <c r="A259" i="7"/>
  <c r="L259" i="7"/>
  <c r="AG308" i="2" l="1"/>
  <c r="AI308" i="2" s="1"/>
  <c r="AH308" i="2" s="1"/>
  <c r="AE308" i="2" s="1"/>
  <c r="C259" i="7"/>
  <c r="J259" i="7" s="1"/>
  <c r="H260" i="7" s="1"/>
  <c r="I259" i="7"/>
  <c r="S259" i="7" s="1"/>
  <c r="AJ308" i="2" l="1"/>
  <c r="AF309" i="2" s="1"/>
  <c r="G260" i="7"/>
  <c r="L260" i="7"/>
  <c r="F260" i="7"/>
  <c r="B260" i="7"/>
  <c r="D260" i="7" s="1"/>
  <c r="C260" i="7" s="1"/>
  <c r="J260" i="7" s="1"/>
  <c r="H261" i="7" s="1"/>
  <c r="A260" i="7"/>
  <c r="AG309" i="2" l="1"/>
  <c r="AI309" i="2" s="1"/>
  <c r="AH309" i="2" s="1"/>
  <c r="AE309" i="2" s="1"/>
  <c r="G261" i="7"/>
  <c r="A261" i="7"/>
  <c r="F261" i="7"/>
  <c r="B261" i="7"/>
  <c r="D261" i="7" s="1"/>
  <c r="L261" i="7"/>
  <c r="I260" i="7"/>
  <c r="S260" i="7" s="1"/>
  <c r="AJ309" i="2" l="1"/>
  <c r="AF310" i="2" s="1"/>
  <c r="C261" i="7"/>
  <c r="J261" i="7" s="1"/>
  <c r="H262" i="7" s="1"/>
  <c r="I261" i="7"/>
  <c r="S261" i="7" s="1"/>
  <c r="AG310" i="2" l="1"/>
  <c r="AI310" i="2" s="1"/>
  <c r="AH310" i="2" s="1"/>
  <c r="AE310" i="2" s="1"/>
  <c r="G262" i="7"/>
  <c r="L262" i="7"/>
  <c r="A262" i="7"/>
  <c r="F262" i="7"/>
  <c r="B262" i="7"/>
  <c r="D262" i="7" s="1"/>
  <c r="C262" i="7" s="1"/>
  <c r="J262" i="7" s="1"/>
  <c r="H263" i="7" s="1"/>
  <c r="AJ310" i="2" l="1"/>
  <c r="AF311" i="2" s="1"/>
  <c r="G263" i="7"/>
  <c r="L263" i="7"/>
  <c r="B263" i="7"/>
  <c r="D263" i="7" s="1"/>
  <c r="F263" i="7"/>
  <c r="A263" i="7"/>
  <c r="I262" i="7"/>
  <c r="S262" i="7" s="1"/>
  <c r="AG311" i="2" l="1"/>
  <c r="AI311" i="2" s="1"/>
  <c r="AH311" i="2" s="1"/>
  <c r="AE311" i="2" s="1"/>
  <c r="C263" i="7"/>
  <c r="J263" i="7" s="1"/>
  <c r="H264" i="7" s="1"/>
  <c r="I263" i="7"/>
  <c r="S263" i="7" s="1"/>
  <c r="AJ311" i="2" l="1"/>
  <c r="AF312" i="2" s="1"/>
  <c r="G264" i="7"/>
  <c r="L264" i="7"/>
  <c r="F264" i="7"/>
  <c r="A264" i="7"/>
  <c r="B264" i="7"/>
  <c r="D264" i="7" s="1"/>
  <c r="AG312" i="2" l="1"/>
  <c r="AI312" i="2" s="1"/>
  <c r="AH312" i="2" s="1"/>
  <c r="AE312" i="2" s="1"/>
  <c r="C264" i="7"/>
  <c r="J264" i="7" s="1"/>
  <c r="I264" i="7"/>
  <c r="S264" i="7" s="1"/>
  <c r="AJ312" i="2" l="1"/>
  <c r="AG313" i="2" s="1"/>
  <c r="AI313" i="2" s="1"/>
  <c r="AH313" i="2" s="1"/>
  <c r="AE313" i="2" s="1"/>
  <c r="AF313" i="2"/>
  <c r="G265" i="7"/>
  <c r="H265" i="7"/>
  <c r="L265" i="7"/>
  <c r="B265" i="7"/>
  <c r="D265" i="7" s="1"/>
  <c r="F265" i="7"/>
  <c r="A265" i="7"/>
  <c r="AJ313" i="2" l="1"/>
  <c r="I265" i="7"/>
  <c r="S265" i="7" s="1"/>
  <c r="C265" i="7"/>
  <c r="J265" i="7" s="1"/>
  <c r="H266" i="7" s="1"/>
  <c r="AG314" i="2" l="1"/>
  <c r="AI314" i="2" s="1"/>
  <c r="AH314" i="2" s="1"/>
  <c r="AE314" i="2" s="1"/>
  <c r="AF314" i="2"/>
  <c r="G266" i="7"/>
  <c r="L266" i="7"/>
  <c r="B266" i="7"/>
  <c r="D266" i="7" s="1"/>
  <c r="A266" i="7"/>
  <c r="F266" i="7"/>
  <c r="AJ314" i="2" l="1"/>
  <c r="C266" i="7"/>
  <c r="J266" i="7" s="1"/>
  <c r="H267" i="7" s="1"/>
  <c r="I266" i="7"/>
  <c r="S266" i="7" s="1"/>
  <c r="AF315" i="2" l="1"/>
  <c r="AG315" i="2"/>
  <c r="AI315" i="2" s="1"/>
  <c r="AH315" i="2" s="1"/>
  <c r="AE315" i="2" s="1"/>
  <c r="F267" i="7"/>
  <c r="L267" i="7"/>
  <c r="G267" i="7"/>
  <c r="B267" i="7"/>
  <c r="D267" i="7" s="1"/>
  <c r="A267" i="7"/>
  <c r="AJ315" i="2" l="1"/>
  <c r="C267" i="7"/>
  <c r="J267" i="7" s="1"/>
  <c r="H268" i="7" s="1"/>
  <c r="I267" i="7"/>
  <c r="S267" i="7" s="1"/>
  <c r="AF316" i="2" l="1"/>
  <c r="AG316" i="2"/>
  <c r="AI316" i="2" s="1"/>
  <c r="AH316" i="2" s="1"/>
  <c r="AE316" i="2" s="1"/>
  <c r="A268" i="7"/>
  <c r="G268" i="7"/>
  <c r="B268" i="7"/>
  <c r="D268" i="7" s="1"/>
  <c r="F268" i="7"/>
  <c r="L268" i="7"/>
  <c r="AJ316" i="2" l="1"/>
  <c r="AF317" i="2" s="1"/>
  <c r="C268" i="7"/>
  <c r="J268" i="7" s="1"/>
  <c r="I268" i="7"/>
  <c r="S268" i="7" s="1"/>
  <c r="AG317" i="2" l="1"/>
  <c r="AI317" i="2" s="1"/>
  <c r="AH317" i="2" s="1"/>
  <c r="AE317" i="2" s="1"/>
  <c r="AJ317" i="2"/>
  <c r="A269" i="7"/>
  <c r="H269" i="7"/>
  <c r="G269" i="7"/>
  <c r="L269" i="7"/>
  <c r="B269" i="7"/>
  <c r="D269" i="7" s="1"/>
  <c r="C269" i="7" s="1"/>
  <c r="J269" i="7" s="1"/>
  <c r="H270" i="7" s="1"/>
  <c r="F269" i="7"/>
  <c r="AG318" i="2" l="1"/>
  <c r="AI318" i="2" s="1"/>
  <c r="AH318" i="2" s="1"/>
  <c r="AE318" i="2" s="1"/>
  <c r="AF318" i="2"/>
  <c r="I269" i="7"/>
  <c r="S269" i="7" s="1"/>
  <c r="G270" i="7"/>
  <c r="B270" i="7"/>
  <c r="D270" i="7" s="1"/>
  <c r="A270" i="7"/>
  <c r="L270" i="7"/>
  <c r="F270" i="7"/>
  <c r="AJ318" i="2" l="1"/>
  <c r="AG319" i="2" s="1"/>
  <c r="AI319" i="2" s="1"/>
  <c r="AH319" i="2" s="1"/>
  <c r="AE319" i="2" s="1"/>
  <c r="C270" i="7"/>
  <c r="J270" i="7" s="1"/>
  <c r="I270" i="7"/>
  <c r="S270" i="7" s="1"/>
  <c r="AF319" i="2" l="1"/>
  <c r="AJ319" i="2"/>
  <c r="AF320" i="2" s="1"/>
  <c r="L271" i="7"/>
  <c r="H271" i="7"/>
  <c r="G271" i="7"/>
  <c r="A271" i="7"/>
  <c r="B271" i="7"/>
  <c r="D271" i="7" s="1"/>
  <c r="F271" i="7"/>
  <c r="AG320" i="2" l="1"/>
  <c r="AI320" i="2" s="1"/>
  <c r="AH320" i="2" s="1"/>
  <c r="AE320" i="2" s="1"/>
  <c r="AJ320" i="2"/>
  <c r="I271" i="7"/>
  <c r="S271" i="7" s="1"/>
  <c r="C271" i="7"/>
  <c r="J271" i="7" s="1"/>
  <c r="H272" i="7" s="1"/>
  <c r="AG321" i="2" l="1"/>
  <c r="AI321" i="2" s="1"/>
  <c r="AH321" i="2" s="1"/>
  <c r="AE321" i="2" s="1"/>
  <c r="AF321" i="2"/>
  <c r="L272" i="7"/>
  <c r="B272" i="7"/>
  <c r="D272" i="7" s="1"/>
  <c r="C272" i="7" s="1"/>
  <c r="J272" i="7" s="1"/>
  <c r="G272" i="7"/>
  <c r="A272" i="7"/>
  <c r="F272" i="7"/>
  <c r="AJ321" i="2" l="1"/>
  <c r="F273" i="7"/>
  <c r="H273" i="7"/>
  <c r="I272" i="7"/>
  <c r="S272" i="7" s="1"/>
  <c r="A273" i="7"/>
  <c r="B273" i="7"/>
  <c r="D273" i="7" s="1"/>
  <c r="G273" i="7"/>
  <c r="L273" i="7"/>
  <c r="AG322" i="2" l="1"/>
  <c r="AI322" i="2" s="1"/>
  <c r="AH322" i="2" s="1"/>
  <c r="AE322" i="2" s="1"/>
  <c r="AF322" i="2"/>
  <c r="I273" i="7"/>
  <c r="S273" i="7" s="1"/>
  <c r="C273" i="7"/>
  <c r="J273" i="7" s="1"/>
  <c r="AJ322" i="2" l="1"/>
  <c r="A274" i="7"/>
  <c r="H274" i="7"/>
  <c r="B274" i="7"/>
  <c r="D274" i="7" s="1"/>
  <c r="G274" i="7"/>
  <c r="L274" i="7"/>
  <c r="F274" i="7"/>
  <c r="AF323" i="2" l="1"/>
  <c r="AG323" i="2"/>
  <c r="AI323" i="2" s="1"/>
  <c r="AH323" i="2" s="1"/>
  <c r="AE323" i="2" s="1"/>
  <c r="I274" i="7"/>
  <c r="S274" i="7" s="1"/>
  <c r="C274" i="7"/>
  <c r="J274" i="7" s="1"/>
  <c r="AJ323" i="2" l="1"/>
  <c r="F275" i="7"/>
  <c r="H275" i="7"/>
  <c r="L275" i="7"/>
  <c r="A275" i="7"/>
  <c r="G275" i="7"/>
  <c r="B275" i="7"/>
  <c r="D275" i="7" s="1"/>
  <c r="C275" i="7" s="1"/>
  <c r="J275" i="7" s="1"/>
  <c r="AG324" i="2" l="1"/>
  <c r="AI324" i="2" s="1"/>
  <c r="AH324" i="2" s="1"/>
  <c r="AE324" i="2" s="1"/>
  <c r="AF324" i="2"/>
  <c r="G276" i="7"/>
  <c r="H276" i="7"/>
  <c r="I275" i="7"/>
  <c r="S275" i="7" s="1"/>
  <c r="L276" i="7"/>
  <c r="F276" i="7"/>
  <c r="A276" i="7"/>
  <c r="B276" i="7"/>
  <c r="D276" i="7" s="1"/>
  <c r="C276" i="7" s="1"/>
  <c r="J276" i="7" s="1"/>
  <c r="AJ324" i="2" l="1"/>
  <c r="F277" i="7"/>
  <c r="H277" i="7"/>
  <c r="I276" i="7"/>
  <c r="S276" i="7" s="1"/>
  <c r="L277" i="7"/>
  <c r="G277" i="7"/>
  <c r="B277" i="7"/>
  <c r="D277" i="7" s="1"/>
  <c r="C277" i="7" s="1"/>
  <c r="J277" i="7" s="1"/>
  <c r="H278" i="7" s="1"/>
  <c r="A277" i="7"/>
  <c r="AG325" i="2" l="1"/>
  <c r="AI325" i="2" s="1"/>
  <c r="AH325" i="2" s="1"/>
  <c r="AE325" i="2" s="1"/>
  <c r="AF325" i="2"/>
  <c r="I277" i="7"/>
  <c r="S277" i="7" s="1"/>
  <c r="A278" i="7"/>
  <c r="F278" i="7"/>
  <c r="L278" i="7"/>
  <c r="B278" i="7"/>
  <c r="D278" i="7" s="1"/>
  <c r="G278" i="7"/>
  <c r="AJ325" i="2" l="1"/>
  <c r="C278" i="7"/>
  <c r="J278" i="7" s="1"/>
  <c r="H279" i="7" s="1"/>
  <c r="I278" i="7"/>
  <c r="S278" i="7" s="1"/>
  <c r="AG326" i="2" l="1"/>
  <c r="AI326" i="2" s="1"/>
  <c r="AH326" i="2" s="1"/>
  <c r="AE326" i="2" s="1"/>
  <c r="AF326" i="2"/>
  <c r="L279" i="7"/>
  <c r="G279" i="7"/>
  <c r="A279" i="7"/>
  <c r="B279" i="7"/>
  <c r="D279" i="7" s="1"/>
  <c r="F279" i="7"/>
  <c r="AJ326" i="2" l="1"/>
  <c r="AF327" i="2" s="1"/>
  <c r="C279" i="7"/>
  <c r="J279" i="7" s="1"/>
  <c r="H280" i="7" s="1"/>
  <c r="I279" i="7"/>
  <c r="S279" i="7" s="1"/>
  <c r="AG327" i="2" l="1"/>
  <c r="AI327" i="2" s="1"/>
  <c r="AH327" i="2" s="1"/>
  <c r="AE327" i="2" s="1"/>
  <c r="AJ327" i="2"/>
  <c r="F280" i="7"/>
  <c r="A280" i="7"/>
  <c r="B280" i="7"/>
  <c r="D280" i="7" s="1"/>
  <c r="G280" i="7"/>
  <c r="L280" i="7"/>
  <c r="AG328" i="2" l="1"/>
  <c r="AI328" i="2" s="1"/>
  <c r="AH328" i="2" s="1"/>
  <c r="AE328" i="2" s="1"/>
  <c r="AF328" i="2"/>
  <c r="C280" i="7"/>
  <c r="J280" i="7" s="1"/>
  <c r="I280" i="7"/>
  <c r="S280" i="7" s="1"/>
  <c r="AJ328" i="2" l="1"/>
  <c r="AF329" i="2" s="1"/>
  <c r="G281" i="7"/>
  <c r="H281" i="7"/>
  <c r="B281" i="7"/>
  <c r="D281" i="7" s="1"/>
  <c r="F281" i="7"/>
  <c r="A281" i="7"/>
  <c r="L281" i="7"/>
  <c r="AG329" i="2" l="1"/>
  <c r="AI329" i="2" s="1"/>
  <c r="AH329" i="2" s="1"/>
  <c r="AE329" i="2" s="1"/>
  <c r="I281" i="7"/>
  <c r="S281" i="7" s="1"/>
  <c r="C281" i="7"/>
  <c r="J281" i="7" s="1"/>
  <c r="H282" i="7" s="1"/>
  <c r="AJ329" i="2" l="1"/>
  <c r="AF330" i="2" s="1"/>
  <c r="AG330" i="2"/>
  <c r="AI330" i="2" s="1"/>
  <c r="AH330" i="2" s="1"/>
  <c r="AE330" i="2" s="1"/>
  <c r="L282" i="7"/>
  <c r="G282" i="7"/>
  <c r="B282" i="7"/>
  <c r="D282" i="7" s="1"/>
  <c r="F282" i="7"/>
  <c r="A282" i="7"/>
  <c r="AJ330" i="2" l="1"/>
  <c r="AG331" i="2" s="1"/>
  <c r="AI331" i="2" s="1"/>
  <c r="AH331" i="2" s="1"/>
  <c r="I282" i="7"/>
  <c r="S282" i="7" s="1"/>
  <c r="C282" i="7"/>
  <c r="J282" i="7" s="1"/>
  <c r="AF331" i="2" l="1"/>
  <c r="AE331" i="2"/>
  <c r="AJ331" i="2"/>
  <c r="AG332" i="2" s="1"/>
  <c r="AI332" i="2" s="1"/>
  <c r="AH332" i="2" s="1"/>
  <c r="AE332" i="2" s="1"/>
  <c r="L283" i="7"/>
  <c r="H283" i="7"/>
  <c r="B283" i="7"/>
  <c r="D283" i="7" s="1"/>
  <c r="C283" i="7" s="1"/>
  <c r="J283" i="7" s="1"/>
  <c r="G283" i="7"/>
  <c r="F283" i="7"/>
  <c r="A283" i="7"/>
  <c r="AJ332" i="2" l="1"/>
  <c r="AF332" i="2"/>
  <c r="AG333" i="2"/>
  <c r="AI333" i="2" s="1"/>
  <c r="AH333" i="2" s="1"/>
  <c r="AE333" i="2" s="1"/>
  <c r="F284" i="7"/>
  <c r="H284" i="7"/>
  <c r="I283" i="7"/>
  <c r="S283" i="7" s="1"/>
  <c r="L284" i="7"/>
  <c r="G284" i="7"/>
  <c r="A284" i="7"/>
  <c r="B284" i="7"/>
  <c r="D284" i="7" s="1"/>
  <c r="C284" i="7" s="1"/>
  <c r="J284" i="7" s="1"/>
  <c r="H285" i="7" s="1"/>
  <c r="AF333" i="2" l="1"/>
  <c r="AJ333" i="2"/>
  <c r="AG334" i="2" s="1"/>
  <c r="AI334" i="2" s="1"/>
  <c r="AH334" i="2" s="1"/>
  <c r="AE334" i="2" s="1"/>
  <c r="A285" i="7"/>
  <c r="I284" i="7"/>
  <c r="S284" i="7" s="1"/>
  <c r="B285" i="7"/>
  <c r="D285" i="7" s="1"/>
  <c r="G285" i="7"/>
  <c r="F285" i="7"/>
  <c r="L285" i="7"/>
  <c r="AF334" i="2" l="1"/>
  <c r="AJ334" i="2"/>
  <c r="AG335" i="2" s="1"/>
  <c r="AI335" i="2" s="1"/>
  <c r="AH335" i="2" s="1"/>
  <c r="AE335" i="2" s="1"/>
  <c r="I285" i="7"/>
  <c r="S285" i="7" s="1"/>
  <c r="C285" i="7"/>
  <c r="J285" i="7" s="1"/>
  <c r="AF335" i="2" l="1"/>
  <c r="AJ335" i="2"/>
  <c r="A286" i="7"/>
  <c r="H286" i="7"/>
  <c r="L286" i="7"/>
  <c r="B286" i="7"/>
  <c r="D286" i="7" s="1"/>
  <c r="G286" i="7"/>
  <c r="F286" i="7"/>
  <c r="AG336" i="2" l="1"/>
  <c r="AI336" i="2" s="1"/>
  <c r="AH336" i="2" s="1"/>
  <c r="AE336" i="2" s="1"/>
  <c r="AF336" i="2"/>
  <c r="I286" i="7"/>
  <c r="S286" i="7" s="1"/>
  <c r="C286" i="7"/>
  <c r="J286" i="7" s="1"/>
  <c r="AJ336" i="2" l="1"/>
  <c r="A287" i="7"/>
  <c r="H287" i="7"/>
  <c r="F287" i="7"/>
  <c r="L287" i="7"/>
  <c r="B287" i="7"/>
  <c r="D287" i="7" s="1"/>
  <c r="C287" i="7" s="1"/>
  <c r="J287" i="7" s="1"/>
  <c r="G287" i="7"/>
  <c r="AG337" i="2" l="1"/>
  <c r="AI337" i="2" s="1"/>
  <c r="AH337" i="2" s="1"/>
  <c r="AE337" i="2" s="1"/>
  <c r="AF337" i="2"/>
  <c r="G288" i="7"/>
  <c r="H288" i="7"/>
  <c r="I287" i="7"/>
  <c r="S287" i="7" s="1"/>
  <c r="A288" i="7"/>
  <c r="B288" i="7"/>
  <c r="D288" i="7" s="1"/>
  <c r="L288" i="7"/>
  <c r="F288" i="7"/>
  <c r="AJ337" i="2" l="1"/>
  <c r="I288" i="7"/>
  <c r="S288" i="7" s="1"/>
  <c r="C288" i="7"/>
  <c r="J288" i="7" s="1"/>
  <c r="AF338" i="2" l="1"/>
  <c r="AG338" i="2"/>
  <c r="AI338" i="2" s="1"/>
  <c r="AH338" i="2" s="1"/>
  <c r="AE338" i="2" s="1"/>
  <c r="A289" i="7"/>
  <c r="H289" i="7"/>
  <c r="F289" i="7"/>
  <c r="G289" i="7"/>
  <c r="B289" i="7"/>
  <c r="D289" i="7" s="1"/>
  <c r="C289" i="7" s="1"/>
  <c r="J289" i="7" s="1"/>
  <c r="H290" i="7" s="1"/>
  <c r="L289" i="7"/>
  <c r="AJ338" i="2" l="1"/>
  <c r="G290" i="7"/>
  <c r="I289" i="7"/>
  <c r="S289" i="7" s="1"/>
  <c r="L290" i="7"/>
  <c r="F290" i="7"/>
  <c r="B290" i="7"/>
  <c r="D290" i="7" s="1"/>
  <c r="C290" i="7" s="1"/>
  <c r="J290" i="7" s="1"/>
  <c r="H291" i="7" s="1"/>
  <c r="A290" i="7"/>
  <c r="AG339" i="2" l="1"/>
  <c r="AI339" i="2" s="1"/>
  <c r="AH339" i="2" s="1"/>
  <c r="AE339" i="2" s="1"/>
  <c r="AF339" i="2"/>
  <c r="G291" i="7"/>
  <c r="F291" i="7"/>
  <c r="B291" i="7"/>
  <c r="D291" i="7" s="1"/>
  <c r="L291" i="7"/>
  <c r="A291" i="7"/>
  <c r="I290" i="7"/>
  <c r="S290" i="7" s="1"/>
  <c r="AJ339" i="2" l="1"/>
  <c r="AF340" i="2" s="1"/>
  <c r="I291" i="7"/>
  <c r="S291" i="7" s="1"/>
  <c r="C291" i="7"/>
  <c r="J291" i="7" s="1"/>
  <c r="AG340" i="2" l="1"/>
  <c r="AI340" i="2" s="1"/>
  <c r="AH340" i="2" s="1"/>
  <c r="AE340" i="2" s="1"/>
  <c r="AJ340" i="2"/>
  <c r="AF341" i="2" s="1"/>
  <c r="G292" i="7"/>
  <c r="H292" i="7"/>
  <c r="F292" i="7"/>
  <c r="B292" i="7"/>
  <c r="D292" i="7" s="1"/>
  <c r="C292" i="7" s="1"/>
  <c r="J292" i="7" s="1"/>
  <c r="H293" i="7" s="1"/>
  <c r="L292" i="7"/>
  <c r="A292" i="7"/>
  <c r="AG341" i="2" l="1"/>
  <c r="AI341" i="2" s="1"/>
  <c r="AH341" i="2" s="1"/>
  <c r="AE341" i="2" s="1"/>
  <c r="I292" i="7"/>
  <c r="S292" i="7" s="1"/>
  <c r="F293" i="7"/>
  <c r="A293" i="7"/>
  <c r="G293" i="7"/>
  <c r="B293" i="7"/>
  <c r="D293" i="7" s="1"/>
  <c r="C293" i="7" s="1"/>
  <c r="J293" i="7" s="1"/>
  <c r="H294" i="7" s="1"/>
  <c r="L293" i="7"/>
  <c r="AJ341" i="2" l="1"/>
  <c r="AF342" i="2" s="1"/>
  <c r="AG342" i="2"/>
  <c r="AI342" i="2" s="1"/>
  <c r="AH342" i="2" s="1"/>
  <c r="AE342" i="2" s="1"/>
  <c r="I293" i="7"/>
  <c r="S293" i="7" s="1"/>
  <c r="G294" i="7"/>
  <c r="A294" i="7"/>
  <c r="L294" i="7"/>
  <c r="F294" i="7"/>
  <c r="B294" i="7"/>
  <c r="D294" i="7" s="1"/>
  <c r="AJ342" i="2" l="1"/>
  <c r="AF343" i="2" s="1"/>
  <c r="C294" i="7"/>
  <c r="J294" i="7" s="1"/>
  <c r="H295" i="7" s="1"/>
  <c r="I294" i="7"/>
  <c r="S294" i="7" s="1"/>
  <c r="AG343" i="2" l="1"/>
  <c r="AI343" i="2" s="1"/>
  <c r="AH343" i="2" s="1"/>
  <c r="AE343" i="2" s="1"/>
  <c r="AJ343" i="2"/>
  <c r="L295" i="7"/>
  <c r="A295" i="7"/>
  <c r="G295" i="7"/>
  <c r="F295" i="7"/>
  <c r="B295" i="7"/>
  <c r="D295" i="7" s="1"/>
  <c r="AF344" i="2" l="1"/>
  <c r="AG344" i="2"/>
  <c r="AI344" i="2" s="1"/>
  <c r="AH344" i="2" s="1"/>
  <c r="AE344" i="2" s="1"/>
  <c r="C295" i="7"/>
  <c r="J295" i="7" s="1"/>
  <c r="H296" i="7" s="1"/>
  <c r="I295" i="7"/>
  <c r="S295" i="7" s="1"/>
  <c r="AJ344" i="2" l="1"/>
  <c r="G296" i="7"/>
  <c r="B296" i="7"/>
  <c r="D296" i="7" s="1"/>
  <c r="F296" i="7"/>
  <c r="A296" i="7"/>
  <c r="L296" i="7"/>
  <c r="AF345" i="2" l="1"/>
  <c r="AG345" i="2"/>
  <c r="AI345" i="2" s="1"/>
  <c r="AH345" i="2" s="1"/>
  <c r="AE345" i="2" s="1"/>
  <c r="C296" i="7"/>
  <c r="J296" i="7" s="1"/>
  <c r="I296" i="7"/>
  <c r="S296" i="7" s="1"/>
  <c r="AJ345" i="2" l="1"/>
  <c r="B297" i="7"/>
  <c r="D297" i="7" s="1"/>
  <c r="H297" i="7"/>
  <c r="L297" i="7"/>
  <c r="G297" i="7"/>
  <c r="F297" i="7"/>
  <c r="A297" i="7"/>
  <c r="AF346" i="2" l="1"/>
  <c r="AG346" i="2"/>
  <c r="AI346" i="2" s="1"/>
  <c r="AH346" i="2" s="1"/>
  <c r="AE346" i="2" s="1"/>
  <c r="C297" i="7"/>
  <c r="J297" i="7" s="1"/>
  <c r="B298" i="7" s="1"/>
  <c r="D298" i="7" s="1"/>
  <c r="C298" i="7" s="1"/>
  <c r="J298" i="7" s="1"/>
  <c r="H299" i="7" s="1"/>
  <c r="I297" i="7"/>
  <c r="S297" i="7" s="1"/>
  <c r="AJ346" i="2" l="1"/>
  <c r="G298" i="7"/>
  <c r="F298" i="7"/>
  <c r="A298" i="7"/>
  <c r="A299" i="7" s="1"/>
  <c r="L298" i="7"/>
  <c r="H298" i="7"/>
  <c r="F299" i="7"/>
  <c r="G299" i="7"/>
  <c r="B299" i="7"/>
  <c r="D299" i="7" s="1"/>
  <c r="C299" i="7" s="1"/>
  <c r="J299" i="7" s="1"/>
  <c r="H300" i="7" s="1"/>
  <c r="L299" i="7"/>
  <c r="AG347" i="2" l="1"/>
  <c r="AI347" i="2" s="1"/>
  <c r="AH347" i="2" s="1"/>
  <c r="AE347" i="2" s="1"/>
  <c r="AF347" i="2"/>
  <c r="I298" i="7"/>
  <c r="S298" i="7" s="1"/>
  <c r="I299" i="7"/>
  <c r="S299" i="7" s="1"/>
  <c r="G300" i="7"/>
  <c r="A300" i="7"/>
  <c r="F300" i="7"/>
  <c r="B300" i="7"/>
  <c r="D300" i="7" s="1"/>
  <c r="L300" i="7"/>
  <c r="AJ347" i="2" l="1"/>
  <c r="C300" i="7"/>
  <c r="J300" i="7" s="1"/>
  <c r="H301" i="7" s="1"/>
  <c r="I300" i="7"/>
  <c r="S300" i="7" s="1"/>
  <c r="AG348" i="2" l="1"/>
  <c r="AI348" i="2" s="1"/>
  <c r="AH348" i="2" s="1"/>
  <c r="AE348" i="2" s="1"/>
  <c r="AF348" i="2"/>
  <c r="AJ348" i="2"/>
  <c r="B301" i="7"/>
  <c r="D301" i="7" s="1"/>
  <c r="A301" i="7"/>
  <c r="F301" i="7"/>
  <c r="G301" i="7"/>
  <c r="L301" i="7"/>
  <c r="AF349" i="2" l="1"/>
  <c r="AG349" i="2"/>
  <c r="AI349" i="2" s="1"/>
  <c r="AH349" i="2" s="1"/>
  <c r="AE349" i="2" s="1"/>
  <c r="C301" i="7"/>
  <c r="J301" i="7" s="1"/>
  <c r="H302" i="7" s="1"/>
  <c r="I301" i="7"/>
  <c r="S301" i="7" s="1"/>
  <c r="AJ349" i="2" l="1"/>
  <c r="F302" i="7"/>
  <c r="G302" i="7"/>
  <c r="B302" i="7"/>
  <c r="D302" i="7" s="1"/>
  <c r="A302" i="7"/>
  <c r="L302" i="7"/>
  <c r="AF350" i="2" l="1"/>
  <c r="AG350" i="2"/>
  <c r="AI350" i="2" s="1"/>
  <c r="AH350" i="2" s="1"/>
  <c r="AE350" i="2" s="1"/>
  <c r="C302" i="7"/>
  <c r="J302" i="7" s="1"/>
  <c r="I302" i="7"/>
  <c r="AJ350" i="2" l="1"/>
  <c r="G303" i="7"/>
  <c r="H303" i="7"/>
  <c r="F303" i="7"/>
  <c r="B303" i="7"/>
  <c r="D303" i="7" s="1"/>
  <c r="C303" i="7" s="1"/>
  <c r="J303" i="7" s="1"/>
  <c r="H304" i="7" s="1"/>
  <c r="A303" i="7"/>
  <c r="L303" i="7"/>
  <c r="S302" i="7"/>
  <c r="AF351" i="2" l="1"/>
  <c r="AG351" i="2"/>
  <c r="AI351" i="2" s="1"/>
  <c r="AH351" i="2" s="1"/>
  <c r="AE351" i="2" s="1"/>
  <c r="I303" i="7"/>
  <c r="S303" i="7" s="1"/>
  <c r="G304" i="7"/>
  <c r="F304" i="7"/>
  <c r="B304" i="7"/>
  <c r="D304" i="7" s="1"/>
  <c r="A304" i="7"/>
  <c r="L304" i="7"/>
  <c r="AJ351" i="2" l="1"/>
  <c r="AF352" i="2" s="1"/>
  <c r="C304" i="7"/>
  <c r="J304" i="7" s="1"/>
  <c r="H305" i="7" s="1"/>
  <c r="I304" i="7"/>
  <c r="AG352" i="2" l="1"/>
  <c r="AI352" i="2" s="1"/>
  <c r="AH352" i="2" s="1"/>
  <c r="AE352" i="2" s="1"/>
  <c r="S304" i="7"/>
  <c r="B305" i="7"/>
  <c r="D305" i="7" s="1"/>
  <c r="F305" i="7"/>
  <c r="L305" i="7"/>
  <c r="G305" i="7"/>
  <c r="A305" i="7"/>
  <c r="AJ352" i="2" l="1"/>
  <c r="AF353" i="2" s="1"/>
  <c r="I305" i="7"/>
  <c r="S305" i="7" s="1"/>
  <c r="C305" i="7"/>
  <c r="J305" i="7" s="1"/>
  <c r="H306" i="7" s="1"/>
  <c r="AG353" i="2" l="1"/>
  <c r="AI353" i="2" s="1"/>
  <c r="AH353" i="2" s="1"/>
  <c r="AE353" i="2" s="1"/>
  <c r="AJ353" i="2"/>
  <c r="B306" i="7"/>
  <c r="D306" i="7" s="1"/>
  <c r="F306" i="7"/>
  <c r="G306" i="7"/>
  <c r="A306" i="7"/>
  <c r="L306" i="7"/>
  <c r="AG354" i="2" l="1"/>
  <c r="AI354" i="2" s="1"/>
  <c r="AH354" i="2" s="1"/>
  <c r="AE354" i="2" s="1"/>
  <c r="AF354" i="2"/>
  <c r="C306" i="7"/>
  <c r="J306" i="7" s="1"/>
  <c r="H307" i="7" s="1"/>
  <c r="I306" i="7"/>
  <c r="AJ354" i="2" l="1"/>
  <c r="AG355" i="2" s="1"/>
  <c r="AI355" i="2" s="1"/>
  <c r="AH355" i="2" s="1"/>
  <c r="AE355" i="2" s="1"/>
  <c r="S306" i="7"/>
  <c r="A307" i="7"/>
  <c r="B307" i="7"/>
  <c r="D307" i="7" s="1"/>
  <c r="G307" i="7"/>
  <c r="L307" i="7"/>
  <c r="F307" i="7"/>
  <c r="AF355" i="2" l="1"/>
  <c r="AJ355" i="2"/>
  <c r="AG356" i="2" s="1"/>
  <c r="AI356" i="2" s="1"/>
  <c r="AH356" i="2" s="1"/>
  <c r="AE356" i="2" s="1"/>
  <c r="I307" i="7"/>
  <c r="S307" i="7" s="1"/>
  <c r="C307" i="7"/>
  <c r="J307" i="7" s="1"/>
  <c r="H308" i="7" s="1"/>
  <c r="AF356" i="2" l="1"/>
  <c r="AJ356" i="2"/>
  <c r="AF357" i="2" s="1"/>
  <c r="A308" i="7"/>
  <c r="B308" i="7"/>
  <c r="D308" i="7" s="1"/>
  <c r="F308" i="7"/>
  <c r="G308" i="7"/>
  <c r="L308" i="7"/>
  <c r="AG357" i="2" l="1"/>
  <c r="AI357" i="2" s="1"/>
  <c r="AH357" i="2" s="1"/>
  <c r="AE357" i="2" s="1"/>
  <c r="AJ357" i="2"/>
  <c r="AF358" i="2" s="1"/>
  <c r="C308" i="7"/>
  <c r="J308" i="7" s="1"/>
  <c r="I308" i="7"/>
  <c r="S308" i="7" s="1"/>
  <c r="AG358" i="2" l="1"/>
  <c r="AI358" i="2" s="1"/>
  <c r="AH358" i="2" s="1"/>
  <c r="AE358" i="2" s="1"/>
  <c r="AJ358" i="2"/>
  <c r="B309" i="7"/>
  <c r="D309" i="7" s="1"/>
  <c r="C309" i="7" s="1"/>
  <c r="J309" i="7" s="1"/>
  <c r="H310" i="7" s="1"/>
  <c r="H309" i="7"/>
  <c r="G309" i="7"/>
  <c r="A309" i="7"/>
  <c r="L309" i="7"/>
  <c r="F309" i="7"/>
  <c r="AG359" i="2" l="1"/>
  <c r="AI359" i="2" s="1"/>
  <c r="AH359" i="2" s="1"/>
  <c r="AE359" i="2" s="1"/>
  <c r="AF359" i="2"/>
  <c r="I309" i="7"/>
  <c r="S309" i="7" s="1"/>
  <c r="L310" i="7"/>
  <c r="F310" i="7"/>
  <c r="G310" i="7"/>
  <c r="A310" i="7"/>
  <c r="B310" i="7"/>
  <c r="D310" i="7" s="1"/>
  <c r="C310" i="7" s="1"/>
  <c r="J310" i="7" s="1"/>
  <c r="H311" i="7" s="1"/>
  <c r="AJ359" i="2" l="1"/>
  <c r="I310" i="7"/>
  <c r="S310" i="7" s="1"/>
  <c r="A311" i="7"/>
  <c r="B311" i="7"/>
  <c r="D311" i="7" s="1"/>
  <c r="L311" i="7"/>
  <c r="G311" i="7"/>
  <c r="F311" i="7"/>
  <c r="AF360" i="2" l="1"/>
  <c r="AG360" i="2"/>
  <c r="AI360" i="2" s="1"/>
  <c r="AH360" i="2" s="1"/>
  <c r="AE360" i="2" s="1"/>
  <c r="C311" i="7"/>
  <c r="J311" i="7" s="1"/>
  <c r="H312" i="7" s="1"/>
  <c r="I311" i="7"/>
  <c r="S311" i="7" s="1"/>
  <c r="AJ360" i="2" l="1"/>
  <c r="G312" i="7"/>
  <c r="B312" i="7"/>
  <c r="D312" i="7" s="1"/>
  <c r="F312" i="7"/>
  <c r="A312" i="7"/>
  <c r="L312" i="7"/>
  <c r="AG361" i="2" l="1"/>
  <c r="AI361" i="2" s="1"/>
  <c r="AH361" i="2" s="1"/>
  <c r="AE361" i="2" s="1"/>
  <c r="AF361" i="2"/>
  <c r="AJ361" i="2"/>
  <c r="I312" i="7"/>
  <c r="S312" i="7" s="1"/>
  <c r="C312" i="7"/>
  <c r="J312" i="7" s="1"/>
  <c r="AF362" i="2" l="1"/>
  <c r="AG362" i="2"/>
  <c r="AI362" i="2" s="1"/>
  <c r="AH362" i="2" s="1"/>
  <c r="AE362" i="2" s="1"/>
  <c r="G313" i="7"/>
  <c r="H313" i="7"/>
  <c r="B313" i="7"/>
  <c r="D313" i="7" s="1"/>
  <c r="C313" i="7" s="1"/>
  <c r="J313" i="7" s="1"/>
  <c r="H314" i="7" s="1"/>
  <c r="F313" i="7"/>
  <c r="L313" i="7"/>
  <c r="A313" i="7"/>
  <c r="AJ362" i="2" l="1"/>
  <c r="AF363" i="2" s="1"/>
  <c r="I313" i="7"/>
  <c r="S313" i="7" s="1"/>
  <c r="G314" i="7"/>
  <c r="B314" i="7"/>
  <c r="D314" i="7" s="1"/>
  <c r="L314" i="7"/>
  <c r="A314" i="7"/>
  <c r="F314" i="7"/>
  <c r="AG363" i="2" l="1"/>
  <c r="AI363" i="2" s="1"/>
  <c r="AH363" i="2" s="1"/>
  <c r="AE363" i="2" s="1"/>
  <c r="AJ363" i="2"/>
  <c r="AG364" i="2" s="1"/>
  <c r="C314" i="7"/>
  <c r="J314" i="7" s="1"/>
  <c r="H315" i="7" s="1"/>
  <c r="I314" i="7"/>
  <c r="S314" i="7" s="1"/>
  <c r="AI364" i="2" l="1"/>
  <c r="AH364" i="2" s="1"/>
  <c r="AE364" i="2" s="1"/>
  <c r="AF364" i="2"/>
  <c r="AJ364" i="2"/>
  <c r="F315" i="7"/>
  <c r="B315" i="7"/>
  <c r="D315" i="7" s="1"/>
  <c r="G315" i="7"/>
  <c r="L315" i="7"/>
  <c r="A315" i="7"/>
  <c r="AF365" i="2" l="1"/>
  <c r="AG365" i="2"/>
  <c r="AI365" i="2" s="1"/>
  <c r="AH365" i="2" s="1"/>
  <c r="AE365" i="2" s="1"/>
  <c r="C315" i="7"/>
  <c r="J315" i="7" s="1"/>
  <c r="H316" i="7" s="1"/>
  <c r="I315" i="7"/>
  <c r="S315" i="7" s="1"/>
  <c r="AJ365" i="2" l="1"/>
  <c r="L316" i="7"/>
  <c r="F316" i="7"/>
  <c r="B316" i="7"/>
  <c r="D316" i="7" s="1"/>
  <c r="G316" i="7"/>
  <c r="A316" i="7"/>
  <c r="AF366" i="2" l="1"/>
  <c r="AG366" i="2"/>
  <c r="AI366" i="2" s="1"/>
  <c r="AH366" i="2" s="1"/>
  <c r="AE366" i="2" s="1"/>
  <c r="I316" i="7"/>
  <c r="S316" i="7" s="1"/>
  <c r="C316" i="7"/>
  <c r="J316" i="7" s="1"/>
  <c r="H317" i="7" s="1"/>
  <c r="AJ366" i="2" l="1"/>
  <c r="B317" i="7"/>
  <c r="D317" i="7" s="1"/>
  <c r="G317" i="7"/>
  <c r="A317" i="7"/>
  <c r="F317" i="7"/>
  <c r="L317" i="7"/>
  <c r="AG367" i="2" l="1"/>
  <c r="AI367" i="2" s="1"/>
  <c r="AH367" i="2" s="1"/>
  <c r="AE367" i="2" s="1"/>
  <c r="AF367" i="2"/>
  <c r="AJ367" i="2"/>
  <c r="I317" i="7"/>
  <c r="S317" i="7" s="1"/>
  <c r="C317" i="7"/>
  <c r="J317" i="7" s="1"/>
  <c r="AF368" i="2" l="1"/>
  <c r="AG368" i="2"/>
  <c r="AI368" i="2" s="1"/>
  <c r="AH368" i="2" s="1"/>
  <c r="AE368" i="2" s="1"/>
  <c r="F318" i="7"/>
  <c r="H318" i="7"/>
  <c r="G318" i="7"/>
  <c r="B318" i="7"/>
  <c r="D318" i="7" s="1"/>
  <c r="C318" i="7" s="1"/>
  <c r="J318" i="7" s="1"/>
  <c r="A318" i="7"/>
  <c r="L318" i="7"/>
  <c r="AJ368" i="2" l="1"/>
  <c r="AG369" i="2" s="1"/>
  <c r="AI369" i="2" s="1"/>
  <c r="AH369" i="2" s="1"/>
  <c r="AE369" i="2" s="1"/>
  <c r="L319" i="7"/>
  <c r="H319" i="7"/>
  <c r="G319" i="7"/>
  <c r="F319" i="7"/>
  <c r="I318" i="7"/>
  <c r="S318" i="7" s="1"/>
  <c r="A319" i="7"/>
  <c r="B319" i="7"/>
  <c r="D319" i="7" s="1"/>
  <c r="AF369" i="2" l="1"/>
  <c r="AJ369" i="2"/>
  <c r="I319" i="7"/>
  <c r="S319" i="7" s="1"/>
  <c r="C319" i="7"/>
  <c r="J319" i="7" s="1"/>
  <c r="A320" i="7" l="1"/>
  <c r="H320" i="7"/>
  <c r="G320" i="7"/>
  <c r="L320" i="7"/>
  <c r="B320" i="7"/>
  <c r="D320" i="7" s="1"/>
  <c r="C320" i="7" s="1"/>
  <c r="J320" i="7" s="1"/>
  <c r="F320" i="7"/>
  <c r="F321" i="7" l="1"/>
  <c r="H321" i="7"/>
  <c r="A321" i="7"/>
  <c r="B321" i="7"/>
  <c r="D321" i="7" s="1"/>
  <c r="I320" i="7"/>
  <c r="S320" i="7" s="1"/>
  <c r="L321" i="7"/>
  <c r="G321" i="7"/>
  <c r="I321" i="7" l="1"/>
  <c r="S321" i="7" s="1"/>
  <c r="C321" i="7"/>
  <c r="J321" i="7" s="1"/>
  <c r="G322" i="7" l="1"/>
  <c r="H322" i="7"/>
  <c r="A322" i="7"/>
  <c r="L322" i="7"/>
  <c r="B322" i="7"/>
  <c r="D322" i="7" s="1"/>
  <c r="C322" i="7" s="1"/>
  <c r="J322" i="7" s="1"/>
  <c r="H323" i="7" s="1"/>
  <c r="F322" i="7"/>
  <c r="I322" i="7" l="1"/>
  <c r="S322" i="7" s="1"/>
  <c r="G323" i="7"/>
  <c r="F323" i="7"/>
  <c r="A323" i="7"/>
  <c r="B323" i="7"/>
  <c r="D323" i="7" s="1"/>
  <c r="L323" i="7"/>
  <c r="C323" i="7" l="1"/>
  <c r="J323" i="7" s="1"/>
  <c r="H324" i="7" s="1"/>
  <c r="I323" i="7"/>
  <c r="S323" i="7" s="1"/>
  <c r="L324" i="7" l="1"/>
  <c r="G324" i="7"/>
  <c r="G326" i="7" s="1"/>
  <c r="A324" i="7"/>
  <c r="B324" i="7"/>
  <c r="F324" i="7"/>
  <c r="H326" i="7"/>
  <c r="B326" i="7" l="1"/>
  <c r="B21" i="7"/>
  <c r="F326" i="7"/>
  <c r="F21" i="7"/>
  <c r="D324" i="7"/>
  <c r="D326" i="7" s="1"/>
  <c r="C324" i="7" l="1"/>
  <c r="C21" i="7" s="1"/>
  <c r="D21" i="7"/>
  <c r="I324" i="7"/>
  <c r="J324" i="7"/>
  <c r="C326" i="7" l="1"/>
  <c r="S324" i="7"/>
  <c r="I19" i="7"/>
  <c r="I326" i="7"/>
  <c r="S21" i="7" l="1"/>
  <c r="C19" i="7" s="1"/>
  <c r="E65" i="2" s="1"/>
  <c r="S19" i="7"/>
  <c r="K87" i="2" l="1"/>
  <c r="F87" i="2"/>
  <c r="L87" i="2" l="1"/>
  <c r="D88" i="2" l="1"/>
  <c r="C88" i="2"/>
  <c r="B88" i="2"/>
  <c r="I88" i="2"/>
  <c r="J88" i="2"/>
  <c r="H88" i="2"/>
  <c r="E88" i="2" l="1"/>
  <c r="G88" i="2" s="1"/>
  <c r="F88" i="2" l="1"/>
  <c r="L88" i="2" s="1"/>
  <c r="K88" i="2"/>
  <c r="D89" i="2" l="1"/>
  <c r="C89" i="2"/>
  <c r="H89" i="2"/>
  <c r="I89" i="2"/>
  <c r="J89" i="2"/>
  <c r="B89" i="2"/>
  <c r="E89" i="2" l="1"/>
  <c r="G89" i="2" s="1"/>
  <c r="K89" i="2" l="1"/>
  <c r="F89" i="2"/>
  <c r="L89" i="2"/>
  <c r="D90" i="2" l="1"/>
  <c r="C90" i="2"/>
  <c r="B90" i="2"/>
  <c r="J90" i="2"/>
  <c r="I90" i="2"/>
  <c r="H90" i="2"/>
  <c r="E90" i="2" l="1"/>
  <c r="G90" i="2" s="1"/>
  <c r="F90" i="2" l="1"/>
  <c r="K90" i="2"/>
  <c r="L90" i="2"/>
  <c r="D91" i="2" l="1"/>
  <c r="C91" i="2"/>
  <c r="I91" i="2"/>
  <c r="H91" i="2"/>
  <c r="J91" i="2"/>
  <c r="B91" i="2"/>
  <c r="E91" i="2" l="1"/>
  <c r="G91" i="2" s="1"/>
  <c r="F91" i="2" l="1"/>
  <c r="L91" i="2" s="1"/>
  <c r="K91" i="2"/>
  <c r="D92" i="2" l="1"/>
  <c r="E92" i="2" s="1"/>
  <c r="C92" i="2"/>
  <c r="H92" i="2"/>
  <c r="J92" i="2"/>
  <c r="I92" i="2"/>
  <c r="B92" i="2"/>
  <c r="G92" i="2" l="1"/>
  <c r="F92" i="2" s="1"/>
  <c r="L92" i="2" s="1"/>
  <c r="D93" i="2" l="1"/>
  <c r="H93" i="2"/>
  <c r="B93" i="2"/>
  <c r="I93" i="2"/>
  <c r="C93" i="2"/>
  <c r="J93" i="2"/>
  <c r="K92" i="2"/>
  <c r="E93" i="2" l="1"/>
  <c r="G93" i="2" s="1"/>
  <c r="K93" i="2" l="1"/>
  <c r="F93" i="2"/>
  <c r="L93" i="2" s="1"/>
  <c r="D94" i="2" s="1"/>
  <c r="I94" i="2" l="1"/>
  <c r="C94" i="2"/>
  <c r="B94" i="2"/>
  <c r="J94" i="2"/>
  <c r="H94" i="2"/>
  <c r="E94" i="2"/>
  <c r="G94" i="2" s="1"/>
  <c r="F94" i="2" l="1"/>
  <c r="L94" i="2" s="1"/>
  <c r="D95" i="2" s="1"/>
  <c r="K94" i="2"/>
  <c r="B95" i="2" l="1"/>
  <c r="I95" i="2"/>
  <c r="C95" i="2"/>
  <c r="J95" i="2"/>
  <c r="H95" i="2"/>
  <c r="E95" i="2"/>
  <c r="G95" i="2" s="1"/>
  <c r="F95" i="2" l="1"/>
  <c r="L95" i="2" s="1"/>
  <c r="K95" i="2"/>
  <c r="J96" i="2" l="1"/>
  <c r="D96" i="2"/>
  <c r="H96" i="2"/>
  <c r="B96" i="2"/>
  <c r="I96" i="2"/>
  <c r="C96" i="2"/>
  <c r="E96" i="2" l="1"/>
  <c r="G96" i="2" s="1"/>
  <c r="F96" i="2" l="1"/>
  <c r="L96" i="2" s="1"/>
  <c r="K96" i="2"/>
  <c r="C97" i="2" l="1"/>
  <c r="J97" i="2"/>
  <c r="I97" i="2"/>
  <c r="B97" i="2"/>
  <c r="H97" i="2"/>
  <c r="D97" i="2"/>
  <c r="E97" i="2" l="1"/>
  <c r="G97" i="2" s="1"/>
  <c r="F97" i="2" l="1"/>
  <c r="L97" i="2" s="1"/>
  <c r="K97" i="2"/>
  <c r="D98" i="2" l="1"/>
  <c r="J98" i="2"/>
  <c r="I98" i="2"/>
  <c r="B98" i="2"/>
  <c r="H98" i="2"/>
  <c r="C98" i="2"/>
  <c r="E98" i="2" l="1"/>
  <c r="G98" i="2" s="1"/>
  <c r="F98" i="2" l="1"/>
  <c r="L98" i="2" s="1"/>
  <c r="K98" i="2"/>
  <c r="D99" i="2" l="1"/>
  <c r="C99" i="2"/>
  <c r="I99" i="2"/>
  <c r="J99" i="2"/>
  <c r="H99" i="2"/>
  <c r="B99" i="2"/>
  <c r="E99" i="2" l="1"/>
  <c r="G99" i="2" s="1"/>
  <c r="F99" i="2" l="1"/>
  <c r="L99" i="2" s="1"/>
  <c r="K99" i="2"/>
  <c r="D100" i="2" l="1"/>
  <c r="E100" i="2" s="1"/>
  <c r="G100" i="2" s="1"/>
  <c r="C100" i="2"/>
  <c r="J100" i="2"/>
  <c r="B100" i="2"/>
  <c r="I100" i="2"/>
  <c r="H100" i="2"/>
  <c r="F100" i="2" l="1"/>
  <c r="L100" i="2" s="1"/>
  <c r="K100" i="2"/>
  <c r="B101" i="2" l="1"/>
  <c r="D101" i="2"/>
  <c r="E101" i="2" s="1"/>
  <c r="G101" i="2" s="1"/>
  <c r="H101" i="2"/>
  <c r="C101" i="2"/>
  <c r="J101" i="2"/>
  <c r="I101" i="2"/>
  <c r="K101" i="2" l="1"/>
  <c r="F101" i="2"/>
  <c r="L101" i="2" s="1"/>
  <c r="D102" i="2" l="1"/>
  <c r="C102" i="2"/>
  <c r="J102" i="2"/>
  <c r="B102" i="2"/>
  <c r="H102" i="2"/>
  <c r="I102" i="2"/>
  <c r="E102" i="2" l="1"/>
  <c r="G102" i="2" s="1"/>
  <c r="F102" i="2" l="1"/>
  <c r="L102" i="2" s="1"/>
  <c r="K102" i="2"/>
  <c r="D103" i="2" l="1"/>
  <c r="C103" i="2"/>
  <c r="I103" i="2"/>
  <c r="B103" i="2"/>
  <c r="J103" i="2"/>
  <c r="H103" i="2"/>
  <c r="E103" i="2" l="1"/>
  <c r="G103" i="2" s="1"/>
  <c r="F103" i="2" l="1"/>
  <c r="L103" i="2" s="1"/>
  <c r="K103" i="2"/>
  <c r="D104" i="2" l="1"/>
  <c r="J104" i="2"/>
  <c r="H104" i="2"/>
  <c r="B104" i="2"/>
  <c r="I104" i="2"/>
  <c r="C104" i="2"/>
  <c r="E104" i="2" l="1"/>
  <c r="G104" i="2" s="1"/>
  <c r="F104" i="2" l="1"/>
  <c r="L104" i="2" s="1"/>
  <c r="K104" i="2"/>
  <c r="D105" i="2" l="1"/>
  <c r="E105" i="2" s="1"/>
  <c r="G105" i="2" s="1"/>
  <c r="C105" i="2"/>
  <c r="B105" i="2"/>
  <c r="H105" i="2"/>
  <c r="I105" i="2"/>
  <c r="J105" i="2"/>
  <c r="F105" i="2" l="1"/>
  <c r="L105" i="2" s="1"/>
  <c r="D106" i="2" s="1"/>
  <c r="K105" i="2"/>
  <c r="C106" i="2" l="1"/>
  <c r="J106" i="2"/>
  <c r="I106" i="2"/>
  <c r="B106" i="2"/>
  <c r="H106" i="2"/>
  <c r="E106" i="2"/>
  <c r="G106" i="2" s="1"/>
  <c r="F106" i="2" l="1"/>
  <c r="L106" i="2" s="1"/>
  <c r="K106" i="2"/>
  <c r="I107" i="2" l="1"/>
  <c r="D107" i="2"/>
  <c r="E107" i="2" s="1"/>
  <c r="G107" i="2" s="1"/>
  <c r="J107" i="2"/>
  <c r="C107" i="2"/>
  <c r="B107" i="2"/>
  <c r="H107" i="2"/>
  <c r="AA113" i="2"/>
  <c r="F107" i="2" l="1"/>
  <c r="L107" i="2" s="1"/>
  <c r="K107" i="2"/>
  <c r="AB113" i="2"/>
  <c r="Z113" i="2" s="1"/>
  <c r="D108" i="2" l="1"/>
  <c r="J108" i="2"/>
  <c r="B108" i="2"/>
  <c r="H108" i="2"/>
  <c r="C108" i="2"/>
  <c r="I108" i="2"/>
  <c r="E108" i="2" l="1"/>
  <c r="G108" i="2" s="1"/>
  <c r="F108" i="2" l="1"/>
  <c r="L108" i="2" s="1"/>
  <c r="K108" i="2"/>
  <c r="D109" i="2" l="1"/>
  <c r="I109" i="2"/>
  <c r="J109" i="2"/>
  <c r="C109" i="2"/>
  <c r="B109" i="2"/>
  <c r="H109" i="2"/>
  <c r="E109" i="2" l="1"/>
  <c r="G109" i="2" s="1"/>
  <c r="F109" i="2" l="1"/>
  <c r="L109" i="2" s="1"/>
  <c r="K109" i="2"/>
  <c r="H110" i="2" l="1"/>
  <c r="B110" i="2"/>
  <c r="I110" i="2"/>
  <c r="J110" i="2"/>
  <c r="D110" i="2"/>
  <c r="C110" i="2"/>
  <c r="E110" i="2" l="1"/>
  <c r="G110" i="2" s="1"/>
  <c r="F110" i="2" l="1"/>
  <c r="L110" i="2" s="1"/>
  <c r="K110" i="2"/>
  <c r="B111" i="2" l="1"/>
  <c r="I111" i="2"/>
  <c r="H111" i="2"/>
  <c r="D111" i="2"/>
  <c r="C111" i="2"/>
  <c r="J111" i="2"/>
  <c r="E111" i="2" l="1"/>
  <c r="G111" i="2" s="1"/>
  <c r="F111" i="2" l="1"/>
  <c r="L111" i="2" s="1"/>
  <c r="K111" i="2"/>
  <c r="B112" i="2" l="1"/>
  <c r="H112" i="2"/>
  <c r="I112" i="2"/>
  <c r="J112" i="2"/>
  <c r="C112" i="2"/>
  <c r="D112" i="2"/>
  <c r="E112" i="2" l="1"/>
  <c r="G112" i="2" s="1"/>
  <c r="F112" i="2" l="1"/>
  <c r="L112" i="2" s="1"/>
  <c r="K112" i="2"/>
  <c r="C113" i="2" l="1"/>
  <c r="J113" i="2"/>
  <c r="H113" i="2"/>
  <c r="B113" i="2"/>
  <c r="I113" i="2"/>
  <c r="D113" i="2"/>
  <c r="E113" i="2" l="1"/>
  <c r="G113" i="2" s="1"/>
  <c r="AA123" i="2"/>
  <c r="F113" i="2" l="1"/>
  <c r="L113" i="2" s="1"/>
  <c r="K113" i="2"/>
  <c r="B114" i="2" l="1"/>
  <c r="D114" i="2"/>
  <c r="C114" i="2"/>
  <c r="I114" i="2"/>
  <c r="J114" i="2"/>
  <c r="H114" i="2"/>
  <c r="AB123" i="2"/>
  <c r="Z123" i="2" s="1"/>
  <c r="E114" i="2" l="1"/>
  <c r="G114" i="2" s="1"/>
  <c r="F114" i="2" l="1"/>
  <c r="L114" i="2" s="1"/>
  <c r="K114" i="2"/>
  <c r="D115" i="2" l="1"/>
  <c r="H115" i="2"/>
  <c r="J115" i="2"/>
  <c r="C115" i="2"/>
  <c r="I115" i="2"/>
  <c r="B115" i="2"/>
  <c r="E115" i="2" l="1"/>
  <c r="G115" i="2" s="1"/>
  <c r="F115" i="2" l="1"/>
  <c r="L115" i="2" s="1"/>
  <c r="K115" i="2"/>
  <c r="C116" i="2" l="1"/>
  <c r="J116" i="2"/>
  <c r="B116" i="2"/>
  <c r="I116" i="2"/>
  <c r="H116" i="2"/>
  <c r="D116" i="2"/>
  <c r="E116" i="2" l="1"/>
  <c r="G116" i="2" s="1"/>
  <c r="F116" i="2" l="1"/>
  <c r="L116" i="2" s="1"/>
  <c r="K116" i="2"/>
  <c r="D117" i="2" l="1"/>
  <c r="E117" i="2" s="1"/>
  <c r="G117" i="2" s="1"/>
  <c r="F117" i="2" s="1"/>
  <c r="L117" i="2" s="1"/>
  <c r="J117" i="2"/>
  <c r="H117" i="2"/>
  <c r="B117" i="2"/>
  <c r="I117" i="2"/>
  <c r="C117" i="2"/>
  <c r="J118" i="2" l="1"/>
  <c r="D118" i="2"/>
  <c r="C118" i="2"/>
  <c r="I118" i="2"/>
  <c r="H118" i="2"/>
  <c r="B118" i="2"/>
  <c r="K117" i="2"/>
  <c r="E118" i="2" l="1"/>
  <c r="G118" i="2" s="1"/>
  <c r="F118" i="2" l="1"/>
  <c r="L118" i="2" s="1"/>
  <c r="K118" i="2"/>
  <c r="D119" i="2" l="1"/>
  <c r="C119" i="2"/>
  <c r="J119" i="2"/>
  <c r="H119" i="2"/>
  <c r="B119" i="2"/>
  <c r="I119" i="2"/>
  <c r="E119" i="2" l="1"/>
  <c r="G119" i="2" s="1"/>
  <c r="F119" i="2" l="1"/>
  <c r="L119" i="2" s="1"/>
  <c r="K119" i="2"/>
  <c r="D120" i="2" l="1"/>
  <c r="C120" i="2"/>
  <c r="J120" i="2"/>
  <c r="B120" i="2"/>
  <c r="H120" i="2"/>
  <c r="I120" i="2"/>
  <c r="E120" i="2" l="1"/>
  <c r="G120" i="2" s="1"/>
  <c r="F120" i="2" l="1"/>
  <c r="L120" i="2" s="1"/>
  <c r="K120" i="2"/>
  <c r="D121" i="2" l="1"/>
  <c r="E121" i="2" s="1"/>
  <c r="G121" i="2" s="1"/>
  <c r="C121" i="2"/>
  <c r="H121" i="2"/>
  <c r="J121" i="2"/>
  <c r="I121" i="2"/>
  <c r="B121" i="2"/>
  <c r="F121" i="2" l="1"/>
  <c r="L121" i="2" s="1"/>
  <c r="K121" i="2"/>
  <c r="D122" i="2" l="1"/>
  <c r="E122" i="2" s="1"/>
  <c r="G122" i="2" s="1"/>
  <c r="H122" i="2"/>
  <c r="C122" i="2"/>
  <c r="I122" i="2"/>
  <c r="J122" i="2"/>
  <c r="B122" i="2"/>
  <c r="F122" i="2" l="1"/>
  <c r="L122" i="2" s="1"/>
  <c r="K122" i="2"/>
  <c r="C123" i="2" l="1"/>
  <c r="H123" i="2"/>
  <c r="I123" i="2"/>
  <c r="B123" i="2"/>
  <c r="J123" i="2"/>
  <c r="D123" i="2"/>
  <c r="E123" i="2" s="1"/>
  <c r="G123" i="2" s="1"/>
  <c r="K123" i="2" l="1"/>
  <c r="F123" i="2"/>
  <c r="L123" i="2" s="1"/>
  <c r="I124" i="2" l="1"/>
  <c r="C124" i="2"/>
  <c r="D124" i="2"/>
  <c r="E124" i="2" s="1"/>
  <c r="G124" i="2" s="1"/>
  <c r="J124" i="2"/>
  <c r="H124" i="2"/>
  <c r="B124" i="2"/>
  <c r="F124" i="2" l="1"/>
  <c r="L124" i="2" s="1"/>
  <c r="K124" i="2"/>
  <c r="J125" i="2" l="1"/>
  <c r="C125" i="2"/>
  <c r="B125" i="2"/>
  <c r="D125" i="2"/>
  <c r="I125" i="2"/>
  <c r="H125" i="2"/>
  <c r="E125" i="2" l="1"/>
  <c r="G125" i="2" s="1"/>
  <c r="F125" i="2" l="1"/>
  <c r="L125" i="2" s="1"/>
  <c r="K125" i="2"/>
  <c r="D126" i="2" l="1"/>
  <c r="B126" i="2"/>
  <c r="J126" i="2"/>
  <c r="C126" i="2"/>
  <c r="I126" i="2"/>
  <c r="H126" i="2"/>
  <c r="E126" i="2" l="1"/>
  <c r="G126" i="2" s="1"/>
  <c r="F126" i="2" l="1"/>
  <c r="L126" i="2" s="1"/>
  <c r="K126" i="2"/>
  <c r="H127" i="2" l="1"/>
  <c r="D127" i="2"/>
  <c r="B127" i="2"/>
  <c r="C127" i="2"/>
  <c r="I127" i="2"/>
  <c r="J127" i="2"/>
  <c r="E127" i="2" l="1"/>
  <c r="G127" i="2" s="1"/>
  <c r="F127" i="2" l="1"/>
  <c r="L127" i="2" s="1"/>
  <c r="K127" i="2"/>
  <c r="D128" i="2" l="1"/>
  <c r="E128" i="2" s="1"/>
  <c r="G128" i="2" s="1"/>
  <c r="J128" i="2"/>
  <c r="C128" i="2"/>
  <c r="H128" i="2"/>
  <c r="I128" i="2"/>
  <c r="B128" i="2"/>
  <c r="F128" i="2" l="1"/>
  <c r="L128" i="2" s="1"/>
  <c r="K128" i="2"/>
  <c r="D129" i="2" l="1"/>
  <c r="C129" i="2"/>
  <c r="I129" i="2"/>
  <c r="B129" i="2"/>
  <c r="H129" i="2"/>
  <c r="J129" i="2"/>
  <c r="E129" i="2" l="1"/>
  <c r="G129" i="2" s="1"/>
  <c r="F129" i="2" l="1"/>
  <c r="L129" i="2" s="1"/>
  <c r="K129" i="2"/>
  <c r="D130" i="2" l="1"/>
  <c r="E130" i="2" s="1"/>
  <c r="G130" i="2" s="1"/>
  <c r="C130" i="2"/>
  <c r="H130" i="2"/>
  <c r="I130" i="2"/>
  <c r="B130" i="2"/>
  <c r="J130" i="2"/>
  <c r="F130" i="2" l="1"/>
  <c r="L130" i="2" s="1"/>
  <c r="K130" i="2"/>
  <c r="D131" i="2" l="1"/>
  <c r="E131" i="2" s="1"/>
  <c r="G131" i="2" s="1"/>
  <c r="C131" i="2"/>
  <c r="J131" i="2"/>
  <c r="I131" i="2"/>
  <c r="H131" i="2"/>
  <c r="B131" i="2"/>
  <c r="F131" i="2" l="1"/>
  <c r="L131" i="2" s="1"/>
  <c r="K131" i="2"/>
  <c r="D132" i="2" l="1"/>
  <c r="C132" i="2"/>
  <c r="J132" i="2"/>
  <c r="B132" i="2"/>
  <c r="H132" i="2"/>
  <c r="I132" i="2"/>
  <c r="E132" i="2" l="1"/>
  <c r="G132" i="2" s="1"/>
  <c r="F132" i="2" l="1"/>
  <c r="L132" i="2" s="1"/>
  <c r="K132" i="2"/>
  <c r="H133" i="2" l="1"/>
  <c r="D133" i="2"/>
  <c r="E133" i="2" s="1"/>
  <c r="G133" i="2" s="1"/>
  <c r="C133" i="2"/>
  <c r="J133" i="2"/>
  <c r="I133" i="2"/>
  <c r="B133" i="2"/>
  <c r="F133" i="2" l="1"/>
  <c r="L133" i="2" s="1"/>
  <c r="K133" i="2"/>
  <c r="D134" i="2" l="1"/>
  <c r="E134" i="2" s="1"/>
  <c r="G134" i="2" s="1"/>
  <c r="C134" i="2"/>
  <c r="B134" i="2"/>
  <c r="H134" i="2"/>
  <c r="J134" i="2"/>
  <c r="I134" i="2"/>
  <c r="F134" i="2" l="1"/>
  <c r="L134" i="2" s="1"/>
  <c r="K134" i="2"/>
  <c r="B135" i="2" l="1"/>
  <c r="D135" i="2"/>
  <c r="E135" i="2" s="1"/>
  <c r="G135" i="2" s="1"/>
  <c r="C135" i="2"/>
  <c r="I135" i="2"/>
  <c r="J135" i="2"/>
  <c r="H135" i="2"/>
  <c r="F135" i="2" l="1"/>
  <c r="L135" i="2" s="1"/>
  <c r="K135" i="2"/>
  <c r="J136" i="2" l="1"/>
  <c r="D136" i="2"/>
  <c r="E136" i="2" s="1"/>
  <c r="G136" i="2" s="1"/>
  <c r="H136" i="2"/>
  <c r="C136" i="2"/>
  <c r="I136" i="2"/>
  <c r="B136" i="2"/>
  <c r="F136" i="2" l="1"/>
  <c r="L136" i="2" s="1"/>
  <c r="K136" i="2"/>
  <c r="D137" i="2" l="1"/>
  <c r="C137" i="2"/>
  <c r="H137" i="2"/>
  <c r="I137" i="2"/>
  <c r="J137" i="2"/>
  <c r="B137" i="2"/>
  <c r="E137" i="2" l="1"/>
  <c r="G137" i="2" s="1"/>
  <c r="F137" i="2" l="1"/>
  <c r="L137" i="2" s="1"/>
  <c r="K137" i="2"/>
  <c r="D138" i="2" l="1"/>
  <c r="E138" i="2" s="1"/>
  <c r="G138" i="2" s="1"/>
  <c r="H138" i="2"/>
  <c r="J138" i="2"/>
  <c r="C138" i="2"/>
  <c r="I138" i="2"/>
  <c r="B138" i="2"/>
  <c r="F138" i="2" l="1"/>
  <c r="L138" i="2" s="1"/>
  <c r="K138" i="2"/>
  <c r="C139" i="2" l="1"/>
  <c r="J139" i="2"/>
  <c r="B139" i="2"/>
  <c r="I139" i="2"/>
  <c r="H139" i="2"/>
  <c r="D139" i="2"/>
  <c r="E139" i="2" l="1"/>
  <c r="G139" i="2" s="1"/>
  <c r="F139" i="2" l="1"/>
  <c r="L139" i="2" s="1"/>
  <c r="K139" i="2"/>
  <c r="B140" i="2" l="1"/>
  <c r="D140" i="2"/>
  <c r="C140" i="2"/>
  <c r="I140" i="2"/>
  <c r="H140" i="2"/>
  <c r="J140" i="2"/>
  <c r="E140" i="2" l="1"/>
  <c r="G140" i="2" s="1"/>
  <c r="F140" i="2" l="1"/>
  <c r="L140" i="2" s="1"/>
  <c r="K140" i="2"/>
  <c r="B141" i="2" l="1"/>
  <c r="D141" i="2"/>
  <c r="E141" i="2" s="1"/>
  <c r="G141" i="2" s="1"/>
  <c r="C141" i="2"/>
  <c r="I141" i="2"/>
  <c r="H141" i="2"/>
  <c r="J141" i="2"/>
  <c r="F141" i="2" l="1"/>
  <c r="L141" i="2" s="1"/>
  <c r="K141" i="2"/>
  <c r="D142" i="2" l="1"/>
  <c r="J142" i="2"/>
  <c r="B142" i="2"/>
  <c r="C142" i="2"/>
  <c r="I142" i="2"/>
  <c r="H142" i="2"/>
  <c r="E142" i="2" l="1"/>
  <c r="G142" i="2" s="1"/>
  <c r="F142" i="2" l="1"/>
  <c r="L142" i="2" s="1"/>
  <c r="K142" i="2"/>
  <c r="D143" i="2" l="1"/>
  <c r="E143" i="2" s="1"/>
  <c r="G143" i="2" s="1"/>
  <c r="C143" i="2"/>
  <c r="H143" i="2"/>
  <c r="J143" i="2"/>
  <c r="B143" i="2"/>
  <c r="I143" i="2"/>
  <c r="F143" i="2" l="1"/>
  <c r="L143" i="2" s="1"/>
  <c r="K143" i="2"/>
  <c r="I144" i="2" l="1"/>
  <c r="D144" i="2"/>
  <c r="E144" i="2" s="1"/>
  <c r="G144" i="2" s="1"/>
  <c r="C144" i="2"/>
  <c r="J144" i="2"/>
  <c r="H144" i="2"/>
  <c r="B144" i="2"/>
  <c r="F144" i="2" l="1"/>
  <c r="L144" i="2" s="1"/>
  <c r="K144" i="2"/>
  <c r="C145" i="2" l="1"/>
  <c r="H145" i="2"/>
  <c r="B145" i="2"/>
  <c r="J145" i="2"/>
  <c r="I145" i="2"/>
  <c r="D145" i="2"/>
  <c r="E145" i="2" l="1"/>
  <c r="G145" i="2" s="1"/>
  <c r="K145" i="2" l="1"/>
  <c r="F145" i="2"/>
  <c r="L145" i="2" s="1"/>
  <c r="D146" i="2" l="1"/>
  <c r="E146" i="2" s="1"/>
  <c r="G146" i="2" s="1"/>
  <c r="F146" i="2" s="1"/>
  <c r="L146" i="2" s="1"/>
  <c r="B146" i="2"/>
  <c r="I146" i="2"/>
  <c r="H146" i="2"/>
  <c r="J146" i="2"/>
  <c r="C146" i="2"/>
  <c r="D147" i="2" l="1"/>
  <c r="E147" i="2" s="1"/>
  <c r="G147" i="2" s="1"/>
  <c r="F147" i="2" s="1"/>
  <c r="L147" i="2" s="1"/>
  <c r="C147" i="2"/>
  <c r="H147" i="2"/>
  <c r="I147" i="2"/>
  <c r="B147" i="2"/>
  <c r="J147" i="2"/>
  <c r="K146" i="2"/>
  <c r="J148" i="2" l="1"/>
  <c r="D148" i="2"/>
  <c r="C148" i="2"/>
  <c r="B148" i="2"/>
  <c r="H148" i="2"/>
  <c r="I148" i="2"/>
  <c r="K147" i="2"/>
  <c r="E148" i="2" l="1"/>
  <c r="G148" i="2" s="1"/>
  <c r="F148" i="2" l="1"/>
  <c r="L148" i="2" s="1"/>
  <c r="K148" i="2"/>
  <c r="D149" i="2" l="1"/>
  <c r="C149" i="2"/>
  <c r="I149" i="2"/>
  <c r="B149" i="2"/>
  <c r="H149" i="2"/>
  <c r="J149" i="2"/>
  <c r="E149" i="2" l="1"/>
  <c r="G149" i="2" s="1"/>
  <c r="F149" i="2" l="1"/>
  <c r="L149" i="2" s="1"/>
  <c r="K149" i="2"/>
  <c r="D150" i="2" l="1"/>
  <c r="C150" i="2"/>
  <c r="H150" i="2"/>
  <c r="B150" i="2"/>
  <c r="J150" i="2"/>
  <c r="I150" i="2"/>
  <c r="E150" i="2" l="1"/>
  <c r="G150" i="2" s="1"/>
  <c r="F150" i="2" l="1"/>
  <c r="L150" i="2" s="1"/>
  <c r="K150" i="2"/>
  <c r="D151" i="2" l="1"/>
  <c r="E151" i="2" s="1"/>
  <c r="G151" i="2" s="1"/>
  <c r="C151" i="2"/>
  <c r="J151" i="2"/>
  <c r="H151" i="2"/>
  <c r="B151" i="2"/>
  <c r="I151" i="2"/>
  <c r="F151" i="2" l="1"/>
  <c r="L151" i="2" s="1"/>
  <c r="K151" i="2"/>
  <c r="D152" i="2" l="1"/>
  <c r="C152" i="2"/>
  <c r="J152" i="2"/>
  <c r="H152" i="2"/>
  <c r="B152" i="2"/>
  <c r="I152" i="2"/>
  <c r="E152" i="2" l="1"/>
  <c r="G152" i="2" s="1"/>
  <c r="F152" i="2" l="1"/>
  <c r="L152" i="2" s="1"/>
  <c r="K152" i="2"/>
  <c r="D153" i="2" l="1"/>
  <c r="C153" i="2"/>
  <c r="B153" i="2"/>
  <c r="I153" i="2"/>
  <c r="J153" i="2"/>
  <c r="H153" i="2"/>
  <c r="E153" i="2" l="1"/>
  <c r="G153" i="2" s="1"/>
  <c r="F153" i="2" l="1"/>
  <c r="L153" i="2" s="1"/>
  <c r="K153" i="2"/>
  <c r="D154" i="2" l="1"/>
  <c r="J154" i="2"/>
  <c r="I154" i="2"/>
  <c r="B154" i="2"/>
  <c r="C154" i="2"/>
  <c r="H154" i="2"/>
  <c r="E154" i="2" l="1"/>
  <c r="G154" i="2" s="1"/>
  <c r="F154" i="2" l="1"/>
  <c r="L154" i="2" s="1"/>
  <c r="K154" i="2"/>
  <c r="D155" i="2" l="1"/>
  <c r="C155" i="2"/>
  <c r="I155" i="2"/>
  <c r="H155" i="2"/>
  <c r="B155" i="2"/>
  <c r="J155" i="2"/>
  <c r="E155" i="2" l="1"/>
  <c r="G155" i="2" s="1"/>
  <c r="F155" i="2" l="1"/>
  <c r="L155" i="2" s="1"/>
  <c r="K155" i="2"/>
  <c r="D156" i="2" l="1"/>
  <c r="E156" i="2" s="1"/>
  <c r="G156" i="2" s="1"/>
  <c r="C156" i="2"/>
  <c r="H156" i="2"/>
  <c r="B156" i="2"/>
  <c r="J156" i="2"/>
  <c r="I156" i="2"/>
  <c r="F156" i="2" l="1"/>
  <c r="L156" i="2" s="1"/>
  <c r="K156" i="2"/>
  <c r="D157" i="2" l="1"/>
  <c r="B157" i="2"/>
  <c r="C157" i="2"/>
  <c r="I157" i="2"/>
  <c r="J157" i="2"/>
  <c r="H157" i="2"/>
  <c r="E157" i="2" l="1"/>
  <c r="G157" i="2" s="1"/>
  <c r="F157" i="2" l="1"/>
  <c r="L157" i="2" s="1"/>
  <c r="K157" i="2"/>
  <c r="I158" i="2" l="1"/>
  <c r="H158" i="2"/>
  <c r="J158" i="2"/>
  <c r="C158" i="2"/>
  <c r="B158" i="2"/>
  <c r="D158" i="2"/>
  <c r="E158" i="2" l="1"/>
  <c r="G158" i="2" s="1"/>
  <c r="F158" i="2" l="1"/>
  <c r="L158" i="2" s="1"/>
  <c r="K158" i="2"/>
  <c r="B159" i="2" l="1"/>
  <c r="J159" i="2"/>
  <c r="H159" i="2"/>
  <c r="I159" i="2"/>
  <c r="C159" i="2"/>
  <c r="D159" i="2"/>
  <c r="E159" i="2" l="1"/>
  <c r="G159" i="2" s="1"/>
  <c r="F159" i="2" l="1"/>
  <c r="L159" i="2" s="1"/>
  <c r="K159" i="2"/>
  <c r="I160" i="2" l="1"/>
  <c r="D160" i="2"/>
  <c r="J160" i="2"/>
  <c r="H160" i="2"/>
  <c r="B160" i="2"/>
  <c r="C160" i="2"/>
  <c r="E160" i="2" l="1"/>
  <c r="G160" i="2" s="1"/>
  <c r="F160" i="2" l="1"/>
  <c r="L160" i="2" s="1"/>
  <c r="K160" i="2"/>
  <c r="D161" i="2" l="1"/>
  <c r="C161" i="2"/>
  <c r="B161" i="2"/>
  <c r="J161" i="2"/>
  <c r="H161" i="2"/>
  <c r="I161" i="2"/>
  <c r="E161" i="2" l="1"/>
  <c r="G161" i="2" s="1"/>
  <c r="F161" i="2" l="1"/>
  <c r="L161" i="2" s="1"/>
  <c r="K161" i="2"/>
  <c r="C162" i="2" l="1"/>
  <c r="H162" i="2"/>
  <c r="J162" i="2"/>
  <c r="I162" i="2"/>
  <c r="D162" i="2"/>
  <c r="B162" i="2"/>
  <c r="E162" i="2" l="1"/>
  <c r="G162" i="2" s="1"/>
  <c r="F162" i="2" l="1"/>
  <c r="L162" i="2" s="1"/>
  <c r="K162" i="2"/>
  <c r="C163" i="2" l="1"/>
  <c r="J163" i="2"/>
  <c r="I163" i="2"/>
  <c r="H163" i="2"/>
  <c r="B163" i="2"/>
  <c r="D163" i="2"/>
  <c r="E163" i="2" l="1"/>
  <c r="G163" i="2" s="1"/>
  <c r="F163" i="2" l="1"/>
  <c r="L163" i="2" s="1"/>
  <c r="K163" i="2"/>
  <c r="D164" i="2" l="1"/>
  <c r="C164" i="2"/>
  <c r="H164" i="2"/>
  <c r="J164" i="2"/>
  <c r="B164" i="2"/>
  <c r="I164" i="2"/>
  <c r="E164" i="2" l="1"/>
  <c r="G164" i="2" s="1"/>
  <c r="F164" i="2" l="1"/>
  <c r="L164" i="2" s="1"/>
  <c r="K164" i="2"/>
  <c r="C165" i="2" l="1"/>
  <c r="I165" i="2"/>
  <c r="J165" i="2"/>
  <c r="D165" i="2"/>
  <c r="H165" i="2"/>
  <c r="B165" i="2"/>
  <c r="E165" i="2" l="1"/>
  <c r="G165" i="2" s="1"/>
  <c r="F165" i="2" l="1"/>
  <c r="L165" i="2" s="1"/>
  <c r="K165" i="2"/>
  <c r="D166" i="2" l="1"/>
  <c r="C166" i="2"/>
  <c r="J166" i="2"/>
  <c r="H166" i="2"/>
  <c r="B166" i="2"/>
  <c r="I166" i="2"/>
  <c r="E166" i="2" l="1"/>
  <c r="G166" i="2" s="1"/>
  <c r="F166" i="2" l="1"/>
  <c r="L166" i="2" s="1"/>
  <c r="K166" i="2"/>
  <c r="D167" i="2" l="1"/>
  <c r="C167" i="2"/>
  <c r="I167" i="2"/>
  <c r="B167" i="2"/>
  <c r="J167" i="2"/>
  <c r="H167" i="2"/>
  <c r="E167" i="2" l="1"/>
  <c r="G167" i="2" s="1"/>
  <c r="F167" i="2" l="1"/>
  <c r="L167" i="2" s="1"/>
  <c r="K167" i="2"/>
  <c r="D168" i="2" l="1"/>
  <c r="C168" i="2"/>
  <c r="B168" i="2"/>
  <c r="I168" i="2"/>
  <c r="J168" i="2"/>
  <c r="H168" i="2"/>
  <c r="E168" i="2" l="1"/>
  <c r="G168" i="2" s="1"/>
  <c r="F168" i="2" l="1"/>
  <c r="L168" i="2" s="1"/>
  <c r="K168" i="2"/>
  <c r="D169" i="2" l="1"/>
  <c r="C169" i="2"/>
  <c r="B169" i="2"/>
  <c r="J169" i="2"/>
  <c r="I169" i="2"/>
  <c r="H169" i="2"/>
  <c r="E169" i="2" l="1"/>
  <c r="G169" i="2" s="1"/>
  <c r="F169" i="2" l="1"/>
  <c r="L169" i="2" s="1"/>
  <c r="K169" i="2"/>
  <c r="D170" i="2" l="1"/>
  <c r="C170" i="2"/>
  <c r="I170" i="2"/>
  <c r="B170" i="2"/>
  <c r="J170" i="2"/>
  <c r="H170" i="2"/>
  <c r="E170" i="2" l="1"/>
  <c r="G170" i="2" s="1"/>
  <c r="F170" i="2" l="1"/>
  <c r="L170" i="2" s="1"/>
  <c r="K170" i="2"/>
  <c r="D171" i="2" l="1"/>
  <c r="C171" i="2"/>
  <c r="B171" i="2"/>
  <c r="J171" i="2"/>
  <c r="H171" i="2"/>
  <c r="I171" i="2"/>
  <c r="E171" i="2" l="1"/>
  <c r="G171" i="2" s="1"/>
  <c r="F171" i="2" l="1"/>
  <c r="L171" i="2" s="1"/>
  <c r="K171" i="2"/>
  <c r="J172" i="2" l="1"/>
  <c r="D172" i="2"/>
  <c r="E172" i="2" s="1"/>
  <c r="G172" i="2" s="1"/>
  <c r="C172" i="2"/>
  <c r="I172" i="2"/>
  <c r="B172" i="2"/>
  <c r="H172" i="2"/>
  <c r="F172" i="2" l="1"/>
  <c r="L172" i="2" s="1"/>
  <c r="K172" i="2"/>
  <c r="J173" i="2" l="1"/>
  <c r="D173" i="2"/>
  <c r="E173" i="2" s="1"/>
  <c r="G173" i="2" s="1"/>
  <c r="C173" i="2"/>
  <c r="I173" i="2"/>
  <c r="B173" i="2"/>
  <c r="H173" i="2"/>
  <c r="F173" i="2" l="1"/>
  <c r="L173" i="2" s="1"/>
  <c r="K173" i="2"/>
  <c r="D174" i="2" l="1"/>
  <c r="C174" i="2"/>
  <c r="B174" i="2"/>
  <c r="H174" i="2"/>
  <c r="I174" i="2"/>
  <c r="J174" i="2"/>
  <c r="E174" i="2" l="1"/>
  <c r="G174" i="2" s="1"/>
  <c r="F174" i="2" l="1"/>
  <c r="L174" i="2" s="1"/>
  <c r="K174" i="2"/>
  <c r="D175" i="2" l="1"/>
  <c r="E175" i="2" s="1"/>
  <c r="G175" i="2" s="1"/>
  <c r="C175" i="2"/>
  <c r="H175" i="2"/>
  <c r="I175" i="2"/>
  <c r="J175" i="2"/>
  <c r="B175" i="2"/>
  <c r="F175" i="2" l="1"/>
  <c r="L175" i="2" s="1"/>
  <c r="K175" i="2"/>
  <c r="D176" i="2" l="1"/>
  <c r="I176" i="2"/>
  <c r="C176" i="2"/>
  <c r="H176" i="2"/>
  <c r="B176" i="2"/>
  <c r="J176" i="2"/>
  <c r="E176" i="2" l="1"/>
  <c r="G176" i="2" s="1"/>
  <c r="F176" i="2" l="1"/>
  <c r="L176" i="2" s="1"/>
  <c r="K176" i="2"/>
  <c r="B177" i="2" l="1"/>
  <c r="J177" i="2"/>
  <c r="H177" i="2"/>
  <c r="C177" i="2"/>
  <c r="D177" i="2"/>
  <c r="I177" i="2"/>
  <c r="E177" i="2" l="1"/>
  <c r="G177" i="2" s="1"/>
  <c r="K177" i="2" l="1"/>
  <c r="F177" i="2"/>
  <c r="L177" i="2" s="1"/>
  <c r="C178" i="2" l="1"/>
  <c r="B178" i="2"/>
  <c r="J178" i="2"/>
  <c r="I178" i="2"/>
  <c r="D178" i="2"/>
  <c r="H178" i="2"/>
  <c r="E178" i="2" l="1"/>
  <c r="G178" i="2" s="1"/>
  <c r="F178" i="2" l="1"/>
  <c r="L178" i="2" s="1"/>
  <c r="K178" i="2"/>
  <c r="B179" i="2" l="1"/>
  <c r="D179" i="2"/>
  <c r="E179" i="2" s="1"/>
  <c r="G179" i="2" s="1"/>
  <c r="C179" i="2"/>
  <c r="H179" i="2"/>
  <c r="J179" i="2"/>
  <c r="I179" i="2"/>
  <c r="F179" i="2" l="1"/>
  <c r="L179" i="2" s="1"/>
  <c r="K179" i="2"/>
  <c r="D180" i="2" l="1"/>
  <c r="C180" i="2"/>
  <c r="B180" i="2"/>
  <c r="H180" i="2"/>
  <c r="I180" i="2"/>
  <c r="J180" i="2"/>
  <c r="E180" i="2" l="1"/>
  <c r="G180" i="2" s="1"/>
  <c r="F180" i="2" l="1"/>
  <c r="L180" i="2" s="1"/>
  <c r="K180" i="2"/>
  <c r="I181" i="2" l="1"/>
  <c r="J181" i="2"/>
  <c r="B181" i="2"/>
  <c r="H181" i="2"/>
  <c r="C181" i="2"/>
  <c r="D181" i="2"/>
  <c r="E181" i="2" s="1"/>
  <c r="G181" i="2" l="1"/>
  <c r="F181" i="2" l="1"/>
  <c r="L181" i="2" s="1"/>
  <c r="K181" i="2"/>
  <c r="H182" i="2" l="1"/>
  <c r="J182" i="2"/>
  <c r="B182" i="2"/>
  <c r="I182" i="2"/>
  <c r="D182" i="2"/>
  <c r="C182" i="2"/>
  <c r="E182" i="2" l="1"/>
  <c r="G182" i="2" s="1"/>
  <c r="F182" i="2" l="1"/>
  <c r="L182" i="2" s="1"/>
  <c r="K182" i="2"/>
  <c r="B183" i="2" l="1"/>
  <c r="H183" i="2"/>
  <c r="C183" i="2"/>
  <c r="J183" i="2"/>
  <c r="I183" i="2"/>
  <c r="D183" i="2"/>
  <c r="E183" i="2" l="1"/>
  <c r="G183" i="2" s="1"/>
  <c r="K183" i="2" l="1"/>
  <c r="F183" i="2"/>
  <c r="L183" i="2" s="1"/>
  <c r="C184" i="2" l="1"/>
  <c r="I184" i="2"/>
  <c r="J184" i="2"/>
  <c r="D184" i="2"/>
  <c r="H184" i="2"/>
  <c r="B184" i="2"/>
  <c r="E184" i="2" l="1"/>
  <c r="G184" i="2" s="1"/>
  <c r="F184" i="2" l="1"/>
  <c r="L184" i="2" s="1"/>
  <c r="K184" i="2"/>
  <c r="D185" i="2" l="1"/>
  <c r="C185" i="2"/>
  <c r="J185" i="2"/>
  <c r="H185" i="2"/>
  <c r="B185" i="2"/>
  <c r="I185" i="2"/>
  <c r="E185" i="2" l="1"/>
  <c r="G185" i="2" s="1"/>
  <c r="F185" i="2" l="1"/>
  <c r="L185" i="2" s="1"/>
  <c r="K185" i="2"/>
  <c r="D186" i="2" l="1"/>
  <c r="C186" i="2"/>
  <c r="J186" i="2"/>
  <c r="I186" i="2"/>
  <c r="B186" i="2"/>
  <c r="H186" i="2"/>
  <c r="E186" i="2" l="1"/>
  <c r="G186" i="2" s="1"/>
  <c r="F186" i="2" l="1"/>
  <c r="L186" i="2" s="1"/>
  <c r="K186" i="2"/>
  <c r="D187" i="2" l="1"/>
  <c r="C187" i="2"/>
  <c r="B187" i="2"/>
  <c r="H187" i="2"/>
  <c r="J187" i="2"/>
  <c r="I187" i="2"/>
  <c r="E187" i="2" l="1"/>
  <c r="G187" i="2" s="1"/>
  <c r="F187" i="2" l="1"/>
  <c r="L187" i="2" s="1"/>
  <c r="K187" i="2"/>
  <c r="D188" i="2" l="1"/>
  <c r="C188" i="2"/>
  <c r="B188" i="2"/>
  <c r="H188" i="2"/>
  <c r="J188" i="2"/>
  <c r="I188" i="2"/>
  <c r="E188" i="2" l="1"/>
  <c r="G188" i="2" s="1"/>
  <c r="F188" i="2" l="1"/>
  <c r="L188" i="2" s="1"/>
  <c r="K188" i="2"/>
  <c r="D189" i="2" l="1"/>
  <c r="C189" i="2"/>
  <c r="J189" i="2"/>
  <c r="H189" i="2"/>
  <c r="I189" i="2"/>
  <c r="B189" i="2"/>
  <c r="E189" i="2" l="1"/>
  <c r="G189" i="2" s="1"/>
  <c r="F189" i="2" l="1"/>
  <c r="L189" i="2" s="1"/>
  <c r="K189" i="2"/>
  <c r="D190" i="2" l="1"/>
  <c r="C190" i="2"/>
  <c r="J190" i="2"/>
  <c r="H190" i="2"/>
  <c r="I190" i="2"/>
  <c r="B190" i="2"/>
  <c r="E190" i="2" l="1"/>
  <c r="G190" i="2" s="1"/>
  <c r="F190" i="2" l="1"/>
  <c r="L190" i="2" s="1"/>
  <c r="K190" i="2"/>
  <c r="D191" i="2" l="1"/>
  <c r="E191" i="2" s="1"/>
  <c r="G191" i="2" s="1"/>
  <c r="C191" i="2"/>
  <c r="J191" i="2"/>
  <c r="B191" i="2"/>
  <c r="I191" i="2"/>
  <c r="H191" i="2"/>
  <c r="F191" i="2" l="1"/>
  <c r="L191" i="2" s="1"/>
  <c r="K191" i="2"/>
  <c r="I192" i="2" l="1"/>
  <c r="D192" i="2"/>
  <c r="B192" i="2"/>
  <c r="J192" i="2"/>
  <c r="H192" i="2"/>
  <c r="C192" i="2"/>
  <c r="E192" i="2" l="1"/>
  <c r="G192" i="2" s="1"/>
  <c r="F192" i="2" l="1"/>
  <c r="L192" i="2" s="1"/>
  <c r="K192" i="2"/>
  <c r="B193" i="2" l="1"/>
  <c r="D193" i="2"/>
  <c r="E193" i="2" s="1"/>
  <c r="G193" i="2" s="1"/>
  <c r="J193" i="2"/>
  <c r="H193" i="2"/>
  <c r="C193" i="2"/>
  <c r="I193" i="2"/>
  <c r="K193" i="2" l="1"/>
  <c r="F193" i="2"/>
  <c r="L193" i="2" s="1"/>
  <c r="D194" i="2" l="1"/>
  <c r="C194" i="2"/>
  <c r="H194" i="2"/>
  <c r="J194" i="2"/>
  <c r="I194" i="2"/>
  <c r="B194" i="2"/>
  <c r="E194" i="2" l="1"/>
  <c r="G194" i="2" s="1"/>
  <c r="F194" i="2" l="1"/>
  <c r="L194" i="2" s="1"/>
  <c r="K194" i="2"/>
  <c r="D195" i="2" l="1"/>
  <c r="I195" i="2"/>
  <c r="H195" i="2"/>
  <c r="C195" i="2"/>
  <c r="J195" i="2"/>
  <c r="B195" i="2"/>
  <c r="E195" i="2" l="1"/>
  <c r="G195" i="2" s="1"/>
  <c r="F195" i="2" l="1"/>
  <c r="L195" i="2" s="1"/>
  <c r="K195" i="2"/>
  <c r="D196" i="2" l="1"/>
  <c r="C196" i="2"/>
  <c r="J196" i="2"/>
  <c r="B196" i="2"/>
  <c r="H196" i="2"/>
  <c r="I196" i="2"/>
  <c r="E196" i="2" l="1"/>
  <c r="G196" i="2" s="1"/>
  <c r="F196" i="2" l="1"/>
  <c r="L196" i="2" s="1"/>
  <c r="K196" i="2"/>
  <c r="D197" i="2" l="1"/>
  <c r="H197" i="2"/>
  <c r="C197" i="2"/>
  <c r="J197" i="2"/>
  <c r="I197" i="2"/>
  <c r="B197" i="2"/>
  <c r="E197" i="2" l="1"/>
  <c r="G197" i="2" s="1"/>
  <c r="F197" i="2" l="1"/>
  <c r="L197" i="2" s="1"/>
  <c r="K197" i="2"/>
  <c r="D198" i="2" l="1"/>
  <c r="I198" i="2"/>
  <c r="B198" i="2"/>
  <c r="J198" i="2"/>
  <c r="H198" i="2"/>
  <c r="C198" i="2"/>
  <c r="E198" i="2" l="1"/>
  <c r="G198" i="2" s="1"/>
  <c r="F198" i="2" l="1"/>
  <c r="L198" i="2" s="1"/>
  <c r="K198" i="2"/>
  <c r="D199" i="2" l="1"/>
  <c r="E199" i="2" s="1"/>
  <c r="G199" i="2" s="1"/>
  <c r="I199" i="2"/>
  <c r="C199" i="2"/>
  <c r="B199" i="2"/>
  <c r="J199" i="2"/>
  <c r="H199" i="2"/>
  <c r="K199" i="2" l="1"/>
  <c r="F199" i="2"/>
  <c r="L199" i="2" s="1"/>
  <c r="D200" i="2" l="1"/>
  <c r="J200" i="2"/>
  <c r="I200" i="2"/>
  <c r="B200" i="2"/>
  <c r="C200" i="2"/>
  <c r="H200" i="2"/>
  <c r="E200" i="2" l="1"/>
  <c r="G200" i="2" s="1"/>
  <c r="F200" i="2" l="1"/>
  <c r="L200" i="2" s="1"/>
  <c r="K200" i="2"/>
  <c r="D201" i="2" l="1"/>
  <c r="I201" i="2"/>
  <c r="J201" i="2"/>
  <c r="C201" i="2"/>
  <c r="B201" i="2"/>
  <c r="H201" i="2"/>
  <c r="E201" i="2" l="1"/>
  <c r="G201" i="2" s="1"/>
  <c r="F201" i="2" l="1"/>
  <c r="L201" i="2" s="1"/>
  <c r="K201" i="2"/>
  <c r="D202" i="2" l="1"/>
  <c r="C202" i="2"/>
  <c r="B202" i="2"/>
  <c r="H202" i="2"/>
  <c r="I202" i="2"/>
  <c r="J202" i="2"/>
  <c r="E202" i="2" l="1"/>
  <c r="G202" i="2" s="1"/>
  <c r="F202" i="2" l="1"/>
  <c r="L202" i="2" s="1"/>
  <c r="K202" i="2"/>
  <c r="D203" i="2" l="1"/>
  <c r="E203" i="2" s="1"/>
  <c r="G203" i="2" s="1"/>
  <c r="B203" i="2"/>
  <c r="H203" i="2"/>
  <c r="C203" i="2"/>
  <c r="I203" i="2"/>
  <c r="J203" i="2"/>
  <c r="K203" i="2" l="1"/>
  <c r="F203" i="2"/>
  <c r="L203" i="2" s="1"/>
  <c r="D204" i="2" l="1"/>
  <c r="B204" i="2"/>
  <c r="I204" i="2"/>
  <c r="C204" i="2"/>
  <c r="H204" i="2"/>
  <c r="J204" i="2"/>
  <c r="E204" i="2" l="1"/>
  <c r="G204" i="2" s="1"/>
  <c r="F204" i="2" l="1"/>
  <c r="L204" i="2" s="1"/>
  <c r="K204" i="2"/>
  <c r="D205" i="2" l="1"/>
  <c r="H205" i="2"/>
  <c r="J205" i="2"/>
  <c r="C205" i="2"/>
  <c r="I205" i="2"/>
  <c r="B205" i="2"/>
  <c r="E205" i="2" l="1"/>
  <c r="G205" i="2" s="1"/>
  <c r="F205" i="2" l="1"/>
  <c r="L205" i="2" s="1"/>
  <c r="K205" i="2"/>
  <c r="D206" i="2" l="1"/>
  <c r="E206" i="2" s="1"/>
  <c r="G206" i="2" s="1"/>
  <c r="F206" i="2" s="1"/>
  <c r="L206" i="2" s="1"/>
  <c r="J206" i="2"/>
  <c r="C206" i="2"/>
  <c r="H206" i="2"/>
  <c r="I206" i="2"/>
  <c r="B206" i="2"/>
  <c r="D207" i="2" l="1"/>
  <c r="C207" i="2"/>
  <c r="J207" i="2"/>
  <c r="B207" i="2"/>
  <c r="I207" i="2"/>
  <c r="H207" i="2"/>
  <c r="K206" i="2"/>
  <c r="E207" i="2" l="1"/>
  <c r="G207" i="2" s="1"/>
  <c r="F207" i="2" l="1"/>
  <c r="L207" i="2" s="1"/>
  <c r="K207" i="2"/>
  <c r="D208" i="2" l="1"/>
  <c r="H208" i="2"/>
  <c r="J208" i="2"/>
  <c r="C208" i="2"/>
  <c r="I208" i="2"/>
  <c r="B208" i="2"/>
  <c r="E208" i="2" l="1"/>
  <c r="G208" i="2" s="1"/>
  <c r="F208" i="2" l="1"/>
  <c r="L208" i="2" s="1"/>
  <c r="K208" i="2"/>
  <c r="B209" i="2" l="1"/>
  <c r="I209" i="2"/>
  <c r="D209" i="2"/>
  <c r="H209" i="2"/>
  <c r="J209" i="2"/>
  <c r="C209" i="2"/>
  <c r="E209" i="2" l="1"/>
  <c r="G209" i="2" s="1"/>
  <c r="F209" i="2" l="1"/>
  <c r="L209" i="2" s="1"/>
  <c r="K209" i="2"/>
  <c r="J210" i="2" l="1"/>
  <c r="I210" i="2"/>
  <c r="H210" i="2"/>
  <c r="B210" i="2"/>
  <c r="D210" i="2"/>
  <c r="C210" i="2"/>
  <c r="E210" i="2" l="1"/>
  <c r="G210" i="2" s="1"/>
  <c r="F210" i="2" l="1"/>
  <c r="L210" i="2" s="1"/>
  <c r="K210" i="2"/>
  <c r="D211" i="2" l="1"/>
  <c r="H211" i="2"/>
  <c r="J211" i="2"/>
  <c r="C211" i="2"/>
  <c r="I211" i="2"/>
  <c r="B211" i="2"/>
  <c r="E211" i="2" l="1"/>
  <c r="G211" i="2" s="1"/>
  <c r="F211" i="2" l="1"/>
  <c r="L211" i="2" s="1"/>
  <c r="K211" i="2"/>
  <c r="D212" i="2" l="1"/>
  <c r="B212" i="2"/>
  <c r="C212" i="2"/>
  <c r="H212" i="2"/>
  <c r="I212" i="2"/>
  <c r="J212" i="2"/>
  <c r="E212" i="2" l="1"/>
  <c r="G212" i="2" s="1"/>
  <c r="F212" i="2" l="1"/>
  <c r="L212" i="2" s="1"/>
  <c r="K212" i="2"/>
  <c r="D213" i="2" l="1"/>
  <c r="B213" i="2"/>
  <c r="C213" i="2"/>
  <c r="I213" i="2"/>
  <c r="H213" i="2"/>
  <c r="J213" i="2"/>
  <c r="E213" i="2" l="1"/>
  <c r="G213" i="2" s="1"/>
  <c r="F213" i="2" l="1"/>
  <c r="L213" i="2" s="1"/>
  <c r="K213" i="2"/>
  <c r="D214" i="2" l="1"/>
  <c r="C214" i="2"/>
  <c r="B214" i="2"/>
  <c r="H214" i="2"/>
  <c r="J214" i="2"/>
  <c r="I214" i="2"/>
  <c r="E214" i="2" l="1"/>
  <c r="G214" i="2" s="1"/>
  <c r="F214" i="2" l="1"/>
  <c r="L214" i="2" s="1"/>
  <c r="K214" i="2"/>
  <c r="D215" i="2" l="1"/>
  <c r="E215" i="2" s="1"/>
  <c r="G215" i="2" s="1"/>
  <c r="C215" i="2"/>
  <c r="I215" i="2"/>
  <c r="J215" i="2"/>
  <c r="H215" i="2"/>
  <c r="B215" i="2"/>
  <c r="K215" i="2" l="1"/>
  <c r="F215" i="2"/>
  <c r="L215" i="2" s="1"/>
  <c r="D216" i="2" l="1"/>
  <c r="B216" i="2"/>
  <c r="C216" i="2"/>
  <c r="J216" i="2"/>
  <c r="H216" i="2"/>
  <c r="I216" i="2"/>
  <c r="E216" i="2" l="1"/>
  <c r="G216" i="2" s="1"/>
  <c r="F216" i="2" l="1"/>
  <c r="L216" i="2" s="1"/>
  <c r="K216" i="2"/>
  <c r="D217" i="2" l="1"/>
  <c r="B217" i="2"/>
  <c r="J217" i="2"/>
  <c r="I217" i="2"/>
  <c r="H217" i="2"/>
  <c r="C217" i="2"/>
  <c r="E217" i="2" l="1"/>
  <c r="G217" i="2" s="1"/>
  <c r="F217" i="2" l="1"/>
  <c r="L217" i="2" s="1"/>
  <c r="K217" i="2"/>
  <c r="D218" i="2" l="1"/>
  <c r="C218" i="2"/>
  <c r="I218" i="2"/>
  <c r="J218" i="2"/>
  <c r="B218" i="2"/>
  <c r="H218" i="2"/>
  <c r="E218" i="2" l="1"/>
  <c r="G218" i="2" s="1"/>
  <c r="F218" i="2" l="1"/>
  <c r="L218" i="2" s="1"/>
  <c r="K218" i="2"/>
  <c r="D219" i="2" l="1"/>
  <c r="H219" i="2"/>
  <c r="C219" i="2"/>
  <c r="J219" i="2"/>
  <c r="B219" i="2"/>
  <c r="I219" i="2"/>
  <c r="E219" i="2" l="1"/>
  <c r="G219" i="2" s="1"/>
  <c r="F219" i="2" l="1"/>
  <c r="L219" i="2" s="1"/>
  <c r="K219" i="2"/>
  <c r="J220" i="2" l="1"/>
  <c r="D220" i="2"/>
  <c r="C220" i="2"/>
  <c r="I220" i="2"/>
  <c r="B220" i="2"/>
  <c r="H220" i="2"/>
  <c r="E220" i="2" l="1"/>
  <c r="G220" i="2" s="1"/>
  <c r="F220" i="2" l="1"/>
  <c r="L220" i="2" s="1"/>
  <c r="K220" i="2"/>
  <c r="D221" i="2" l="1"/>
  <c r="I221" i="2"/>
  <c r="B221" i="2"/>
  <c r="C221" i="2"/>
  <c r="H221" i="2"/>
  <c r="J221" i="2"/>
  <c r="E221" i="2" l="1"/>
  <c r="G221" i="2" s="1"/>
  <c r="F221" i="2" l="1"/>
  <c r="L221" i="2" s="1"/>
  <c r="K221" i="2"/>
  <c r="D222" i="2" l="1"/>
  <c r="I222" i="2"/>
  <c r="B222" i="2"/>
  <c r="C222" i="2"/>
  <c r="H222" i="2"/>
  <c r="J222" i="2"/>
  <c r="E222" i="2" l="1"/>
  <c r="G222" i="2" s="1"/>
  <c r="F222" i="2" l="1"/>
  <c r="L222" i="2" s="1"/>
  <c r="K222" i="2"/>
  <c r="D223" i="2" l="1"/>
  <c r="E223" i="2" s="1"/>
  <c r="G223" i="2" s="1"/>
  <c r="B223" i="2"/>
  <c r="J223" i="2"/>
  <c r="H223" i="2"/>
  <c r="I223" i="2"/>
  <c r="C223" i="2"/>
  <c r="K223" i="2" l="1"/>
  <c r="F223" i="2"/>
  <c r="L223" i="2" s="1"/>
  <c r="D224" i="2" l="1"/>
  <c r="E224" i="2" s="1"/>
  <c r="G224" i="2" s="1"/>
  <c r="C224" i="2"/>
  <c r="B224" i="2"/>
  <c r="J224" i="2"/>
  <c r="H224" i="2"/>
  <c r="I224" i="2"/>
  <c r="K224" i="2" l="1"/>
  <c r="F224" i="2"/>
  <c r="L224" i="2" s="1"/>
  <c r="D225" i="2" l="1"/>
  <c r="C225" i="2"/>
  <c r="H225" i="2"/>
  <c r="B225" i="2"/>
  <c r="J225" i="2"/>
  <c r="I225" i="2"/>
  <c r="E225" i="2" l="1"/>
  <c r="G225" i="2" s="1"/>
  <c r="F225" i="2" l="1"/>
  <c r="L225" i="2" s="1"/>
  <c r="K225" i="2"/>
  <c r="D226" i="2" l="1"/>
  <c r="H226" i="2"/>
  <c r="C226" i="2"/>
  <c r="J226" i="2"/>
  <c r="I226" i="2"/>
  <c r="B226" i="2"/>
  <c r="E226" i="2" l="1"/>
  <c r="G226" i="2" s="1"/>
  <c r="F226" i="2" l="1"/>
  <c r="L226" i="2" s="1"/>
  <c r="K226" i="2"/>
  <c r="D227" i="2" l="1"/>
  <c r="E227" i="2" s="1"/>
  <c r="G227" i="2" s="1"/>
  <c r="B227" i="2"/>
  <c r="C227" i="2"/>
  <c r="H227" i="2"/>
  <c r="I227" i="2"/>
  <c r="J227" i="2"/>
  <c r="K227" i="2" l="1"/>
  <c r="F227" i="2"/>
  <c r="L227" i="2" s="1"/>
  <c r="D228" i="2" l="1"/>
  <c r="J228" i="2"/>
  <c r="B228" i="2"/>
  <c r="C228" i="2"/>
  <c r="I228" i="2"/>
  <c r="H228" i="2"/>
  <c r="E228" i="2" l="1"/>
  <c r="G228" i="2" s="1"/>
  <c r="F228" i="2" l="1"/>
  <c r="L228" i="2" s="1"/>
  <c r="K228" i="2"/>
  <c r="D229" i="2" l="1"/>
  <c r="I229" i="2"/>
  <c r="B229" i="2"/>
  <c r="C229" i="2"/>
  <c r="H229" i="2"/>
  <c r="J229" i="2"/>
  <c r="E229" i="2" l="1"/>
  <c r="G229" i="2" s="1"/>
  <c r="F229" i="2" l="1"/>
  <c r="L229" i="2" s="1"/>
  <c r="K229" i="2"/>
  <c r="D230" i="2" l="1"/>
  <c r="E230" i="2" s="1"/>
  <c r="G230" i="2" s="1"/>
  <c r="C230" i="2"/>
  <c r="J230" i="2"/>
  <c r="B230" i="2"/>
  <c r="H230" i="2"/>
  <c r="I230" i="2"/>
  <c r="K230" i="2" l="1"/>
  <c r="F230" i="2"/>
  <c r="L230" i="2" s="1"/>
  <c r="D231" i="2" l="1"/>
  <c r="I231" i="2"/>
  <c r="H231" i="2"/>
  <c r="B231" i="2"/>
  <c r="J231" i="2"/>
  <c r="C231" i="2"/>
  <c r="E231" i="2" l="1"/>
  <c r="G231" i="2" s="1"/>
  <c r="F231" i="2" l="1"/>
  <c r="L231" i="2" s="1"/>
  <c r="K231" i="2"/>
  <c r="D232" i="2" l="1"/>
  <c r="E232" i="2" s="1"/>
  <c r="G232" i="2" s="1"/>
  <c r="C232" i="2"/>
  <c r="B232" i="2"/>
  <c r="I232" i="2"/>
  <c r="H232" i="2"/>
  <c r="J232" i="2"/>
  <c r="K232" i="2" l="1"/>
  <c r="F232" i="2"/>
  <c r="L232" i="2" s="1"/>
  <c r="D233" i="2" l="1"/>
  <c r="E233" i="2" s="1"/>
  <c r="G233" i="2" s="1"/>
  <c r="J233" i="2"/>
  <c r="B233" i="2"/>
  <c r="I233" i="2"/>
  <c r="H233" i="2"/>
  <c r="C233" i="2"/>
  <c r="K233" i="2" l="1"/>
  <c r="F233" i="2"/>
  <c r="L233" i="2" s="1"/>
  <c r="D234" i="2" l="1"/>
  <c r="C234" i="2"/>
  <c r="H234" i="2"/>
  <c r="I234" i="2"/>
  <c r="J234" i="2"/>
  <c r="B234" i="2"/>
  <c r="E234" i="2" l="1"/>
  <c r="G234" i="2" s="1"/>
  <c r="F234" i="2" l="1"/>
  <c r="L234" i="2" s="1"/>
  <c r="K234" i="2"/>
  <c r="D235" i="2" l="1"/>
  <c r="B235" i="2"/>
  <c r="I235" i="2"/>
  <c r="C235" i="2"/>
  <c r="J235" i="2"/>
  <c r="H235" i="2"/>
  <c r="E235" i="2" l="1"/>
  <c r="G235" i="2" s="1"/>
  <c r="F235" i="2" l="1"/>
  <c r="L235" i="2" s="1"/>
  <c r="K235" i="2"/>
  <c r="D236" i="2" l="1"/>
  <c r="E236" i="2" s="1"/>
  <c r="G236" i="2" s="1"/>
  <c r="B236" i="2"/>
  <c r="C236" i="2"/>
  <c r="J236" i="2"/>
  <c r="H236" i="2"/>
  <c r="I236" i="2"/>
  <c r="K236" i="2" l="1"/>
  <c r="F236" i="2"/>
  <c r="L236" i="2" s="1"/>
  <c r="D237" i="2" l="1"/>
  <c r="C237" i="2"/>
  <c r="J237" i="2"/>
  <c r="H237" i="2"/>
  <c r="B237" i="2"/>
  <c r="I237" i="2"/>
  <c r="E237" i="2" l="1"/>
  <c r="G237" i="2" s="1"/>
  <c r="F237" i="2" l="1"/>
  <c r="L237" i="2" s="1"/>
  <c r="K237" i="2"/>
  <c r="D238" i="2" l="1"/>
  <c r="C238" i="2"/>
  <c r="B238" i="2"/>
  <c r="I238" i="2"/>
  <c r="J238" i="2"/>
  <c r="H238" i="2"/>
  <c r="E238" i="2" l="1"/>
  <c r="G238" i="2" s="1"/>
  <c r="F238" i="2" l="1"/>
  <c r="L238" i="2" s="1"/>
  <c r="K238" i="2"/>
  <c r="D239" i="2" l="1"/>
  <c r="C239" i="2"/>
  <c r="B239" i="2"/>
  <c r="H239" i="2"/>
  <c r="J239" i="2"/>
  <c r="I239" i="2"/>
  <c r="E239" i="2" l="1"/>
  <c r="G239" i="2" s="1"/>
  <c r="F239" i="2" l="1"/>
  <c r="L239" i="2" s="1"/>
  <c r="K239" i="2"/>
  <c r="D240" i="2" l="1"/>
  <c r="E240" i="2" s="1"/>
  <c r="G240" i="2" s="1"/>
  <c r="B240" i="2"/>
  <c r="C240" i="2"/>
  <c r="H240" i="2"/>
  <c r="I240" i="2"/>
  <c r="J240" i="2"/>
  <c r="K240" i="2" l="1"/>
  <c r="F240" i="2"/>
  <c r="L240" i="2" s="1"/>
  <c r="D241" i="2" l="1"/>
  <c r="E241" i="2" s="1"/>
  <c r="G241" i="2" s="1"/>
  <c r="H241" i="2"/>
  <c r="J241" i="2"/>
  <c r="B241" i="2"/>
  <c r="C241" i="2"/>
  <c r="I241" i="2"/>
  <c r="K241" i="2" l="1"/>
  <c r="F241" i="2"/>
  <c r="L241" i="2" s="1"/>
  <c r="D242" i="2" l="1"/>
  <c r="B242" i="2"/>
  <c r="J242" i="2"/>
  <c r="H242" i="2"/>
  <c r="C242" i="2"/>
  <c r="I242" i="2"/>
  <c r="E242" i="2" l="1"/>
  <c r="G242" i="2" s="1"/>
  <c r="F242" i="2" l="1"/>
  <c r="L242" i="2" s="1"/>
  <c r="K242" i="2"/>
  <c r="D243" i="2" l="1"/>
  <c r="E243" i="2" s="1"/>
  <c r="G243" i="2" s="1"/>
  <c r="C243" i="2"/>
  <c r="J243" i="2"/>
  <c r="B243" i="2"/>
  <c r="I243" i="2"/>
  <c r="H243" i="2"/>
  <c r="K243" i="2" l="1"/>
  <c r="F243" i="2"/>
  <c r="L243" i="2" s="1"/>
  <c r="D244" i="2" l="1"/>
  <c r="C244" i="2"/>
  <c r="J244" i="2"/>
  <c r="B244" i="2"/>
  <c r="H244" i="2"/>
  <c r="I244" i="2"/>
  <c r="E244" i="2" l="1"/>
  <c r="G244" i="2" s="1"/>
  <c r="F244" i="2" l="1"/>
  <c r="L244" i="2" s="1"/>
  <c r="K244" i="2"/>
  <c r="D245" i="2" l="1"/>
  <c r="I245" i="2"/>
  <c r="H245" i="2"/>
  <c r="B245" i="2"/>
  <c r="C245" i="2"/>
  <c r="J245" i="2"/>
  <c r="E245" i="2" l="1"/>
  <c r="G245" i="2" s="1"/>
  <c r="F245" i="2" l="1"/>
  <c r="L245" i="2" s="1"/>
  <c r="K245" i="2"/>
  <c r="H246" i="2" l="1"/>
  <c r="C246" i="2"/>
  <c r="B246" i="2"/>
  <c r="I246" i="2"/>
  <c r="D246" i="2"/>
  <c r="J246" i="2"/>
  <c r="E246" i="2" l="1"/>
  <c r="G246" i="2" s="1"/>
  <c r="F246" i="2" l="1"/>
  <c r="L246" i="2" s="1"/>
  <c r="K246" i="2"/>
  <c r="H247" i="2" l="1"/>
  <c r="D247" i="2"/>
  <c r="E247" i="2" s="1"/>
  <c r="G247" i="2" s="1"/>
  <c r="B247" i="2"/>
  <c r="J247" i="2"/>
  <c r="I247" i="2"/>
  <c r="C247" i="2"/>
  <c r="F247" i="2" l="1"/>
  <c r="L247" i="2" s="1"/>
  <c r="K247" i="2"/>
  <c r="D248" i="2" l="1"/>
  <c r="E248" i="2" s="1"/>
  <c r="G248" i="2" s="1"/>
  <c r="I248" i="2"/>
  <c r="J248" i="2"/>
  <c r="C248" i="2"/>
  <c r="B248" i="2"/>
  <c r="H248" i="2"/>
  <c r="F248" i="2" l="1"/>
  <c r="L248" i="2" s="1"/>
  <c r="K248" i="2"/>
  <c r="D249" i="2" l="1"/>
  <c r="J249" i="2"/>
  <c r="C249" i="2"/>
  <c r="H249" i="2"/>
  <c r="I249" i="2"/>
  <c r="B249" i="2"/>
  <c r="E249" i="2" l="1"/>
  <c r="G249" i="2" s="1"/>
  <c r="F249" i="2" l="1"/>
  <c r="L249" i="2" s="1"/>
  <c r="K249" i="2"/>
  <c r="B250" i="2" l="1"/>
  <c r="D250" i="2"/>
  <c r="H250" i="2"/>
  <c r="I250" i="2"/>
  <c r="J250" i="2"/>
  <c r="C250" i="2"/>
  <c r="E250" i="2" l="1"/>
  <c r="G250" i="2" s="1"/>
  <c r="F250" i="2" l="1"/>
  <c r="L250" i="2" s="1"/>
  <c r="K250" i="2"/>
  <c r="C251" i="2" l="1"/>
  <c r="D251" i="2"/>
  <c r="B251" i="2"/>
  <c r="I251" i="2"/>
  <c r="H251" i="2"/>
  <c r="J251" i="2"/>
  <c r="E251" i="2" l="1"/>
  <c r="G251" i="2" s="1"/>
  <c r="F251" i="2" l="1"/>
  <c r="L251" i="2" s="1"/>
  <c r="K251" i="2"/>
  <c r="I252" i="2" l="1"/>
  <c r="J252" i="2"/>
  <c r="C252" i="2"/>
  <c r="H252" i="2"/>
  <c r="D252" i="2"/>
  <c r="B252" i="2"/>
  <c r="E252" i="2" l="1"/>
  <c r="G252" i="2" s="1"/>
  <c r="F252" i="2" l="1"/>
  <c r="L252" i="2" s="1"/>
  <c r="K252" i="2"/>
  <c r="B253" i="2" l="1"/>
  <c r="D253" i="2"/>
  <c r="E253" i="2" s="1"/>
  <c r="G253" i="2" s="1"/>
  <c r="I253" i="2"/>
  <c r="C253" i="2"/>
  <c r="H253" i="2"/>
  <c r="J253" i="2"/>
  <c r="K253" i="2" l="1"/>
  <c r="F253" i="2"/>
  <c r="L253" i="2" s="1"/>
  <c r="I254" i="2" l="1"/>
  <c r="H254" i="2"/>
  <c r="D254" i="2"/>
  <c r="C254" i="2"/>
  <c r="B254" i="2"/>
  <c r="J254" i="2"/>
  <c r="E254" i="2" l="1"/>
  <c r="G254" i="2" s="1"/>
  <c r="F254" i="2" l="1"/>
  <c r="L254" i="2" s="1"/>
  <c r="K254" i="2"/>
  <c r="I255" i="2" l="1"/>
  <c r="J255" i="2"/>
  <c r="D255" i="2"/>
  <c r="H255" i="2"/>
  <c r="C255" i="2"/>
  <c r="B255" i="2"/>
  <c r="E255" i="2" l="1"/>
  <c r="G255" i="2" s="1"/>
  <c r="F255" i="2" l="1"/>
  <c r="L255" i="2" s="1"/>
  <c r="K255" i="2"/>
  <c r="I256" i="2" l="1"/>
  <c r="D256" i="2"/>
  <c r="B256" i="2"/>
  <c r="J256" i="2"/>
  <c r="H256" i="2"/>
  <c r="C256" i="2"/>
  <c r="E256" i="2" l="1"/>
  <c r="G256" i="2" s="1"/>
  <c r="F256" i="2" l="1"/>
  <c r="L256" i="2" s="1"/>
  <c r="K256" i="2"/>
  <c r="B257" i="2" l="1"/>
  <c r="I257" i="2"/>
  <c r="J257" i="2"/>
  <c r="D257" i="2"/>
  <c r="H257" i="2"/>
  <c r="C257" i="2"/>
  <c r="E257" i="2" l="1"/>
  <c r="G257" i="2" s="1"/>
  <c r="F257" i="2" l="1"/>
  <c r="L257" i="2" s="1"/>
  <c r="K257" i="2"/>
  <c r="B258" i="2" l="1"/>
  <c r="D258" i="2"/>
  <c r="I258" i="2"/>
  <c r="C258" i="2"/>
  <c r="H258" i="2"/>
  <c r="J258" i="2"/>
  <c r="E258" i="2" l="1"/>
  <c r="G258" i="2" s="1"/>
  <c r="F258" i="2" l="1"/>
  <c r="L258" i="2" s="1"/>
  <c r="K258" i="2"/>
  <c r="J259" i="2" l="1"/>
  <c r="B259" i="2"/>
  <c r="I259" i="2"/>
  <c r="D259" i="2"/>
  <c r="C259" i="2"/>
  <c r="H259" i="2"/>
  <c r="E259" i="2" l="1"/>
  <c r="G259" i="2" s="1"/>
  <c r="F259" i="2" l="1"/>
  <c r="L259" i="2" s="1"/>
  <c r="K259" i="2"/>
  <c r="I260" i="2" l="1"/>
  <c r="D260" i="2"/>
  <c r="B260" i="2"/>
  <c r="J260" i="2"/>
  <c r="C260" i="2"/>
  <c r="H260" i="2"/>
  <c r="E260" i="2" l="1"/>
  <c r="G260" i="2" s="1"/>
  <c r="F260" i="2" l="1"/>
  <c r="L260" i="2" s="1"/>
  <c r="K260" i="2"/>
  <c r="H261" i="2" l="1"/>
  <c r="I261" i="2"/>
  <c r="D261" i="2"/>
  <c r="E261" i="2" s="1"/>
  <c r="G261" i="2" s="1"/>
  <c r="B261" i="2"/>
  <c r="C261" i="2"/>
  <c r="J261" i="2"/>
  <c r="K261" i="2" l="1"/>
  <c r="F261" i="2"/>
  <c r="L261" i="2" s="1"/>
  <c r="I262" i="2" l="1"/>
  <c r="C262" i="2"/>
  <c r="B262" i="2"/>
  <c r="H262" i="2"/>
  <c r="D262" i="2"/>
  <c r="E262" i="2" s="1"/>
  <c r="G262" i="2" s="1"/>
  <c r="J262" i="2"/>
  <c r="K262" i="2" l="1"/>
  <c r="F262" i="2"/>
  <c r="L262" i="2" s="1"/>
  <c r="H263" i="2" l="1"/>
  <c r="D263" i="2"/>
  <c r="J263" i="2"/>
  <c r="B263" i="2"/>
  <c r="C263" i="2"/>
  <c r="I263" i="2"/>
  <c r="E263" i="2" l="1"/>
  <c r="G263" i="2" s="1"/>
  <c r="F263" i="2" l="1"/>
  <c r="L263" i="2" s="1"/>
  <c r="K263" i="2"/>
  <c r="H264" i="2" l="1"/>
  <c r="I264" i="2"/>
  <c r="D264" i="2"/>
  <c r="C264" i="2"/>
  <c r="J264" i="2"/>
  <c r="B264" i="2"/>
  <c r="E264" i="2" l="1"/>
  <c r="G264" i="2" s="1"/>
  <c r="F264" i="2" l="1"/>
  <c r="L264" i="2" s="1"/>
  <c r="K264" i="2"/>
  <c r="H265" i="2" l="1"/>
  <c r="J265" i="2"/>
  <c r="B265" i="2"/>
  <c r="I265" i="2"/>
  <c r="D265" i="2"/>
  <c r="C265" i="2"/>
  <c r="E265" i="2" l="1"/>
  <c r="G265" i="2" s="1"/>
  <c r="F265" i="2" l="1"/>
  <c r="L265" i="2" s="1"/>
  <c r="K265" i="2"/>
  <c r="D266" i="2" l="1"/>
  <c r="B266" i="2"/>
  <c r="H266" i="2"/>
  <c r="J266" i="2"/>
  <c r="C266" i="2"/>
  <c r="I266" i="2"/>
  <c r="E266" i="2" l="1"/>
  <c r="G266" i="2" s="1"/>
  <c r="F266" i="2" l="1"/>
  <c r="L266" i="2" s="1"/>
  <c r="K266" i="2"/>
  <c r="J267" i="2" l="1"/>
  <c r="H267" i="2"/>
  <c r="B267" i="2"/>
  <c r="I267" i="2"/>
  <c r="C267" i="2"/>
  <c r="D267" i="2"/>
  <c r="E267" i="2" l="1"/>
  <c r="G267" i="2" s="1"/>
  <c r="F267" i="2" l="1"/>
  <c r="L267" i="2" s="1"/>
  <c r="K267" i="2"/>
  <c r="D268" i="2" l="1"/>
  <c r="I268" i="2"/>
  <c r="C268" i="2"/>
  <c r="J268" i="2"/>
  <c r="H268" i="2"/>
  <c r="B268" i="2"/>
  <c r="E268" i="2" l="1"/>
  <c r="G268" i="2" s="1"/>
  <c r="F268" i="2" l="1"/>
  <c r="L268" i="2" s="1"/>
  <c r="K268" i="2"/>
  <c r="D269" i="2" l="1"/>
  <c r="J269" i="2"/>
  <c r="C269" i="2"/>
  <c r="I269" i="2"/>
  <c r="H269" i="2"/>
  <c r="B269" i="2"/>
  <c r="E269" i="2" l="1"/>
  <c r="G269" i="2" s="1"/>
  <c r="F269" i="2" l="1"/>
  <c r="L269" i="2" s="1"/>
  <c r="K269" i="2"/>
  <c r="C270" i="2" l="1"/>
  <c r="I270" i="2"/>
  <c r="D270" i="2"/>
  <c r="J270" i="2"/>
  <c r="B270" i="2"/>
  <c r="H270" i="2"/>
  <c r="E270" i="2" l="1"/>
  <c r="G270" i="2" s="1"/>
  <c r="F270" i="2" l="1"/>
  <c r="L270" i="2" s="1"/>
  <c r="K270" i="2"/>
  <c r="D271" i="2" l="1"/>
  <c r="J271" i="2"/>
  <c r="I271" i="2"/>
  <c r="B271" i="2"/>
  <c r="H271" i="2"/>
  <c r="C271" i="2"/>
  <c r="E271" i="2" l="1"/>
  <c r="G271" i="2" s="1"/>
  <c r="F271" i="2" l="1"/>
  <c r="L271" i="2" s="1"/>
  <c r="K271" i="2"/>
  <c r="J272" i="2" l="1"/>
  <c r="H272" i="2"/>
  <c r="D272" i="2"/>
  <c r="C272" i="2"/>
  <c r="I272" i="2"/>
  <c r="B272" i="2"/>
  <c r="E272" i="2" l="1"/>
  <c r="G272" i="2" s="1"/>
  <c r="F272" i="2" l="1"/>
  <c r="L272" i="2" s="1"/>
  <c r="K272" i="2"/>
  <c r="J273" i="2" l="1"/>
  <c r="D273" i="2"/>
  <c r="E273" i="2" s="1"/>
  <c r="G273" i="2" s="1"/>
  <c r="H273" i="2"/>
  <c r="C273" i="2"/>
  <c r="B273" i="2"/>
  <c r="I273" i="2"/>
  <c r="K273" i="2" l="1"/>
  <c r="F273" i="2"/>
  <c r="L273" i="2" s="1"/>
  <c r="I274" i="2" l="1"/>
  <c r="B274" i="2"/>
  <c r="D274" i="2"/>
  <c r="H274" i="2"/>
  <c r="C274" i="2"/>
  <c r="J274" i="2"/>
  <c r="E274" i="2" l="1"/>
  <c r="G274" i="2" s="1"/>
  <c r="F274" i="2" l="1"/>
  <c r="L274" i="2" s="1"/>
  <c r="K274" i="2"/>
  <c r="D275" i="2" l="1"/>
  <c r="I275" i="2"/>
  <c r="H275" i="2"/>
  <c r="J275" i="2"/>
  <c r="C275" i="2"/>
  <c r="B275" i="2"/>
  <c r="E275" i="2" l="1"/>
  <c r="G275" i="2" s="1"/>
  <c r="F275" i="2" l="1"/>
  <c r="L275" i="2" s="1"/>
  <c r="K275" i="2"/>
  <c r="J276" i="2" l="1"/>
  <c r="D276" i="2"/>
  <c r="H276" i="2"/>
  <c r="C276" i="2"/>
  <c r="B276" i="2"/>
  <c r="I276" i="2"/>
  <c r="E276" i="2" l="1"/>
  <c r="G276" i="2" s="1"/>
  <c r="F276" i="2" l="1"/>
  <c r="L276" i="2" s="1"/>
  <c r="K276" i="2"/>
  <c r="H277" i="2" l="1"/>
  <c r="J277" i="2"/>
  <c r="D277" i="2"/>
  <c r="C277" i="2"/>
  <c r="B277" i="2"/>
  <c r="I277" i="2"/>
  <c r="E277" i="2" l="1"/>
  <c r="G277" i="2" s="1"/>
  <c r="F277" i="2" l="1"/>
  <c r="L277" i="2" s="1"/>
  <c r="K277" i="2"/>
  <c r="D278" i="2" l="1"/>
  <c r="E278" i="2" s="1"/>
  <c r="G278" i="2" s="1"/>
  <c r="C278" i="2"/>
  <c r="H278" i="2"/>
  <c r="B278" i="2"/>
  <c r="I278" i="2"/>
  <c r="J278" i="2"/>
  <c r="K278" i="2" l="1"/>
  <c r="F278" i="2"/>
  <c r="L278" i="2" s="1"/>
  <c r="I279" i="2" l="1"/>
  <c r="H279" i="2"/>
  <c r="J279" i="2"/>
  <c r="D279" i="2"/>
  <c r="B279" i="2"/>
  <c r="C279" i="2"/>
  <c r="E279" i="2" l="1"/>
  <c r="G279" i="2" s="1"/>
  <c r="F279" i="2" l="1"/>
  <c r="L279" i="2" s="1"/>
  <c r="K279" i="2"/>
  <c r="I280" i="2" l="1"/>
  <c r="H280" i="2"/>
  <c r="B280" i="2"/>
  <c r="D280" i="2"/>
  <c r="E280" i="2" s="1"/>
  <c r="G280" i="2" s="1"/>
  <c r="C280" i="2"/>
  <c r="J280" i="2"/>
  <c r="K280" i="2" l="1"/>
  <c r="F280" i="2"/>
  <c r="L280" i="2" s="1"/>
  <c r="D281" i="2" l="1"/>
  <c r="E281" i="2" s="1"/>
  <c r="G281" i="2" s="1"/>
  <c r="C281" i="2"/>
  <c r="J281" i="2"/>
  <c r="H281" i="2"/>
  <c r="I281" i="2"/>
  <c r="B281" i="2"/>
  <c r="K281" i="2" l="1"/>
  <c r="F281" i="2"/>
  <c r="L281" i="2" s="1"/>
  <c r="H282" i="2" l="1"/>
  <c r="I282" i="2"/>
  <c r="C282" i="2"/>
  <c r="D282" i="2"/>
  <c r="J282" i="2"/>
  <c r="B282" i="2"/>
  <c r="E282" i="2" l="1"/>
  <c r="G282" i="2" s="1"/>
  <c r="F282" i="2" l="1"/>
  <c r="L282" i="2" s="1"/>
  <c r="K282" i="2"/>
  <c r="H283" i="2" l="1"/>
  <c r="J283" i="2"/>
  <c r="D283" i="2"/>
  <c r="C283" i="2"/>
  <c r="B283" i="2"/>
  <c r="I283" i="2"/>
  <c r="E283" i="2" l="1"/>
  <c r="G283" i="2" s="1"/>
  <c r="F283" i="2" l="1"/>
  <c r="L283" i="2" s="1"/>
  <c r="K283" i="2"/>
  <c r="B284" i="2" l="1"/>
  <c r="D284" i="2"/>
  <c r="H284" i="2"/>
  <c r="I284" i="2"/>
  <c r="J284" i="2"/>
  <c r="C284" i="2"/>
  <c r="E284" i="2" l="1"/>
  <c r="G284" i="2" s="1"/>
  <c r="F284" i="2" l="1"/>
  <c r="L284" i="2" s="1"/>
  <c r="K284" i="2"/>
  <c r="H285" i="2" l="1"/>
  <c r="B285" i="2"/>
  <c r="D285" i="2"/>
  <c r="C285" i="2"/>
  <c r="I285" i="2"/>
  <c r="J285" i="2"/>
  <c r="E285" i="2" l="1"/>
  <c r="G285" i="2" s="1"/>
  <c r="F285" i="2" l="1"/>
  <c r="L285" i="2" s="1"/>
  <c r="K285" i="2"/>
  <c r="I286" i="2" l="1"/>
  <c r="J286" i="2"/>
  <c r="D286" i="2"/>
  <c r="C286" i="2"/>
  <c r="H286" i="2"/>
  <c r="B286" i="2"/>
  <c r="E286" i="2" l="1"/>
  <c r="G286" i="2" s="1"/>
  <c r="F286" i="2" l="1"/>
  <c r="L286" i="2" s="1"/>
  <c r="K286" i="2"/>
  <c r="I287" i="2" l="1"/>
  <c r="B287" i="2"/>
  <c r="D287" i="2"/>
  <c r="E287" i="2" s="1"/>
  <c r="G287" i="2" s="1"/>
  <c r="J287" i="2"/>
  <c r="C287" i="2"/>
  <c r="H287" i="2"/>
  <c r="K287" i="2" l="1"/>
  <c r="F287" i="2"/>
  <c r="L287" i="2" s="1"/>
  <c r="D288" i="2" l="1"/>
  <c r="E288" i="2" s="1"/>
  <c r="G288" i="2" s="1"/>
  <c r="C288" i="2"/>
  <c r="B288" i="2"/>
  <c r="J288" i="2"/>
  <c r="I288" i="2"/>
  <c r="H288" i="2"/>
  <c r="K288" i="2" l="1"/>
  <c r="F288" i="2"/>
  <c r="L288" i="2" s="1"/>
  <c r="D289" i="2" l="1"/>
  <c r="B289" i="2"/>
  <c r="C289" i="2"/>
  <c r="H289" i="2"/>
  <c r="I289" i="2"/>
  <c r="J289" i="2"/>
  <c r="E289" i="2" l="1"/>
  <c r="G289" i="2" s="1"/>
  <c r="F289" i="2" l="1"/>
  <c r="L289" i="2" s="1"/>
  <c r="K289" i="2"/>
  <c r="I290" i="2" l="1"/>
  <c r="D290" i="2"/>
  <c r="H290" i="2"/>
  <c r="J290" i="2"/>
  <c r="C290" i="2"/>
  <c r="B290" i="2"/>
  <c r="E290" i="2" l="1"/>
  <c r="G290" i="2" s="1"/>
  <c r="F290" i="2" l="1"/>
  <c r="L290" i="2" s="1"/>
  <c r="K290" i="2"/>
  <c r="J291" i="2" l="1"/>
  <c r="I291" i="2"/>
  <c r="D291" i="2"/>
  <c r="B291" i="2"/>
  <c r="C291" i="2"/>
  <c r="H291" i="2"/>
  <c r="E291" i="2" l="1"/>
  <c r="G291" i="2" s="1"/>
  <c r="F291" i="2" l="1"/>
  <c r="L291" i="2" s="1"/>
  <c r="K291" i="2"/>
  <c r="D292" i="2" l="1"/>
  <c r="H292" i="2"/>
  <c r="J292" i="2"/>
  <c r="C292" i="2"/>
  <c r="I292" i="2"/>
  <c r="B292" i="2"/>
  <c r="E292" i="2" l="1"/>
  <c r="G292" i="2" s="1"/>
  <c r="F292" i="2" l="1"/>
  <c r="L292" i="2" s="1"/>
  <c r="K292" i="2"/>
  <c r="D293" i="2" l="1"/>
  <c r="E293" i="2" s="1"/>
  <c r="G293" i="2" s="1"/>
  <c r="J293" i="2"/>
  <c r="C293" i="2"/>
  <c r="I293" i="2"/>
  <c r="H293" i="2"/>
  <c r="B293" i="2"/>
  <c r="K293" i="2" l="1"/>
  <c r="F293" i="2"/>
  <c r="L293" i="2" s="1"/>
  <c r="D294" i="2" l="1"/>
  <c r="J294" i="2"/>
  <c r="C294" i="2"/>
  <c r="H294" i="2"/>
  <c r="I294" i="2"/>
  <c r="B294" i="2"/>
  <c r="E294" i="2" l="1"/>
  <c r="G294" i="2" s="1"/>
  <c r="F294" i="2" l="1"/>
  <c r="L294" i="2" s="1"/>
  <c r="K294" i="2"/>
  <c r="C295" i="2" l="1"/>
  <c r="B295" i="2"/>
  <c r="I295" i="2"/>
  <c r="H295" i="2"/>
  <c r="D295" i="2"/>
  <c r="J295" i="2"/>
  <c r="E295" i="2" l="1"/>
  <c r="G295" i="2" s="1"/>
  <c r="F295" i="2" l="1"/>
  <c r="L295" i="2" s="1"/>
  <c r="K295" i="2"/>
  <c r="D296" i="2" l="1"/>
  <c r="I296" i="2"/>
  <c r="C296" i="2"/>
  <c r="H296" i="2"/>
  <c r="B296" i="2"/>
  <c r="J296" i="2"/>
  <c r="E296" i="2" l="1"/>
  <c r="G296" i="2" s="1"/>
  <c r="F296" i="2" l="1"/>
  <c r="L296" i="2" s="1"/>
  <c r="K296" i="2"/>
  <c r="I297" i="2" l="1"/>
  <c r="D297" i="2"/>
  <c r="J297" i="2"/>
  <c r="C297" i="2"/>
  <c r="H297" i="2"/>
  <c r="B297" i="2"/>
  <c r="E297" i="2" l="1"/>
  <c r="G297" i="2" s="1"/>
  <c r="F297" i="2" l="1"/>
  <c r="L297" i="2" s="1"/>
  <c r="K297" i="2"/>
  <c r="B298" i="2" l="1"/>
  <c r="I298" i="2"/>
  <c r="C298" i="2"/>
  <c r="H298" i="2"/>
  <c r="D298" i="2"/>
  <c r="J298" i="2"/>
  <c r="E298" i="2" l="1"/>
  <c r="G298" i="2" s="1"/>
  <c r="F298" i="2" l="1"/>
  <c r="L298" i="2" s="1"/>
  <c r="K298" i="2"/>
  <c r="J299" i="2" l="1"/>
  <c r="D299" i="2"/>
  <c r="C299" i="2"/>
  <c r="B299" i="2"/>
  <c r="I299" i="2"/>
  <c r="H299" i="2"/>
  <c r="E299" i="2" l="1"/>
  <c r="G299" i="2" s="1"/>
  <c r="F299" i="2" l="1"/>
  <c r="L299" i="2" s="1"/>
  <c r="K299" i="2"/>
  <c r="D300" i="2" l="1"/>
  <c r="E300" i="2" s="1"/>
  <c r="G300" i="2" s="1"/>
  <c r="J300" i="2"/>
  <c r="C300" i="2"/>
  <c r="I300" i="2"/>
  <c r="B300" i="2"/>
  <c r="H300" i="2"/>
  <c r="K300" i="2" l="1"/>
  <c r="F300" i="2"/>
  <c r="L300" i="2" s="1"/>
  <c r="B301" i="2" l="1"/>
  <c r="I301" i="2"/>
  <c r="D301" i="2"/>
  <c r="H301" i="2"/>
  <c r="J301" i="2"/>
  <c r="C301" i="2"/>
  <c r="E301" i="2" l="1"/>
  <c r="G301" i="2" s="1"/>
  <c r="F301" i="2" l="1"/>
  <c r="L301" i="2" s="1"/>
  <c r="K301" i="2"/>
  <c r="D302" i="2" l="1"/>
  <c r="E302" i="2" s="1"/>
  <c r="I302" i="2"/>
  <c r="C302" i="2"/>
  <c r="J302" i="2"/>
  <c r="H302" i="2"/>
  <c r="B302" i="2"/>
  <c r="G302" i="2" l="1"/>
  <c r="F302" i="2" l="1"/>
  <c r="K302" i="2"/>
  <c r="L302" i="2" l="1"/>
  <c r="D303" i="2" l="1"/>
  <c r="C303" i="2"/>
  <c r="B303" i="2"/>
  <c r="I303" i="2"/>
  <c r="J303" i="2"/>
  <c r="H303" i="2"/>
  <c r="E303" i="2" l="1"/>
  <c r="G303" i="2" l="1"/>
  <c r="F303" i="2" l="1"/>
  <c r="K303" i="2"/>
  <c r="L303" i="2" l="1"/>
  <c r="D304" i="2" l="1"/>
  <c r="I304" i="2"/>
  <c r="C304" i="2"/>
  <c r="B304" i="2"/>
  <c r="H304" i="2"/>
  <c r="J304" i="2"/>
  <c r="E304" i="2" l="1"/>
  <c r="G304" i="2" l="1"/>
  <c r="F304" i="2" l="1"/>
  <c r="K304" i="2"/>
  <c r="L304" i="2" l="1"/>
  <c r="D305" i="2" l="1"/>
  <c r="I305" i="2"/>
  <c r="J305" i="2"/>
  <c r="B305" i="2"/>
  <c r="C305" i="2"/>
  <c r="H305" i="2"/>
  <c r="E305" i="2" l="1"/>
  <c r="G305" i="2" s="1"/>
  <c r="F305" i="2" l="1"/>
  <c r="K305" i="2"/>
  <c r="L305" i="2" l="1"/>
  <c r="D306" i="2" l="1"/>
  <c r="H306" i="2"/>
  <c r="C306" i="2"/>
  <c r="J306" i="2"/>
  <c r="I306" i="2"/>
  <c r="B306" i="2"/>
  <c r="E306" i="2" l="1"/>
  <c r="G306" i="2" s="1"/>
  <c r="F306" i="2" l="1"/>
  <c r="K306" i="2"/>
  <c r="L306" i="2" l="1"/>
  <c r="D307" i="2" l="1"/>
  <c r="I307" i="2"/>
  <c r="H307" i="2"/>
  <c r="C307" i="2"/>
  <c r="B307" i="2"/>
  <c r="J307" i="2"/>
  <c r="E307" i="2" l="1"/>
  <c r="G307" i="2" s="1"/>
  <c r="F307" i="2" l="1"/>
  <c r="L307" i="2" s="1"/>
  <c r="K307" i="2"/>
  <c r="J308" i="2" l="1"/>
  <c r="D308" i="2"/>
  <c r="B308" i="2"/>
  <c r="C308" i="2"/>
  <c r="H308" i="2"/>
  <c r="I308" i="2"/>
  <c r="E308" i="2" l="1"/>
  <c r="G308" i="2" s="1"/>
  <c r="F308" i="2" l="1"/>
  <c r="L308" i="2" s="1"/>
  <c r="K308" i="2"/>
  <c r="B309" i="2" l="1"/>
  <c r="J309" i="2"/>
  <c r="I309" i="2"/>
  <c r="D309" i="2"/>
  <c r="H309" i="2"/>
  <c r="C309" i="2"/>
  <c r="E309" i="2" l="1"/>
  <c r="G309" i="2" s="1"/>
  <c r="F309" i="2" l="1"/>
  <c r="L309" i="2" s="1"/>
  <c r="K309" i="2"/>
  <c r="D310" i="2" l="1"/>
  <c r="I310" i="2"/>
  <c r="J310" i="2"/>
  <c r="C310" i="2"/>
  <c r="H310" i="2"/>
  <c r="B310" i="2"/>
  <c r="E310" i="2" l="1"/>
  <c r="G310" i="2" s="1"/>
  <c r="F310" i="2" l="1"/>
  <c r="L310" i="2" s="1"/>
  <c r="K310" i="2"/>
  <c r="H311" i="2" l="1"/>
  <c r="B311" i="2"/>
  <c r="I311" i="2"/>
  <c r="J311" i="2"/>
  <c r="C311" i="2"/>
  <c r="D311" i="2"/>
  <c r="E311" i="2" s="1"/>
  <c r="G311" i="2" s="1"/>
  <c r="F311" i="2" l="1"/>
  <c r="L311" i="2" s="1"/>
  <c r="K311" i="2"/>
  <c r="B312" i="2" l="1"/>
  <c r="I312" i="2"/>
  <c r="D312" i="2"/>
  <c r="E312" i="2" s="1"/>
  <c r="G312" i="2" s="1"/>
  <c r="J312" i="2"/>
  <c r="H312" i="2"/>
  <c r="C312" i="2"/>
  <c r="F312" i="2" l="1"/>
  <c r="L312" i="2" s="1"/>
  <c r="K312" i="2"/>
  <c r="J313" i="2" l="1"/>
  <c r="D313" i="2"/>
  <c r="E313" i="2" s="1"/>
  <c r="B313" i="2"/>
  <c r="C313" i="2"/>
  <c r="I313" i="2"/>
  <c r="H313" i="2"/>
  <c r="G313" i="2" l="1"/>
  <c r="F313" i="2" l="1"/>
  <c r="L313" i="2" s="1"/>
  <c r="K313" i="2"/>
  <c r="D314" i="2" l="1"/>
  <c r="C314" i="2"/>
  <c r="B314" i="2"/>
  <c r="I314" i="2"/>
  <c r="J314" i="2"/>
  <c r="H314" i="2"/>
  <c r="E314" i="2" l="1"/>
  <c r="G314" i="2" s="1"/>
  <c r="F314" i="2" l="1"/>
  <c r="L314" i="2" s="1"/>
  <c r="K314" i="2"/>
  <c r="C315" i="2" l="1"/>
  <c r="D315" i="2"/>
  <c r="E315" i="2"/>
  <c r="G315" i="2" s="1"/>
  <c r="B315" i="2"/>
  <c r="J315" i="2"/>
  <c r="H315" i="2"/>
  <c r="I315" i="2"/>
  <c r="F315" i="2" l="1"/>
  <c r="L315" i="2" s="1"/>
  <c r="K315" i="2"/>
  <c r="J316" i="2" l="1"/>
  <c r="D316" i="2"/>
  <c r="C316" i="2"/>
  <c r="B316" i="2"/>
  <c r="H316" i="2"/>
  <c r="I316" i="2"/>
  <c r="E316" i="2" l="1"/>
  <c r="G316" i="2" s="1"/>
  <c r="F316" i="2" l="1"/>
  <c r="L316" i="2" s="1"/>
  <c r="K316" i="2"/>
  <c r="D317" i="2" l="1"/>
  <c r="H317" i="2"/>
  <c r="C317" i="2"/>
  <c r="E317" i="2"/>
  <c r="G317" i="2" s="1"/>
  <c r="I317" i="2"/>
  <c r="B317" i="2"/>
  <c r="J317" i="2"/>
  <c r="F317" i="2" l="1"/>
  <c r="L317" i="2" s="1"/>
  <c r="K317" i="2"/>
  <c r="C318" i="2" l="1"/>
  <c r="J318" i="2"/>
  <c r="B318" i="2"/>
  <c r="D318" i="2"/>
  <c r="I318" i="2"/>
  <c r="H318" i="2"/>
  <c r="E318" i="2" l="1"/>
  <c r="G318" i="2" s="1"/>
  <c r="F318" i="2" l="1"/>
  <c r="L318" i="2" s="1"/>
  <c r="K318" i="2"/>
  <c r="D319" i="2" l="1"/>
  <c r="E319" i="2"/>
  <c r="I319" i="2"/>
  <c r="J319" i="2"/>
  <c r="H319" i="2"/>
  <c r="B319" i="2"/>
  <c r="C319" i="2"/>
  <c r="G319" i="2" l="1"/>
  <c r="F319" i="2" l="1"/>
  <c r="L319" i="2" s="1"/>
  <c r="K319" i="2"/>
  <c r="I320" i="2" l="1"/>
  <c r="C320" i="2"/>
  <c r="B320" i="2"/>
  <c r="H320" i="2"/>
  <c r="D320" i="2"/>
  <c r="J320" i="2"/>
  <c r="E320" i="2" l="1"/>
  <c r="G320" i="2" s="1"/>
  <c r="F320" i="2" l="1"/>
  <c r="L320" i="2" s="1"/>
  <c r="K320" i="2"/>
  <c r="H321" i="2" l="1"/>
  <c r="J321" i="2"/>
  <c r="C321" i="2"/>
  <c r="I321" i="2"/>
  <c r="B321" i="2"/>
  <c r="D321" i="2"/>
  <c r="E321" i="2" l="1"/>
  <c r="G321" i="2" s="1"/>
  <c r="F321" i="2" l="1"/>
  <c r="L321" i="2" s="1"/>
  <c r="K321" i="2"/>
  <c r="J322" i="2" l="1"/>
  <c r="C322" i="2"/>
  <c r="H322" i="2"/>
  <c r="B322" i="2"/>
  <c r="D322" i="2"/>
  <c r="I322" i="2"/>
  <c r="E322" i="2" l="1"/>
  <c r="G322" i="2" s="1"/>
  <c r="F322" i="2" l="1"/>
  <c r="L322" i="2" s="1"/>
  <c r="K322" i="2"/>
  <c r="J323" i="2" l="1"/>
  <c r="H323" i="2"/>
  <c r="I323" i="2"/>
  <c r="D323" i="2"/>
  <c r="B323" i="2"/>
  <c r="C323" i="2"/>
  <c r="E323" i="2" l="1"/>
  <c r="G323" i="2" s="1"/>
  <c r="F323" i="2" l="1"/>
  <c r="L323" i="2" s="1"/>
  <c r="K323" i="2"/>
  <c r="I324" i="2" l="1"/>
  <c r="K324" i="2"/>
  <c r="E324" i="2"/>
  <c r="H324" i="2"/>
  <c r="C324" i="2"/>
  <c r="D324" i="2"/>
  <c r="G324" i="2" s="1"/>
  <c r="F324" i="2" s="1"/>
  <c r="L324" i="2" s="1"/>
  <c r="B324" i="2"/>
  <c r="J324" i="2"/>
  <c r="B325" i="2" l="1"/>
  <c r="E325" i="2"/>
  <c r="I325" i="2"/>
  <c r="C325" i="2"/>
  <c r="H325" i="2"/>
  <c r="J325" i="2"/>
  <c r="K325" i="2"/>
  <c r="D325" i="2"/>
  <c r="G325" i="2" s="1"/>
  <c r="F325" i="2" s="1"/>
  <c r="L325" i="2" s="1"/>
  <c r="K326" i="2" l="1"/>
  <c r="I326" i="2"/>
  <c r="H326" i="2"/>
  <c r="E326" i="2"/>
  <c r="B326" i="2"/>
  <c r="D326" i="2"/>
  <c r="G326" i="2" s="1"/>
  <c r="J326" i="2"/>
  <c r="C326" i="2"/>
  <c r="F326" i="2" l="1"/>
  <c r="L326" i="2" s="1"/>
  <c r="B327" i="2" s="1"/>
  <c r="J327" i="2"/>
  <c r="H327" i="2"/>
  <c r="I327" i="2"/>
  <c r="D327" i="2" l="1"/>
  <c r="G327" i="2" s="1"/>
  <c r="C327" i="2"/>
  <c r="E327" i="2"/>
  <c r="K327" i="2"/>
  <c r="F327" i="2" l="1"/>
  <c r="L327" i="2" s="1"/>
  <c r="C328" i="2" s="1"/>
  <c r="I328" i="2"/>
  <c r="H328" i="2" l="1"/>
  <c r="B328" i="2"/>
  <c r="D328" i="2"/>
  <c r="E328" i="2"/>
  <c r="K328" i="2"/>
  <c r="J328" i="2"/>
  <c r="G328" i="2"/>
  <c r="F328" i="2" s="1"/>
  <c r="L328" i="2" s="1"/>
  <c r="C329" i="2" l="1"/>
  <c r="E329" i="2"/>
  <c r="I329" i="2"/>
  <c r="B329" i="2"/>
  <c r="K329" i="2"/>
  <c r="J329" i="2"/>
  <c r="D329" i="2"/>
  <c r="G329" i="2" s="1"/>
  <c r="H329" i="2"/>
  <c r="F329" i="2"/>
  <c r="L329" i="2" s="1"/>
  <c r="I330" i="2" s="1"/>
  <c r="H330" i="2"/>
  <c r="J330" i="2"/>
  <c r="E330" i="2"/>
  <c r="D330" i="2" l="1"/>
  <c r="G330" i="2" s="1"/>
  <c r="F330" i="2" s="1"/>
  <c r="L330" i="2" s="1"/>
  <c r="B331" i="2" s="1"/>
  <c r="B330" i="2"/>
  <c r="C330" i="2"/>
  <c r="K330" i="2"/>
  <c r="H331" i="2" l="1"/>
  <c r="G331" i="2"/>
  <c r="J331" i="2"/>
  <c r="E331" i="2"/>
  <c r="I331" i="2"/>
  <c r="K331" i="2"/>
  <c r="D331" i="2"/>
  <c r="C331" i="2"/>
  <c r="F331" i="2" l="1"/>
  <c r="L331" i="2" s="1"/>
  <c r="J332" i="2" l="1"/>
  <c r="K332" i="2"/>
  <c r="C332" i="2"/>
  <c r="H332" i="2"/>
  <c r="E332" i="2"/>
  <c r="D332" i="2"/>
  <c r="B332" i="2"/>
  <c r="I332" i="2"/>
  <c r="G332" i="2"/>
  <c r="F332" i="2" l="1"/>
  <c r="L332" i="2" s="1"/>
  <c r="D333" i="2" l="1"/>
  <c r="G333" i="2" s="1"/>
  <c r="E333" i="2"/>
  <c r="K333" i="2"/>
  <c r="B333" i="2"/>
  <c r="H333" i="2"/>
  <c r="J333" i="2"/>
  <c r="I333" i="2"/>
  <c r="C333" i="2"/>
  <c r="F333" i="2" l="1"/>
  <c r="L333" i="2" s="1"/>
  <c r="H334" i="2" l="1"/>
  <c r="I334" i="2"/>
  <c r="C334" i="2"/>
  <c r="K334" i="2"/>
  <c r="B334" i="2"/>
  <c r="E334" i="2"/>
  <c r="J334" i="2"/>
  <c r="D334" i="2"/>
  <c r="G334" i="2" s="1"/>
  <c r="F334" i="2" s="1"/>
  <c r="L334" i="2" s="1"/>
  <c r="C335" i="2" l="1"/>
  <c r="B335" i="2"/>
  <c r="E335" i="2"/>
  <c r="I335" i="2"/>
  <c r="H335" i="2"/>
  <c r="K335" i="2" s="1"/>
  <c r="D335" i="2"/>
  <c r="G335" i="2" s="1"/>
  <c r="F335" i="2" s="1"/>
  <c r="L335" i="2" s="1"/>
  <c r="J335" i="2"/>
  <c r="E336" i="2" l="1"/>
  <c r="K336" i="2"/>
  <c r="I336" i="2"/>
  <c r="J336" i="2"/>
  <c r="C336" i="2"/>
  <c r="H336" i="2"/>
  <c r="G336" i="2"/>
  <c r="F336" i="2" s="1"/>
  <c r="L336" i="2" s="1"/>
  <c r="D336" i="2"/>
  <c r="B336" i="2"/>
  <c r="D337" i="2" l="1"/>
  <c r="G337" i="2" s="1"/>
  <c r="B337" i="2"/>
  <c r="E337" i="2"/>
  <c r="I337" i="2"/>
  <c r="J337" i="2"/>
  <c r="C337" i="2"/>
  <c r="H337" i="2"/>
  <c r="K337" i="2"/>
  <c r="F337" i="2" l="1"/>
  <c r="L337" i="2" s="1"/>
  <c r="E338" i="2" s="1"/>
  <c r="C338" i="2"/>
  <c r="I338" i="2"/>
  <c r="B338" i="2"/>
  <c r="J338" i="2"/>
  <c r="H338" i="2"/>
  <c r="D338" i="2"/>
  <c r="G338" i="2" s="1"/>
  <c r="K338" i="2"/>
  <c r="F338" i="2" l="1"/>
  <c r="L338" i="2" s="1"/>
  <c r="K339" i="2" l="1"/>
  <c r="E339" i="2"/>
  <c r="H339" i="2"/>
  <c r="J339" i="2"/>
  <c r="B339" i="2"/>
  <c r="I339" i="2"/>
  <c r="C339" i="2"/>
  <c r="D339" i="2"/>
  <c r="G339" i="2" s="1"/>
  <c r="F339" i="2" s="1"/>
  <c r="L339" i="2" s="1"/>
  <c r="D340" i="2" l="1"/>
  <c r="C340" i="2"/>
  <c r="J340" i="2"/>
  <c r="H340" i="2"/>
  <c r="E340" i="2"/>
  <c r="K340" i="2"/>
  <c r="B340" i="2"/>
  <c r="G340" i="2"/>
  <c r="F340" i="2" s="1"/>
  <c r="L340" i="2" s="1"/>
  <c r="I340" i="2"/>
  <c r="J341" i="2" l="1"/>
  <c r="B341" i="2"/>
  <c r="I341" i="2"/>
  <c r="C341" i="2"/>
  <c r="K341" i="2"/>
  <c r="H341" i="2"/>
  <c r="E341" i="2"/>
  <c r="D341" i="2"/>
  <c r="G341" i="2" s="1"/>
  <c r="F341" i="2" s="1"/>
  <c r="L341" i="2" s="1"/>
  <c r="B342" i="2" l="1"/>
  <c r="C342" i="2"/>
  <c r="H342" i="2"/>
  <c r="J342" i="2"/>
  <c r="D342" i="2"/>
  <c r="E342" i="2"/>
  <c r="K342" i="2"/>
  <c r="G342" i="2"/>
  <c r="F342" i="2" s="1"/>
  <c r="L342" i="2" s="1"/>
  <c r="I342" i="2"/>
  <c r="B343" i="2" l="1"/>
  <c r="H343" i="2"/>
  <c r="K343" i="2"/>
  <c r="E343" i="2"/>
  <c r="I343" i="2"/>
  <c r="G343" i="2"/>
  <c r="F343" i="2" s="1"/>
  <c r="L343" i="2" s="1"/>
  <c r="J343" i="2"/>
  <c r="C343" i="2"/>
  <c r="D343" i="2"/>
  <c r="I344" i="2" l="1"/>
  <c r="E344" i="2"/>
  <c r="B344" i="2"/>
  <c r="D344" i="2"/>
  <c r="C344" i="2"/>
  <c r="H344" i="2"/>
  <c r="J344" i="2"/>
  <c r="K344" i="2"/>
  <c r="G344" i="2"/>
  <c r="F344" i="2" l="1"/>
  <c r="L344" i="2" s="1"/>
  <c r="K345" i="2" l="1"/>
  <c r="B345" i="2"/>
  <c r="J345" i="2"/>
  <c r="D345" i="2"/>
  <c r="G345" i="2" s="1"/>
  <c r="I345" i="2"/>
  <c r="E345" i="2"/>
  <c r="C345" i="2"/>
  <c r="H345" i="2"/>
  <c r="F345" i="2" l="1"/>
  <c r="L345" i="2" s="1"/>
  <c r="E346" i="2" l="1"/>
  <c r="C346" i="2"/>
  <c r="B346" i="2"/>
  <c r="I346" i="2"/>
  <c r="K346" i="2"/>
  <c r="J346" i="2"/>
  <c r="D346" i="2"/>
  <c r="G346" i="2" s="1"/>
  <c r="H346" i="2"/>
  <c r="F346" i="2" l="1"/>
  <c r="L346" i="2" s="1"/>
  <c r="D347" i="2" l="1"/>
  <c r="G347" i="2" s="1"/>
  <c r="E347" i="2"/>
  <c r="C347" i="2"/>
  <c r="J347" i="2"/>
  <c r="B347" i="2"/>
  <c r="I347" i="2"/>
  <c r="K347" i="2"/>
  <c r="H347" i="2"/>
  <c r="F347" i="2" l="1"/>
  <c r="L347" i="2" s="1"/>
  <c r="H348" i="2" s="1"/>
  <c r="D348" i="2" l="1"/>
  <c r="G348" i="2" s="1"/>
  <c r="E348" i="2"/>
  <c r="I348" i="2"/>
  <c r="C348" i="2"/>
  <c r="B348" i="2"/>
  <c r="K348" i="2"/>
  <c r="J348" i="2"/>
  <c r="F348" i="2"/>
  <c r="L348" i="2" s="1"/>
  <c r="B349" i="2" s="1"/>
  <c r="D349" i="2"/>
  <c r="H349" i="2"/>
  <c r="J349" i="2"/>
  <c r="G349" i="2"/>
  <c r="E349" i="2" l="1"/>
  <c r="I349" i="2"/>
  <c r="C349" i="2"/>
  <c r="K349" i="2"/>
  <c r="F349" i="2"/>
  <c r="L349" i="2" s="1"/>
  <c r="J350" i="2" l="1"/>
  <c r="G350" i="2"/>
  <c r="K350" i="2"/>
  <c r="E350" i="2"/>
  <c r="D350" i="2"/>
  <c r="C350" i="2"/>
  <c r="B350" i="2"/>
  <c r="H350" i="2"/>
  <c r="I350" i="2"/>
  <c r="F350" i="2" l="1"/>
  <c r="L350" i="2" s="1"/>
  <c r="C351" i="2" s="1"/>
  <c r="I351" i="2"/>
  <c r="H351" i="2"/>
  <c r="D351" i="2"/>
  <c r="J351" i="2"/>
  <c r="B351" i="2"/>
  <c r="E351" i="2"/>
  <c r="G351" i="2"/>
  <c r="K351" i="2"/>
  <c r="F351" i="2" l="1"/>
  <c r="L351" i="2" s="1"/>
  <c r="H352" i="2"/>
  <c r="C352" i="2"/>
  <c r="E352" i="2"/>
  <c r="K352" i="2"/>
  <c r="J352" i="2"/>
  <c r="B352" i="2"/>
  <c r="G352" i="2"/>
  <c r="F352" i="2" s="1"/>
  <c r="L352" i="2" s="1"/>
  <c r="I352" i="2"/>
  <c r="D352" i="2"/>
  <c r="E353" i="2" l="1"/>
  <c r="J353" i="2"/>
  <c r="I353" i="2"/>
  <c r="C353" i="2"/>
  <c r="K353" i="2"/>
  <c r="H353" i="2"/>
  <c r="D353" i="2"/>
  <c r="G353" i="2" s="1"/>
  <c r="B353" i="2"/>
  <c r="F353" i="2" l="1"/>
  <c r="L353" i="2" s="1"/>
  <c r="I354" i="2" s="1"/>
  <c r="D354" i="2" l="1"/>
  <c r="C354" i="2"/>
  <c r="B354" i="2"/>
  <c r="E354" i="2"/>
  <c r="J354" i="2"/>
  <c r="H354" i="2"/>
  <c r="G354" i="2"/>
  <c r="K354" i="2"/>
  <c r="F354" i="2"/>
  <c r="L354" i="2" s="1"/>
  <c r="B355" i="2" s="1"/>
  <c r="D355" i="2"/>
  <c r="K355" i="2" l="1"/>
  <c r="I355" i="2"/>
  <c r="E355" i="2"/>
  <c r="G355" i="2"/>
  <c r="C355" i="2"/>
  <c r="J355" i="2"/>
  <c r="H355" i="2"/>
  <c r="F355" i="2"/>
  <c r="L355" i="2" s="1"/>
  <c r="K356" i="2" s="1"/>
  <c r="L356" i="2"/>
  <c r="J356" i="2"/>
  <c r="C356" i="2"/>
  <c r="B356" i="2" l="1"/>
  <c r="D356" i="2"/>
  <c r="G356" i="2" s="1"/>
  <c r="E356" i="2"/>
  <c r="H356" i="2"/>
  <c r="I356" i="2"/>
  <c r="H357" i="2"/>
  <c r="J357" i="2"/>
  <c r="I357" i="2"/>
  <c r="G357" i="2"/>
  <c r="C357" i="2"/>
  <c r="E357" i="2"/>
  <c r="B357" i="2"/>
  <c r="K357" i="2"/>
  <c r="D357" i="2"/>
  <c r="L357" i="2"/>
  <c r="F356" i="2"/>
  <c r="F357" i="2" l="1"/>
  <c r="C358" i="2"/>
  <c r="D358" i="2"/>
  <c r="G358" i="2" s="1"/>
  <c r="K358" i="2"/>
  <c r="H358" i="2"/>
  <c r="E358" i="2"/>
  <c r="I358" i="2"/>
  <c r="L358" i="2"/>
  <c r="J358" i="2"/>
  <c r="B358" i="2"/>
  <c r="F358" i="2" l="1"/>
  <c r="J359" i="2"/>
  <c r="K359" i="2"/>
  <c r="I359" i="2"/>
  <c r="C359" i="2"/>
  <c r="B359" i="2"/>
  <c r="E359" i="2"/>
  <c r="H359" i="2"/>
  <c r="D359" i="2"/>
  <c r="G359" i="2" s="1"/>
  <c r="L359" i="2"/>
  <c r="F359" i="2" l="1"/>
  <c r="E360" i="2"/>
  <c r="J360" i="2"/>
  <c r="G360" i="2"/>
  <c r="D360" i="2"/>
  <c r="K360" i="2"/>
  <c r="C360" i="2"/>
  <c r="L360" i="2"/>
  <c r="B360" i="2"/>
  <c r="I360" i="2"/>
  <c r="H360" i="2"/>
  <c r="D361" i="2" l="1"/>
  <c r="G361" i="2" s="1"/>
  <c r="E361" i="2"/>
  <c r="H361" i="2"/>
  <c r="K361" i="2"/>
  <c r="J361" i="2"/>
  <c r="I361" i="2"/>
  <c r="B361" i="2"/>
  <c r="C361" i="2"/>
  <c r="F360" i="2"/>
  <c r="F361" i="2" l="1"/>
  <c r="L361" i="2" s="1"/>
  <c r="E362" i="2" s="1"/>
  <c r="B362" i="2"/>
  <c r="G362" i="2"/>
  <c r="C362" i="2"/>
  <c r="D362" i="2"/>
  <c r="I362" i="2"/>
  <c r="J362" i="2"/>
  <c r="K362" i="2" l="1"/>
  <c r="H362" i="2"/>
  <c r="F362" i="2"/>
  <c r="L362" i="2" s="1"/>
  <c r="E363" i="2" l="1"/>
  <c r="H363" i="2"/>
  <c r="J363" i="2"/>
  <c r="B363" i="2"/>
  <c r="D363" i="2"/>
  <c r="G363" i="2" s="1"/>
  <c r="C363" i="2"/>
  <c r="I363" i="2"/>
  <c r="K363" i="2"/>
  <c r="F363" i="2" l="1"/>
  <c r="L363" i="2" s="1"/>
  <c r="D364" i="2" l="1"/>
  <c r="G364" i="2" s="1"/>
  <c r="K364" i="2"/>
  <c r="E364" i="2"/>
  <c r="I364" i="2"/>
  <c r="H364" i="2"/>
  <c r="B364" i="2"/>
  <c r="J364" i="2"/>
  <c r="C364" i="2"/>
  <c r="F364" i="2" l="1"/>
  <c r="L364" i="2" s="1"/>
  <c r="J365" i="2" s="1"/>
  <c r="H365" i="2"/>
  <c r="D365" i="2"/>
  <c r="G365" i="2" s="1"/>
  <c r="I365" i="2" l="1"/>
  <c r="E365" i="2"/>
  <c r="C365" i="2"/>
  <c r="B365" i="2"/>
  <c r="K365" i="2"/>
  <c r="F365" i="2"/>
  <c r="L365" i="2" s="1"/>
  <c r="C366" i="2" s="1"/>
  <c r="G366" i="2" l="1"/>
  <c r="I366" i="2"/>
  <c r="E366" i="2"/>
  <c r="K366" i="2"/>
  <c r="H366" i="2"/>
  <c r="D366" i="2"/>
  <c r="B366" i="2"/>
  <c r="J366" i="2"/>
  <c r="F366" i="2"/>
  <c r="L366" i="2" s="1"/>
  <c r="C367" i="2" l="1"/>
  <c r="B367" i="2"/>
  <c r="D367" i="2"/>
  <c r="G367" i="2" s="1"/>
  <c r="E367" i="2"/>
  <c r="H367" i="2"/>
  <c r="I367" i="2"/>
  <c r="J367" i="2"/>
  <c r="K367" i="2"/>
  <c r="F367" i="2" l="1"/>
  <c r="L367" i="2" s="1"/>
  <c r="C368" i="2" l="1"/>
  <c r="K368" i="2"/>
  <c r="I368" i="2"/>
  <c r="D368" i="2"/>
  <c r="G368" i="2" s="1"/>
  <c r="E368" i="2"/>
  <c r="B368" i="2"/>
  <c r="H368" i="2"/>
  <c r="J368" i="2"/>
  <c r="F368" i="2" l="1"/>
  <c r="L368" i="2" s="1"/>
  <c r="K369" i="2" l="1"/>
  <c r="K371" i="2" s="1"/>
  <c r="B369" i="2"/>
  <c r="H369" i="2"/>
  <c r="H371" i="2" s="1"/>
  <c r="D369" i="2"/>
  <c r="G369" i="2"/>
  <c r="J369" i="2"/>
  <c r="J371" i="2" s="1"/>
  <c r="H19" i="7" s="1"/>
  <c r="H21" i="7" s="1"/>
  <c r="L369" i="2"/>
  <c r="E369" i="2"/>
  <c r="E371" i="2" s="1"/>
  <c r="I369" i="2"/>
  <c r="I371" i="2" s="1"/>
  <c r="G19" i="7" s="1"/>
  <c r="G21" i="7" s="1"/>
  <c r="I21" i="7" s="1"/>
  <c r="C369" i="2"/>
  <c r="X62" i="2" s="1"/>
  <c r="F369" i="2" l="1"/>
  <c r="F371" i="2" s="1"/>
  <c r="G371" i="2"/>
  <c r="X63" i="2"/>
  <c r="L66" i="2" s="1"/>
  <c r="M66" i="2" s="1"/>
  <c r="L67" i="2" l="1"/>
  <c r="M67" i="2" s="1"/>
</calcChain>
</file>

<file path=xl/sharedStrings.xml><?xml version="1.0" encoding="utf-8"?>
<sst xmlns="http://schemas.openxmlformats.org/spreadsheetml/2006/main" count="231" uniqueCount="205">
  <si>
    <t>Destino Inicio</t>
  </si>
  <si>
    <t>Adquisición</t>
  </si>
  <si>
    <t>Cofinavit</t>
  </si>
  <si>
    <t>Fovissste</t>
  </si>
  <si>
    <t>Otros</t>
  </si>
  <si>
    <t>ESQUEMA TASA</t>
  </si>
  <si>
    <t>APOYO INFONAVIT</t>
  </si>
  <si>
    <t>SALARIO MÍNIMO</t>
  </si>
  <si>
    <t>25 SMMDF</t>
  </si>
  <si>
    <t>MONTO MAX VIV INFON</t>
  </si>
  <si>
    <t>NO</t>
  </si>
  <si>
    <t>SI</t>
  </si>
  <si>
    <t>PLAZO</t>
  </si>
  <si>
    <t>TASAS</t>
  </si>
  <si>
    <t>PAGOS POR MIL</t>
  </si>
  <si>
    <t>Congelados</t>
  </si>
  <si>
    <t>INCREMENTOS ANUALES</t>
  </si>
  <si>
    <t>AFOROS</t>
  </si>
  <si>
    <t>COMISION APERTURA</t>
  </si>
  <si>
    <t>SEGUROS</t>
  </si>
  <si>
    <t>VIDA</t>
  </si>
  <si>
    <t>DAÑOS</t>
  </si>
  <si>
    <t>Número de Intervinientes</t>
  </si>
  <si>
    <t>RELACION INGRESO PAGO</t>
  </si>
  <si>
    <t>AVALUO</t>
  </si>
  <si>
    <t>IVA</t>
  </si>
  <si>
    <t>COMISION POR ADMON</t>
  </si>
  <si>
    <t>Atendido por :</t>
  </si>
  <si>
    <t>Teléfono</t>
  </si>
  <si>
    <t>Nombre del Solicitante</t>
  </si>
  <si>
    <t xml:space="preserve">Fecha </t>
  </si>
  <si>
    <t>Valor de la vivienda</t>
  </si>
  <si>
    <t>Tipo de tasa</t>
  </si>
  <si>
    <t>Crédito total inicial</t>
  </si>
  <si>
    <t>Tasa de interés</t>
  </si>
  <si>
    <t>Pago por mil inicial</t>
  </si>
  <si>
    <t>Plazo en años</t>
  </si>
  <si>
    <t>Número de Asegurados</t>
  </si>
  <si>
    <t>Ajuste anual</t>
  </si>
  <si>
    <t>Mes</t>
  </si>
  <si>
    <t>Periodo</t>
  </si>
  <si>
    <t>Intereses</t>
  </si>
  <si>
    <t>Amortización</t>
  </si>
  <si>
    <t>Pago crédito</t>
  </si>
  <si>
    <t>Seguro vida</t>
  </si>
  <si>
    <t>Seguro daños</t>
  </si>
  <si>
    <t>Pago total</t>
  </si>
  <si>
    <t>Saldo al final del periodo</t>
  </si>
  <si>
    <t>Creci.pago</t>
  </si>
  <si>
    <t>P. Programados</t>
  </si>
  <si>
    <t>NOTAS:</t>
  </si>
  <si>
    <t>1.- Los periodos se consideran de 30 días.</t>
  </si>
  <si>
    <t>Plazo</t>
  </si>
  <si>
    <t>Porcentaje de escrituración</t>
  </si>
  <si>
    <t>Destino</t>
  </si>
  <si>
    <t>Plazo (Años)</t>
  </si>
  <si>
    <t>Pagos Congelados Tradicional SIN Subsidio</t>
  </si>
  <si>
    <t>Pagos Crecientes Tradicional sin Subsidio</t>
  </si>
  <si>
    <t>% Crédito</t>
  </si>
  <si>
    <t>% Cobertura</t>
  </si>
  <si>
    <t>Monto del crédito Banco</t>
  </si>
  <si>
    <t>Avalúo</t>
  </si>
  <si>
    <t>Comisión apertura</t>
  </si>
  <si>
    <t>Valor vivienda</t>
  </si>
  <si>
    <t>Crédito Banco necesario</t>
  </si>
  <si>
    <t xml:space="preserve">Crédito a financiar </t>
  </si>
  <si>
    <t>Enganche Obligatorio del esquema</t>
  </si>
  <si>
    <t>Comisión por Administración</t>
  </si>
  <si>
    <t>Atendido por</t>
  </si>
  <si>
    <t>Gastos iniciales</t>
  </si>
  <si>
    <t>Comisión de apertura</t>
  </si>
  <si>
    <t>TOTAL</t>
  </si>
  <si>
    <t>Apoyo Infonavit</t>
  </si>
  <si>
    <t>flujos</t>
  </si>
  <si>
    <t xml:space="preserve">CAT  </t>
  </si>
  <si>
    <t>Sin IVA</t>
  </si>
  <si>
    <t>Los gastos notariales son aproximados y dependerán de la localidad y del valor de la vivienda.</t>
  </si>
  <si>
    <t>Prima SCV (Seguro Crédito a la Vivienda)</t>
  </si>
  <si>
    <t xml:space="preserve">Enganche Obligatorio </t>
  </si>
  <si>
    <t>Enganche Opcional</t>
  </si>
  <si>
    <t>enganche faltante vivienda</t>
  </si>
  <si>
    <t>Subtotal Gastos</t>
  </si>
  <si>
    <t>CAT</t>
  </si>
  <si>
    <t>Asalariado</t>
  </si>
  <si>
    <t>No Asalariado</t>
  </si>
  <si>
    <t xml:space="preserve">Tipo de Ingresos </t>
  </si>
  <si>
    <t xml:space="preserve">SCV </t>
  </si>
  <si>
    <t>¿Con el Banco?</t>
  </si>
  <si>
    <t>Tipo de vivienda</t>
  </si>
  <si>
    <t>Usada</t>
  </si>
  <si>
    <t>Categoría</t>
  </si>
  <si>
    <t>I</t>
  </si>
  <si>
    <t>II</t>
  </si>
  <si>
    <t>III</t>
  </si>
  <si>
    <t>Rango de puntaje</t>
  </si>
  <si>
    <t>0-349</t>
  </si>
  <si>
    <t>350-400</t>
  </si>
  <si>
    <t>401-450</t>
  </si>
  <si>
    <t>451-500</t>
  </si>
  <si>
    <t>501-550</t>
  </si>
  <si>
    <t>551-600</t>
  </si>
  <si>
    <t>601-650</t>
  </si>
  <si>
    <t>651-700</t>
  </si>
  <si>
    <t>701-750</t>
  </si>
  <si>
    <t>751-800</t>
  </si>
  <si>
    <t>801-850</t>
  </si>
  <si>
    <t>851-900</t>
  </si>
  <si>
    <t>901-1000</t>
  </si>
  <si>
    <t>Nueva Desarrollo Certificado</t>
  </si>
  <si>
    <t>Nueva</t>
  </si>
  <si>
    <t>Reserva Territorial</t>
  </si>
  <si>
    <t>ESTE DOCUMENTO NO ES UNA OFERTA VINCULANTE</t>
  </si>
  <si>
    <t>Las condiciones del producto, criterios de elegibilidad, planes, importes de beneficios y políticas de crédito que se refieren en el simulador están sujetas a cambio sin previo aviso.</t>
  </si>
  <si>
    <t>El cálculo en el Seguro de referencia es única y exclusivamente con fines informativos e ilustrativos. La calidad en la prestación de los servicios y responsabilidad en el otorgamiento de los mismos es responsabilidad directa de Zúrich Santander Seguros México S.A. y/o de la Aseguradora con la que contrate estos seguros.</t>
  </si>
  <si>
    <t>NOTAS</t>
  </si>
  <si>
    <t xml:space="preserve">Este documento es únicamente de carácter informativo y para fines ilustrativos por lo que no implica asunción de obligación ni compromiso por parte de Banco Santander México S.A. ni de Entidad alguna referida en el presente documento, integrante o no del Grupo Financiero Santander México. </t>
  </si>
  <si>
    <t>La autorización del crédito es una facultad discrecional de Banco Santander México S.A. por lo que se reserva el derecho de otorgarla o negarla.</t>
  </si>
  <si>
    <t>Banco Santander México S.A. se reserva el derecho de solicitar información adicional y/o restringir parámetros de enganche, monto, plazo o tasa en función de las características específicas del solicitante y del inmueble.</t>
  </si>
  <si>
    <t>Los productos hipotecarios son emitidos por Banco Santander México, S.A., Institución de Banca Múltiple, Grupo Financiero Santander México.</t>
  </si>
  <si>
    <t>Para conocer las características, Términos, Comisiones, Requisitos de Contratación, Tasa de Interés aplicable, Vigencia, Restricciones y Beneficios del producto, consulta www.santander.com.mx  Disponible en toda la República Mexicana</t>
  </si>
  <si>
    <t>Costo estudio socioeconómico</t>
  </si>
  <si>
    <t>Estudio</t>
  </si>
  <si>
    <t>Gastos notariales</t>
  </si>
  <si>
    <t>1. Datos del solicitante</t>
  </si>
  <si>
    <t>Nombre del cliente</t>
  </si>
  <si>
    <t>2. Condiciones financieras</t>
  </si>
  <si>
    <t>Tasa de Interés Anual Ordinaria</t>
  </si>
  <si>
    <t>Pago de Crédito</t>
  </si>
  <si>
    <t>Comisión por Autorización de Crédito Diferida</t>
  </si>
  <si>
    <t>Pago Total</t>
  </si>
  <si>
    <t>Saldo al Final del Periodo</t>
  </si>
  <si>
    <t>Pagos Anticipados
Captura Monto</t>
  </si>
  <si>
    <t>Seguro de Vida</t>
  </si>
  <si>
    <t>Seguro de daños</t>
  </si>
  <si>
    <t xml:space="preserve">Valor de la vivienda </t>
  </si>
  <si>
    <t>Selecciona el esquema de Pagos</t>
  </si>
  <si>
    <t>3. Oferta</t>
  </si>
  <si>
    <t>Te mostramos la oferta a la que podrías acceder de acuerdo al aforo y plazo seleccionado. La tasa y el aforo final estarán en función de la Evaluación de Crédito.</t>
  </si>
  <si>
    <t>Valor del inmueble</t>
  </si>
  <si>
    <t>GASTOS INICIALES</t>
  </si>
  <si>
    <t>GASTOS MENSUALES</t>
  </si>
  <si>
    <t>Pago Mensual inicial (k+ i)</t>
  </si>
  <si>
    <t>Comisión mensual (+ IVA)</t>
  </si>
  <si>
    <t>Total mensualidad Inicial</t>
  </si>
  <si>
    <t>4. Tabla de Amortización</t>
  </si>
  <si>
    <t xml:space="preserve">CAT  Promedio </t>
  </si>
  <si>
    <t>Sin IVA Informativo</t>
  </si>
  <si>
    <t>dd mmm aaaa</t>
  </si>
  <si>
    <t>Selecciona el efecto de los Pagos anticipados</t>
  </si>
  <si>
    <t>Lista de referencia</t>
  </si>
  <si>
    <t>Aforo inicial estimado</t>
  </si>
  <si>
    <t>Aforo para tablas SVC</t>
  </si>
  <si>
    <t xml:space="preserve">Importe SCV </t>
  </si>
  <si>
    <t>Enganche opcional</t>
  </si>
  <si>
    <t>Enganche Total</t>
  </si>
  <si>
    <t>Enganche necesario</t>
  </si>
  <si>
    <t>DETALLE FINANCIAMIENTO</t>
  </si>
  <si>
    <t>Plazo remanente</t>
  </si>
  <si>
    <t>TOTALES</t>
  </si>
  <si>
    <t>Plazo real</t>
  </si>
  <si>
    <t>Pago Crédito</t>
  </si>
  <si>
    <t>Monto crédito</t>
  </si>
  <si>
    <t>TASA</t>
  </si>
  <si>
    <t>pago por mil</t>
  </si>
  <si>
    <t>INCREMENTO</t>
  </si>
  <si>
    <t>Reducción Plazo</t>
  </si>
  <si>
    <t>Crecientes</t>
  </si>
  <si>
    <t>Nueva Cuota</t>
  </si>
  <si>
    <t xml:space="preserve">Cuota Congelados </t>
  </si>
  <si>
    <t>Capital Programados</t>
  </si>
  <si>
    <t>Reducción Cuota</t>
  </si>
  <si>
    <t>Esquema seleccionado</t>
  </si>
  <si>
    <t>Efecto seleccionado</t>
  </si>
  <si>
    <t xml:space="preserve">Su crédito se amortizará en </t>
  </si>
  <si>
    <t>FACTOR</t>
  </si>
  <si>
    <t>Suma asegurable</t>
  </si>
  <si>
    <t>Los periodos para el cálculo de intereses se consideran de 30 días.</t>
  </si>
  <si>
    <t>Valor mínimo de vivienda</t>
  </si>
  <si>
    <t>Valor máximo de vivienda</t>
  </si>
  <si>
    <t>Ingresos mínimos</t>
  </si>
  <si>
    <t>Captura enganche opcional</t>
  </si>
  <si>
    <t>¿Contratarás el seguro de Vida con Santander?</t>
  </si>
  <si>
    <t>¿Contratarás el seguro de Daños con Santander?</t>
  </si>
  <si>
    <t xml:space="preserve">Captura tus ingresos  </t>
  </si>
  <si>
    <t>Ingresos</t>
  </si>
  <si>
    <t>MATRIZ</t>
  </si>
  <si>
    <t>Tasa</t>
  </si>
  <si>
    <t xml:space="preserve"> pago por mil CRECIENTES</t>
  </si>
  <si>
    <t>Precio</t>
  </si>
  <si>
    <t>Desde</t>
  </si>
  <si>
    <t>Hasta</t>
  </si>
  <si>
    <t>Indica el perfil de riesgo estimado</t>
  </si>
  <si>
    <r>
      <t xml:space="preserve">Simulador </t>
    </r>
    <r>
      <rPr>
        <b/>
        <sz val="16"/>
        <color rgb="FFFF0000"/>
        <rFont val="Santander Micro Text"/>
        <family val="2"/>
      </rPr>
      <t>H</t>
    </r>
    <r>
      <rPr>
        <b/>
        <sz val="16"/>
        <color indexed="23"/>
        <rFont val="Santander Micro Text"/>
        <family val="2"/>
      </rPr>
      <t xml:space="preserve">IPOTECA </t>
    </r>
    <r>
      <rPr>
        <b/>
        <sz val="16"/>
        <color rgb="FFFF0000"/>
        <rFont val="Santander Micro Text"/>
        <family val="2"/>
      </rPr>
      <t>I</t>
    </r>
    <r>
      <rPr>
        <b/>
        <sz val="16"/>
        <color indexed="23"/>
        <rFont val="Santander Micro Text"/>
        <family val="2"/>
      </rPr>
      <t>NTEGRAL</t>
    </r>
  </si>
  <si>
    <r>
      <t>Estudio socioeconómico</t>
    </r>
    <r>
      <rPr>
        <b/>
        <vertAlign val="superscript"/>
        <sz val="10"/>
        <rFont val="Santander Micro Text"/>
        <family val="2"/>
      </rPr>
      <t>1</t>
    </r>
  </si>
  <si>
    <r>
      <t>Prima SCV (Seguro Crédito a la Vivienda)</t>
    </r>
    <r>
      <rPr>
        <b/>
        <vertAlign val="superscript"/>
        <sz val="10"/>
        <rFont val="Santander Micro Text"/>
        <family val="2"/>
      </rPr>
      <t>2</t>
    </r>
  </si>
  <si>
    <r>
      <rPr>
        <b/>
        <vertAlign val="superscript"/>
        <sz val="10"/>
        <color theme="1"/>
        <rFont val="Santander Micro Text"/>
        <family val="2"/>
      </rPr>
      <t xml:space="preserve">1 </t>
    </r>
    <r>
      <rPr>
        <sz val="10"/>
        <color theme="1"/>
        <rFont val="Santander Micro Text"/>
        <family val="2"/>
      </rPr>
      <t xml:space="preserve">El pago del estudio socioeconómico es por interviniente y no es reembolsable aún y cuando el crédito no llegara a formalizarse. Incluye el 16% del IVA. </t>
    </r>
  </si>
  <si>
    <r>
      <rPr>
        <b/>
        <vertAlign val="superscript"/>
        <sz val="10"/>
        <color theme="1"/>
        <rFont val="Santander Micro Text"/>
        <family val="2"/>
      </rPr>
      <t xml:space="preserve">2 </t>
    </r>
    <r>
      <rPr>
        <sz val="10"/>
        <color theme="1"/>
        <rFont val="Santander Micro Text"/>
        <family val="2"/>
      </rPr>
      <t xml:space="preserve">El cálculo en el Seguro de Credito a la Vivienda es única y exclusivamente con fines informativos e ilustrativos, el monto final será determinado al momento de la firma del crédito. </t>
    </r>
  </si>
  <si>
    <t>PERFIL DE RIESGO</t>
  </si>
  <si>
    <t>Perfil 1</t>
  </si>
  <si>
    <t>Perfil 2</t>
  </si>
  <si>
    <t>Perfil 3</t>
  </si>
  <si>
    <t>Perfil 4</t>
  </si>
  <si>
    <t>Perfil 5</t>
  </si>
  <si>
    <t>BHF-092 (082025)</t>
  </si>
  <si>
    <t>Versión 2025-3 Ro (13 agosto 2025)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</si>
</sst>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6" formatCode="&quot;$&quot;#,##0;[Red]\-&quot;$&quot;#,##0"/>
    <numFmt numFmtId="7" formatCode="&quot;$&quot;#,##0.00;\-&quot;$&quot;#,##0.00"/>
    <numFmt numFmtId="8" formatCode="&quot;$&quot;#,##0.00;[Red]\-&quot;$&quot;#,##0.00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000"/>
    <numFmt numFmtId="165" formatCode="0.000"/>
    <numFmt numFmtId="166" formatCode="&quot;$&quot;#,##0.00"/>
    <numFmt numFmtId="167" formatCode="[$-80A]d&quot; de &quot;mmmm&quot; de &quot;yyyy;@"/>
    <numFmt numFmtId="168" formatCode="_-* #,##0_-;\-* #,##0_-;_-* &quot;-&quot;??_-;_-@_-"/>
    <numFmt numFmtId="169" formatCode="0.0%"/>
    <numFmt numFmtId="170" formatCode="[$$-80A]#,##0.00"/>
    <numFmt numFmtId="171" formatCode="_(* #,##0_);_(* \(#,##0\);_(* &quot;-&quot;??_);_(@_)"/>
    <numFmt numFmtId="172" formatCode="_-[$€-2]* #,##0.00_-;\-[$€-2]* #,##0.00_-;_-[$€-2]* &quot;-&quot;??_-"/>
    <numFmt numFmtId="173" formatCode="[$$-80A]#,##0"/>
    <numFmt numFmtId="174" formatCode="0.0000000%"/>
    <numFmt numFmtId="175" formatCode="0.0000%"/>
    <numFmt numFmtId="176" formatCode="#,##0.00_ ;[Red]\-#,##0.00\ "/>
    <numFmt numFmtId="177" formatCode="_-&quot;$&quot;* #,##0_-;\-&quot;$&quot;* #,##0_-;_-&quot;$&quot;* &quot;-&quot;??_-;_-@_-"/>
  </numFmts>
  <fonts count="70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10"/>
      <name val="Arial"/>
      <family val="2"/>
    </font>
    <font>
      <u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color indexed="12"/>
      <name val="Arial"/>
      <family val="2"/>
    </font>
    <font>
      <b/>
      <sz val="8"/>
      <color indexed="52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u/>
      <sz val="10"/>
      <name val="Arial"/>
      <family val="2"/>
    </font>
    <font>
      <sz val="10"/>
      <color indexed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9"/>
      <color indexed="8"/>
      <name val="Arial"/>
      <family val="2"/>
    </font>
    <font>
      <b/>
      <sz val="16"/>
      <color indexed="10"/>
      <name val="Arial"/>
      <family val="2"/>
    </font>
    <font>
      <b/>
      <sz val="20"/>
      <name val="Arial"/>
      <family val="2"/>
    </font>
    <font>
      <u/>
      <sz val="10"/>
      <name val="Arial"/>
      <family val="2"/>
    </font>
    <font>
      <b/>
      <sz val="8"/>
      <color rgb="FFFF0000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"/>
      <family val="2"/>
    </font>
    <font>
      <b/>
      <sz val="9"/>
      <color rgb="FFFF0000"/>
      <name val="Arial"/>
      <family val="2"/>
    </font>
    <font>
      <b/>
      <sz val="10"/>
      <color theme="0"/>
      <name val="Arial"/>
      <family val="2"/>
    </font>
    <font>
      <b/>
      <sz val="14"/>
      <color rgb="FFFF000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1"/>
      <color rgb="FF000000"/>
      <name val="Calibri"/>
      <family val="2"/>
      <scheme val="minor"/>
    </font>
    <font>
      <sz val="9"/>
      <color rgb="FF000000"/>
      <name val="Arial"/>
      <family val="2"/>
    </font>
    <font>
      <sz val="10"/>
      <color theme="1" tint="0.34998626667073579"/>
      <name val="Arial"/>
      <family val="2"/>
    </font>
    <font>
      <sz val="10"/>
      <name val="Santander Micro Text"/>
      <family val="2"/>
    </font>
    <font>
      <sz val="9"/>
      <name val="Santander Micro Text"/>
      <family val="2"/>
    </font>
    <font>
      <b/>
      <sz val="16"/>
      <color indexed="23"/>
      <name val="Santander Micro Text"/>
      <family val="2"/>
    </font>
    <font>
      <b/>
      <sz val="16"/>
      <color rgb="FFFF0000"/>
      <name val="Santander Micro Text"/>
      <family val="2"/>
    </font>
    <font>
      <b/>
      <sz val="10"/>
      <name val="Santander Micro Text"/>
      <family val="2"/>
    </font>
    <font>
      <sz val="8"/>
      <color indexed="10"/>
      <name val="Santander Micro Text"/>
      <family val="2"/>
    </font>
    <font>
      <sz val="10"/>
      <color theme="0"/>
      <name val="Santander Micro Text"/>
      <family val="2"/>
    </font>
    <font>
      <sz val="10"/>
      <color indexed="10"/>
      <name val="Santander Micro Text"/>
      <family val="2"/>
    </font>
    <font>
      <b/>
      <sz val="11"/>
      <color theme="0"/>
      <name val="Santander Micro Text"/>
      <family val="2"/>
    </font>
    <font>
      <sz val="10"/>
      <color rgb="FFFF0000"/>
      <name val="Santander Micro Text"/>
      <family val="2"/>
    </font>
    <font>
      <b/>
      <sz val="10"/>
      <color indexed="9"/>
      <name val="Santander Micro Text"/>
      <family val="2"/>
    </font>
    <font>
      <b/>
      <sz val="10"/>
      <color rgb="FFFF0000"/>
      <name val="Santander Micro Text"/>
      <family val="2"/>
    </font>
    <font>
      <b/>
      <sz val="10"/>
      <color theme="1"/>
      <name val="Santander Micro Text"/>
      <family val="2"/>
    </font>
    <font>
      <b/>
      <sz val="10"/>
      <color indexed="10"/>
      <name val="Santander Micro Text"/>
      <family val="2"/>
    </font>
    <font>
      <sz val="8"/>
      <name val="Santander Micro Text"/>
      <family val="2"/>
    </font>
    <font>
      <b/>
      <i/>
      <sz val="10"/>
      <name val="Santander Micro Text"/>
      <family val="2"/>
    </font>
    <font>
      <i/>
      <sz val="10"/>
      <color rgb="FFFF0000"/>
      <name val="Santander Micro Text"/>
      <family val="2"/>
    </font>
    <font>
      <sz val="12"/>
      <color indexed="23"/>
      <name val="Santander Micro Text"/>
      <family val="2"/>
    </font>
    <font>
      <b/>
      <sz val="11"/>
      <color indexed="9"/>
      <name val="Santander Micro Text"/>
      <family val="2"/>
    </font>
    <font>
      <b/>
      <sz val="11"/>
      <color rgb="FFFF0000"/>
      <name val="Santander Micro Text"/>
      <family val="2"/>
    </font>
    <font>
      <i/>
      <sz val="10"/>
      <name val="Santander Micro Text"/>
      <family val="2"/>
    </font>
    <font>
      <b/>
      <vertAlign val="superscript"/>
      <sz val="10"/>
      <name val="Santander Micro Text"/>
      <family val="2"/>
    </font>
    <font>
      <b/>
      <sz val="9"/>
      <color indexed="10"/>
      <name val="Santander Micro Text"/>
      <family val="2"/>
    </font>
    <font>
      <b/>
      <sz val="10"/>
      <color indexed="23"/>
      <name val="Santander Micro Text"/>
      <family val="2"/>
    </font>
    <font>
      <sz val="10"/>
      <color theme="1"/>
      <name val="Santander Micro Text"/>
      <family val="2"/>
    </font>
    <font>
      <b/>
      <sz val="11"/>
      <name val="Santander Micro Text"/>
      <family val="2"/>
    </font>
    <font>
      <b/>
      <sz val="12"/>
      <color theme="0"/>
      <name val="Santander Micro Text"/>
      <family val="2"/>
    </font>
    <font>
      <b/>
      <sz val="14"/>
      <color indexed="10"/>
      <name val="Santander Micro Text"/>
      <family val="2"/>
    </font>
    <font>
      <b/>
      <sz val="8"/>
      <name val="Santander Micro Text"/>
      <family val="2"/>
    </font>
    <font>
      <b/>
      <sz val="10"/>
      <color theme="0"/>
      <name val="Santander Micro Text"/>
      <family val="2"/>
    </font>
    <font>
      <b/>
      <sz val="8"/>
      <color indexed="9"/>
      <name val="Santander Micro Text"/>
      <family val="2"/>
    </font>
    <font>
      <sz val="10"/>
      <color indexed="12"/>
      <name val="Santander Micro Text"/>
      <family val="2"/>
    </font>
    <font>
      <b/>
      <vertAlign val="superscript"/>
      <sz val="10"/>
      <color theme="1"/>
      <name val="Santander Micro Text"/>
      <family val="2"/>
    </font>
    <font>
      <sz val="10"/>
      <color theme="1"/>
      <name val="Montserrat"/>
    </font>
  </fonts>
  <fills count="4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23"/>
      </patternFill>
    </fill>
    <fill>
      <patternFill patternType="solid">
        <fgColor indexed="40"/>
        <bgColor indexed="23"/>
      </patternFill>
    </fill>
    <fill>
      <patternFill patternType="solid">
        <fgColor indexed="1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4C19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50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22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9"/>
      </right>
      <top/>
      <bottom style="thin">
        <color indexed="23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 style="thin">
        <color indexed="10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FF0000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rgb="FFD4C19C"/>
      </top>
      <bottom style="thin">
        <color rgb="FFD4C19C"/>
      </bottom>
      <diagonal/>
    </border>
  </borders>
  <cellStyleXfs count="11">
    <xf numFmtId="0" fontId="0" fillId="0" borderId="0"/>
    <xf numFmtId="172" fontId="1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30" fillId="0" borderId="0" applyFont="0" applyFill="0" applyBorder="0" applyAlignment="0" applyProtection="0"/>
    <xf numFmtId="41" fontId="3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46">
    <xf numFmtId="0" fontId="0" fillId="0" borderId="0" xfId="0"/>
    <xf numFmtId="0" fontId="3" fillId="2" borderId="1" xfId="0" applyFont="1" applyFill="1" applyBorder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4" fillId="0" borderId="0" xfId="0" applyFont="1" applyFill="1" applyProtection="1">
      <protection locked="0"/>
    </xf>
    <xf numFmtId="0" fontId="3" fillId="3" borderId="2" xfId="0" applyFont="1" applyFill="1" applyBorder="1" applyAlignment="1" applyProtection="1">
      <alignment horizontal="center"/>
      <protection locked="0"/>
    </xf>
    <xf numFmtId="0" fontId="4" fillId="0" borderId="3" xfId="0" applyFont="1" applyBorder="1" applyProtection="1">
      <protection locked="0"/>
    </xf>
    <xf numFmtId="0" fontId="4" fillId="0" borderId="4" xfId="0" applyFont="1" applyFill="1" applyBorder="1" applyProtection="1">
      <protection locked="0"/>
    </xf>
    <xf numFmtId="10" fontId="4" fillId="0" borderId="2" xfId="5" applyNumberFormat="1" applyFont="1" applyFill="1" applyBorder="1" applyProtection="1">
      <protection locked="0"/>
    </xf>
    <xf numFmtId="0" fontId="3" fillId="4" borderId="1" xfId="0" applyFont="1" applyFill="1" applyBorder="1" applyAlignment="1" applyProtection="1">
      <alignment horizontal="center"/>
      <protection locked="0"/>
    </xf>
    <xf numFmtId="0" fontId="4" fillId="0" borderId="7" xfId="0" applyFont="1" applyBorder="1" applyProtection="1">
      <protection locked="0"/>
    </xf>
    <xf numFmtId="0" fontId="4" fillId="0" borderId="2" xfId="0" applyFont="1" applyBorder="1" applyProtection="1">
      <protection locked="0"/>
    </xf>
    <xf numFmtId="1" fontId="3" fillId="4" borderId="8" xfId="0" applyNumberFormat="1" applyFont="1" applyFill="1" applyBorder="1" applyProtection="1">
      <protection locked="0"/>
    </xf>
    <xf numFmtId="4" fontId="3" fillId="4" borderId="4" xfId="0" applyNumberFormat="1" applyFont="1" applyFill="1" applyBorder="1" applyProtection="1">
      <protection locked="0"/>
    </xf>
    <xf numFmtId="0" fontId="4" fillId="0" borderId="0" xfId="0" applyFont="1" applyBorder="1" applyProtection="1">
      <protection locked="0"/>
    </xf>
    <xf numFmtId="0" fontId="4" fillId="0" borderId="2" xfId="0" applyFon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5" fillId="0" borderId="9" xfId="0" applyFont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3" fillId="6" borderId="1" xfId="0" applyFont="1" applyFill="1" applyBorder="1" applyAlignment="1" applyProtection="1">
      <protection locked="0"/>
    </xf>
    <xf numFmtId="8" fontId="4" fillId="0" borderId="0" xfId="0" applyNumberFormat="1" applyFont="1" applyFill="1" applyBorder="1" applyProtection="1">
      <protection locked="0"/>
    </xf>
    <xf numFmtId="8" fontId="5" fillId="0" borderId="0" xfId="0" applyNumberFormat="1" applyFont="1" applyFill="1" applyBorder="1" applyProtection="1">
      <protection locked="0"/>
    </xf>
    <xf numFmtId="0" fontId="0" fillId="0" borderId="0" xfId="0" applyFill="1" applyBorder="1"/>
    <xf numFmtId="0" fontId="0" fillId="0" borderId="0" xfId="0" applyFill="1"/>
    <xf numFmtId="0" fontId="3" fillId="4" borderId="1" xfId="0" applyFont="1" applyFill="1" applyBorder="1" applyAlignment="1" applyProtection="1">
      <protection locked="0"/>
    </xf>
    <xf numFmtId="0" fontId="3" fillId="8" borderId="1" xfId="0" applyFont="1" applyFill="1" applyBorder="1" applyAlignment="1" applyProtection="1">
      <protection locked="0"/>
    </xf>
    <xf numFmtId="164" fontId="8" fillId="9" borderId="4" xfId="0" applyNumberFormat="1" applyFont="1" applyFill="1" applyBorder="1" applyAlignment="1" applyProtection="1">
      <alignment horizontal="center"/>
      <protection locked="0"/>
    </xf>
    <xf numFmtId="164" fontId="8" fillId="9" borderId="4" xfId="0" applyNumberFormat="1" applyFont="1" applyFill="1" applyBorder="1" applyProtection="1">
      <protection locked="0"/>
    </xf>
    <xf numFmtId="0" fontId="4" fillId="0" borderId="0" xfId="0" applyFont="1" applyFill="1" applyAlignment="1" applyProtection="1">
      <alignment horizontal="right"/>
      <protection locked="0"/>
    </xf>
    <xf numFmtId="0" fontId="4" fillId="0" borderId="4" xfId="0" applyFont="1" applyBorder="1" applyProtection="1">
      <protection locked="0"/>
    </xf>
    <xf numFmtId="0" fontId="3" fillId="0" borderId="0" xfId="0" applyFont="1" applyFill="1" applyBorder="1" applyProtection="1">
      <protection locked="0"/>
    </xf>
    <xf numFmtId="0" fontId="4" fillId="5" borderId="12" xfId="0" applyFont="1" applyFill="1" applyBorder="1" applyProtection="1">
      <protection locked="0"/>
    </xf>
    <xf numFmtId="0" fontId="4" fillId="6" borderId="2" xfId="0" applyFont="1" applyFill="1" applyBorder="1" applyProtection="1">
      <protection locked="0"/>
    </xf>
    <xf numFmtId="0" fontId="4" fillId="10" borderId="2" xfId="0" applyFont="1" applyFill="1" applyBorder="1" applyProtection="1">
      <protection locked="0"/>
    </xf>
    <xf numFmtId="165" fontId="4" fillId="0" borderId="6" xfId="0" applyNumberFormat="1" applyFont="1" applyFill="1" applyBorder="1" applyProtection="1">
      <protection locked="0"/>
    </xf>
    <xf numFmtId="0" fontId="9" fillId="0" borderId="0" xfId="0" applyFont="1" applyProtection="1">
      <protection locked="0"/>
    </xf>
    <xf numFmtId="0" fontId="4" fillId="8" borderId="1" xfId="0" applyFont="1" applyFill="1" applyBorder="1" applyAlignment="1" applyProtection="1">
      <alignment horizontal="center"/>
      <protection locked="0"/>
    </xf>
    <xf numFmtId="10" fontId="4" fillId="0" borderId="8" xfId="0" applyNumberFormat="1" applyFont="1" applyFill="1" applyBorder="1" applyProtection="1">
      <protection locked="0"/>
    </xf>
    <xf numFmtId="0" fontId="12" fillId="0" borderId="0" xfId="0" applyFont="1" applyProtection="1">
      <protection hidden="1"/>
    </xf>
    <xf numFmtId="0" fontId="0" fillId="0" borderId="0" xfId="0" applyProtection="1">
      <protection hidden="1"/>
    </xf>
    <xf numFmtId="0" fontId="14" fillId="0" borderId="0" xfId="0" applyFont="1" applyAlignment="1" applyProtection="1">
      <alignment horizontal="center"/>
      <protection hidden="1"/>
    </xf>
    <xf numFmtId="0" fontId="12" fillId="0" borderId="0" xfId="0" applyFont="1" applyFill="1" applyAlignment="1" applyProtection="1">
      <alignment horizontal="right"/>
      <protection hidden="1"/>
    </xf>
    <xf numFmtId="167" fontId="15" fillId="0" borderId="0" xfId="0" applyNumberFormat="1" applyFont="1" applyFill="1" applyAlignment="1" applyProtection="1">
      <alignment horizontal="right"/>
      <protection hidden="1"/>
    </xf>
    <xf numFmtId="0" fontId="7" fillId="0" borderId="0" xfId="0" applyFont="1" applyFill="1" applyAlignment="1" applyProtection="1">
      <alignment horizontal="left"/>
      <protection hidden="1"/>
    </xf>
    <xf numFmtId="0" fontId="14" fillId="0" borderId="0" xfId="0" applyFont="1" applyFill="1" applyBorder="1" applyAlignment="1" applyProtection="1">
      <alignment horizontal="left"/>
      <protection hidden="1"/>
    </xf>
    <xf numFmtId="0" fontId="12" fillId="0" borderId="0" xfId="0" applyFont="1" applyFill="1" applyProtection="1">
      <protection hidden="1"/>
    </xf>
    <xf numFmtId="4" fontId="12" fillId="0" borderId="0" xfId="0" applyNumberFormat="1" applyFont="1" applyFill="1" applyAlignment="1" applyProtection="1">
      <alignment horizontal="right"/>
      <protection hidden="1"/>
    </xf>
    <xf numFmtId="0" fontId="4" fillId="0" borderId="0" xfId="0" applyNumberFormat="1" applyFont="1" applyFill="1" applyBorder="1" applyAlignment="1" applyProtection="1">
      <alignment horizontal="center"/>
      <protection locked="0"/>
    </xf>
    <xf numFmtId="0" fontId="7" fillId="0" borderId="0" xfId="0" applyFont="1" applyFill="1" applyAlignment="1" applyProtection="1">
      <protection hidden="1"/>
    </xf>
    <xf numFmtId="8" fontId="12" fillId="0" borderId="0" xfId="0" applyNumberFormat="1" applyFont="1" applyProtection="1">
      <protection hidden="1"/>
    </xf>
    <xf numFmtId="0" fontId="14" fillId="0" borderId="0" xfId="0" applyFont="1" applyProtection="1">
      <protection hidden="1"/>
    </xf>
    <xf numFmtId="4" fontId="12" fillId="0" borderId="0" xfId="0" applyNumberFormat="1" applyFont="1" applyFill="1" applyBorder="1" applyAlignment="1" applyProtection="1">
      <alignment horizontal="right"/>
      <protection hidden="1"/>
    </xf>
    <xf numFmtId="0" fontId="12" fillId="0" borderId="0" xfId="0" applyFont="1" applyFill="1" applyBorder="1" applyProtection="1">
      <protection hidden="1"/>
    </xf>
    <xf numFmtId="0" fontId="12" fillId="0" borderId="0" xfId="0" applyFont="1" applyFill="1" applyBorder="1" applyAlignment="1" applyProtection="1">
      <alignment horizontal="right"/>
      <protection hidden="1"/>
    </xf>
    <xf numFmtId="0" fontId="12" fillId="0" borderId="0" xfId="0" applyFont="1" applyBorder="1" applyProtection="1">
      <protection hidden="1"/>
    </xf>
    <xf numFmtId="0" fontId="12" fillId="0" borderId="0" xfId="0" applyFont="1" applyFill="1" applyAlignment="1" applyProtection="1">
      <alignment vertical="top"/>
      <protection hidden="1"/>
    </xf>
    <xf numFmtId="0" fontId="14" fillId="0" borderId="0" xfId="0" applyFont="1" applyAlignment="1" applyProtection="1">
      <alignment horizontal="right"/>
      <protection hidden="1"/>
    </xf>
    <xf numFmtId="10" fontId="12" fillId="0" borderId="0" xfId="5" applyNumberFormat="1" applyFont="1" applyFill="1" applyProtection="1">
      <protection hidden="1"/>
    </xf>
    <xf numFmtId="10" fontId="12" fillId="0" borderId="0" xfId="0" applyNumberFormat="1" applyFont="1" applyFill="1" applyAlignment="1" applyProtection="1">
      <alignment horizontal="right"/>
      <protection hidden="1"/>
    </xf>
    <xf numFmtId="0" fontId="12" fillId="0" borderId="0" xfId="0" applyFont="1" applyAlignment="1" applyProtection="1">
      <alignment horizontal="justify"/>
      <protection hidden="1"/>
    </xf>
    <xf numFmtId="0" fontId="16" fillId="0" borderId="0" xfId="0" applyFont="1" applyAlignment="1" applyProtection="1">
      <protection hidden="1"/>
    </xf>
    <xf numFmtId="170" fontId="12" fillId="0" borderId="0" xfId="0" applyNumberFormat="1" applyFont="1" applyFill="1" applyProtection="1">
      <protection hidden="1"/>
    </xf>
    <xf numFmtId="0" fontId="10" fillId="12" borderId="11" xfId="0" applyFont="1" applyFill="1" applyBorder="1" applyAlignment="1" applyProtection="1">
      <alignment horizontal="center" vertical="center"/>
      <protection hidden="1"/>
    </xf>
    <xf numFmtId="0" fontId="10" fillId="12" borderId="11" xfId="0" applyFont="1" applyFill="1" applyBorder="1" applyAlignment="1" applyProtection="1">
      <alignment horizontal="center" vertical="center" wrapText="1"/>
      <protection hidden="1"/>
    </xf>
    <xf numFmtId="0" fontId="10" fillId="12" borderId="0" xfId="0" applyFont="1" applyFill="1" applyAlignment="1">
      <alignment horizontal="center"/>
    </xf>
    <xf numFmtId="0" fontId="12" fillId="0" borderId="15" xfId="0" applyFont="1" applyBorder="1" applyProtection="1">
      <protection hidden="1"/>
    </xf>
    <xf numFmtId="4" fontId="12" fillId="0" borderId="15" xfId="0" applyNumberFormat="1" applyFont="1" applyBorder="1" applyProtection="1">
      <protection hidden="1"/>
    </xf>
    <xf numFmtId="0" fontId="12" fillId="0" borderId="15" xfId="0" applyFont="1" applyFill="1" applyBorder="1" applyProtection="1">
      <protection hidden="1"/>
    </xf>
    <xf numFmtId="0" fontId="12" fillId="0" borderId="15" xfId="0" applyFont="1" applyBorder="1" applyAlignment="1" applyProtection="1">
      <alignment horizontal="right"/>
      <protection hidden="1"/>
    </xf>
    <xf numFmtId="0" fontId="12" fillId="0" borderId="12" xfId="0" applyFont="1" applyBorder="1" applyProtection="1">
      <protection hidden="1"/>
    </xf>
    <xf numFmtId="3" fontId="12" fillId="0" borderId="0" xfId="0" applyNumberFormat="1" applyFont="1" applyFill="1" applyBorder="1" applyAlignment="1" applyProtection="1">
      <alignment horizontal="center"/>
      <protection hidden="1"/>
    </xf>
    <xf numFmtId="170" fontId="12" fillId="0" borderId="0" xfId="0" applyNumberFormat="1" applyFont="1" applyFill="1" applyBorder="1" applyProtection="1">
      <protection hidden="1"/>
    </xf>
    <xf numFmtId="170" fontId="12" fillId="0" borderId="0" xfId="0" applyNumberFormat="1" applyFont="1" applyFill="1" applyBorder="1" applyAlignment="1" applyProtection="1">
      <alignment horizontal="right"/>
      <protection hidden="1"/>
    </xf>
    <xf numFmtId="170" fontId="12" fillId="0" borderId="0" xfId="0" applyNumberFormat="1" applyFont="1" applyFill="1" applyBorder="1" applyAlignment="1" applyProtection="1">
      <protection hidden="1"/>
    </xf>
    <xf numFmtId="171" fontId="17" fillId="0" borderId="0" xfId="4" applyNumberFormat="1" applyFont="1" applyBorder="1" applyProtection="1">
      <protection hidden="1"/>
    </xf>
    <xf numFmtId="0" fontId="12" fillId="0" borderId="5" xfId="0" applyFont="1" applyBorder="1" applyProtection="1">
      <protection hidden="1"/>
    </xf>
    <xf numFmtId="0" fontId="12" fillId="0" borderId="0" xfId="0" applyFont="1" applyFill="1" applyBorder="1" applyAlignment="1" applyProtection="1">
      <alignment horizontal="center"/>
      <protection hidden="1"/>
    </xf>
    <xf numFmtId="171" fontId="12" fillId="0" borderId="0" xfId="4" applyNumberFormat="1" applyFont="1" applyFill="1" applyBorder="1" applyProtection="1">
      <protection hidden="1"/>
    </xf>
    <xf numFmtId="10" fontId="12" fillId="0" borderId="5" xfId="5" applyNumberFormat="1" applyFont="1" applyFill="1" applyBorder="1" applyAlignment="1" applyProtection="1">
      <alignment horizontal="center"/>
      <protection hidden="1"/>
    </xf>
    <xf numFmtId="170" fontId="12" fillId="0" borderId="0" xfId="0" applyNumberFormat="1" applyFont="1" applyProtection="1">
      <protection hidden="1"/>
    </xf>
    <xf numFmtId="166" fontId="12" fillId="0" borderId="0" xfId="0" applyNumberFormat="1" applyFont="1" applyProtection="1">
      <protection hidden="1"/>
    </xf>
    <xf numFmtId="166" fontId="12" fillId="0" borderId="0" xfId="0" applyNumberFormat="1" applyFont="1" applyAlignment="1" applyProtection="1">
      <alignment horizontal="left"/>
      <protection hidden="1"/>
    </xf>
    <xf numFmtId="0" fontId="12" fillId="0" borderId="0" xfId="0" applyFont="1" applyFill="1" applyBorder="1" applyAlignment="1" applyProtection="1">
      <protection hidden="1"/>
    </xf>
    <xf numFmtId="0" fontId="12" fillId="0" borderId="0" xfId="0" applyFont="1" applyAlignment="1" applyProtection="1">
      <protection hidden="1"/>
    </xf>
    <xf numFmtId="0" fontId="0" fillId="0" borderId="0" xfId="0" applyAlignment="1" applyProtection="1">
      <protection hidden="1"/>
    </xf>
    <xf numFmtId="0" fontId="12" fillId="0" borderId="0" xfId="0" applyFont="1" applyAlignment="1" applyProtection="1">
      <alignment horizontal="right"/>
      <protection hidden="1"/>
    </xf>
    <xf numFmtId="0" fontId="18" fillId="0" borderId="0" xfId="0" applyFont="1" applyFill="1" applyAlignment="1" applyProtection="1">
      <alignment horizontal="left"/>
      <protection hidden="1"/>
    </xf>
    <xf numFmtId="0" fontId="12" fillId="0" borderId="0" xfId="0" applyFont="1" applyFill="1" applyAlignment="1" applyProtection="1">
      <alignment horizontal="left"/>
      <protection hidden="1"/>
    </xf>
    <xf numFmtId="0" fontId="14" fillId="0" borderId="0" xfId="0" applyFont="1" applyAlignment="1" applyProtection="1">
      <alignment horizontal="left"/>
      <protection hidden="1"/>
    </xf>
    <xf numFmtId="0" fontId="19" fillId="0" borderId="0" xfId="0" applyFont="1" applyAlignment="1" applyProtection="1">
      <alignment horizontal="left"/>
      <protection hidden="1"/>
    </xf>
    <xf numFmtId="0" fontId="12" fillId="0" borderId="0" xfId="0" applyFont="1" applyAlignment="1" applyProtection="1">
      <alignment horizontal="left"/>
      <protection hidden="1"/>
    </xf>
    <xf numFmtId="0" fontId="12" fillId="0" borderId="0" xfId="0" applyFont="1" applyAlignment="1" applyProtection="1">
      <alignment horizontal="left" vertical="center" wrapText="1"/>
      <protection hidden="1"/>
    </xf>
    <xf numFmtId="0" fontId="14" fillId="0" borderId="0" xfId="0" applyFont="1" applyAlignment="1" applyProtection="1">
      <alignment horizontal="center" vertical="top" wrapText="1"/>
      <protection hidden="1"/>
    </xf>
    <xf numFmtId="4" fontId="12" fillId="0" borderId="0" xfId="0" applyNumberFormat="1" applyFont="1" applyFill="1" applyBorder="1" applyAlignment="1" applyProtection="1">
      <protection hidden="1"/>
    </xf>
    <xf numFmtId="0" fontId="3" fillId="0" borderId="16" xfId="0" applyFont="1" applyBorder="1" applyProtection="1">
      <protection locked="0"/>
    </xf>
    <xf numFmtId="4" fontId="3" fillId="0" borderId="0" xfId="0" applyNumberFormat="1" applyFont="1" applyFill="1" applyBorder="1" applyProtection="1">
      <protection locked="0"/>
    </xf>
    <xf numFmtId="0" fontId="14" fillId="13" borderId="17" xfId="0" applyFont="1" applyFill="1" applyBorder="1" applyAlignment="1"/>
    <xf numFmtId="0" fontId="10" fillId="13" borderId="18" xfId="0" applyFont="1" applyFill="1" applyBorder="1" applyAlignment="1"/>
    <xf numFmtId="0" fontId="10" fillId="13" borderId="19" xfId="0" applyFont="1" applyFill="1" applyBorder="1" applyAlignment="1"/>
    <xf numFmtId="0" fontId="10" fillId="13" borderId="17" xfId="0" applyFont="1" applyFill="1" applyBorder="1" applyAlignment="1"/>
    <xf numFmtId="0" fontId="14" fillId="14" borderId="17" xfId="0" applyFont="1" applyFill="1" applyBorder="1" applyAlignment="1"/>
    <xf numFmtId="0" fontId="10" fillId="14" borderId="18" xfId="0" applyFont="1" applyFill="1" applyBorder="1" applyAlignment="1"/>
    <xf numFmtId="0" fontId="10" fillId="14" borderId="19" xfId="0" applyFont="1" applyFill="1" applyBorder="1" applyAlignment="1"/>
    <xf numFmtId="0" fontId="10" fillId="14" borderId="17" xfId="0" applyFont="1" applyFill="1" applyBorder="1" applyAlignment="1"/>
    <xf numFmtId="0" fontId="10" fillId="13" borderId="20" xfId="0" applyFont="1" applyFill="1" applyBorder="1" applyAlignment="1">
      <alignment horizontal="center"/>
    </xf>
    <xf numFmtId="0" fontId="10" fillId="14" borderId="20" xfId="0" applyFont="1" applyFill="1" applyBorder="1" applyAlignment="1">
      <alignment horizontal="center"/>
    </xf>
    <xf numFmtId="9" fontId="20" fillId="0" borderId="22" xfId="0" applyNumberFormat="1" applyFont="1" applyBorder="1" applyAlignment="1">
      <alignment horizontal="center"/>
    </xf>
    <xf numFmtId="0" fontId="12" fillId="0" borderId="0" xfId="0" applyFont="1"/>
    <xf numFmtId="169" fontId="0" fillId="0" borderId="0" xfId="5" applyNumberFormat="1" applyFont="1"/>
    <xf numFmtId="2" fontId="4" fillId="0" borderId="0" xfId="0" applyNumberFormat="1" applyFont="1" applyFill="1" applyBorder="1" applyProtection="1">
      <protection locked="0"/>
    </xf>
    <xf numFmtId="43" fontId="3" fillId="0" borderId="0" xfId="3" applyFont="1" applyFill="1" applyBorder="1" applyProtection="1">
      <protection locked="0"/>
    </xf>
    <xf numFmtId="0" fontId="19" fillId="0" borderId="0" xfId="0" applyFont="1" applyAlignment="1" applyProtection="1">
      <alignment vertical="center"/>
      <protection hidden="1"/>
    </xf>
    <xf numFmtId="0" fontId="14" fillId="0" borderId="0" xfId="0" applyFont="1" applyAlignment="1" applyProtection="1">
      <protection hidden="1"/>
    </xf>
    <xf numFmtId="170" fontId="14" fillId="0" borderId="27" xfId="0" applyNumberFormat="1" applyFont="1" applyFill="1" applyBorder="1" applyProtection="1">
      <protection hidden="1"/>
    </xf>
    <xf numFmtId="3" fontId="14" fillId="0" borderId="27" xfId="0" applyNumberFormat="1" applyFont="1" applyFill="1" applyBorder="1" applyAlignment="1" applyProtection="1">
      <alignment horizontal="center"/>
      <protection hidden="1"/>
    </xf>
    <xf numFmtId="7" fontId="12" fillId="0" borderId="0" xfId="0" applyNumberFormat="1" applyFont="1" applyProtection="1">
      <protection hidden="1"/>
    </xf>
    <xf numFmtId="7" fontId="14" fillId="0" borderId="0" xfId="0" applyNumberFormat="1" applyFont="1" applyAlignment="1" applyProtection="1">
      <protection hidden="1"/>
    </xf>
    <xf numFmtId="0" fontId="13" fillId="0" borderId="0" xfId="0" applyFont="1" applyAlignment="1" applyProtection="1">
      <alignment horizontal="centerContinuous"/>
      <protection hidden="1"/>
    </xf>
    <xf numFmtId="0" fontId="21" fillId="0" borderId="0" xfId="0" applyFont="1" applyFill="1" applyAlignment="1" applyProtection="1">
      <alignment horizontal="right"/>
      <protection hidden="1"/>
    </xf>
    <xf numFmtId="0" fontId="0" fillId="0" borderId="38" xfId="0" applyBorder="1" applyProtection="1">
      <protection hidden="1"/>
    </xf>
    <xf numFmtId="0" fontId="0" fillId="0" borderId="0" xfId="0" applyProtection="1">
      <protection locked="0"/>
    </xf>
    <xf numFmtId="9" fontId="0" fillId="0" borderId="11" xfId="0" applyNumberFormat="1" applyBorder="1" applyProtection="1">
      <protection locked="0"/>
    </xf>
    <xf numFmtId="0" fontId="0" fillId="0" borderId="1" xfId="0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Border="1" applyProtection="1">
      <protection locked="0"/>
    </xf>
    <xf numFmtId="43" fontId="0" fillId="0" borderId="0" xfId="3" applyFont="1" applyProtection="1">
      <protection locked="0"/>
    </xf>
    <xf numFmtId="0" fontId="12" fillId="0" borderId="0" xfId="0" applyFont="1" applyAlignment="1" applyProtection="1">
      <protection locked="0"/>
    </xf>
    <xf numFmtId="0" fontId="12" fillId="0" borderId="0" xfId="0" applyFont="1" applyProtection="1">
      <protection locked="0"/>
    </xf>
    <xf numFmtId="43" fontId="4" fillId="0" borderId="9" xfId="3" applyFont="1" applyBorder="1" applyProtection="1">
      <protection locked="0"/>
    </xf>
    <xf numFmtId="0" fontId="0" fillId="0" borderId="11" xfId="0" applyFill="1" applyBorder="1" applyProtection="1">
      <protection locked="0"/>
    </xf>
    <xf numFmtId="43" fontId="4" fillId="0" borderId="0" xfId="3" applyFont="1" applyFill="1" applyBorder="1" applyProtection="1">
      <protection locked="0"/>
    </xf>
    <xf numFmtId="4" fontId="4" fillId="0" borderId="0" xfId="0" applyNumberFormat="1" applyFont="1" applyFill="1" applyBorder="1" applyProtection="1">
      <protection locked="0"/>
    </xf>
    <xf numFmtId="43" fontId="2" fillId="0" borderId="0" xfId="3" applyFont="1" applyFill="1" applyBorder="1" applyProtection="1">
      <protection locked="0"/>
    </xf>
    <xf numFmtId="0" fontId="12" fillId="0" borderId="0" xfId="0" applyFont="1" applyBorder="1" applyAlignment="1" applyProtection="1">
      <protection locked="0"/>
    </xf>
    <xf numFmtId="44" fontId="12" fillId="0" borderId="0" xfId="0" applyNumberFormat="1" applyFont="1" applyBorder="1" applyAlignment="1" applyProtection="1">
      <protection locked="0"/>
    </xf>
    <xf numFmtId="43" fontId="12" fillId="0" borderId="0" xfId="0" applyNumberFormat="1" applyFont="1" applyAlignment="1" applyProtection="1">
      <protection locked="0"/>
    </xf>
    <xf numFmtId="0" fontId="12" fillId="0" borderId="0" xfId="0" applyFont="1" applyFill="1" applyBorder="1"/>
    <xf numFmtId="0" fontId="1" fillId="0" borderId="0" xfId="0" applyFont="1" applyFill="1" applyBorder="1"/>
    <xf numFmtId="170" fontId="12" fillId="15" borderId="0" xfId="0" applyNumberFormat="1" applyFont="1" applyFill="1" applyBorder="1" applyProtection="1">
      <protection hidden="1"/>
    </xf>
    <xf numFmtId="170" fontId="12" fillId="15" borderId="0" xfId="0" applyNumberFormat="1" applyFont="1" applyFill="1" applyBorder="1" applyAlignment="1" applyProtection="1">
      <protection hidden="1"/>
    </xf>
    <xf numFmtId="3" fontId="12" fillId="15" borderId="0" xfId="0" applyNumberFormat="1" applyFont="1" applyFill="1" applyBorder="1" applyAlignment="1" applyProtection="1">
      <alignment horizontal="center"/>
      <protection hidden="1"/>
    </xf>
    <xf numFmtId="0" fontId="22" fillId="0" borderId="0" xfId="0" applyFont="1" applyAlignment="1" applyProtection="1">
      <alignment horizontal="centerContinuous"/>
      <protection hidden="1"/>
    </xf>
    <xf numFmtId="0" fontId="14" fillId="0" borderId="0" xfId="0" applyFont="1" applyFill="1" applyAlignment="1" applyProtection="1">
      <protection hidden="1"/>
    </xf>
    <xf numFmtId="10" fontId="12" fillId="0" borderId="0" xfId="0" applyNumberFormat="1" applyFont="1" applyFill="1"/>
    <xf numFmtId="4" fontId="14" fillId="0" borderId="0" xfId="0" applyNumberFormat="1" applyFont="1" applyFill="1" applyAlignment="1" applyProtection="1">
      <protection hidden="1"/>
    </xf>
    <xf numFmtId="10" fontId="23" fillId="0" borderId="0" xfId="2" applyNumberFormat="1" applyFont="1" applyFill="1" applyAlignment="1" applyProtection="1">
      <alignment horizontal="right"/>
      <protection hidden="1"/>
    </xf>
    <xf numFmtId="4" fontId="13" fillId="0" borderId="0" xfId="0" applyNumberFormat="1" applyFont="1" applyFill="1" applyAlignment="1" applyProtection="1">
      <alignment horizontal="left"/>
      <protection hidden="1"/>
    </xf>
    <xf numFmtId="43" fontId="4" fillId="0" borderId="0" xfId="0" applyNumberFormat="1" applyFont="1" applyBorder="1" applyProtection="1">
      <protection locked="0"/>
    </xf>
    <xf numFmtId="4" fontId="0" fillId="0" borderId="0" xfId="0" applyNumberFormat="1" applyFill="1" applyProtection="1">
      <protection locked="0"/>
    </xf>
    <xf numFmtId="0" fontId="12" fillId="0" borderId="0" xfId="0" applyFont="1" applyFill="1"/>
    <xf numFmtId="9" fontId="15" fillId="0" borderId="22" xfId="0" applyNumberFormat="1" applyFont="1" applyFill="1" applyBorder="1" applyAlignment="1">
      <alignment horizontal="center" vertical="center"/>
    </xf>
    <xf numFmtId="9" fontId="15" fillId="0" borderId="0" xfId="0" applyNumberFormat="1" applyFont="1" applyFill="1" applyBorder="1" applyAlignment="1">
      <alignment horizontal="center" vertical="center"/>
    </xf>
    <xf numFmtId="0" fontId="10" fillId="16" borderId="10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1" fillId="0" borderId="0" xfId="0" applyFont="1" applyFill="1" applyBorder="1"/>
    <xf numFmtId="0" fontId="14" fillId="20" borderId="0" xfId="0" applyFont="1" applyFill="1" applyProtection="1">
      <protection locked="0"/>
    </xf>
    <xf numFmtId="43" fontId="5" fillId="0" borderId="0" xfId="3" applyFont="1" applyFill="1" applyBorder="1" applyAlignment="1" applyProtection="1">
      <alignment horizontal="center"/>
      <protection locked="0"/>
    </xf>
    <xf numFmtId="0" fontId="3" fillId="5" borderId="12" xfId="0" applyFont="1" applyFill="1" applyBorder="1" applyAlignment="1" applyProtection="1">
      <alignment horizontal="center"/>
      <protection locked="0"/>
    </xf>
    <xf numFmtId="2" fontId="2" fillId="0" borderId="0" xfId="0" applyNumberFormat="1" applyFont="1" applyFill="1" applyBorder="1" applyAlignment="1" applyProtection="1">
      <alignment horizontal="center"/>
      <protection locked="0"/>
    </xf>
    <xf numFmtId="0" fontId="26" fillId="22" borderId="0" xfId="0" applyFont="1" applyFill="1"/>
    <xf numFmtId="0" fontId="0" fillId="0" borderId="11" xfId="0" applyBorder="1"/>
    <xf numFmtId="0" fontId="14" fillId="0" borderId="11" xfId="0" applyFont="1" applyBorder="1"/>
    <xf numFmtId="0" fontId="1" fillId="0" borderId="11" xfId="0" applyFont="1" applyBorder="1" applyAlignment="1">
      <alignment horizontal="center"/>
    </xf>
    <xf numFmtId="0" fontId="1" fillId="0" borderId="11" xfId="0" applyFont="1" applyBorder="1"/>
    <xf numFmtId="0" fontId="0" fillId="23" borderId="11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1" fillId="0" borderId="11" xfId="0" applyFont="1" applyFill="1" applyBorder="1"/>
    <xf numFmtId="43" fontId="5" fillId="0" borderId="5" xfId="0" applyNumberFormat="1" applyFont="1" applyFill="1" applyBorder="1" applyProtection="1">
      <protection locked="0"/>
    </xf>
    <xf numFmtId="43" fontId="5" fillId="0" borderId="12" xfId="0" applyNumberFormat="1" applyFont="1" applyFill="1" applyBorder="1" applyProtection="1">
      <protection locked="0"/>
    </xf>
    <xf numFmtId="9" fontId="1" fillId="0" borderId="26" xfId="0" applyNumberFormat="1" applyFont="1" applyFill="1" applyBorder="1" applyAlignment="1">
      <alignment horizontal="center"/>
    </xf>
    <xf numFmtId="9" fontId="1" fillId="0" borderId="26" xfId="5" applyFont="1" applyFill="1" applyBorder="1" applyAlignment="1">
      <alignment horizontal="center"/>
    </xf>
    <xf numFmtId="9" fontId="2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 applyProtection="1">
      <alignment horizontal="justify"/>
      <protection locked="0"/>
    </xf>
    <xf numFmtId="0" fontId="3" fillId="0" borderId="25" xfId="0" applyFont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" fillId="0" borderId="0" xfId="0" applyFont="1" applyProtection="1">
      <protection hidden="1"/>
    </xf>
    <xf numFmtId="0" fontId="1" fillId="0" borderId="11" xfId="0" applyFont="1" applyFill="1" applyBorder="1" applyProtection="1">
      <protection locked="0"/>
    </xf>
    <xf numFmtId="0" fontId="25" fillId="0" borderId="11" xfId="0" applyFont="1" applyFill="1" applyBorder="1" applyProtection="1">
      <protection locked="0"/>
    </xf>
    <xf numFmtId="0" fontId="1" fillId="0" borderId="0" xfId="0" applyFont="1"/>
    <xf numFmtId="44" fontId="4" fillId="11" borderId="0" xfId="0" applyNumberFormat="1" applyFont="1" applyFill="1" applyBorder="1" applyProtection="1">
      <protection locked="0"/>
    </xf>
    <xf numFmtId="0" fontId="0" fillId="18" borderId="48" xfId="0" applyFill="1" applyBorder="1" applyProtection="1">
      <protection locked="0"/>
    </xf>
    <xf numFmtId="0" fontId="10" fillId="13" borderId="21" xfId="0" applyFont="1" applyFill="1" applyBorder="1" applyAlignment="1">
      <alignment wrapText="1"/>
    </xf>
    <xf numFmtId="0" fontId="10" fillId="14" borderId="21" xfId="0" applyFont="1" applyFill="1" applyBorder="1" applyAlignment="1">
      <alignment wrapText="1"/>
    </xf>
    <xf numFmtId="0" fontId="7" fillId="18" borderId="27" xfId="0" applyFont="1" applyFill="1" applyBorder="1" applyProtection="1">
      <protection locked="0"/>
    </xf>
    <xf numFmtId="0" fontId="14" fillId="24" borderId="0" xfId="0" applyFont="1" applyFill="1" applyAlignment="1" applyProtection="1">
      <alignment wrapText="1"/>
      <protection locked="0"/>
    </xf>
    <xf numFmtId="43" fontId="12" fillId="0" borderId="0" xfId="0" applyNumberFormat="1" applyFont="1" applyProtection="1">
      <protection hidden="1"/>
    </xf>
    <xf numFmtId="0" fontId="14" fillId="0" borderId="0" xfId="0" applyFont="1" applyFill="1" applyBorder="1"/>
    <xf numFmtId="10" fontId="1" fillId="0" borderId="10" xfId="5" applyNumberFormat="1" applyFont="1" applyFill="1" applyBorder="1"/>
    <xf numFmtId="0" fontId="14" fillId="0" borderId="58" xfId="0" applyFont="1" applyFill="1" applyBorder="1" applyAlignment="1" applyProtection="1">
      <alignment horizontal="center" vertical="center" wrapText="1"/>
      <protection hidden="1"/>
    </xf>
    <xf numFmtId="0" fontId="1" fillId="0" borderId="58" xfId="0" applyFont="1" applyFill="1" applyBorder="1"/>
    <xf numFmtId="173" fontId="1" fillId="0" borderId="58" xfId="0" applyNumberFormat="1" applyFont="1" applyFill="1" applyBorder="1"/>
    <xf numFmtId="43" fontId="1" fillId="0" borderId="0" xfId="0" applyNumberFormat="1" applyFont="1" applyFill="1" applyBorder="1"/>
    <xf numFmtId="44" fontId="1" fillId="0" borderId="0" xfId="0" applyNumberFormat="1" applyFont="1" applyFill="1" applyBorder="1"/>
    <xf numFmtId="43" fontId="14" fillId="0" borderId="0" xfId="0" applyNumberFormat="1" applyFont="1" applyFill="1" applyBorder="1"/>
    <xf numFmtId="2" fontId="1" fillId="0" borderId="0" xfId="0" applyNumberFormat="1" applyFont="1" applyFill="1" applyBorder="1"/>
    <xf numFmtId="0" fontId="2" fillId="25" borderId="5" xfId="0" applyFont="1" applyFill="1" applyBorder="1" applyProtection="1">
      <protection locked="0"/>
    </xf>
    <xf numFmtId="10" fontId="4" fillId="25" borderId="3" xfId="5" applyNumberFormat="1" applyFont="1" applyFill="1" applyBorder="1" applyProtection="1">
      <protection locked="0"/>
    </xf>
    <xf numFmtId="0" fontId="4" fillId="25" borderId="4" xfId="0" applyFont="1" applyFill="1" applyBorder="1" applyAlignment="1" applyProtection="1">
      <alignment horizontal="justify"/>
      <protection locked="0"/>
    </xf>
    <xf numFmtId="168" fontId="25" fillId="0" borderId="58" xfId="0" applyNumberFormat="1" applyFont="1" applyFill="1" applyBorder="1"/>
    <xf numFmtId="43" fontId="5" fillId="0" borderId="59" xfId="0" applyNumberFormat="1" applyFont="1" applyFill="1" applyBorder="1" applyProtection="1">
      <protection locked="0"/>
    </xf>
    <xf numFmtId="0" fontId="2" fillId="0" borderId="6" xfId="0" applyFont="1" applyFill="1" applyBorder="1" applyProtection="1">
      <protection locked="0"/>
    </xf>
    <xf numFmtId="10" fontId="7" fillId="18" borderId="10" xfId="0" applyNumberFormat="1" applyFont="1" applyFill="1" applyBorder="1" applyProtection="1">
      <protection locked="0"/>
    </xf>
    <xf numFmtId="0" fontId="4" fillId="0" borderId="12" xfId="0" applyFont="1" applyBorder="1" applyProtection="1">
      <protection locked="0"/>
    </xf>
    <xf numFmtId="0" fontId="2" fillId="0" borderId="0" xfId="0" applyFont="1" applyFill="1" applyBorder="1" applyAlignment="1" applyProtection="1">
      <alignment horizontal="center"/>
      <protection locked="0"/>
    </xf>
    <xf numFmtId="0" fontId="1" fillId="0" borderId="11" xfId="0" applyFont="1" applyBorder="1" applyAlignment="1" applyProtection="1">
      <alignment horizontal="center"/>
      <protection locked="0"/>
    </xf>
    <xf numFmtId="0" fontId="2" fillId="28" borderId="0" xfId="0" applyFont="1" applyFill="1" applyBorder="1" applyAlignment="1" applyProtection="1">
      <alignment horizontal="center"/>
      <protection locked="0"/>
    </xf>
    <xf numFmtId="9" fontId="0" fillId="0" borderId="13" xfId="0" applyNumberFormat="1" applyFill="1" applyBorder="1" applyProtection="1">
      <protection locked="0"/>
    </xf>
    <xf numFmtId="0" fontId="3" fillId="21" borderId="14" xfId="0" applyFont="1" applyFill="1" applyBorder="1" applyAlignment="1" applyProtection="1">
      <protection locked="0"/>
    </xf>
    <xf numFmtId="0" fontId="14" fillId="25" borderId="42" xfId="0" applyFont="1" applyFill="1" applyBorder="1" applyProtection="1">
      <protection locked="0"/>
    </xf>
    <xf numFmtId="0" fontId="7" fillId="25" borderId="42" xfId="0" applyFont="1" applyFill="1" applyBorder="1" applyProtection="1">
      <protection locked="0"/>
    </xf>
    <xf numFmtId="0" fontId="0" fillId="25" borderId="12" xfId="0" applyFill="1" applyBorder="1" applyProtection="1">
      <protection locked="0"/>
    </xf>
    <xf numFmtId="0" fontId="0" fillId="25" borderId="6" xfId="0" applyFill="1" applyBorder="1" applyProtection="1">
      <protection locked="0"/>
    </xf>
    <xf numFmtId="10" fontId="0" fillId="0" borderId="0" xfId="5" applyNumberFormat="1" applyFont="1" applyFill="1" applyBorder="1" applyAlignment="1" applyProtection="1">
      <alignment horizontal="center"/>
      <protection locked="0"/>
    </xf>
    <xf numFmtId="10" fontId="0" fillId="0" borderId="0" xfId="0" applyNumberFormat="1" applyFill="1" applyBorder="1" applyAlignment="1" applyProtection="1">
      <alignment horizontal="center"/>
      <protection locked="0"/>
    </xf>
    <xf numFmtId="10" fontId="32" fillId="18" borderId="0" xfId="5" applyNumberFormat="1" applyFont="1" applyFill="1"/>
    <xf numFmtId="0" fontId="10" fillId="12" borderId="0" xfId="0" applyFont="1" applyFill="1" applyAlignment="1" applyProtection="1">
      <alignment horizontal="center"/>
      <protection hidden="1"/>
    </xf>
    <xf numFmtId="0" fontId="2" fillId="0" borderId="5" xfId="0" applyFont="1" applyBorder="1" applyProtection="1">
      <protection locked="0"/>
    </xf>
    <xf numFmtId="7" fontId="12" fillId="0" borderId="0" xfId="0" applyNumberFormat="1" applyFont="1" applyFill="1" applyProtection="1">
      <protection hidden="1"/>
    </xf>
    <xf numFmtId="44" fontId="12" fillId="0" borderId="0" xfId="0" applyNumberFormat="1" applyFont="1" applyFill="1"/>
    <xf numFmtId="43" fontId="12" fillId="0" borderId="0" xfId="0" applyNumberFormat="1" applyFont="1" applyFill="1" applyProtection="1">
      <protection hidden="1"/>
    </xf>
    <xf numFmtId="7" fontId="12" fillId="0" borderId="0" xfId="0" applyNumberFormat="1" applyFont="1"/>
    <xf numFmtId="170" fontId="14" fillId="0" borderId="0" xfId="0" applyNumberFormat="1" applyFont="1" applyAlignment="1" applyProtection="1">
      <protection hidden="1"/>
    </xf>
    <xf numFmtId="43" fontId="14" fillId="0" borderId="0" xfId="3" applyFont="1" applyAlignment="1" applyProtection="1">
      <protection hidden="1"/>
    </xf>
    <xf numFmtId="4" fontId="12" fillId="0" borderId="0" xfId="0" applyNumberFormat="1" applyFont="1" applyFill="1" applyProtection="1">
      <protection hidden="1"/>
    </xf>
    <xf numFmtId="170" fontId="0" fillId="0" borderId="0" xfId="0" applyNumberFormat="1" applyProtection="1">
      <protection hidden="1"/>
    </xf>
    <xf numFmtId="4" fontId="12" fillId="0" borderId="0" xfId="0" applyNumberFormat="1" applyFont="1" applyProtection="1">
      <protection hidden="1"/>
    </xf>
    <xf numFmtId="173" fontId="14" fillId="0" borderId="0" xfId="0" applyNumberFormat="1" applyFont="1" applyFill="1" applyBorder="1"/>
    <xf numFmtId="10" fontId="29" fillId="0" borderId="0" xfId="0" applyNumberFormat="1" applyFont="1" applyAlignment="1">
      <alignment horizontal="center"/>
    </xf>
    <xf numFmtId="0" fontId="28" fillId="35" borderId="0" xfId="0" applyFont="1" applyFill="1" applyAlignment="1" applyProtection="1">
      <alignment wrapText="1"/>
      <protection locked="0"/>
    </xf>
    <xf numFmtId="0" fontId="28" fillId="28" borderId="0" xfId="0" applyFont="1" applyFill="1" applyAlignment="1" applyProtection="1">
      <alignment wrapText="1"/>
      <protection locked="0"/>
    </xf>
    <xf numFmtId="0" fontId="4" fillId="0" borderId="42" xfId="0" applyFont="1" applyFill="1" applyBorder="1" applyProtection="1">
      <protection locked="0"/>
    </xf>
    <xf numFmtId="0" fontId="33" fillId="0" borderId="0" xfId="0" applyFont="1" applyBorder="1" applyAlignment="1">
      <alignment horizontal="center" vertical="center"/>
    </xf>
    <xf numFmtId="0" fontId="3" fillId="17" borderId="48" xfId="0" applyFont="1" applyFill="1" applyBorder="1" applyAlignment="1" applyProtection="1">
      <protection locked="0"/>
    </xf>
    <xf numFmtId="8" fontId="1" fillId="28" borderId="48" xfId="0" applyNumberFormat="1" applyFont="1" applyFill="1" applyBorder="1" applyProtection="1">
      <protection locked="0"/>
    </xf>
    <xf numFmtId="10" fontId="14" fillId="36" borderId="11" xfId="9" applyNumberFormat="1" applyFont="1" applyFill="1" applyBorder="1" applyAlignment="1" applyProtection="1">
      <alignment horizontal="center"/>
      <protection hidden="1"/>
    </xf>
    <xf numFmtId="10" fontId="14" fillId="0" borderId="1" xfId="0" applyNumberFormat="1" applyFont="1" applyFill="1" applyBorder="1" applyAlignment="1" applyProtection="1">
      <alignment horizontal="center"/>
      <protection locked="0"/>
    </xf>
    <xf numFmtId="10" fontId="14" fillId="0" borderId="4" xfId="0" applyNumberFormat="1" applyFont="1" applyFill="1" applyBorder="1" applyAlignment="1" applyProtection="1">
      <alignment horizontal="center"/>
      <protection locked="0"/>
    </xf>
    <xf numFmtId="9" fontId="34" fillId="37" borderId="39" xfId="0" applyNumberFormat="1" applyFont="1" applyFill="1" applyBorder="1" applyAlignment="1">
      <alignment horizontal="center" vertical="center"/>
    </xf>
    <xf numFmtId="9" fontId="34" fillId="37" borderId="75" xfId="0" applyNumberFormat="1" applyFont="1" applyFill="1" applyBorder="1" applyAlignment="1">
      <alignment horizontal="center" vertical="center"/>
    </xf>
    <xf numFmtId="9" fontId="14" fillId="0" borderId="26" xfId="5" applyFont="1" applyFill="1" applyBorder="1" applyAlignment="1">
      <alignment horizontal="center"/>
    </xf>
    <xf numFmtId="9" fontId="15" fillId="0" borderId="26" xfId="0" applyNumberFormat="1" applyFont="1" applyFill="1" applyBorder="1" applyAlignment="1">
      <alignment horizontal="center" vertical="center"/>
    </xf>
    <xf numFmtId="9" fontId="1" fillId="37" borderId="26" xfId="5" applyFont="1" applyFill="1" applyBorder="1" applyAlignment="1">
      <alignment horizontal="center"/>
    </xf>
    <xf numFmtId="9" fontId="15" fillId="37" borderId="22" xfId="0" applyNumberFormat="1" applyFont="1" applyFill="1" applyBorder="1" applyAlignment="1">
      <alignment horizontal="center" vertical="center"/>
    </xf>
    <xf numFmtId="9" fontId="2" fillId="37" borderId="0" xfId="0" applyNumberFormat="1" applyFont="1" applyFill="1" applyBorder="1" applyAlignment="1">
      <alignment horizontal="center"/>
    </xf>
    <xf numFmtId="9" fontId="15" fillId="37" borderId="0" xfId="0" applyNumberFormat="1" applyFont="1" applyFill="1" applyBorder="1" applyAlignment="1">
      <alignment horizontal="center" vertical="center"/>
    </xf>
    <xf numFmtId="43" fontId="0" fillId="0" borderId="0" xfId="3" applyFont="1" applyAlignment="1" applyProtection="1">
      <alignment horizontal="center"/>
      <protection locked="0"/>
    </xf>
    <xf numFmtId="0" fontId="4" fillId="10" borderId="1" xfId="0" applyFont="1" applyFill="1" applyBorder="1" applyProtection="1">
      <protection locked="0"/>
    </xf>
    <xf numFmtId="0" fontId="14" fillId="0" borderId="61" xfId="8" applyFont="1" applyBorder="1" applyAlignment="1">
      <alignment horizontal="center"/>
    </xf>
    <xf numFmtId="7" fontId="12" fillId="39" borderId="0" xfId="0" applyNumberFormat="1" applyFont="1" applyFill="1" applyProtection="1">
      <protection hidden="1"/>
    </xf>
    <xf numFmtId="0" fontId="14" fillId="38" borderId="61" xfId="8" applyFont="1" applyFill="1" applyBorder="1" applyAlignment="1">
      <alignment horizontal="center"/>
    </xf>
    <xf numFmtId="0" fontId="14" fillId="10" borderId="61" xfId="8" applyFont="1" applyFill="1" applyBorder="1" applyAlignment="1">
      <alignment horizontal="center"/>
    </xf>
    <xf numFmtId="0" fontId="1" fillId="10" borderId="61" xfId="8" applyFill="1" applyBorder="1"/>
    <xf numFmtId="177" fontId="1" fillId="38" borderId="5" xfId="6" applyNumberFormat="1" applyFont="1" applyFill="1" applyBorder="1" applyAlignment="1">
      <alignment horizontal="center" vertical="center"/>
    </xf>
    <xf numFmtId="177" fontId="1" fillId="38" borderId="6" xfId="6" applyNumberFormat="1" applyFont="1" applyFill="1" applyBorder="1" applyAlignment="1">
      <alignment horizontal="center" vertical="center"/>
    </xf>
    <xf numFmtId="177" fontId="35" fillId="38" borderId="7" xfId="6" applyNumberFormat="1" applyFont="1" applyFill="1" applyBorder="1" applyAlignment="1">
      <alignment horizontal="center" vertical="center"/>
    </xf>
    <xf numFmtId="177" fontId="35" fillId="38" borderId="0" xfId="6" applyNumberFormat="1" applyFont="1" applyFill="1" applyBorder="1" applyAlignment="1">
      <alignment horizontal="center" vertical="center"/>
    </xf>
    <xf numFmtId="177" fontId="35" fillId="38" borderId="8" xfId="6" applyNumberFormat="1" applyFont="1" applyFill="1" applyBorder="1" applyAlignment="1">
      <alignment horizontal="center" vertical="center"/>
    </xf>
    <xf numFmtId="177" fontId="35" fillId="38" borderId="74" xfId="6" applyNumberFormat="1" applyFont="1" applyFill="1" applyBorder="1" applyAlignment="1">
      <alignment horizontal="center" vertical="center"/>
    </xf>
    <xf numFmtId="44" fontId="0" fillId="18" borderId="48" xfId="6" applyFont="1" applyFill="1" applyBorder="1" applyProtection="1">
      <protection locked="0"/>
    </xf>
    <xf numFmtId="2" fontId="33" fillId="0" borderId="48" xfId="0" applyNumberFormat="1" applyFont="1" applyBorder="1" applyAlignment="1">
      <alignment horizontal="center" vertical="center"/>
    </xf>
    <xf numFmtId="2" fontId="0" fillId="0" borderId="48" xfId="0" applyNumberFormat="1" applyBorder="1" applyAlignment="1">
      <alignment horizontal="center" vertical="center"/>
    </xf>
    <xf numFmtId="0" fontId="33" fillId="0" borderId="48" xfId="0" applyFont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164" fontId="24" fillId="40" borderId="4" xfId="0" applyNumberFormat="1" applyFont="1" applyFill="1" applyBorder="1" applyAlignment="1" applyProtection="1">
      <alignment horizontal="center"/>
      <protection locked="0"/>
    </xf>
    <xf numFmtId="164" fontId="24" fillId="40" borderId="11" xfId="0" applyNumberFormat="1" applyFont="1" applyFill="1" applyBorder="1" applyAlignment="1" applyProtection="1">
      <alignment horizontal="center"/>
      <protection locked="0"/>
    </xf>
    <xf numFmtId="166" fontId="5" fillId="40" borderId="11" xfId="0" applyNumberFormat="1" applyFont="1" applyFill="1" applyBorder="1" applyProtection="1">
      <protection locked="0"/>
    </xf>
    <xf numFmtId="2" fontId="5" fillId="0" borderId="8" xfId="0" applyNumberFormat="1" applyFont="1" applyFill="1" applyBorder="1" applyProtection="1">
      <protection locked="0"/>
    </xf>
    <xf numFmtId="10" fontId="25" fillId="0" borderId="9" xfId="0" applyNumberFormat="1" applyFont="1" applyFill="1" applyBorder="1" applyAlignment="1" applyProtection="1">
      <alignment horizontal="center"/>
      <protection locked="0"/>
    </xf>
    <xf numFmtId="168" fontId="27" fillId="40" borderId="11" xfId="3" applyNumberFormat="1" applyFont="1" applyFill="1" applyBorder="1" applyAlignment="1" applyProtection="1">
      <alignment horizontal="center"/>
      <protection locked="0"/>
    </xf>
    <xf numFmtId="168" fontId="27" fillId="40" borderId="0" xfId="3" applyNumberFormat="1" applyFont="1" applyFill="1" applyBorder="1" applyAlignment="1" applyProtection="1">
      <alignment horizontal="center"/>
      <protection locked="0"/>
    </xf>
    <xf numFmtId="8" fontId="7" fillId="40" borderId="58" xfId="0" applyNumberFormat="1" applyFont="1" applyFill="1" applyBorder="1" applyAlignment="1" applyProtection="1">
      <alignment horizontal="center"/>
      <protection locked="0"/>
    </xf>
    <xf numFmtId="0" fontId="0" fillId="40" borderId="48" xfId="0" applyFill="1" applyBorder="1" applyProtection="1">
      <protection locked="0"/>
    </xf>
    <xf numFmtId="10" fontId="25" fillId="40" borderId="14" xfId="5" applyNumberFormat="1" applyFont="1" applyFill="1" applyBorder="1" applyProtection="1">
      <protection locked="0"/>
    </xf>
    <xf numFmtId="0" fontId="32" fillId="40" borderId="11" xfId="0" applyFont="1" applyFill="1" applyBorder="1" applyAlignment="1" applyProtection="1">
      <alignment horizontal="center"/>
      <protection locked="0"/>
    </xf>
    <xf numFmtId="164" fontId="4" fillId="40" borderId="42" xfId="0" applyNumberFormat="1" applyFont="1" applyFill="1" applyBorder="1" applyProtection="1">
      <protection locked="0"/>
    </xf>
    <xf numFmtId="0" fontId="4" fillId="40" borderId="42" xfId="0" applyFont="1" applyFill="1" applyBorder="1" applyProtection="1">
      <protection locked="0"/>
    </xf>
    <xf numFmtId="0" fontId="36" fillId="0" borderId="0" xfId="0" applyFont="1" applyProtection="1">
      <protection hidden="1"/>
    </xf>
    <xf numFmtId="167" fontId="36" fillId="0" borderId="0" xfId="0" applyNumberFormat="1" applyFont="1" applyFill="1" applyBorder="1" applyAlignment="1" applyProtection="1">
      <protection hidden="1"/>
    </xf>
    <xf numFmtId="167" fontId="36" fillId="0" borderId="28" xfId="0" applyNumberFormat="1" applyFont="1" applyFill="1" applyBorder="1" applyAlignment="1" applyProtection="1">
      <protection hidden="1"/>
    </xf>
    <xf numFmtId="0" fontId="36" fillId="0" borderId="0" xfId="0" applyFont="1" applyFill="1" applyProtection="1">
      <protection hidden="1"/>
    </xf>
    <xf numFmtId="0" fontId="37" fillId="18" borderId="9" xfId="0" applyFont="1" applyFill="1" applyBorder="1" applyProtection="1">
      <protection hidden="1"/>
    </xf>
    <xf numFmtId="0" fontId="37" fillId="0" borderId="0" xfId="0" applyFont="1" applyFill="1" applyProtection="1">
      <protection hidden="1"/>
    </xf>
    <xf numFmtId="0" fontId="36" fillId="0" borderId="1" xfId="0" applyFont="1" applyBorder="1" applyProtection="1">
      <protection hidden="1"/>
    </xf>
    <xf numFmtId="44" fontId="36" fillId="0" borderId="12" xfId="0" applyNumberFormat="1" applyFont="1" applyBorder="1" applyProtection="1">
      <protection hidden="1"/>
    </xf>
    <xf numFmtId="44" fontId="36" fillId="0" borderId="0" xfId="0" applyNumberFormat="1" applyFont="1" applyBorder="1" applyProtection="1">
      <protection hidden="1"/>
    </xf>
    <xf numFmtId="0" fontId="36" fillId="0" borderId="61" xfId="0" applyFont="1" applyFill="1" applyBorder="1" applyAlignment="1" applyProtection="1">
      <alignment horizontal="center"/>
      <protection hidden="1"/>
    </xf>
    <xf numFmtId="0" fontId="36" fillId="0" borderId="24" xfId="0" applyFont="1" applyFill="1" applyBorder="1" applyProtection="1">
      <protection hidden="1"/>
    </xf>
    <xf numFmtId="0" fontId="36" fillId="0" borderId="41" xfId="0" applyFont="1" applyFill="1" applyBorder="1" applyProtection="1">
      <protection hidden="1"/>
    </xf>
    <xf numFmtId="174" fontId="36" fillId="0" borderId="0" xfId="0" applyNumberFormat="1" applyFont="1" applyProtection="1">
      <protection hidden="1"/>
    </xf>
    <xf numFmtId="0" fontId="36" fillId="0" borderId="0" xfId="0" applyFont="1" applyBorder="1" applyProtection="1">
      <protection hidden="1"/>
    </xf>
    <xf numFmtId="0" fontId="36" fillId="0" borderId="7" xfId="0" applyFont="1" applyFill="1" applyBorder="1" applyProtection="1">
      <protection hidden="1"/>
    </xf>
    <xf numFmtId="44" fontId="36" fillId="0" borderId="5" xfId="0" applyNumberFormat="1" applyFont="1" applyFill="1" applyBorder="1" applyProtection="1">
      <protection hidden="1"/>
    </xf>
    <xf numFmtId="10" fontId="36" fillId="0" borderId="0" xfId="5" applyNumberFormat="1" applyFont="1" applyFill="1" applyBorder="1" applyProtection="1">
      <protection hidden="1"/>
    </xf>
    <xf numFmtId="44" fontId="36" fillId="0" borderId="0" xfId="0" applyNumberFormat="1" applyFont="1" applyFill="1" applyBorder="1" applyProtection="1">
      <protection hidden="1"/>
    </xf>
    <xf numFmtId="168" fontId="36" fillId="0" borderId="4" xfId="3" applyNumberFormat="1" applyFont="1" applyFill="1" applyBorder="1" applyAlignment="1" applyProtection="1">
      <alignment horizontal="center"/>
      <protection hidden="1"/>
    </xf>
    <xf numFmtId="0" fontId="36" fillId="0" borderId="43" xfId="0" applyFont="1" applyBorder="1" applyProtection="1">
      <protection hidden="1"/>
    </xf>
    <xf numFmtId="0" fontId="36" fillId="0" borderId="0" xfId="0" applyFont="1" applyAlignment="1" applyProtection="1">
      <alignment horizontal="centerContinuous"/>
      <protection hidden="1"/>
    </xf>
    <xf numFmtId="0" fontId="36" fillId="0" borderId="7" xfId="0" applyFont="1" applyBorder="1" applyProtection="1">
      <protection hidden="1"/>
    </xf>
    <xf numFmtId="44" fontId="40" fillId="0" borderId="0" xfId="0" applyNumberFormat="1" applyFont="1" applyFill="1" applyBorder="1" applyProtection="1">
      <protection hidden="1"/>
    </xf>
    <xf numFmtId="0" fontId="36" fillId="0" borderId="0" xfId="0" applyFont="1" applyFill="1" applyBorder="1" applyProtection="1">
      <protection hidden="1"/>
    </xf>
    <xf numFmtId="0" fontId="41" fillId="0" borderId="0" xfId="0" applyFont="1" applyFill="1" applyBorder="1" applyProtection="1">
      <protection hidden="1"/>
    </xf>
    <xf numFmtId="43" fontId="36" fillId="0" borderId="43" xfId="3" applyFont="1" applyFill="1" applyBorder="1" applyProtection="1">
      <protection hidden="1"/>
    </xf>
    <xf numFmtId="0" fontId="42" fillId="0" borderId="0" xfId="0" applyFont="1" applyAlignment="1" applyProtection="1">
      <alignment horizontal="center"/>
      <protection hidden="1"/>
    </xf>
    <xf numFmtId="0" fontId="42" fillId="0" borderId="0" xfId="0" applyFont="1" applyProtection="1">
      <protection hidden="1"/>
    </xf>
    <xf numFmtId="0" fontId="40" fillId="0" borderId="7" xfId="0" applyFont="1" applyBorder="1" applyProtection="1">
      <protection hidden="1"/>
    </xf>
    <xf numFmtId="44" fontId="40" fillId="0" borderId="5" xfId="0" applyNumberFormat="1" applyFont="1" applyFill="1" applyBorder="1" applyProtection="1">
      <protection hidden="1"/>
    </xf>
    <xf numFmtId="43" fontId="36" fillId="0" borderId="0" xfId="3" applyFont="1" applyProtection="1">
      <protection hidden="1"/>
    </xf>
    <xf numFmtId="43" fontId="36" fillId="0" borderId="0" xfId="3" applyFont="1" applyFill="1" applyBorder="1" applyProtection="1">
      <protection hidden="1"/>
    </xf>
    <xf numFmtId="0" fontId="36" fillId="0" borderId="5" xfId="0" applyFont="1" applyFill="1" applyBorder="1" applyProtection="1">
      <protection hidden="1"/>
    </xf>
    <xf numFmtId="43" fontId="36" fillId="0" borderId="43" xfId="3" applyNumberFormat="1" applyFont="1" applyFill="1" applyBorder="1" applyProtection="1">
      <protection hidden="1"/>
    </xf>
    <xf numFmtId="0" fontId="36" fillId="0" borderId="0" xfId="0" applyFont="1" applyAlignment="1" applyProtection="1">
      <alignment vertical="center" wrapText="1"/>
      <protection hidden="1"/>
    </xf>
    <xf numFmtId="0" fontId="43" fillId="0" borderId="0" xfId="0" applyFont="1" applyFill="1" applyProtection="1">
      <protection hidden="1"/>
    </xf>
    <xf numFmtId="0" fontId="44" fillId="12" borderId="0" xfId="0" applyFont="1" applyFill="1" applyProtection="1">
      <protection hidden="1"/>
    </xf>
    <xf numFmtId="0" fontId="43" fillId="12" borderId="0" xfId="0" applyFont="1" applyFill="1" applyProtection="1">
      <protection hidden="1"/>
    </xf>
    <xf numFmtId="0" fontId="36" fillId="0" borderId="8" xfId="0" applyFont="1" applyBorder="1" applyProtection="1">
      <protection hidden="1"/>
    </xf>
    <xf numFmtId="0" fontId="36" fillId="0" borderId="6" xfId="0" applyFont="1" applyBorder="1" applyProtection="1">
      <protection hidden="1"/>
    </xf>
    <xf numFmtId="3" fontId="41" fillId="0" borderId="0" xfId="0" applyNumberFormat="1" applyFont="1" applyFill="1" applyBorder="1" applyProtection="1">
      <protection hidden="1"/>
    </xf>
    <xf numFmtId="10" fontId="45" fillId="18" borderId="43" xfId="5" applyNumberFormat="1" applyFont="1" applyFill="1" applyBorder="1" applyProtection="1">
      <protection hidden="1"/>
    </xf>
    <xf numFmtId="0" fontId="46" fillId="27" borderId="32" xfId="0" applyFont="1" applyFill="1" applyBorder="1" applyProtection="1">
      <protection hidden="1"/>
    </xf>
    <xf numFmtId="0" fontId="46" fillId="27" borderId="0" xfId="0" applyFont="1" applyFill="1" applyBorder="1" applyProtection="1">
      <protection hidden="1"/>
    </xf>
    <xf numFmtId="0" fontId="46" fillId="27" borderId="28" xfId="0" applyFont="1" applyFill="1" applyBorder="1" applyProtection="1">
      <protection hidden="1"/>
    </xf>
    <xf numFmtId="44" fontId="36" fillId="0" borderId="0" xfId="0" applyNumberFormat="1" applyFont="1" applyProtection="1">
      <protection hidden="1"/>
    </xf>
    <xf numFmtId="0" fontId="36" fillId="0" borderId="15" xfId="0" applyFont="1" applyFill="1" applyBorder="1" applyAlignment="1" applyProtection="1">
      <alignment horizontal="center"/>
      <protection hidden="1"/>
    </xf>
    <xf numFmtId="9" fontId="36" fillId="0" borderId="0" xfId="5" applyFont="1" applyFill="1" applyBorder="1" applyAlignment="1" applyProtection="1">
      <alignment horizontal="center"/>
      <protection hidden="1"/>
    </xf>
    <xf numFmtId="0" fontId="36" fillId="0" borderId="49" xfId="0" applyFont="1" applyFill="1" applyBorder="1" applyProtection="1">
      <protection hidden="1"/>
    </xf>
    <xf numFmtId="0" fontId="36" fillId="0" borderId="25" xfId="0" applyFont="1" applyFill="1" applyBorder="1" applyProtection="1">
      <protection hidden="1"/>
    </xf>
    <xf numFmtId="0" fontId="36" fillId="0" borderId="44" xfId="0" applyFont="1" applyFill="1" applyBorder="1" applyProtection="1">
      <protection hidden="1"/>
    </xf>
    <xf numFmtId="0" fontId="40" fillId="27" borderId="32" xfId="0" applyFont="1" applyFill="1" applyBorder="1" applyProtection="1">
      <protection hidden="1"/>
    </xf>
    <xf numFmtId="0" fontId="36" fillId="27" borderId="0" xfId="0" applyFont="1" applyFill="1" applyBorder="1" applyProtection="1">
      <protection hidden="1"/>
    </xf>
    <xf numFmtId="0" fontId="36" fillId="27" borderId="32" xfId="0" applyFont="1" applyFill="1" applyBorder="1" applyProtection="1">
      <protection hidden="1"/>
    </xf>
    <xf numFmtId="0" fontId="36" fillId="27" borderId="28" xfId="0" applyFont="1" applyFill="1" applyBorder="1" applyProtection="1">
      <protection hidden="1"/>
    </xf>
    <xf numFmtId="0" fontId="36" fillId="27" borderId="0" xfId="0" applyFont="1" applyFill="1" applyBorder="1" applyAlignment="1" applyProtection="1">
      <protection hidden="1"/>
    </xf>
    <xf numFmtId="0" fontId="36" fillId="27" borderId="0" xfId="0" applyFont="1" applyFill="1" applyBorder="1" applyAlignment="1" applyProtection="1">
      <alignment horizontal="right"/>
      <protection hidden="1"/>
    </xf>
    <xf numFmtId="8" fontId="36" fillId="0" borderId="0" xfId="0" applyNumberFormat="1" applyFont="1" applyProtection="1">
      <protection hidden="1"/>
    </xf>
    <xf numFmtId="10" fontId="45" fillId="15" borderId="42" xfId="0" applyNumberFormat="1" applyFont="1" applyFill="1" applyBorder="1" applyProtection="1">
      <protection hidden="1"/>
    </xf>
    <xf numFmtId="0" fontId="40" fillId="0" borderId="14" xfId="0" applyFont="1" applyBorder="1" applyAlignment="1" applyProtection="1">
      <protection hidden="1"/>
    </xf>
    <xf numFmtId="43" fontId="47" fillId="18" borderId="42" xfId="0" applyNumberFormat="1" applyFont="1" applyFill="1" applyBorder="1" applyAlignment="1" applyProtection="1">
      <protection hidden="1"/>
    </xf>
    <xf numFmtId="43" fontId="36" fillId="0" borderId="0" xfId="0" applyNumberFormat="1" applyFont="1" applyProtection="1">
      <protection hidden="1"/>
    </xf>
    <xf numFmtId="0" fontId="36" fillId="27" borderId="33" xfId="0" applyFont="1" applyFill="1" applyBorder="1" applyProtection="1">
      <protection hidden="1"/>
    </xf>
    <xf numFmtId="0" fontId="36" fillId="27" borderId="34" xfId="0" applyFont="1" applyFill="1" applyBorder="1" applyProtection="1">
      <protection hidden="1"/>
    </xf>
    <xf numFmtId="0" fontId="36" fillId="27" borderId="35" xfId="0" applyFont="1" applyFill="1" applyBorder="1" applyProtection="1">
      <protection hidden="1"/>
    </xf>
    <xf numFmtId="0" fontId="46" fillId="12" borderId="29" xfId="0" applyFont="1" applyFill="1" applyBorder="1" applyProtection="1">
      <protection hidden="1"/>
    </xf>
    <xf numFmtId="0" fontId="36" fillId="12" borderId="30" xfId="0" applyFont="1" applyFill="1" applyBorder="1" applyProtection="1">
      <protection hidden="1"/>
    </xf>
    <xf numFmtId="0" fontId="36" fillId="12" borderId="31" xfId="0" applyFont="1" applyFill="1" applyBorder="1" applyProtection="1">
      <protection hidden="1"/>
    </xf>
    <xf numFmtId="10" fontId="36" fillId="0" borderId="48" xfId="0" applyNumberFormat="1" applyFont="1" applyFill="1" applyBorder="1" applyProtection="1">
      <protection hidden="1"/>
    </xf>
    <xf numFmtId="2" fontId="36" fillId="0" borderId="48" xfId="0" applyNumberFormat="1" applyFont="1" applyBorder="1" applyProtection="1">
      <protection hidden="1"/>
    </xf>
    <xf numFmtId="8" fontId="36" fillId="0" borderId="48" xfId="0" applyNumberFormat="1" applyFont="1" applyBorder="1" applyProtection="1">
      <protection hidden="1"/>
    </xf>
    <xf numFmtId="169" fontId="36" fillId="0" borderId="48" xfId="5" applyNumberFormat="1" applyFont="1" applyBorder="1" applyProtection="1">
      <protection hidden="1"/>
    </xf>
    <xf numFmtId="9" fontId="36" fillId="0" borderId="0" xfId="5" applyFont="1" applyBorder="1" applyProtection="1">
      <protection hidden="1"/>
    </xf>
    <xf numFmtId="0" fontId="40" fillId="0" borderId="32" xfId="0" applyFont="1" applyFill="1" applyBorder="1" applyProtection="1">
      <protection hidden="1"/>
    </xf>
    <xf numFmtId="0" fontId="36" fillId="0" borderId="28" xfId="0" applyFont="1" applyFill="1" applyBorder="1" applyProtection="1">
      <protection hidden="1"/>
    </xf>
    <xf numFmtId="2" fontId="36" fillId="0" borderId="48" xfId="0" applyNumberFormat="1" applyFont="1" applyFill="1" applyBorder="1" applyProtection="1">
      <protection hidden="1"/>
    </xf>
    <xf numFmtId="43" fontId="36" fillId="0" borderId="48" xfId="0" applyNumberFormat="1" applyFont="1" applyFill="1" applyBorder="1" applyProtection="1">
      <protection hidden="1"/>
    </xf>
    <xf numFmtId="9" fontId="36" fillId="0" borderId="48" xfId="5" applyFont="1" applyFill="1" applyBorder="1" applyProtection="1">
      <protection hidden="1"/>
    </xf>
    <xf numFmtId="9" fontId="36" fillId="0" borderId="0" xfId="5" applyFont="1" applyFill="1" applyBorder="1" applyProtection="1">
      <protection hidden="1"/>
    </xf>
    <xf numFmtId="0" fontId="40" fillId="0" borderId="0" xfId="0" applyFont="1" applyFill="1" applyBorder="1" applyProtection="1">
      <protection hidden="1"/>
    </xf>
    <xf numFmtId="0" fontId="47" fillId="0" borderId="0" xfId="0" applyFont="1" applyFill="1" applyBorder="1" applyAlignment="1" applyProtection="1">
      <alignment horizontal="center"/>
      <protection hidden="1"/>
    </xf>
    <xf numFmtId="0" fontId="40" fillId="0" borderId="0" xfId="0" applyFont="1" applyFill="1" applyBorder="1" applyAlignment="1" applyProtection="1">
      <alignment horizontal="center"/>
      <protection hidden="1"/>
    </xf>
    <xf numFmtId="9" fontId="36" fillId="18" borderId="48" xfId="0" applyNumberFormat="1" applyFont="1" applyFill="1" applyBorder="1" applyProtection="1">
      <protection hidden="1"/>
    </xf>
    <xf numFmtId="0" fontId="36" fillId="0" borderId="0" xfId="0" applyFont="1" applyFill="1" applyBorder="1" applyAlignment="1" applyProtection="1">
      <alignment horizontal="center"/>
      <protection hidden="1"/>
    </xf>
    <xf numFmtId="0" fontId="48" fillId="0" borderId="0" xfId="0" applyFont="1" applyProtection="1">
      <protection hidden="1"/>
    </xf>
    <xf numFmtId="0" fontId="36" fillId="0" borderId="39" xfId="0" applyFont="1" applyFill="1" applyBorder="1" applyAlignment="1" applyProtection="1">
      <alignment horizontal="center"/>
      <protection locked="0" hidden="1"/>
    </xf>
    <xf numFmtId="43" fontId="36" fillId="0" borderId="0" xfId="3" applyFont="1" applyFill="1" applyProtection="1">
      <protection hidden="1"/>
    </xf>
    <xf numFmtId="43" fontId="49" fillId="0" borderId="0" xfId="0" applyNumberFormat="1" applyFont="1" applyFill="1" applyBorder="1" applyAlignment="1" applyProtection="1">
      <protection hidden="1"/>
    </xf>
    <xf numFmtId="43" fontId="50" fillId="0" borderId="0" xfId="3" applyFont="1" applyFill="1" applyBorder="1" applyAlignment="1" applyProtection="1">
      <protection hidden="1"/>
    </xf>
    <xf numFmtId="43" fontId="40" fillId="0" borderId="0" xfId="0" applyNumberFormat="1" applyFont="1" applyFill="1" applyBorder="1" applyProtection="1">
      <protection hidden="1"/>
    </xf>
    <xf numFmtId="0" fontId="36" fillId="0" borderId="37" xfId="0" applyFont="1" applyFill="1" applyBorder="1" applyProtection="1">
      <protection hidden="1"/>
    </xf>
    <xf numFmtId="0" fontId="40" fillId="0" borderId="36" xfId="0" applyFont="1" applyFill="1" applyBorder="1" applyProtection="1">
      <protection hidden="1"/>
    </xf>
    <xf numFmtId="0" fontId="36" fillId="0" borderId="40" xfId="0" applyFont="1" applyFill="1" applyBorder="1" applyAlignment="1" applyProtection="1">
      <alignment horizontal="center"/>
      <protection hidden="1"/>
    </xf>
    <xf numFmtId="0" fontId="40" fillId="0" borderId="0" xfId="0" applyFont="1" applyFill="1" applyBorder="1" applyAlignment="1" applyProtection="1">
      <protection hidden="1"/>
    </xf>
    <xf numFmtId="9" fontId="36" fillId="0" borderId="39" xfId="5" applyFont="1" applyFill="1" applyBorder="1" applyAlignment="1" applyProtection="1">
      <alignment horizontal="center"/>
      <protection locked="0" hidden="1"/>
    </xf>
    <xf numFmtId="0" fontId="40" fillId="0" borderId="0" xfId="0" applyFont="1" applyBorder="1" applyAlignment="1" applyProtection="1">
      <alignment horizontal="left"/>
      <protection hidden="1"/>
    </xf>
    <xf numFmtId="7" fontId="36" fillId="0" borderId="39" xfId="0" applyNumberFormat="1" applyFont="1" applyFill="1" applyBorder="1" applyAlignment="1" applyProtection="1">
      <alignment horizontal="center"/>
      <protection locked="0" hidden="1"/>
    </xf>
    <xf numFmtId="0" fontId="51" fillId="0" borderId="0" xfId="0" applyFont="1" applyBorder="1" applyAlignment="1" applyProtection="1">
      <alignment horizontal="right"/>
      <protection hidden="1"/>
    </xf>
    <xf numFmtId="44" fontId="36" fillId="0" borderId="39" xfId="0" applyNumberFormat="1" applyFont="1" applyFill="1" applyBorder="1" applyProtection="1">
      <protection locked="0" hidden="1"/>
    </xf>
    <xf numFmtId="0" fontId="47" fillId="0" borderId="0" xfId="0" applyFont="1" applyBorder="1" applyAlignment="1" applyProtection="1">
      <alignment horizontal="left"/>
      <protection hidden="1"/>
    </xf>
    <xf numFmtId="0" fontId="52" fillId="0" borderId="0" xfId="0" applyFont="1" applyFill="1" applyBorder="1" applyProtection="1">
      <protection hidden="1"/>
    </xf>
    <xf numFmtId="0" fontId="54" fillId="12" borderId="0" xfId="0" applyFont="1" applyFill="1" applyBorder="1" applyAlignment="1" applyProtection="1">
      <alignment horizontal="left"/>
      <protection hidden="1"/>
    </xf>
    <xf numFmtId="0" fontId="36" fillId="12" borderId="0" xfId="0" applyFont="1" applyFill="1" applyBorder="1" applyAlignment="1" applyProtection="1">
      <alignment horizontal="centerContinuous"/>
      <protection hidden="1"/>
    </xf>
    <xf numFmtId="0" fontId="36" fillId="27" borderId="50" xfId="0" applyFont="1" applyFill="1" applyBorder="1" applyProtection="1">
      <protection hidden="1"/>
    </xf>
    <xf numFmtId="0" fontId="36" fillId="27" borderId="51" xfId="0" applyFont="1" applyFill="1" applyBorder="1" applyProtection="1">
      <protection hidden="1"/>
    </xf>
    <xf numFmtId="0" fontId="36" fillId="27" borderId="52" xfId="0" applyFont="1" applyFill="1" applyBorder="1" applyProtection="1">
      <protection hidden="1"/>
    </xf>
    <xf numFmtId="0" fontId="36" fillId="27" borderId="53" xfId="0" applyFont="1" applyFill="1" applyBorder="1" applyProtection="1">
      <protection hidden="1"/>
    </xf>
    <xf numFmtId="0" fontId="47" fillId="27" borderId="0" xfId="0" applyFont="1" applyFill="1" applyBorder="1" applyProtection="1">
      <protection hidden="1"/>
    </xf>
    <xf numFmtId="0" fontId="36" fillId="27" borderId="54" xfId="0" applyFont="1" applyFill="1" applyBorder="1" applyProtection="1">
      <protection hidden="1"/>
    </xf>
    <xf numFmtId="44" fontId="36" fillId="27" borderId="0" xfId="0" applyNumberFormat="1" applyFont="1" applyFill="1" applyBorder="1" applyProtection="1">
      <protection hidden="1"/>
    </xf>
    <xf numFmtId="0" fontId="40" fillId="27" borderId="0" xfId="0" applyFont="1" applyFill="1" applyBorder="1" applyProtection="1">
      <protection hidden="1"/>
    </xf>
    <xf numFmtId="166" fontId="36" fillId="0" borderId="0" xfId="0" applyNumberFormat="1" applyFont="1" applyFill="1" applyBorder="1" applyAlignment="1" applyProtection="1">
      <alignment horizontal="center"/>
      <protection hidden="1"/>
    </xf>
    <xf numFmtId="0" fontId="36" fillId="27" borderId="0" xfId="0" applyFont="1" applyFill="1" applyBorder="1" applyAlignment="1" applyProtection="1">
      <alignment horizontal="center"/>
      <protection hidden="1"/>
    </xf>
    <xf numFmtId="0" fontId="56" fillId="27" borderId="0" xfId="0" applyFont="1" applyFill="1" applyBorder="1" applyAlignment="1" applyProtection="1">
      <alignment horizontal="right"/>
      <protection hidden="1"/>
    </xf>
    <xf numFmtId="0" fontId="56" fillId="27" borderId="0" xfId="0" applyFont="1" applyFill="1" applyBorder="1" applyProtection="1">
      <protection hidden="1"/>
    </xf>
    <xf numFmtId="0" fontId="37" fillId="27" borderId="54" xfId="0" quotePrefix="1" applyFont="1" applyFill="1" applyBorder="1" applyProtection="1">
      <protection hidden="1"/>
    </xf>
    <xf numFmtId="166" fontId="36" fillId="0" borderId="0" xfId="0" applyNumberFormat="1" applyFont="1" applyProtection="1">
      <protection hidden="1"/>
    </xf>
    <xf numFmtId="0" fontId="49" fillId="27" borderId="0" xfId="0" applyFont="1" applyFill="1" applyBorder="1" applyProtection="1">
      <protection hidden="1"/>
    </xf>
    <xf numFmtId="166" fontId="44" fillId="19" borderId="0" xfId="0" applyNumberFormat="1" applyFont="1" applyFill="1" applyBorder="1" applyAlignment="1" applyProtection="1">
      <alignment horizontal="center"/>
      <protection hidden="1"/>
    </xf>
    <xf numFmtId="0" fontId="40" fillId="27" borderId="0" xfId="0" applyFont="1" applyFill="1" applyBorder="1" applyAlignment="1" applyProtection="1">
      <alignment vertical="center"/>
      <protection hidden="1"/>
    </xf>
    <xf numFmtId="0" fontId="49" fillId="27" borderId="0" xfId="8" applyFont="1" applyFill="1" applyBorder="1" applyProtection="1">
      <protection hidden="1"/>
    </xf>
    <xf numFmtId="0" fontId="58" fillId="27" borderId="0" xfId="0" applyFont="1" applyFill="1" applyBorder="1" applyAlignment="1" applyProtection="1">
      <alignment horizontal="right"/>
      <protection hidden="1"/>
    </xf>
    <xf numFmtId="0" fontId="40" fillId="0" borderId="67" xfId="0" applyFont="1" applyFill="1" applyBorder="1" applyProtection="1">
      <protection hidden="1"/>
    </xf>
    <xf numFmtId="10" fontId="47" fillId="0" borderId="68" xfId="5" applyNumberFormat="1" applyFont="1" applyFill="1" applyBorder="1" applyProtection="1">
      <protection hidden="1"/>
    </xf>
    <xf numFmtId="0" fontId="36" fillId="0" borderId="69" xfId="0" applyFont="1" applyFill="1" applyBorder="1" applyProtection="1">
      <protection hidden="1"/>
    </xf>
    <xf numFmtId="0" fontId="40" fillId="0" borderId="62" xfId="0" applyFont="1" applyFill="1" applyBorder="1" applyProtection="1">
      <protection hidden="1"/>
    </xf>
    <xf numFmtId="0" fontId="36" fillId="0" borderId="70" xfId="0" applyFont="1" applyFill="1" applyBorder="1" applyProtection="1">
      <protection hidden="1"/>
    </xf>
    <xf numFmtId="0" fontId="40" fillId="27" borderId="0" xfId="0" applyFont="1" applyFill="1" applyBorder="1" applyAlignment="1" applyProtection="1">
      <protection hidden="1"/>
    </xf>
    <xf numFmtId="0" fontId="59" fillId="27" borderId="0" xfId="0" applyFont="1" applyFill="1" applyBorder="1" applyAlignment="1" applyProtection="1">
      <protection hidden="1"/>
    </xf>
    <xf numFmtId="0" fontId="47" fillId="0" borderId="0" xfId="0" applyFont="1" applyFill="1" applyBorder="1" applyProtection="1">
      <protection hidden="1"/>
    </xf>
    <xf numFmtId="0" fontId="58" fillId="0" borderId="70" xfId="0" applyFont="1" applyFill="1" applyBorder="1" applyAlignment="1" applyProtection="1">
      <alignment horizontal="right"/>
      <protection hidden="1"/>
    </xf>
    <xf numFmtId="44" fontId="49" fillId="27" borderId="0" xfId="0" applyNumberFormat="1" applyFont="1" applyFill="1" applyBorder="1" applyProtection="1">
      <protection hidden="1"/>
    </xf>
    <xf numFmtId="0" fontId="36" fillId="27" borderId="71" xfId="0" applyFont="1" applyFill="1" applyBorder="1" applyProtection="1">
      <protection hidden="1"/>
    </xf>
    <xf numFmtId="0" fontId="36" fillId="27" borderId="72" xfId="0" applyFont="1" applyFill="1" applyBorder="1" applyProtection="1">
      <protection hidden="1"/>
    </xf>
    <xf numFmtId="0" fontId="58" fillId="27" borderId="73" xfId="0" applyFont="1" applyFill="1" applyBorder="1" applyAlignment="1" applyProtection="1">
      <alignment horizontal="right"/>
      <protection hidden="1"/>
    </xf>
    <xf numFmtId="0" fontId="59" fillId="27" borderId="0" xfId="0" applyFont="1" applyFill="1" applyBorder="1" applyAlignment="1" applyProtection="1">
      <alignment horizontal="center"/>
      <protection hidden="1"/>
    </xf>
    <xf numFmtId="0" fontId="36" fillId="32" borderId="10" xfId="0" applyFont="1" applyFill="1" applyBorder="1" applyAlignment="1" applyProtection="1">
      <protection hidden="1"/>
    </xf>
    <xf numFmtId="0" fontId="36" fillId="32" borderId="58" xfId="0" applyFont="1" applyFill="1" applyBorder="1" applyProtection="1">
      <protection hidden="1"/>
    </xf>
    <xf numFmtId="0" fontId="47" fillId="27" borderId="0" xfId="0" applyFont="1" applyFill="1" applyBorder="1" applyAlignment="1" applyProtection="1">
      <alignment horizontal="left"/>
      <protection hidden="1"/>
    </xf>
    <xf numFmtId="0" fontId="60" fillId="32" borderId="11" xfId="0" applyFont="1" applyFill="1" applyBorder="1" applyAlignment="1" applyProtection="1">
      <alignment vertical="center"/>
      <protection hidden="1"/>
    </xf>
    <xf numFmtId="0" fontId="36" fillId="32" borderId="63" xfId="0" applyFont="1" applyFill="1" applyBorder="1" applyProtection="1">
      <protection hidden="1"/>
    </xf>
    <xf numFmtId="0" fontId="36" fillId="27" borderId="55" xfId="0" applyFont="1" applyFill="1" applyBorder="1" applyProtection="1">
      <protection hidden="1"/>
    </xf>
    <xf numFmtId="0" fontId="59" fillId="27" borderId="56" xfId="0" applyFont="1" applyFill="1" applyBorder="1" applyAlignment="1" applyProtection="1">
      <alignment horizontal="center"/>
      <protection hidden="1"/>
    </xf>
    <xf numFmtId="0" fontId="36" fillId="27" borderId="56" xfId="0" applyFont="1" applyFill="1" applyBorder="1" applyProtection="1">
      <protection hidden="1"/>
    </xf>
    <xf numFmtId="0" fontId="58" fillId="27" borderId="56" xfId="0" applyFont="1" applyFill="1" applyBorder="1" applyAlignment="1" applyProtection="1">
      <alignment horizontal="right"/>
      <protection hidden="1"/>
    </xf>
    <xf numFmtId="44" fontId="49" fillId="27" borderId="56" xfId="0" applyNumberFormat="1" applyFont="1" applyFill="1" applyBorder="1" applyProtection="1">
      <protection hidden="1"/>
    </xf>
    <xf numFmtId="0" fontId="36" fillId="27" borderId="57" xfId="0" applyFont="1" applyFill="1" applyBorder="1" applyProtection="1">
      <protection hidden="1"/>
    </xf>
    <xf numFmtId="0" fontId="61" fillId="0" borderId="11" xfId="0" applyFont="1" applyFill="1" applyBorder="1" applyAlignment="1" applyProtection="1">
      <protection hidden="1"/>
    </xf>
    <xf numFmtId="0" fontId="60" fillId="32" borderId="11" xfId="0" applyFont="1" applyFill="1" applyBorder="1" applyProtection="1">
      <protection hidden="1"/>
    </xf>
    <xf numFmtId="0" fontId="60" fillId="18" borderId="2" xfId="0" applyFont="1" applyFill="1" applyBorder="1" applyProtection="1">
      <protection hidden="1"/>
    </xf>
    <xf numFmtId="0" fontId="40" fillId="0" borderId="0" xfId="0" applyFont="1" applyProtection="1">
      <protection hidden="1"/>
    </xf>
    <xf numFmtId="0" fontId="46" fillId="31" borderId="0" xfId="0" applyFont="1" applyFill="1" applyBorder="1" applyProtection="1">
      <protection hidden="1"/>
    </xf>
    <xf numFmtId="43" fontId="36" fillId="0" borderId="11" xfId="3" applyFont="1" applyBorder="1" applyProtection="1">
      <protection hidden="1"/>
    </xf>
    <xf numFmtId="2" fontId="60" fillId="18" borderId="4" xfId="0" applyNumberFormat="1" applyFont="1" applyFill="1" applyBorder="1" applyProtection="1">
      <protection hidden="1"/>
    </xf>
    <xf numFmtId="0" fontId="45" fillId="18" borderId="11" xfId="0" applyFont="1" applyFill="1" applyBorder="1" applyProtection="1">
      <protection hidden="1"/>
    </xf>
    <xf numFmtId="0" fontId="46" fillId="16" borderId="14" xfId="0" applyFont="1" applyFill="1" applyBorder="1" applyAlignment="1" applyProtection="1">
      <alignment horizontal="center"/>
      <protection hidden="1"/>
    </xf>
    <xf numFmtId="10" fontId="36" fillId="0" borderId="11" xfId="0" applyNumberFormat="1" applyFont="1" applyBorder="1" applyProtection="1">
      <protection hidden="1"/>
    </xf>
    <xf numFmtId="0" fontId="46" fillId="30" borderId="0" xfId="0" applyFont="1" applyFill="1" applyProtection="1">
      <protection hidden="1"/>
    </xf>
    <xf numFmtId="8" fontId="36" fillId="0" borderId="11" xfId="0" applyNumberFormat="1" applyFont="1" applyBorder="1" applyProtection="1">
      <protection hidden="1"/>
    </xf>
    <xf numFmtId="0" fontId="40" fillId="0" borderId="0" xfId="0" applyFont="1" applyFill="1" applyAlignment="1" applyProtection="1">
      <alignment horizontal="left"/>
      <protection hidden="1"/>
    </xf>
    <xf numFmtId="169" fontId="63" fillId="0" borderId="0" xfId="5" applyNumberFormat="1" applyFont="1" applyFill="1" applyAlignment="1" applyProtection="1">
      <alignment horizontal="center"/>
      <protection hidden="1"/>
    </xf>
    <xf numFmtId="4" fontId="61" fillId="0" borderId="0" xfId="0" applyNumberFormat="1" applyFont="1" applyFill="1" applyAlignment="1" applyProtection="1">
      <alignment horizontal="left"/>
      <protection hidden="1"/>
    </xf>
    <xf numFmtId="6" fontId="47" fillId="0" borderId="0" xfId="0" applyNumberFormat="1" applyFont="1" applyFill="1" applyBorder="1" applyAlignment="1" applyProtection="1">
      <alignment horizontal="center"/>
      <protection hidden="1"/>
    </xf>
    <xf numFmtId="0" fontId="40" fillId="0" borderId="0" xfId="0" applyFont="1" applyFill="1" applyAlignment="1" applyProtection="1">
      <alignment horizontal="right" vertical="center"/>
      <protection hidden="1"/>
    </xf>
    <xf numFmtId="0" fontId="47" fillId="0" borderId="39" xfId="0" applyFont="1" applyFill="1" applyBorder="1" applyAlignment="1" applyProtection="1">
      <alignment horizontal="center"/>
      <protection locked="0" hidden="1"/>
    </xf>
    <xf numFmtId="0" fontId="37" fillId="0" borderId="0" xfId="0" applyFont="1" applyFill="1" applyAlignment="1" applyProtection="1">
      <alignment horizontal="left"/>
      <protection hidden="1"/>
    </xf>
    <xf numFmtId="10" fontId="61" fillId="0" borderId="0" xfId="5" applyNumberFormat="1" applyFont="1" applyFill="1" applyBorder="1" applyAlignment="1" applyProtection="1">
      <alignment horizontal="center" vertical="center"/>
      <protection hidden="1"/>
    </xf>
    <xf numFmtId="0" fontId="40" fillId="0" borderId="0" xfId="0" applyFont="1" applyFill="1" applyAlignment="1" applyProtection="1">
      <alignment horizontal="right"/>
      <protection hidden="1"/>
    </xf>
    <xf numFmtId="1" fontId="49" fillId="0" borderId="0" xfId="0" applyNumberFormat="1" applyFont="1" applyFill="1" applyBorder="1" applyAlignment="1" applyProtection="1">
      <alignment horizontal="center"/>
      <protection hidden="1"/>
    </xf>
    <xf numFmtId="0" fontId="40" fillId="0" borderId="0" xfId="0" applyFont="1" applyFill="1" applyAlignment="1" applyProtection="1">
      <protection hidden="1"/>
    </xf>
    <xf numFmtId="0" fontId="36" fillId="0" borderId="11" xfId="0" applyFont="1" applyBorder="1" applyProtection="1">
      <protection hidden="1"/>
    </xf>
    <xf numFmtId="0" fontId="49" fillId="0" borderId="0" xfId="0" applyFont="1" applyFill="1" applyAlignment="1" applyProtection="1">
      <alignment horizontal="center" vertical="top"/>
      <protection hidden="1"/>
    </xf>
    <xf numFmtId="0" fontId="40" fillId="0" borderId="0" xfId="0" applyFont="1" applyFill="1" applyAlignment="1" applyProtection="1">
      <alignment vertical="top"/>
      <protection hidden="1"/>
    </xf>
    <xf numFmtId="0" fontId="40" fillId="2" borderId="0" xfId="0" applyFont="1" applyFill="1" applyBorder="1" applyAlignment="1" applyProtection="1">
      <alignment horizontal="center" vertical="center" wrapText="1"/>
      <protection hidden="1"/>
    </xf>
    <xf numFmtId="0" fontId="64" fillId="6" borderId="0" xfId="8" applyFont="1" applyFill="1" applyBorder="1" applyAlignment="1" applyProtection="1">
      <alignment horizontal="center" vertical="center" wrapText="1"/>
      <protection hidden="1"/>
    </xf>
    <xf numFmtId="0" fontId="65" fillId="19" borderId="2" xfId="0" applyFont="1" applyFill="1" applyBorder="1" applyAlignment="1" applyProtection="1">
      <alignment horizontal="center" vertical="center" wrapText="1"/>
      <protection hidden="1"/>
    </xf>
    <xf numFmtId="0" fontId="47" fillId="0" borderId="2" xfId="0" applyFont="1" applyFill="1" applyBorder="1" applyAlignment="1" applyProtection="1">
      <alignment horizontal="center" vertical="center" wrapText="1"/>
      <protection hidden="1"/>
    </xf>
    <xf numFmtId="0" fontId="36" fillId="22" borderId="11" xfId="0" applyFont="1" applyFill="1" applyBorder="1" applyAlignment="1" applyProtection="1">
      <alignment horizontal="center" vertical="center" wrapText="1"/>
      <protection hidden="1"/>
    </xf>
    <xf numFmtId="0" fontId="36" fillId="22" borderId="0" xfId="0" applyFont="1" applyFill="1" applyBorder="1" applyAlignment="1" applyProtection="1">
      <alignment horizontal="center" vertical="center" wrapText="1"/>
      <protection hidden="1"/>
    </xf>
    <xf numFmtId="0" fontId="46" fillId="30" borderId="0" xfId="0" applyFont="1" applyFill="1" applyBorder="1" applyAlignment="1" applyProtection="1">
      <alignment horizontal="center" vertical="center"/>
      <protection hidden="1"/>
    </xf>
    <xf numFmtId="0" fontId="66" fillId="30" borderId="0" xfId="0" applyFont="1" applyFill="1" applyBorder="1" applyAlignment="1" applyProtection="1">
      <alignment horizontal="center" vertical="center" wrapText="1"/>
      <protection hidden="1"/>
    </xf>
    <xf numFmtId="0" fontId="36" fillId="0" borderId="39" xfId="0" applyFont="1" applyBorder="1" applyProtection="1">
      <protection hidden="1"/>
    </xf>
    <xf numFmtId="4" fontId="36" fillId="0" borderId="39" xfId="0" applyNumberFormat="1" applyFont="1" applyBorder="1" applyProtection="1">
      <protection hidden="1"/>
    </xf>
    <xf numFmtId="4" fontId="36" fillId="0" borderId="39" xfId="0" applyNumberFormat="1" applyFont="1" applyBorder="1" applyAlignment="1" applyProtection="1">
      <alignment horizontal="center"/>
      <protection hidden="1"/>
    </xf>
    <xf numFmtId="4" fontId="36" fillId="27" borderId="39" xfId="0" applyNumberFormat="1" applyFont="1" applyFill="1" applyBorder="1" applyProtection="1">
      <protection hidden="1"/>
    </xf>
    <xf numFmtId="171" fontId="43" fillId="0" borderId="0" xfId="4" applyNumberFormat="1" applyFont="1" applyBorder="1" applyProtection="1">
      <protection hidden="1"/>
    </xf>
    <xf numFmtId="0" fontId="36" fillId="0" borderId="5" xfId="0" applyFont="1" applyBorder="1" applyProtection="1">
      <protection hidden="1"/>
    </xf>
    <xf numFmtId="0" fontId="36" fillId="27" borderId="0" xfId="0" applyFont="1" applyFill="1" applyProtection="1">
      <protection hidden="1"/>
    </xf>
    <xf numFmtId="0" fontId="47" fillId="29" borderId="11" xfId="0" applyFont="1" applyFill="1" applyBorder="1" applyAlignment="1" applyProtection="1">
      <alignment horizontal="center"/>
      <protection hidden="1"/>
    </xf>
    <xf numFmtId="0" fontId="36" fillId="0" borderId="39" xfId="0" applyFont="1" applyBorder="1" applyAlignment="1" applyProtection="1">
      <alignment horizontal="center"/>
      <protection hidden="1"/>
    </xf>
    <xf numFmtId="10" fontId="36" fillId="0" borderId="39" xfId="5" applyNumberFormat="1" applyFont="1" applyBorder="1" applyAlignment="1" applyProtection="1">
      <alignment horizontal="center"/>
      <protection hidden="1"/>
    </xf>
    <xf numFmtId="4" fontId="45" fillId="0" borderId="39" xfId="0" applyNumberFormat="1" applyFont="1" applyBorder="1" applyProtection="1">
      <protection locked="0" hidden="1"/>
    </xf>
    <xf numFmtId="171" fontId="36" fillId="0" borderId="0" xfId="4" applyNumberFormat="1" applyFont="1" applyFill="1" applyBorder="1" applyProtection="1">
      <protection hidden="1"/>
    </xf>
    <xf numFmtId="10" fontId="36" fillId="0" borderId="5" xfId="5" applyNumberFormat="1" applyFont="1" applyFill="1" applyBorder="1" applyAlignment="1" applyProtection="1">
      <alignment horizontal="center"/>
      <protection hidden="1"/>
    </xf>
    <xf numFmtId="4" fontId="60" fillId="27" borderId="0" xfId="0" applyNumberFormat="1" applyFont="1" applyFill="1" applyBorder="1" applyProtection="1">
      <protection hidden="1"/>
    </xf>
    <xf numFmtId="43" fontId="36" fillId="27" borderId="0" xfId="3" applyFont="1" applyFill="1" applyProtection="1">
      <protection hidden="1"/>
    </xf>
    <xf numFmtId="175" fontId="67" fillId="0" borderId="11" xfId="5" applyNumberFormat="1" applyFont="1" applyBorder="1" applyAlignment="1" applyProtection="1">
      <alignment horizontal="center"/>
      <protection hidden="1"/>
    </xf>
    <xf numFmtId="0" fontId="36" fillId="0" borderId="0" xfId="0" applyFont="1" applyAlignment="1" applyProtection="1">
      <alignment horizontal="center"/>
      <protection hidden="1"/>
    </xf>
    <xf numFmtId="176" fontId="36" fillId="0" borderId="0" xfId="7" applyNumberFormat="1" applyFont="1" applyBorder="1" applyProtection="1">
      <protection hidden="1"/>
    </xf>
    <xf numFmtId="176" fontId="36" fillId="0" borderId="0" xfId="0" applyNumberFormat="1" applyFont="1" applyProtection="1">
      <protection hidden="1"/>
    </xf>
    <xf numFmtId="4" fontId="60" fillId="32" borderId="0" xfId="0" applyNumberFormat="1" applyFont="1" applyFill="1" applyBorder="1" applyProtection="1">
      <protection hidden="1"/>
    </xf>
    <xf numFmtId="43" fontId="36" fillId="34" borderId="0" xfId="3" applyFont="1" applyFill="1" applyProtection="1">
      <protection hidden="1"/>
    </xf>
    <xf numFmtId="43" fontId="36" fillId="33" borderId="0" xfId="3" applyFont="1" applyFill="1" applyProtection="1">
      <protection hidden="1"/>
    </xf>
    <xf numFmtId="0" fontId="36" fillId="0" borderId="7" xfId="0" applyFont="1" applyBorder="1" applyAlignment="1" applyProtection="1">
      <alignment horizontal="center"/>
      <protection hidden="1"/>
    </xf>
    <xf numFmtId="176" fontId="36" fillId="32" borderId="0" xfId="7" applyNumberFormat="1" applyFont="1" applyFill="1" applyBorder="1" applyProtection="1">
      <protection hidden="1"/>
    </xf>
    <xf numFmtId="0" fontId="45" fillId="0" borderId="39" xfId="0" applyFont="1" applyBorder="1" applyProtection="1">
      <protection locked="0" hidden="1"/>
    </xf>
    <xf numFmtId="0" fontId="45" fillId="0" borderId="39" xfId="0" applyFont="1" applyBorder="1" applyProtection="1">
      <protection hidden="1"/>
    </xf>
    <xf numFmtId="10" fontId="36" fillId="0" borderId="0" xfId="5" applyNumberFormat="1" applyFont="1" applyAlignment="1" applyProtection="1">
      <alignment horizontal="center"/>
      <protection hidden="1"/>
    </xf>
    <xf numFmtId="4" fontId="36" fillId="0" borderId="0" xfId="0" applyNumberFormat="1" applyFont="1" applyAlignment="1" applyProtection="1">
      <alignment horizontal="center"/>
      <protection hidden="1"/>
    </xf>
    <xf numFmtId="43" fontId="36" fillId="29" borderId="0" xfId="3" applyFont="1" applyFill="1" applyProtection="1">
      <protection hidden="1"/>
    </xf>
    <xf numFmtId="0" fontId="40" fillId="0" borderId="27" xfId="0" applyFont="1" applyBorder="1" applyProtection="1">
      <protection hidden="1"/>
    </xf>
    <xf numFmtId="0" fontId="36" fillId="0" borderId="27" xfId="0" applyFont="1" applyBorder="1" applyProtection="1">
      <protection hidden="1"/>
    </xf>
    <xf numFmtId="4" fontId="40" fillId="0" borderId="27" xfId="0" applyNumberFormat="1" applyFont="1" applyBorder="1" applyProtection="1">
      <protection hidden="1"/>
    </xf>
    <xf numFmtId="0" fontId="48" fillId="0" borderId="0" xfId="0" applyFont="1" applyBorder="1" applyProtection="1">
      <protection hidden="1"/>
    </xf>
    <xf numFmtId="0" fontId="36" fillId="0" borderId="0" xfId="0" applyFont="1" applyAlignment="1" applyProtection="1">
      <alignment vertical="center"/>
      <protection hidden="1"/>
    </xf>
    <xf numFmtId="0" fontId="36" fillId="0" borderId="0" xfId="0" applyFont="1" applyFill="1" applyAlignment="1" applyProtection="1">
      <alignment vertical="center"/>
      <protection hidden="1"/>
    </xf>
    <xf numFmtId="0" fontId="60" fillId="0" borderId="0" xfId="0" applyFont="1" applyBorder="1" applyAlignment="1" applyProtection="1">
      <alignment horizontal="left" wrapText="1"/>
      <protection hidden="1"/>
    </xf>
    <xf numFmtId="0" fontId="50" fillId="0" borderId="0" xfId="0" applyFont="1" applyProtection="1">
      <protection hidden="1"/>
    </xf>
    <xf numFmtId="0" fontId="50" fillId="0" borderId="0" xfId="0" applyFont="1" applyAlignment="1" applyProtection="1">
      <alignment horizontal="right"/>
      <protection hidden="1"/>
    </xf>
    <xf numFmtId="0" fontId="37" fillId="0" borderId="0" xfId="0" applyNumberFormat="1" applyFont="1" applyAlignment="1" applyProtection="1">
      <alignment vertical="top" wrapText="1"/>
      <protection hidden="1"/>
    </xf>
    <xf numFmtId="0" fontId="37" fillId="0" borderId="0" xfId="0" applyFont="1" applyProtection="1">
      <protection hidden="1"/>
    </xf>
    <xf numFmtId="0" fontId="25" fillId="40" borderId="76" xfId="0" applyFont="1" applyFill="1" applyBorder="1" applyAlignment="1" applyProtection="1">
      <alignment horizontal="center"/>
      <protection locked="0"/>
    </xf>
    <xf numFmtId="0" fontId="32" fillId="18" borderId="48" xfId="0" applyFont="1" applyFill="1" applyBorder="1" applyProtection="1">
      <protection locked="0"/>
    </xf>
    <xf numFmtId="0" fontId="1" fillId="0" borderId="1" xfId="0" applyFont="1" applyBorder="1" applyProtection="1">
      <protection locked="0"/>
    </xf>
    <xf numFmtId="0" fontId="1" fillId="0" borderId="7" xfId="0" applyFont="1" applyBorder="1" applyProtection="1">
      <protection locked="0"/>
    </xf>
    <xf numFmtId="0" fontId="1" fillId="0" borderId="8" xfId="0" applyFont="1" applyBorder="1" applyProtection="1">
      <protection locked="0"/>
    </xf>
    <xf numFmtId="10" fontId="1" fillId="0" borderId="61" xfId="0" applyNumberFormat="1" applyFont="1" applyBorder="1" applyProtection="1">
      <protection locked="0"/>
    </xf>
    <xf numFmtId="10" fontId="1" fillId="0" borderId="3" xfId="0" applyNumberFormat="1" applyFont="1" applyBorder="1" applyProtection="1">
      <protection locked="0"/>
    </xf>
    <xf numFmtId="10" fontId="1" fillId="0" borderId="4" xfId="0" applyNumberFormat="1" applyFont="1" applyBorder="1" applyProtection="1">
      <protection locked="0"/>
    </xf>
    <xf numFmtId="10" fontId="25" fillId="18" borderId="61" xfId="5" applyNumberFormat="1" applyFont="1" applyFill="1" applyBorder="1" applyProtection="1">
      <protection locked="0"/>
    </xf>
    <xf numFmtId="10" fontId="25" fillId="18" borderId="23" xfId="0" applyNumberFormat="1" applyFont="1" applyFill="1" applyBorder="1" applyProtection="1">
      <protection locked="0"/>
    </xf>
    <xf numFmtId="43" fontId="36" fillId="40" borderId="5" xfId="3" applyFont="1" applyFill="1" applyBorder="1" applyProtection="1">
      <protection hidden="1"/>
    </xf>
    <xf numFmtId="175" fontId="69" fillId="0" borderId="0" xfId="5" applyNumberFormat="1" applyFont="1" applyFill="1" applyBorder="1"/>
    <xf numFmtId="175" fontId="69" fillId="37" borderId="0" xfId="5" applyNumberFormat="1" applyFont="1" applyFill="1" applyBorder="1"/>
    <xf numFmtId="175" fontId="69" fillId="37" borderId="77" xfId="5" applyNumberFormat="1" applyFont="1" applyFill="1" applyBorder="1"/>
    <xf numFmtId="175" fontId="69" fillId="0" borderId="77" xfId="5" applyNumberFormat="1" applyFont="1" applyFill="1" applyBorder="1"/>
    <xf numFmtId="9" fontId="20" fillId="37" borderId="22" xfId="0" applyNumberFormat="1" applyFont="1" applyFill="1" applyBorder="1" applyAlignment="1">
      <alignment horizontal="center"/>
    </xf>
    <xf numFmtId="0" fontId="3" fillId="17" borderId="59" xfId="0" applyFont="1" applyFill="1" applyBorder="1" applyAlignment="1" applyProtection="1">
      <alignment horizontal="center"/>
      <protection locked="0"/>
    </xf>
    <xf numFmtId="0" fontId="3" fillId="17" borderId="60" xfId="0" applyFont="1" applyFill="1" applyBorder="1" applyAlignment="1" applyProtection="1">
      <alignment horizontal="center"/>
      <protection locked="0"/>
    </xf>
    <xf numFmtId="0" fontId="3" fillId="28" borderId="14" xfId="0" applyFont="1" applyFill="1" applyBorder="1" applyAlignment="1" applyProtection="1">
      <alignment horizontal="center"/>
      <protection locked="0"/>
    </xf>
    <xf numFmtId="0" fontId="3" fillId="28" borderId="27" xfId="0" applyFont="1" applyFill="1" applyBorder="1" applyAlignment="1" applyProtection="1">
      <alignment horizontal="center"/>
      <protection locked="0"/>
    </xf>
    <xf numFmtId="0" fontId="3" fillId="7" borderId="1" xfId="0" applyFont="1" applyFill="1" applyBorder="1" applyAlignment="1" applyProtection="1">
      <alignment horizontal="center"/>
      <protection locked="0"/>
    </xf>
    <xf numFmtId="0" fontId="3" fillId="7" borderId="15" xfId="0" applyFont="1" applyFill="1" applyBorder="1" applyAlignment="1" applyProtection="1">
      <alignment horizontal="center"/>
      <protection locked="0"/>
    </xf>
    <xf numFmtId="0" fontId="3" fillId="7" borderId="12" xfId="0" applyFont="1" applyFill="1" applyBorder="1" applyAlignment="1" applyProtection="1">
      <alignment horizontal="center"/>
      <protection locked="0"/>
    </xf>
    <xf numFmtId="0" fontId="14" fillId="0" borderId="1" xfId="8" applyFont="1" applyBorder="1" applyAlignment="1">
      <alignment horizontal="center"/>
    </xf>
    <xf numFmtId="0" fontId="14" fillId="0" borderId="60" xfId="8" applyFont="1" applyBorder="1" applyAlignment="1">
      <alignment horizontal="center"/>
    </xf>
    <xf numFmtId="0" fontId="3" fillId="41" borderId="8" xfId="0" applyFont="1" applyFill="1" applyBorder="1" applyAlignment="1" applyProtection="1">
      <alignment horizontal="center"/>
      <protection locked="0"/>
    </xf>
    <xf numFmtId="0" fontId="3" fillId="41" borderId="74" xfId="0" applyFont="1" applyFill="1" applyBorder="1" applyAlignment="1" applyProtection="1">
      <alignment horizontal="center"/>
      <protection locked="0"/>
    </xf>
    <xf numFmtId="0" fontId="55" fillId="0" borderId="0" xfId="0" applyFont="1" applyAlignment="1" applyProtection="1">
      <alignment horizontal="center" vertical="center" wrapText="1"/>
      <protection hidden="1"/>
    </xf>
    <xf numFmtId="0" fontId="62" fillId="12" borderId="62" xfId="0" applyFont="1" applyFill="1" applyBorder="1" applyAlignment="1" applyProtection="1">
      <alignment horizontal="left"/>
      <protection hidden="1"/>
    </xf>
    <xf numFmtId="0" fontId="62" fillId="12" borderId="0" xfId="0" applyFont="1" applyFill="1" applyBorder="1" applyAlignment="1" applyProtection="1">
      <alignment horizontal="left"/>
      <protection hidden="1"/>
    </xf>
    <xf numFmtId="0" fontId="53" fillId="0" borderId="64" xfId="0" applyNumberFormat="1" applyFont="1" applyFill="1" applyBorder="1" applyAlignment="1" applyProtection="1">
      <alignment horizontal="center"/>
      <protection hidden="1"/>
    </xf>
    <xf numFmtId="0" fontId="53" fillId="0" borderId="65" xfId="0" applyNumberFormat="1" applyFont="1" applyFill="1" applyBorder="1" applyAlignment="1" applyProtection="1">
      <alignment horizontal="center"/>
      <protection hidden="1"/>
    </xf>
    <xf numFmtId="0" fontId="53" fillId="0" borderId="66" xfId="0" applyNumberFormat="1" applyFont="1" applyFill="1" applyBorder="1" applyAlignment="1" applyProtection="1">
      <alignment horizontal="center"/>
      <protection hidden="1"/>
    </xf>
    <xf numFmtId="0" fontId="38" fillId="0" borderId="0" xfId="0" applyFont="1" applyAlignment="1" applyProtection="1">
      <alignment horizontal="center"/>
      <protection hidden="1"/>
    </xf>
    <xf numFmtId="0" fontId="36" fillId="26" borderId="45" xfId="0" applyFont="1" applyFill="1" applyBorder="1" applyAlignment="1" applyProtection="1">
      <alignment horizontal="left"/>
      <protection locked="0" hidden="1"/>
    </xf>
    <xf numFmtId="0" fontId="36" fillId="26" borderId="46" xfId="0" applyFont="1" applyFill="1" applyBorder="1" applyAlignment="1" applyProtection="1">
      <alignment horizontal="left"/>
      <protection locked="0" hidden="1"/>
    </xf>
    <xf numFmtId="0" fontId="36" fillId="26" borderId="47" xfId="0" applyFont="1" applyFill="1" applyBorder="1" applyAlignment="1" applyProtection="1">
      <alignment horizontal="left"/>
      <protection locked="0" hidden="1"/>
    </xf>
    <xf numFmtId="167" fontId="36" fillId="27" borderId="0" xfId="0" applyNumberFormat="1" applyFont="1" applyFill="1" applyBorder="1" applyAlignment="1" applyProtection="1">
      <alignment horizontal="center" vertical="top"/>
      <protection hidden="1"/>
    </xf>
    <xf numFmtId="167" fontId="36" fillId="27" borderId="28" xfId="0" applyNumberFormat="1" applyFont="1" applyFill="1" applyBorder="1" applyAlignment="1" applyProtection="1">
      <alignment horizontal="center" vertical="top"/>
      <protection hidden="1"/>
    </xf>
    <xf numFmtId="167" fontId="36" fillId="0" borderId="0" xfId="0" applyNumberFormat="1" applyFont="1" applyFill="1" applyBorder="1" applyAlignment="1" applyProtection="1">
      <alignment horizontal="center" vertical="top"/>
      <protection hidden="1"/>
    </xf>
    <xf numFmtId="167" fontId="36" fillId="0" borderId="28" xfId="0" applyNumberFormat="1" applyFont="1" applyFill="1" applyBorder="1" applyAlignment="1" applyProtection="1">
      <alignment horizontal="center" vertical="top"/>
      <protection hidden="1"/>
    </xf>
    <xf numFmtId="0" fontId="36" fillId="26" borderId="45" xfId="0" applyFont="1" applyFill="1" applyBorder="1" applyAlignment="1" applyProtection="1">
      <alignment horizontal="center"/>
      <protection locked="0" hidden="1"/>
    </xf>
    <xf numFmtId="0" fontId="36" fillId="26" borderId="47" xfId="0" applyFont="1" applyFill="1" applyBorder="1" applyAlignment="1" applyProtection="1">
      <alignment horizontal="center"/>
      <protection locked="0" hidden="1"/>
    </xf>
    <xf numFmtId="0" fontId="37" fillId="27" borderId="0" xfId="0" applyFont="1" applyFill="1" applyBorder="1" applyAlignment="1" applyProtection="1">
      <alignment horizontal="left" vertical="center"/>
      <protection hidden="1"/>
    </xf>
    <xf numFmtId="0" fontId="37" fillId="0" borderId="0" xfId="0" applyFont="1" applyAlignment="1" applyProtection="1">
      <alignment horizontal="left" wrapText="1"/>
      <protection hidden="1"/>
    </xf>
    <xf numFmtId="0" fontId="60" fillId="0" borderId="0" xfId="0" applyFont="1" applyBorder="1" applyAlignment="1" applyProtection="1">
      <alignment horizontal="left" wrapText="1"/>
      <protection hidden="1"/>
    </xf>
    <xf numFmtId="0" fontId="48" fillId="0" borderId="0" xfId="0" applyFont="1" applyBorder="1" applyAlignment="1" applyProtection="1">
      <alignment horizontal="left" wrapText="1"/>
      <protection hidden="1"/>
    </xf>
    <xf numFmtId="0" fontId="60" fillId="0" borderId="0" xfId="0" applyFont="1" applyBorder="1" applyAlignment="1" applyProtection="1">
      <alignment horizontal="left" vertical="center" wrapText="1"/>
      <protection hidden="1"/>
    </xf>
  </cellXfs>
  <cellStyles count="11">
    <cellStyle name="Euro" xfId="1" xr:uid="{00000000-0005-0000-0000-000000000000}"/>
    <cellStyle name="Hipervínculo" xfId="2" builtinId="8"/>
    <cellStyle name="Millares" xfId="3" builtinId="3"/>
    <cellStyle name="Millares [0]" xfId="7" builtinId="6"/>
    <cellStyle name="Millares 2" xfId="9" xr:uid="{00000000-0005-0000-0000-000004000000}"/>
    <cellStyle name="Millares_Tabla amortización" xfId="4" xr:uid="{00000000-0005-0000-0000-000005000000}"/>
    <cellStyle name="Moneda" xfId="6" builtinId="4"/>
    <cellStyle name="Normal" xfId="0" builtinId="0"/>
    <cellStyle name="Normal 2" xfId="8" xr:uid="{00000000-0005-0000-0000-000008000000}"/>
    <cellStyle name="Porcentaje" xfId="5" builtinId="5"/>
    <cellStyle name="Porcentaje 2" xfId="10" xr:uid="{1CD7BB32-EBC6-4426-A6C0-CE440F736C8E}"/>
  </cellStyles>
  <dxfs count="46">
    <dxf>
      <font>
        <condense val="0"/>
        <extend val="0"/>
        <color indexed="9"/>
      </font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9"/>
      </font>
    </dxf>
    <dxf>
      <fill>
        <patternFill>
          <bgColor indexed="22"/>
        </patternFill>
      </fill>
    </dxf>
    <dxf>
      <fill>
        <patternFill patternType="none">
          <bgColor indexed="65"/>
        </patternFill>
      </fill>
      <border>
        <left/>
        <right/>
        <top style="thin">
          <color indexed="10"/>
        </top>
        <bottom style="thin">
          <color indexed="10"/>
        </bottom>
      </border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indexed="17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auto="1"/>
      </font>
      <fill>
        <patternFill>
          <bgColor indexed="13"/>
        </patternFill>
      </fill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</dxfs>
  <tableStyles count="0" defaultTableStyle="TableStyleMedium2" defaultPivotStyle="PivotStyleLight16"/>
  <colors>
    <mruColors>
      <color rgb="FFFFFF99"/>
      <color rgb="FFFF99CC"/>
      <color rgb="FFD4C1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685800</xdr:colOff>
      <xdr:row>0</xdr:row>
      <xdr:rowOff>38100</xdr:rowOff>
    </xdr:from>
    <xdr:to>
      <xdr:col>12</xdr:col>
      <xdr:colOff>57150</xdr:colOff>
      <xdr:row>1</xdr:row>
      <xdr:rowOff>123825</xdr:rowOff>
    </xdr:to>
    <xdr:sp macro="[0]!limpiar1" textlink="">
      <xdr:nvSpPr>
        <xdr:cNvPr id="2049" name="AutoShape 1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rrowheads="1"/>
        </xdr:cNvSpPr>
      </xdr:nvSpPr>
      <xdr:spPr bwMode="auto">
        <a:xfrm>
          <a:off x="7058025" y="38100"/>
          <a:ext cx="1190625" cy="2476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MX" sz="800" b="1" i="0" u="none" strike="noStrike" baseline="0">
              <a:solidFill>
                <a:srgbClr val="FFFFFF"/>
              </a:solidFill>
              <a:latin typeface="Arial"/>
              <a:cs typeface="Arial"/>
            </a:rPr>
            <a:t>NUEVA COTIZACION</a:t>
          </a:r>
        </a:p>
      </xdr:txBody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460312</xdr:colOff>
      <xdr:row>2</xdr:row>
      <xdr:rowOff>19362</xdr:rowOff>
    </xdr:to>
    <xdr:pic>
      <xdr:nvPicPr>
        <xdr:cNvPr id="16" name="Imagen 15" descr="http://intranet.mx.corp/identidad_2018/images/santander_negativo_small.jpg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0"/>
          <a:ext cx="1908112" cy="528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232833</xdr:colOff>
      <xdr:row>0</xdr:row>
      <xdr:rowOff>42333</xdr:rowOff>
    </xdr:from>
    <xdr:to>
      <xdr:col>13</xdr:col>
      <xdr:colOff>285750</xdr:colOff>
      <xdr:row>1</xdr:row>
      <xdr:rowOff>148167</xdr:rowOff>
    </xdr:to>
    <xdr:sp macro="[0]!IMPRIMIR" textlink="">
      <xdr:nvSpPr>
        <xdr:cNvPr id="2" name="Rectángulo: biselado 1">
          <a:extLst>
            <a:ext uri="{FF2B5EF4-FFF2-40B4-BE49-F238E27FC236}">
              <a16:creationId xmlns:a16="http://schemas.microsoft.com/office/drawing/2014/main" id="{AA5156E6-831B-0FD5-2371-EE1908974B40}"/>
            </a:ext>
          </a:extLst>
        </xdr:cNvPr>
        <xdr:cNvSpPr/>
      </xdr:nvSpPr>
      <xdr:spPr>
        <a:xfrm>
          <a:off x="10202333" y="42333"/>
          <a:ext cx="1301750" cy="306917"/>
        </a:xfrm>
        <a:prstGeom prst="bevel">
          <a:avLst/>
        </a:prstGeom>
        <a:solidFill>
          <a:schemeClr val="bg1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kern="1200"/>
            <a:t>IMPRIMIR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76200</xdr:rowOff>
    </xdr:from>
    <xdr:to>
      <xdr:col>2</xdr:col>
      <xdr:colOff>1133475</xdr:colOff>
      <xdr:row>3</xdr:row>
      <xdr:rowOff>104775</xdr:rowOff>
    </xdr:to>
    <xdr:pic>
      <xdr:nvPicPr>
        <xdr:cNvPr id="4097" name="Picture 1" descr="santander_negativo_medium">
          <a:extLst>
            <a:ext uri="{FF2B5EF4-FFF2-40B4-BE49-F238E27FC236}">
              <a16:creationId xmlns:a16="http://schemas.microsoft.com/office/drawing/2014/main" id="{00000000-0008-0000-04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5" y="76200"/>
          <a:ext cx="2019300" cy="514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771525</xdr:colOff>
      <xdr:row>0</xdr:row>
      <xdr:rowOff>0</xdr:rowOff>
    </xdr:from>
    <xdr:to>
      <xdr:col>4</xdr:col>
      <xdr:colOff>685800</xdr:colOff>
      <xdr:row>4</xdr:row>
      <xdr:rowOff>0</xdr:rowOff>
    </xdr:to>
    <xdr:pic>
      <xdr:nvPicPr>
        <xdr:cNvPr id="4100" name="Picture 4" descr="Comisión Nacional de Vivienda">
          <a:extLst>
            <a:ext uri="{FF2B5EF4-FFF2-40B4-BE49-F238E27FC236}">
              <a16:creationId xmlns:a16="http://schemas.microsoft.com/office/drawing/2014/main" id="{00000000-0008-0000-0400-000004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2968" b="3958"/>
        <a:stretch>
          <a:fillRect/>
        </a:stretch>
      </xdr:blipFill>
      <xdr:spPr bwMode="auto">
        <a:xfrm>
          <a:off x="3810000" y="0"/>
          <a:ext cx="1123950" cy="64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85725</xdr:colOff>
      <xdr:row>0</xdr:row>
      <xdr:rowOff>0</xdr:rowOff>
    </xdr:from>
    <xdr:to>
      <xdr:col>3</xdr:col>
      <xdr:colOff>885825</xdr:colOff>
      <xdr:row>3</xdr:row>
      <xdr:rowOff>142875</xdr:rowOff>
    </xdr:to>
    <xdr:pic>
      <xdr:nvPicPr>
        <xdr:cNvPr id="4101" name="Picture 5" descr="Sociedad Hipotecaria Federal">
          <a:extLst>
            <a:ext uri="{FF2B5EF4-FFF2-40B4-BE49-F238E27FC236}">
              <a16:creationId xmlns:a16="http://schemas.microsoft.com/office/drawing/2014/main" id="{00000000-0008-0000-0400-000005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9904" b="7324"/>
        <a:stretch>
          <a:fillRect/>
        </a:stretch>
      </xdr:blipFill>
      <xdr:spPr bwMode="auto">
        <a:xfrm>
          <a:off x="3124200" y="0"/>
          <a:ext cx="800100" cy="62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antandernet.sharepoint.com/Mis_Doc%20C180277/DPRODTOS/SIMULADORES/BHF-073%20SIMULADOR%20Campa&#241;a%20de%20Sustituci&#243;n%201.7%20RESPALD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itácora de cambios"/>
      <sheetName val="Adm"/>
      <sheetName val="Captura"/>
      <sheetName val="UDIS"/>
      <sheetName val="Tabla"/>
      <sheetName val="liquidez"/>
      <sheetName val="Base"/>
      <sheetName val="cat"/>
    </sheetNames>
    <sheetDataSet>
      <sheetData sheetId="0" refreshError="1"/>
      <sheetData sheetId="1">
        <row r="3">
          <cell r="U3" t="e">
            <v>#N/A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I103"/>
  <sheetViews>
    <sheetView workbookViewId="0">
      <pane ySplit="3" topLeftCell="A4" activePane="bottomLeft" state="frozen"/>
      <selection activeCell="G13" sqref="G13"/>
      <selection pane="bottomLeft" activeCell="A4" sqref="A4"/>
    </sheetView>
  </sheetViews>
  <sheetFormatPr baseColWidth="10" defaultRowHeight="12.5"/>
  <cols>
    <col min="1" max="1" width="16.90625" customWidth="1"/>
    <col min="2" max="2" width="14.90625" customWidth="1"/>
    <col min="3" max="6" width="10.6328125" customWidth="1"/>
    <col min="8" max="8" width="20.08984375" customWidth="1"/>
    <col min="9" max="9" width="14.54296875" customWidth="1"/>
    <col min="22" max="22" width="15.6328125" bestFit="1" customWidth="1"/>
    <col min="23" max="23" width="15.453125" bestFit="1" customWidth="1"/>
  </cols>
  <sheetData>
    <row r="1" spans="1:35">
      <c r="A1" s="107"/>
      <c r="B1" s="214" t="e">
        <f>VLOOKUP(Captura!AF5,A4:F93,MATCH(Adm!$D$2,A3:F3,0),0)</f>
        <v>#DIV/0!</v>
      </c>
      <c r="H1" s="107"/>
      <c r="I1" s="214" t="e">
        <f>VLOOKUP(Captura!AF5,H4:M93,MATCH(Adm!$D$2,H3:M3,0),0)</f>
        <v>#DIV/0!</v>
      </c>
      <c r="V1" s="159" t="s">
        <v>90</v>
      </c>
      <c r="W1" s="159" t="s">
        <v>94</v>
      </c>
    </row>
    <row r="2" spans="1:35" ht="52">
      <c r="A2" s="181" t="s">
        <v>56</v>
      </c>
      <c r="B2" s="95"/>
      <c r="C2" s="96" t="s">
        <v>55</v>
      </c>
      <c r="D2" s="97"/>
      <c r="E2" s="97"/>
      <c r="F2" s="98"/>
      <c r="H2" s="182" t="s">
        <v>57</v>
      </c>
      <c r="I2" s="99"/>
      <c r="J2" s="100" t="s">
        <v>55</v>
      </c>
      <c r="K2" s="101"/>
      <c r="L2" s="101"/>
      <c r="M2" s="102"/>
      <c r="V2" s="160"/>
      <c r="W2" s="161">
        <v>1</v>
      </c>
      <c r="X2" s="161">
        <v>2</v>
      </c>
      <c r="Y2" s="161">
        <v>3</v>
      </c>
      <c r="Z2" s="161">
        <v>4</v>
      </c>
      <c r="AA2" s="161">
        <v>5</v>
      </c>
      <c r="AB2" s="161">
        <v>6</v>
      </c>
      <c r="AC2" s="161">
        <v>7</v>
      </c>
      <c r="AD2" s="161">
        <v>8</v>
      </c>
      <c r="AE2" s="161">
        <v>9</v>
      </c>
      <c r="AF2" s="161">
        <v>10</v>
      </c>
      <c r="AG2" s="161">
        <v>11</v>
      </c>
      <c r="AH2" s="161">
        <v>12</v>
      </c>
      <c r="AI2" s="161">
        <v>13</v>
      </c>
    </row>
    <row r="3" spans="1:35" ht="13">
      <c r="A3" s="103" t="s">
        <v>58</v>
      </c>
      <c r="B3" s="103" t="s">
        <v>59</v>
      </c>
      <c r="C3" s="103">
        <v>10</v>
      </c>
      <c r="D3" s="103">
        <v>15</v>
      </c>
      <c r="E3" s="103">
        <v>20</v>
      </c>
      <c r="F3" s="103">
        <v>25</v>
      </c>
      <c r="H3" s="104" t="s">
        <v>58</v>
      </c>
      <c r="I3" s="104" t="s">
        <v>59</v>
      </c>
      <c r="J3" s="104">
        <v>10</v>
      </c>
      <c r="K3" s="104">
        <v>15</v>
      </c>
      <c r="L3" s="104">
        <v>20</v>
      </c>
      <c r="M3" s="104">
        <v>25</v>
      </c>
      <c r="V3" s="160"/>
      <c r="W3" s="162" t="s">
        <v>95</v>
      </c>
      <c r="X3" s="162" t="s">
        <v>96</v>
      </c>
      <c r="Y3" s="162" t="s">
        <v>97</v>
      </c>
      <c r="Z3" s="162" t="s">
        <v>98</v>
      </c>
      <c r="AA3" s="162" t="s">
        <v>99</v>
      </c>
      <c r="AB3" s="162" t="s">
        <v>100</v>
      </c>
      <c r="AC3" s="162" t="s">
        <v>101</v>
      </c>
      <c r="AD3" s="162" t="s">
        <v>102</v>
      </c>
      <c r="AE3" s="162" t="s">
        <v>103</v>
      </c>
      <c r="AF3" s="162" t="s">
        <v>104</v>
      </c>
      <c r="AG3" s="162" t="s">
        <v>105</v>
      </c>
      <c r="AH3" s="162" t="s">
        <v>106</v>
      </c>
      <c r="AI3" s="162" t="s">
        <v>107</v>
      </c>
    </row>
    <row r="4" spans="1:35" s="22" customFormat="1" ht="15">
      <c r="A4" s="169">
        <v>0.01</v>
      </c>
      <c r="B4" s="105">
        <v>0.15</v>
      </c>
      <c r="C4" s="509">
        <v>8.9932367517802873E-3</v>
      </c>
      <c r="D4" s="509">
        <v>1.2669402779523158E-2</v>
      </c>
      <c r="E4" s="509">
        <v>1.5562060609320763E-2</v>
      </c>
      <c r="F4" s="509">
        <v>1.7718960256916196E-2</v>
      </c>
      <c r="G4"/>
      <c r="H4" s="169">
        <v>0.01</v>
      </c>
      <c r="I4" s="105">
        <v>0.15</v>
      </c>
      <c r="J4" s="509">
        <v>8.9932367517802873E-3</v>
      </c>
      <c r="K4" s="509">
        <v>1.2669402779523158E-2</v>
      </c>
      <c r="L4" s="509">
        <v>1.5562060609320763E-2</v>
      </c>
      <c r="M4" s="509">
        <v>1.7718960256916196E-2</v>
      </c>
      <c r="N4" s="149"/>
      <c r="V4" s="163" t="s">
        <v>91</v>
      </c>
      <c r="W4" s="164">
        <v>0</v>
      </c>
      <c r="X4" s="164">
        <v>0</v>
      </c>
      <c r="Y4" s="164">
        <v>0</v>
      </c>
      <c r="Z4" s="164">
        <v>0</v>
      </c>
      <c r="AA4" s="164">
        <v>0</v>
      </c>
      <c r="AB4" s="164">
        <v>0</v>
      </c>
      <c r="AC4" s="164">
        <v>0</v>
      </c>
      <c r="AD4" s="165">
        <v>30</v>
      </c>
      <c r="AE4" s="165">
        <v>31</v>
      </c>
      <c r="AF4" s="165">
        <v>32</v>
      </c>
      <c r="AG4" s="165">
        <v>32</v>
      </c>
      <c r="AH4" s="165">
        <v>33</v>
      </c>
      <c r="AI4" s="165">
        <v>33</v>
      </c>
    </row>
    <row r="5" spans="1:35" s="22" customFormat="1" ht="15">
      <c r="A5" s="170">
        <v>0.02</v>
      </c>
      <c r="B5" s="105">
        <v>0.15</v>
      </c>
      <c r="C5" s="509">
        <v>8.9932367517802873E-3</v>
      </c>
      <c r="D5" s="509">
        <v>1.2669402779523158E-2</v>
      </c>
      <c r="E5" s="509">
        <v>1.5562060609320763E-2</v>
      </c>
      <c r="F5" s="509">
        <v>1.7718960256916196E-2</v>
      </c>
      <c r="G5"/>
      <c r="H5" s="170">
        <v>0.02</v>
      </c>
      <c r="I5" s="105">
        <v>0.15</v>
      </c>
      <c r="J5" s="509">
        <v>8.9932367517802873E-3</v>
      </c>
      <c r="K5" s="509">
        <v>1.2669402779523158E-2</v>
      </c>
      <c r="L5" s="509">
        <v>1.5562060609320763E-2</v>
      </c>
      <c r="M5" s="509">
        <v>1.7718960256916196E-2</v>
      </c>
      <c r="N5" s="149"/>
      <c r="V5" s="163" t="s">
        <v>92</v>
      </c>
      <c r="W5" s="164">
        <v>0</v>
      </c>
      <c r="X5" s="165">
        <v>0</v>
      </c>
      <c r="Y5" s="165">
        <v>0</v>
      </c>
      <c r="Z5" s="165">
        <v>29</v>
      </c>
      <c r="AA5" s="165">
        <v>30</v>
      </c>
      <c r="AB5" s="165">
        <v>30</v>
      </c>
      <c r="AC5" s="165">
        <v>31</v>
      </c>
      <c r="AD5" s="165">
        <v>31</v>
      </c>
      <c r="AE5" s="165">
        <v>32</v>
      </c>
      <c r="AF5" s="165">
        <v>32</v>
      </c>
      <c r="AG5" s="165">
        <v>33</v>
      </c>
      <c r="AH5" s="165">
        <v>33</v>
      </c>
      <c r="AI5" s="165">
        <v>34</v>
      </c>
    </row>
    <row r="6" spans="1:35" s="22" customFormat="1" ht="15">
      <c r="A6" s="170">
        <v>0.03</v>
      </c>
      <c r="B6" s="105">
        <v>0.15</v>
      </c>
      <c r="C6" s="509">
        <v>8.9932367517802873E-3</v>
      </c>
      <c r="D6" s="509">
        <v>1.2669402779523158E-2</v>
      </c>
      <c r="E6" s="509">
        <v>1.5562060609320763E-2</v>
      </c>
      <c r="F6" s="509">
        <v>1.7718960256916196E-2</v>
      </c>
      <c r="G6"/>
      <c r="H6" s="170">
        <v>0.03</v>
      </c>
      <c r="I6" s="105">
        <v>0.15</v>
      </c>
      <c r="J6" s="509">
        <v>8.9932367517802873E-3</v>
      </c>
      <c r="K6" s="509">
        <v>1.2669402779523158E-2</v>
      </c>
      <c r="L6" s="509">
        <v>1.5562060609320763E-2</v>
      </c>
      <c r="M6" s="509">
        <v>1.7718960256916196E-2</v>
      </c>
      <c r="N6" s="149"/>
      <c r="V6" s="166" t="s">
        <v>93</v>
      </c>
      <c r="W6" s="164">
        <v>0</v>
      </c>
      <c r="X6" s="165">
        <v>29</v>
      </c>
      <c r="Y6" s="165">
        <v>30</v>
      </c>
      <c r="Z6" s="165">
        <v>30</v>
      </c>
      <c r="AA6" s="165">
        <v>30</v>
      </c>
      <c r="AB6" s="165">
        <v>31</v>
      </c>
      <c r="AC6" s="165">
        <v>31</v>
      </c>
      <c r="AD6" s="165">
        <v>32</v>
      </c>
      <c r="AE6" s="165">
        <v>32</v>
      </c>
      <c r="AF6" s="165">
        <v>33</v>
      </c>
      <c r="AG6" s="165">
        <v>33</v>
      </c>
      <c r="AH6" s="165">
        <v>34</v>
      </c>
      <c r="AI6" s="165">
        <v>34</v>
      </c>
    </row>
    <row r="7" spans="1:35" s="22" customFormat="1" ht="15">
      <c r="A7" s="170">
        <v>0.04</v>
      </c>
      <c r="B7" s="105">
        <v>0.15</v>
      </c>
      <c r="C7" s="509">
        <v>8.9932367517802873E-3</v>
      </c>
      <c r="D7" s="509">
        <v>1.2669402779523158E-2</v>
      </c>
      <c r="E7" s="509">
        <v>1.5562060609320763E-2</v>
      </c>
      <c r="F7" s="509">
        <v>1.7718960256916196E-2</v>
      </c>
      <c r="G7"/>
      <c r="H7" s="170">
        <v>0.04</v>
      </c>
      <c r="I7" s="105">
        <v>0.15</v>
      </c>
      <c r="J7" s="509">
        <v>8.9932367517802873E-3</v>
      </c>
      <c r="K7" s="509">
        <v>1.2669402779523158E-2</v>
      </c>
      <c r="L7" s="509">
        <v>1.5562060609320763E-2</v>
      </c>
      <c r="M7" s="509">
        <v>1.7718960256916196E-2</v>
      </c>
      <c r="N7" s="149"/>
      <c r="V7" s="180" t="s">
        <v>110</v>
      </c>
      <c r="W7" s="164">
        <v>0</v>
      </c>
      <c r="X7" s="165">
        <v>25</v>
      </c>
      <c r="Y7" s="165">
        <v>25</v>
      </c>
      <c r="Z7" s="165">
        <v>25</v>
      </c>
      <c r="AA7" s="165">
        <v>25</v>
      </c>
      <c r="AB7" s="165">
        <v>25</v>
      </c>
      <c r="AC7" s="164">
        <v>0</v>
      </c>
      <c r="AD7" s="164">
        <v>0</v>
      </c>
      <c r="AE7" s="164">
        <v>0</v>
      </c>
      <c r="AF7" s="164">
        <v>0</v>
      </c>
      <c r="AG7" s="164">
        <v>0</v>
      </c>
      <c r="AH7" s="164">
        <v>0</v>
      </c>
      <c r="AI7" s="164">
        <v>0</v>
      </c>
    </row>
    <row r="8" spans="1:35" s="22" customFormat="1" ht="15">
      <c r="A8" s="239">
        <v>0.05</v>
      </c>
      <c r="B8" s="105">
        <v>0.15</v>
      </c>
      <c r="C8" s="509">
        <v>8.9932367517802873E-3</v>
      </c>
      <c r="D8" s="509">
        <v>1.2669402779523158E-2</v>
      </c>
      <c r="E8" s="509">
        <v>1.5562060609320763E-2</v>
      </c>
      <c r="F8" s="509">
        <v>1.7718960256916196E-2</v>
      </c>
      <c r="G8"/>
      <c r="H8" s="239">
        <v>0.05</v>
      </c>
      <c r="I8" s="105">
        <v>0.15</v>
      </c>
      <c r="J8" s="509">
        <v>8.9932367517802873E-3</v>
      </c>
      <c r="K8" s="509">
        <v>1.2669402779523158E-2</v>
      </c>
      <c r="L8" s="509">
        <v>1.5562060609320763E-2</v>
      </c>
      <c r="M8" s="509">
        <v>1.7718960256916196E-2</v>
      </c>
      <c r="N8" s="149"/>
    </row>
    <row r="9" spans="1:35" s="22" customFormat="1" ht="15">
      <c r="A9" s="170">
        <v>0.06</v>
      </c>
      <c r="B9" s="105">
        <v>0.15</v>
      </c>
      <c r="C9" s="509">
        <v>8.9932367517802873E-3</v>
      </c>
      <c r="D9" s="509">
        <v>1.2669402779523158E-2</v>
      </c>
      <c r="E9" s="509">
        <v>1.5562060609320763E-2</v>
      </c>
      <c r="F9" s="509">
        <v>1.7718960256916196E-2</v>
      </c>
      <c r="G9"/>
      <c r="H9" s="170">
        <v>0.06</v>
      </c>
      <c r="I9" s="105">
        <v>0.15</v>
      </c>
      <c r="J9" s="509">
        <v>8.9932367517802873E-3</v>
      </c>
      <c r="K9" s="509">
        <v>1.2669402779523158E-2</v>
      </c>
      <c r="L9" s="509">
        <v>1.5562060609320763E-2</v>
      </c>
      <c r="M9" s="509">
        <v>1.7718960256916196E-2</v>
      </c>
      <c r="N9" s="149"/>
    </row>
    <row r="10" spans="1:35" s="22" customFormat="1" ht="15">
      <c r="A10" s="170">
        <v>7.0000000000000007E-2</v>
      </c>
      <c r="B10" s="105">
        <v>0.15</v>
      </c>
      <c r="C10" s="509">
        <v>8.9932367517802873E-3</v>
      </c>
      <c r="D10" s="509">
        <v>1.2669402779523158E-2</v>
      </c>
      <c r="E10" s="509">
        <v>1.5562060609320763E-2</v>
      </c>
      <c r="F10" s="509">
        <v>1.7718960256916196E-2</v>
      </c>
      <c r="G10"/>
      <c r="H10" s="170">
        <v>7.0000000000000007E-2</v>
      </c>
      <c r="I10" s="105">
        <v>0.15</v>
      </c>
      <c r="J10" s="509">
        <v>8.9932367517802873E-3</v>
      </c>
      <c r="K10" s="509">
        <v>1.2669402779523158E-2</v>
      </c>
      <c r="L10" s="509">
        <v>1.5562060609320763E-2</v>
      </c>
      <c r="M10" s="509">
        <v>1.7718960256916196E-2</v>
      </c>
      <c r="N10" s="149"/>
    </row>
    <row r="11" spans="1:35" s="22" customFormat="1" ht="15">
      <c r="A11" s="170">
        <v>0.08</v>
      </c>
      <c r="B11" s="105">
        <v>0.15</v>
      </c>
      <c r="C11" s="509">
        <v>8.9932367517802873E-3</v>
      </c>
      <c r="D11" s="509">
        <v>1.2669402779523158E-2</v>
      </c>
      <c r="E11" s="509">
        <v>1.5562060609320763E-2</v>
      </c>
      <c r="F11" s="509">
        <v>1.7718960256916196E-2</v>
      </c>
      <c r="G11"/>
      <c r="H11" s="170">
        <v>0.08</v>
      </c>
      <c r="I11" s="105">
        <v>0.15</v>
      </c>
      <c r="J11" s="509">
        <v>8.9932367517802873E-3</v>
      </c>
      <c r="K11" s="509">
        <v>1.2669402779523158E-2</v>
      </c>
      <c r="L11" s="509">
        <v>1.5562060609320763E-2</v>
      </c>
      <c r="M11" s="509">
        <v>1.7718960256916196E-2</v>
      </c>
      <c r="N11" s="149"/>
    </row>
    <row r="12" spans="1:35" s="22" customFormat="1" ht="15">
      <c r="A12" s="170">
        <v>0.09</v>
      </c>
      <c r="B12" s="105">
        <v>0.15</v>
      </c>
      <c r="C12" s="509">
        <v>8.9932367517802873E-3</v>
      </c>
      <c r="D12" s="509">
        <v>1.2669402779523158E-2</v>
      </c>
      <c r="E12" s="509">
        <v>1.5562060609320763E-2</v>
      </c>
      <c r="F12" s="509">
        <v>1.7718960256916196E-2</v>
      </c>
      <c r="G12"/>
      <c r="H12" s="170">
        <v>0.09</v>
      </c>
      <c r="I12" s="105">
        <v>0.15</v>
      </c>
      <c r="J12" s="509">
        <v>8.9932367517802873E-3</v>
      </c>
      <c r="K12" s="509">
        <v>1.2669402779523158E-2</v>
      </c>
      <c r="L12" s="509">
        <v>1.5562060609320763E-2</v>
      </c>
      <c r="M12" s="509">
        <v>1.7718960256916196E-2</v>
      </c>
      <c r="N12" s="149"/>
    </row>
    <row r="13" spans="1:35" s="22" customFormat="1" ht="15">
      <c r="A13" s="239">
        <v>0.1</v>
      </c>
      <c r="B13" s="105">
        <v>0.15</v>
      </c>
      <c r="C13" s="509">
        <v>8.9932367517802873E-3</v>
      </c>
      <c r="D13" s="509">
        <v>1.2669402779523158E-2</v>
      </c>
      <c r="E13" s="509">
        <v>1.5562060609320763E-2</v>
      </c>
      <c r="F13" s="509">
        <v>1.7718960256916196E-2</v>
      </c>
      <c r="G13"/>
      <c r="H13" s="239">
        <v>0.1</v>
      </c>
      <c r="I13" s="105">
        <v>0.15</v>
      </c>
      <c r="J13" s="509">
        <v>8.9932367517802873E-3</v>
      </c>
      <c r="K13" s="509">
        <v>1.2669402779523158E-2</v>
      </c>
      <c r="L13" s="509">
        <v>1.5562060609320763E-2</v>
      </c>
      <c r="M13" s="509">
        <v>1.7718960256916196E-2</v>
      </c>
      <c r="N13" s="149"/>
    </row>
    <row r="14" spans="1:35" s="22" customFormat="1" ht="15">
      <c r="A14" s="170">
        <v>0.11</v>
      </c>
      <c r="B14" s="105">
        <v>0.15</v>
      </c>
      <c r="C14" s="509">
        <v>8.9932367517802873E-3</v>
      </c>
      <c r="D14" s="509">
        <v>1.2669402779523158E-2</v>
      </c>
      <c r="E14" s="509">
        <v>1.5562060609320763E-2</v>
      </c>
      <c r="F14" s="509">
        <v>1.7718960256916196E-2</v>
      </c>
      <c r="G14"/>
      <c r="H14" s="170">
        <v>0.11</v>
      </c>
      <c r="I14" s="105">
        <v>0.15</v>
      </c>
      <c r="J14" s="509">
        <v>8.9932367517802873E-3</v>
      </c>
      <c r="K14" s="509">
        <v>1.2669402779523158E-2</v>
      </c>
      <c r="L14" s="509">
        <v>1.5562060609320763E-2</v>
      </c>
      <c r="M14" s="509">
        <v>1.7718960256916196E-2</v>
      </c>
      <c r="N14" s="149"/>
    </row>
    <row r="15" spans="1:35" s="22" customFormat="1" ht="15">
      <c r="A15" s="170">
        <v>0.12</v>
      </c>
      <c r="B15" s="105">
        <v>0.15</v>
      </c>
      <c r="C15" s="509">
        <v>8.9932367517802873E-3</v>
      </c>
      <c r="D15" s="509">
        <v>1.2669402779523158E-2</v>
      </c>
      <c r="E15" s="509">
        <v>1.5562060609320763E-2</v>
      </c>
      <c r="F15" s="509">
        <v>1.7718960256916196E-2</v>
      </c>
      <c r="G15"/>
      <c r="H15" s="170">
        <v>0.12</v>
      </c>
      <c r="I15" s="105">
        <v>0.15</v>
      </c>
      <c r="J15" s="509">
        <v>8.9932367517802873E-3</v>
      </c>
      <c r="K15" s="509">
        <v>1.2669402779523158E-2</v>
      </c>
      <c r="L15" s="509">
        <v>1.5562060609320763E-2</v>
      </c>
      <c r="M15" s="509">
        <v>1.7718960256916196E-2</v>
      </c>
      <c r="N15" s="149"/>
    </row>
    <row r="16" spans="1:35" s="22" customFormat="1" ht="15">
      <c r="A16" s="170">
        <v>0.13</v>
      </c>
      <c r="B16" s="105">
        <v>0.15</v>
      </c>
      <c r="C16" s="509">
        <v>8.9932367517802873E-3</v>
      </c>
      <c r="D16" s="509">
        <v>1.2669402779523158E-2</v>
      </c>
      <c r="E16" s="509">
        <v>1.5562060609320763E-2</v>
      </c>
      <c r="F16" s="509">
        <v>1.7718960256916196E-2</v>
      </c>
      <c r="G16"/>
      <c r="H16" s="170">
        <v>0.13</v>
      </c>
      <c r="I16" s="105">
        <v>0.15</v>
      </c>
      <c r="J16" s="509">
        <v>8.9932367517802873E-3</v>
      </c>
      <c r="K16" s="509">
        <v>1.2669402779523158E-2</v>
      </c>
      <c r="L16" s="509">
        <v>1.5562060609320763E-2</v>
      </c>
      <c r="M16" s="509">
        <v>1.7718960256916196E-2</v>
      </c>
      <c r="N16" s="149"/>
    </row>
    <row r="17" spans="1:14" s="22" customFormat="1" ht="15">
      <c r="A17" s="170">
        <v>0.14000000000000001</v>
      </c>
      <c r="B17" s="105">
        <v>0.15</v>
      </c>
      <c r="C17" s="509">
        <v>8.9932367517802873E-3</v>
      </c>
      <c r="D17" s="509">
        <v>1.2669402779523158E-2</v>
      </c>
      <c r="E17" s="509">
        <v>1.5562060609320763E-2</v>
      </c>
      <c r="F17" s="509">
        <v>1.7718960256916196E-2</v>
      </c>
      <c r="G17"/>
      <c r="H17" s="170">
        <v>0.14000000000000001</v>
      </c>
      <c r="I17" s="105">
        <v>0.15</v>
      </c>
      <c r="J17" s="509">
        <v>8.9932367517802873E-3</v>
      </c>
      <c r="K17" s="509">
        <v>1.2669402779523158E-2</v>
      </c>
      <c r="L17" s="509">
        <v>1.5562060609320763E-2</v>
      </c>
      <c r="M17" s="509">
        <v>1.7718960256916196E-2</v>
      </c>
      <c r="N17" s="149"/>
    </row>
    <row r="18" spans="1:14" s="22" customFormat="1" ht="15">
      <c r="A18" s="239">
        <v>0.15</v>
      </c>
      <c r="B18" s="105">
        <v>0.15</v>
      </c>
      <c r="C18" s="509">
        <v>8.9932367517802873E-3</v>
      </c>
      <c r="D18" s="509">
        <v>1.2669402779523158E-2</v>
      </c>
      <c r="E18" s="509">
        <v>1.5562060609320763E-2</v>
      </c>
      <c r="F18" s="509">
        <v>1.7718960256916196E-2</v>
      </c>
      <c r="G18"/>
      <c r="H18" s="239">
        <v>0.15</v>
      </c>
      <c r="I18" s="105">
        <v>0.15</v>
      </c>
      <c r="J18" s="509">
        <v>8.9932367517802873E-3</v>
      </c>
      <c r="K18" s="509">
        <v>1.2669402779523158E-2</v>
      </c>
      <c r="L18" s="509">
        <v>1.5562060609320763E-2</v>
      </c>
      <c r="M18" s="509">
        <v>1.7718960256916196E-2</v>
      </c>
      <c r="N18" s="149"/>
    </row>
    <row r="19" spans="1:14" s="22" customFormat="1" ht="15">
      <c r="A19" s="170">
        <v>0.16</v>
      </c>
      <c r="B19" s="105">
        <v>0.15</v>
      </c>
      <c r="C19" s="509">
        <v>8.9932367517802873E-3</v>
      </c>
      <c r="D19" s="509">
        <v>1.2669402779523158E-2</v>
      </c>
      <c r="E19" s="509">
        <v>1.5562060609320763E-2</v>
      </c>
      <c r="F19" s="509">
        <v>1.7718960256916196E-2</v>
      </c>
      <c r="G19"/>
      <c r="H19" s="170">
        <v>0.16</v>
      </c>
      <c r="I19" s="105">
        <v>0.15</v>
      </c>
      <c r="J19" s="509">
        <v>8.9932367517802873E-3</v>
      </c>
      <c r="K19" s="509">
        <v>1.2669402779523158E-2</v>
      </c>
      <c r="L19" s="509">
        <v>1.5562060609320763E-2</v>
      </c>
      <c r="M19" s="509">
        <v>1.7718960256916196E-2</v>
      </c>
      <c r="N19" s="149"/>
    </row>
    <row r="20" spans="1:14" s="22" customFormat="1" ht="15">
      <c r="A20" s="170">
        <v>0.17</v>
      </c>
      <c r="B20" s="105">
        <v>0.15</v>
      </c>
      <c r="C20" s="509">
        <v>8.9932367517802873E-3</v>
      </c>
      <c r="D20" s="509">
        <v>1.2669402779523158E-2</v>
      </c>
      <c r="E20" s="509">
        <v>1.5562060609320763E-2</v>
      </c>
      <c r="F20" s="509">
        <v>1.7718960256916196E-2</v>
      </c>
      <c r="G20"/>
      <c r="H20" s="170">
        <v>0.17</v>
      </c>
      <c r="I20" s="105">
        <v>0.15</v>
      </c>
      <c r="J20" s="509">
        <v>8.9932367517802873E-3</v>
      </c>
      <c r="K20" s="509">
        <v>1.2669402779523158E-2</v>
      </c>
      <c r="L20" s="509">
        <v>1.5562060609320763E-2</v>
      </c>
      <c r="M20" s="509">
        <v>1.7718960256916196E-2</v>
      </c>
      <c r="N20" s="149"/>
    </row>
    <row r="21" spans="1:14" s="22" customFormat="1" ht="15">
      <c r="A21" s="170">
        <v>0.18</v>
      </c>
      <c r="B21" s="105">
        <v>0.15</v>
      </c>
      <c r="C21" s="509">
        <v>8.9932367517802873E-3</v>
      </c>
      <c r="D21" s="509">
        <v>1.2669402779523158E-2</v>
      </c>
      <c r="E21" s="509">
        <v>1.5562060609320763E-2</v>
      </c>
      <c r="F21" s="509">
        <v>1.7718960256916196E-2</v>
      </c>
      <c r="G21"/>
      <c r="H21" s="170">
        <v>0.18</v>
      </c>
      <c r="I21" s="105">
        <v>0.15</v>
      </c>
      <c r="J21" s="509">
        <v>8.9932367517802873E-3</v>
      </c>
      <c r="K21" s="509">
        <v>1.2669402779523158E-2</v>
      </c>
      <c r="L21" s="509">
        <v>1.5562060609320763E-2</v>
      </c>
      <c r="M21" s="509">
        <v>1.7718960256916196E-2</v>
      </c>
      <c r="N21" s="149"/>
    </row>
    <row r="22" spans="1:14" s="22" customFormat="1" ht="15">
      <c r="A22" s="170">
        <v>0.19</v>
      </c>
      <c r="B22" s="105">
        <v>0.15</v>
      </c>
      <c r="C22" s="509">
        <v>8.9932367517802873E-3</v>
      </c>
      <c r="D22" s="509">
        <v>1.2669402779523158E-2</v>
      </c>
      <c r="E22" s="509">
        <v>1.5562060609320763E-2</v>
      </c>
      <c r="F22" s="509">
        <v>1.7718960256916196E-2</v>
      </c>
      <c r="G22"/>
      <c r="H22" s="170">
        <v>0.19</v>
      </c>
      <c r="I22" s="105">
        <v>0.15</v>
      </c>
      <c r="J22" s="509">
        <v>8.9932367517802873E-3</v>
      </c>
      <c r="K22" s="509">
        <v>1.2669402779523158E-2</v>
      </c>
      <c r="L22" s="509">
        <v>1.5562060609320763E-2</v>
      </c>
      <c r="M22" s="509">
        <v>1.7718960256916196E-2</v>
      </c>
      <c r="N22" s="149"/>
    </row>
    <row r="23" spans="1:14" s="22" customFormat="1" ht="15">
      <c r="A23" s="239">
        <v>0.2</v>
      </c>
      <c r="B23" s="105">
        <v>0.15</v>
      </c>
      <c r="C23" s="509">
        <v>8.9932367517802873E-3</v>
      </c>
      <c r="D23" s="509">
        <v>1.2669402779523158E-2</v>
      </c>
      <c r="E23" s="509">
        <v>1.5562060609320763E-2</v>
      </c>
      <c r="F23" s="509">
        <v>1.7718960256916196E-2</v>
      </c>
      <c r="G23"/>
      <c r="H23" s="239">
        <v>0.2</v>
      </c>
      <c r="I23" s="105">
        <v>0.15</v>
      </c>
      <c r="J23" s="509">
        <v>8.9932367517802873E-3</v>
      </c>
      <c r="K23" s="509">
        <v>1.2669402779523158E-2</v>
      </c>
      <c r="L23" s="509">
        <v>1.5562060609320763E-2</v>
      </c>
      <c r="M23" s="509">
        <v>1.7718960256916196E-2</v>
      </c>
      <c r="N23" s="149"/>
    </row>
    <row r="24" spans="1:14" s="22" customFormat="1" ht="15">
      <c r="A24" s="170">
        <v>0.21</v>
      </c>
      <c r="B24" s="105">
        <v>0.15</v>
      </c>
      <c r="C24" s="509">
        <v>8.9932367517802873E-3</v>
      </c>
      <c r="D24" s="509">
        <v>1.2669402779523158E-2</v>
      </c>
      <c r="E24" s="509">
        <v>1.5562060609320763E-2</v>
      </c>
      <c r="F24" s="509">
        <v>1.7718960256916196E-2</v>
      </c>
      <c r="G24"/>
      <c r="H24" s="170">
        <v>0.21</v>
      </c>
      <c r="I24" s="105">
        <v>0.15</v>
      </c>
      <c r="J24" s="509">
        <v>8.9932367517802873E-3</v>
      </c>
      <c r="K24" s="509">
        <v>1.2669402779523158E-2</v>
      </c>
      <c r="L24" s="509">
        <v>1.5562060609320763E-2</v>
      </c>
      <c r="M24" s="509">
        <v>1.7718960256916196E-2</v>
      </c>
      <c r="N24" s="149"/>
    </row>
    <row r="25" spans="1:14" s="22" customFormat="1" ht="15">
      <c r="A25" s="170">
        <v>0.22</v>
      </c>
      <c r="B25" s="105">
        <v>0.15</v>
      </c>
      <c r="C25" s="509">
        <v>8.9932367517802873E-3</v>
      </c>
      <c r="D25" s="509">
        <v>1.2669402779523158E-2</v>
      </c>
      <c r="E25" s="509">
        <v>1.5562060609320763E-2</v>
      </c>
      <c r="F25" s="509">
        <v>1.7718960256916196E-2</v>
      </c>
      <c r="G25"/>
      <c r="H25" s="170">
        <v>0.22</v>
      </c>
      <c r="I25" s="105">
        <v>0.15</v>
      </c>
      <c r="J25" s="509">
        <v>8.9932367517802873E-3</v>
      </c>
      <c r="K25" s="509">
        <v>1.2669402779523158E-2</v>
      </c>
      <c r="L25" s="509">
        <v>1.5562060609320763E-2</v>
      </c>
      <c r="M25" s="509">
        <v>1.7718960256916196E-2</v>
      </c>
      <c r="N25" s="149"/>
    </row>
    <row r="26" spans="1:14" s="22" customFormat="1" ht="15">
      <c r="A26" s="170">
        <v>0.23</v>
      </c>
      <c r="B26" s="105">
        <v>0.15</v>
      </c>
      <c r="C26" s="509">
        <v>8.9932367517802873E-3</v>
      </c>
      <c r="D26" s="509">
        <v>1.2669402779523158E-2</v>
      </c>
      <c r="E26" s="509">
        <v>1.5562060609320763E-2</v>
      </c>
      <c r="F26" s="509">
        <v>1.7718960256916196E-2</v>
      </c>
      <c r="G26"/>
      <c r="H26" s="170">
        <v>0.23</v>
      </c>
      <c r="I26" s="105">
        <v>0.15</v>
      </c>
      <c r="J26" s="509">
        <v>8.9932367517802873E-3</v>
      </c>
      <c r="K26" s="509">
        <v>1.2669402779523158E-2</v>
      </c>
      <c r="L26" s="509">
        <v>1.5562060609320763E-2</v>
      </c>
      <c r="M26" s="509">
        <v>1.7718960256916196E-2</v>
      </c>
      <c r="N26" s="149"/>
    </row>
    <row r="27" spans="1:14" s="22" customFormat="1" ht="15">
      <c r="A27" s="170">
        <v>0.24</v>
      </c>
      <c r="B27" s="105">
        <v>0.15</v>
      </c>
      <c r="C27" s="509">
        <v>8.9932367517802873E-3</v>
      </c>
      <c r="D27" s="509">
        <v>1.2669402779523158E-2</v>
      </c>
      <c r="E27" s="509">
        <v>1.5562060609320763E-2</v>
      </c>
      <c r="F27" s="509">
        <v>1.7718960256916196E-2</v>
      </c>
      <c r="G27"/>
      <c r="H27" s="170">
        <v>0.24</v>
      </c>
      <c r="I27" s="105">
        <v>0.15</v>
      </c>
      <c r="J27" s="509">
        <v>8.9932367517802873E-3</v>
      </c>
      <c r="K27" s="509">
        <v>1.2669402779523158E-2</v>
      </c>
      <c r="L27" s="509">
        <v>1.5562060609320763E-2</v>
      </c>
      <c r="M27" s="509">
        <v>1.7718960256916196E-2</v>
      </c>
      <c r="N27" s="149"/>
    </row>
    <row r="28" spans="1:14" s="22" customFormat="1" ht="15">
      <c r="A28" s="239">
        <v>0.25</v>
      </c>
      <c r="B28" s="105">
        <v>0.15</v>
      </c>
      <c r="C28" s="509">
        <v>8.9932367517802873E-3</v>
      </c>
      <c r="D28" s="509">
        <v>1.2669402779523158E-2</v>
      </c>
      <c r="E28" s="509">
        <v>1.5562060609320763E-2</v>
      </c>
      <c r="F28" s="509">
        <v>1.7718960256916196E-2</v>
      </c>
      <c r="G28"/>
      <c r="H28" s="239">
        <v>0.25</v>
      </c>
      <c r="I28" s="105">
        <v>0.15</v>
      </c>
      <c r="J28" s="509">
        <v>8.9932367517802873E-3</v>
      </c>
      <c r="K28" s="509">
        <v>1.2669402779523158E-2</v>
      </c>
      <c r="L28" s="509">
        <v>1.5562060609320763E-2</v>
      </c>
      <c r="M28" s="509">
        <v>1.7718960256916196E-2</v>
      </c>
      <c r="N28" s="149"/>
    </row>
    <row r="29" spans="1:14" s="22" customFormat="1" ht="15">
      <c r="A29" s="170">
        <v>0.26</v>
      </c>
      <c r="B29" s="105">
        <v>0.15</v>
      </c>
      <c r="C29" s="509">
        <v>8.9932367517802873E-3</v>
      </c>
      <c r="D29" s="509">
        <v>1.2669402779523158E-2</v>
      </c>
      <c r="E29" s="509">
        <v>1.5562060609320763E-2</v>
      </c>
      <c r="F29" s="509">
        <v>1.7718960256916196E-2</v>
      </c>
      <c r="G29"/>
      <c r="H29" s="170">
        <v>0.26</v>
      </c>
      <c r="I29" s="105">
        <v>0.15</v>
      </c>
      <c r="J29" s="509">
        <v>8.9932367517802873E-3</v>
      </c>
      <c r="K29" s="509">
        <v>1.2669402779523158E-2</v>
      </c>
      <c r="L29" s="509">
        <v>1.5562060609320763E-2</v>
      </c>
      <c r="M29" s="509">
        <v>1.7718960256916196E-2</v>
      </c>
      <c r="N29" s="149"/>
    </row>
    <row r="30" spans="1:14" s="22" customFormat="1" ht="15">
      <c r="A30" s="170">
        <v>0.27</v>
      </c>
      <c r="B30" s="105">
        <v>0.15</v>
      </c>
      <c r="C30" s="509">
        <v>8.9932367517802873E-3</v>
      </c>
      <c r="D30" s="509">
        <v>1.2669402779523158E-2</v>
      </c>
      <c r="E30" s="509">
        <v>1.5562060609320763E-2</v>
      </c>
      <c r="F30" s="509">
        <v>1.7718960256916196E-2</v>
      </c>
      <c r="G30"/>
      <c r="H30" s="170">
        <v>0.27</v>
      </c>
      <c r="I30" s="105">
        <v>0.15</v>
      </c>
      <c r="J30" s="509">
        <v>8.9932367517802873E-3</v>
      </c>
      <c r="K30" s="509">
        <v>1.2669402779523158E-2</v>
      </c>
      <c r="L30" s="509">
        <v>1.5562060609320763E-2</v>
      </c>
      <c r="M30" s="509">
        <v>1.7718960256916196E-2</v>
      </c>
      <c r="N30" s="149"/>
    </row>
    <row r="31" spans="1:14" s="22" customFormat="1" ht="15">
      <c r="A31" s="170">
        <v>0.28000000000000003</v>
      </c>
      <c r="B31" s="105">
        <v>0.15</v>
      </c>
      <c r="C31" s="509">
        <v>8.9932367517802873E-3</v>
      </c>
      <c r="D31" s="509">
        <v>1.2669402779523158E-2</v>
      </c>
      <c r="E31" s="509">
        <v>1.5562060609320763E-2</v>
      </c>
      <c r="F31" s="509">
        <v>1.7718960256916196E-2</v>
      </c>
      <c r="G31"/>
      <c r="H31" s="170">
        <v>0.28000000000000003</v>
      </c>
      <c r="I31" s="105">
        <v>0.15</v>
      </c>
      <c r="J31" s="509">
        <v>8.9932367517802873E-3</v>
      </c>
      <c r="K31" s="509">
        <v>1.2669402779523158E-2</v>
      </c>
      <c r="L31" s="509">
        <v>1.5562060609320763E-2</v>
      </c>
      <c r="M31" s="509">
        <v>1.7718960256916196E-2</v>
      </c>
      <c r="N31" s="149"/>
    </row>
    <row r="32" spans="1:14" s="22" customFormat="1" ht="15">
      <c r="A32" s="170">
        <v>0.28999999999999998</v>
      </c>
      <c r="B32" s="105">
        <v>0.15</v>
      </c>
      <c r="C32" s="509">
        <v>8.9932367517802873E-3</v>
      </c>
      <c r="D32" s="509">
        <v>1.2669402779523158E-2</v>
      </c>
      <c r="E32" s="509">
        <v>1.5562060609320763E-2</v>
      </c>
      <c r="F32" s="509">
        <v>1.7718960256916196E-2</v>
      </c>
      <c r="G32"/>
      <c r="H32" s="170">
        <v>0.28999999999999998</v>
      </c>
      <c r="I32" s="105">
        <v>0.15</v>
      </c>
      <c r="J32" s="509">
        <v>8.9932367517802873E-3</v>
      </c>
      <c r="K32" s="509">
        <v>1.2669402779523158E-2</v>
      </c>
      <c r="L32" s="509">
        <v>1.5562060609320763E-2</v>
      </c>
      <c r="M32" s="509">
        <v>1.7718960256916196E-2</v>
      </c>
      <c r="N32" s="149"/>
    </row>
    <row r="33" spans="1:14" s="22" customFormat="1" ht="15">
      <c r="A33" s="239">
        <v>0.3</v>
      </c>
      <c r="B33" s="105">
        <v>0.15</v>
      </c>
      <c r="C33" s="509">
        <v>8.9932367517802873E-3</v>
      </c>
      <c r="D33" s="509">
        <v>1.2669402779523158E-2</v>
      </c>
      <c r="E33" s="509">
        <v>1.5562060609320763E-2</v>
      </c>
      <c r="F33" s="509">
        <v>1.7718960256916196E-2</v>
      </c>
      <c r="G33"/>
      <c r="H33" s="239">
        <v>0.3</v>
      </c>
      <c r="I33" s="105">
        <v>0.15</v>
      </c>
      <c r="J33" s="509">
        <v>8.9932367517802873E-3</v>
      </c>
      <c r="K33" s="509">
        <v>1.2669402779523158E-2</v>
      </c>
      <c r="L33" s="509">
        <v>1.5562060609320763E-2</v>
      </c>
      <c r="M33" s="509">
        <v>1.7718960256916196E-2</v>
      </c>
      <c r="N33" s="149"/>
    </row>
    <row r="34" spans="1:14" s="22" customFormat="1" ht="15">
      <c r="A34" s="170">
        <v>0.31</v>
      </c>
      <c r="B34" s="105">
        <v>0.15</v>
      </c>
      <c r="C34" s="509">
        <v>8.9932367517802873E-3</v>
      </c>
      <c r="D34" s="509">
        <v>1.2669402779523158E-2</v>
      </c>
      <c r="E34" s="509">
        <v>1.5562060609320763E-2</v>
      </c>
      <c r="F34" s="509">
        <v>1.7718960256916196E-2</v>
      </c>
      <c r="G34"/>
      <c r="H34" s="170">
        <v>0.31</v>
      </c>
      <c r="I34" s="105">
        <v>0.15</v>
      </c>
      <c r="J34" s="509">
        <v>8.9932367517802873E-3</v>
      </c>
      <c r="K34" s="509">
        <v>1.2669402779523158E-2</v>
      </c>
      <c r="L34" s="509">
        <v>1.5562060609320763E-2</v>
      </c>
      <c r="M34" s="509">
        <v>1.7718960256916196E-2</v>
      </c>
      <c r="N34" s="149"/>
    </row>
    <row r="35" spans="1:14" s="22" customFormat="1" ht="15">
      <c r="A35" s="170">
        <v>0.32</v>
      </c>
      <c r="B35" s="105">
        <v>0.15</v>
      </c>
      <c r="C35" s="509">
        <v>8.9932367517802873E-3</v>
      </c>
      <c r="D35" s="509">
        <v>1.2669402779523158E-2</v>
      </c>
      <c r="E35" s="509">
        <v>1.5562060609320763E-2</v>
      </c>
      <c r="F35" s="509">
        <v>1.7718960256916196E-2</v>
      </c>
      <c r="G35"/>
      <c r="H35" s="170">
        <v>0.32</v>
      </c>
      <c r="I35" s="105">
        <v>0.15</v>
      </c>
      <c r="J35" s="509">
        <v>8.9932367517802873E-3</v>
      </c>
      <c r="K35" s="509">
        <v>1.2669402779523158E-2</v>
      </c>
      <c r="L35" s="509">
        <v>1.5562060609320763E-2</v>
      </c>
      <c r="M35" s="509">
        <v>1.7718960256916196E-2</v>
      </c>
      <c r="N35" s="149"/>
    </row>
    <row r="36" spans="1:14" s="22" customFormat="1" ht="15">
      <c r="A36" s="170">
        <v>0.33</v>
      </c>
      <c r="B36" s="105">
        <v>0.15</v>
      </c>
      <c r="C36" s="509">
        <v>8.9932367517802873E-3</v>
      </c>
      <c r="D36" s="509">
        <v>1.2669402779523158E-2</v>
      </c>
      <c r="E36" s="509">
        <v>1.5562060609320763E-2</v>
      </c>
      <c r="F36" s="509">
        <v>1.7718960256916196E-2</v>
      </c>
      <c r="G36"/>
      <c r="H36" s="170">
        <v>0.33</v>
      </c>
      <c r="I36" s="105">
        <v>0.15</v>
      </c>
      <c r="J36" s="509">
        <v>8.9932367517802873E-3</v>
      </c>
      <c r="K36" s="509">
        <v>1.2669402779523158E-2</v>
      </c>
      <c r="L36" s="509">
        <v>1.5562060609320763E-2</v>
      </c>
      <c r="M36" s="509">
        <v>1.7718960256916196E-2</v>
      </c>
      <c r="N36" s="149"/>
    </row>
    <row r="37" spans="1:14" s="22" customFormat="1" ht="15">
      <c r="A37" s="170">
        <v>0.34</v>
      </c>
      <c r="B37" s="105">
        <v>0.15</v>
      </c>
      <c r="C37" s="509">
        <v>8.9932367517802873E-3</v>
      </c>
      <c r="D37" s="509">
        <v>1.2669402779523158E-2</v>
      </c>
      <c r="E37" s="509">
        <v>1.5562060609320763E-2</v>
      </c>
      <c r="F37" s="509">
        <v>1.7718960256916196E-2</v>
      </c>
      <c r="G37"/>
      <c r="H37" s="170">
        <v>0.34</v>
      </c>
      <c r="I37" s="105">
        <v>0.15</v>
      </c>
      <c r="J37" s="509">
        <v>8.9932367517802873E-3</v>
      </c>
      <c r="K37" s="509">
        <v>1.2669402779523158E-2</v>
      </c>
      <c r="L37" s="509">
        <v>1.5562060609320763E-2</v>
      </c>
      <c r="M37" s="509">
        <v>1.7718960256916196E-2</v>
      </c>
      <c r="N37" s="149"/>
    </row>
    <row r="38" spans="1:14" s="22" customFormat="1" ht="15">
      <c r="A38" s="239">
        <v>0.35</v>
      </c>
      <c r="B38" s="105">
        <v>0.15</v>
      </c>
      <c r="C38" s="509">
        <v>8.9932367517802873E-3</v>
      </c>
      <c r="D38" s="509">
        <v>1.2669402779523158E-2</v>
      </c>
      <c r="E38" s="509">
        <v>1.5562060609320763E-2</v>
      </c>
      <c r="F38" s="509">
        <v>1.7718960256916196E-2</v>
      </c>
      <c r="G38"/>
      <c r="H38" s="239">
        <v>0.35</v>
      </c>
      <c r="I38" s="105">
        <v>0.15</v>
      </c>
      <c r="J38" s="509">
        <v>8.9932367517802873E-3</v>
      </c>
      <c r="K38" s="509">
        <v>1.2669402779523158E-2</v>
      </c>
      <c r="L38" s="509">
        <v>1.5562060609320763E-2</v>
      </c>
      <c r="M38" s="509">
        <v>1.7718960256916196E-2</v>
      </c>
      <c r="N38" s="149"/>
    </row>
    <row r="39" spans="1:14" s="22" customFormat="1" ht="15">
      <c r="A39" s="170">
        <v>0.36</v>
      </c>
      <c r="B39" s="105">
        <v>0.15</v>
      </c>
      <c r="C39" s="509">
        <v>8.9932367517802873E-3</v>
      </c>
      <c r="D39" s="509">
        <v>1.2669402779523158E-2</v>
      </c>
      <c r="E39" s="509">
        <v>1.5562060609320763E-2</v>
      </c>
      <c r="F39" s="509">
        <v>1.7718960256916196E-2</v>
      </c>
      <c r="G39"/>
      <c r="H39" s="170">
        <v>0.36</v>
      </c>
      <c r="I39" s="105">
        <v>0.15</v>
      </c>
      <c r="J39" s="509">
        <v>8.9932367517802873E-3</v>
      </c>
      <c r="K39" s="509">
        <v>1.2669402779523158E-2</v>
      </c>
      <c r="L39" s="509">
        <v>1.5562060609320763E-2</v>
      </c>
      <c r="M39" s="509">
        <v>1.7718960256916196E-2</v>
      </c>
      <c r="N39" s="149"/>
    </row>
    <row r="40" spans="1:14" s="22" customFormat="1" ht="15">
      <c r="A40" s="170">
        <v>0.37</v>
      </c>
      <c r="B40" s="105">
        <v>0.15</v>
      </c>
      <c r="C40" s="509">
        <v>8.9932367517802873E-3</v>
      </c>
      <c r="D40" s="509">
        <v>1.2669402779523158E-2</v>
      </c>
      <c r="E40" s="509">
        <v>1.5562060609320763E-2</v>
      </c>
      <c r="F40" s="509">
        <v>1.7718960256916196E-2</v>
      </c>
      <c r="G40"/>
      <c r="H40" s="170">
        <v>0.37</v>
      </c>
      <c r="I40" s="105">
        <v>0.15</v>
      </c>
      <c r="J40" s="509">
        <v>8.9932367517802873E-3</v>
      </c>
      <c r="K40" s="509">
        <v>1.2669402779523158E-2</v>
      </c>
      <c r="L40" s="509">
        <v>1.5562060609320763E-2</v>
      </c>
      <c r="M40" s="509">
        <v>1.7718960256916196E-2</v>
      </c>
      <c r="N40" s="149"/>
    </row>
    <row r="41" spans="1:14" s="22" customFormat="1" ht="15">
      <c r="A41" s="170">
        <v>0.38</v>
      </c>
      <c r="B41" s="105">
        <v>0.15</v>
      </c>
      <c r="C41" s="509">
        <v>8.9932367517802873E-3</v>
      </c>
      <c r="D41" s="509">
        <v>1.2669402779523158E-2</v>
      </c>
      <c r="E41" s="509">
        <v>1.5562060609320763E-2</v>
      </c>
      <c r="F41" s="509">
        <v>1.7718960256916196E-2</v>
      </c>
      <c r="G41"/>
      <c r="H41" s="170">
        <v>0.38</v>
      </c>
      <c r="I41" s="105">
        <v>0.15</v>
      </c>
      <c r="J41" s="509">
        <v>8.9932367517802873E-3</v>
      </c>
      <c r="K41" s="509">
        <v>1.2669402779523158E-2</v>
      </c>
      <c r="L41" s="509">
        <v>1.5562060609320763E-2</v>
      </c>
      <c r="M41" s="509">
        <v>1.7718960256916196E-2</v>
      </c>
      <c r="N41" s="149"/>
    </row>
    <row r="42" spans="1:14" s="22" customFormat="1" ht="15">
      <c r="A42" s="170">
        <v>0.39</v>
      </c>
      <c r="B42" s="105">
        <v>0.15</v>
      </c>
      <c r="C42" s="509">
        <v>8.9932367517802873E-3</v>
      </c>
      <c r="D42" s="509">
        <v>1.2669402779523158E-2</v>
      </c>
      <c r="E42" s="509">
        <v>1.5562060609320763E-2</v>
      </c>
      <c r="F42" s="509">
        <v>1.7718960256916196E-2</v>
      </c>
      <c r="G42"/>
      <c r="H42" s="170">
        <v>0.39</v>
      </c>
      <c r="I42" s="105">
        <v>0.15</v>
      </c>
      <c r="J42" s="509">
        <v>8.9932367517802873E-3</v>
      </c>
      <c r="K42" s="509">
        <v>1.2669402779523158E-2</v>
      </c>
      <c r="L42" s="509">
        <v>1.5562060609320763E-2</v>
      </c>
      <c r="M42" s="509">
        <v>1.7718960256916196E-2</v>
      </c>
      <c r="N42" s="149"/>
    </row>
    <row r="43" spans="1:14" s="22" customFormat="1" ht="15">
      <c r="A43" s="239">
        <v>0.4</v>
      </c>
      <c r="B43" s="105">
        <v>0.15</v>
      </c>
      <c r="C43" s="509">
        <v>8.9932367517802873E-3</v>
      </c>
      <c r="D43" s="509">
        <v>1.2669402779523158E-2</v>
      </c>
      <c r="E43" s="509">
        <v>1.5562060609320763E-2</v>
      </c>
      <c r="F43" s="509">
        <v>1.7718960256916196E-2</v>
      </c>
      <c r="G43"/>
      <c r="H43" s="239">
        <v>0.4</v>
      </c>
      <c r="I43" s="105">
        <v>0.15</v>
      </c>
      <c r="J43" s="509">
        <v>8.9932367517802873E-3</v>
      </c>
      <c r="K43" s="509">
        <v>1.2669402779523158E-2</v>
      </c>
      <c r="L43" s="509">
        <v>1.5562060609320763E-2</v>
      </c>
      <c r="M43" s="509">
        <v>1.7718960256916196E-2</v>
      </c>
      <c r="N43" s="149"/>
    </row>
    <row r="44" spans="1:14" s="22" customFormat="1" ht="15">
      <c r="A44" s="170">
        <v>0.41</v>
      </c>
      <c r="B44" s="105">
        <v>0.15</v>
      </c>
      <c r="C44" s="509">
        <v>8.9932367517802873E-3</v>
      </c>
      <c r="D44" s="509">
        <v>1.2669402779523158E-2</v>
      </c>
      <c r="E44" s="509">
        <v>1.5562060609320763E-2</v>
      </c>
      <c r="F44" s="509">
        <v>1.7718960256916196E-2</v>
      </c>
      <c r="G44"/>
      <c r="H44" s="170">
        <v>0.41</v>
      </c>
      <c r="I44" s="105">
        <v>0.15</v>
      </c>
      <c r="J44" s="509">
        <v>8.9932367517802873E-3</v>
      </c>
      <c r="K44" s="509">
        <v>1.2669402779523158E-2</v>
      </c>
      <c r="L44" s="509">
        <v>1.5562060609320763E-2</v>
      </c>
      <c r="M44" s="509">
        <v>1.7718960256916196E-2</v>
      </c>
      <c r="N44" s="149"/>
    </row>
    <row r="45" spans="1:14" s="22" customFormat="1" ht="15">
      <c r="A45" s="170">
        <v>0.42</v>
      </c>
      <c r="B45" s="105">
        <v>0.15</v>
      </c>
      <c r="C45" s="509">
        <v>8.9932367517802873E-3</v>
      </c>
      <c r="D45" s="509">
        <v>1.2669402779523158E-2</v>
      </c>
      <c r="E45" s="509">
        <v>1.5562060609320763E-2</v>
      </c>
      <c r="F45" s="509">
        <v>1.7718960256916196E-2</v>
      </c>
      <c r="G45"/>
      <c r="H45" s="170">
        <v>0.42</v>
      </c>
      <c r="I45" s="105">
        <v>0.15</v>
      </c>
      <c r="J45" s="509">
        <v>8.9932367517802873E-3</v>
      </c>
      <c r="K45" s="509">
        <v>1.2669402779523158E-2</v>
      </c>
      <c r="L45" s="509">
        <v>1.5562060609320763E-2</v>
      </c>
      <c r="M45" s="509">
        <v>1.7718960256916196E-2</v>
      </c>
      <c r="N45" s="149"/>
    </row>
    <row r="46" spans="1:14" s="22" customFormat="1" ht="15">
      <c r="A46" s="170">
        <v>0.43</v>
      </c>
      <c r="B46" s="105">
        <v>0.15</v>
      </c>
      <c r="C46" s="509">
        <v>8.9932367517802873E-3</v>
      </c>
      <c r="D46" s="509">
        <v>1.2669402779523158E-2</v>
      </c>
      <c r="E46" s="509">
        <v>1.5562060609320763E-2</v>
      </c>
      <c r="F46" s="509">
        <v>1.7718960256916196E-2</v>
      </c>
      <c r="G46"/>
      <c r="H46" s="170">
        <v>0.43</v>
      </c>
      <c r="I46" s="105">
        <v>0.15</v>
      </c>
      <c r="J46" s="509">
        <v>8.9932367517802873E-3</v>
      </c>
      <c r="K46" s="509">
        <v>1.2669402779523158E-2</v>
      </c>
      <c r="L46" s="509">
        <v>1.5562060609320763E-2</v>
      </c>
      <c r="M46" s="509">
        <v>1.7718960256916196E-2</v>
      </c>
      <c r="N46" s="149"/>
    </row>
    <row r="47" spans="1:14" s="22" customFormat="1" ht="15">
      <c r="A47" s="170">
        <v>0.44</v>
      </c>
      <c r="B47" s="105">
        <v>0.15</v>
      </c>
      <c r="C47" s="509">
        <v>8.9932367517802873E-3</v>
      </c>
      <c r="D47" s="509">
        <v>1.2669402779523158E-2</v>
      </c>
      <c r="E47" s="509">
        <v>1.5562060609320763E-2</v>
      </c>
      <c r="F47" s="509">
        <v>1.7718960256916196E-2</v>
      </c>
      <c r="G47"/>
      <c r="H47" s="170">
        <v>0.44</v>
      </c>
      <c r="I47" s="105">
        <v>0.15</v>
      </c>
      <c r="J47" s="509">
        <v>8.9932367517802873E-3</v>
      </c>
      <c r="K47" s="509">
        <v>1.2669402779523158E-2</v>
      </c>
      <c r="L47" s="509">
        <v>1.5562060609320763E-2</v>
      </c>
      <c r="M47" s="509">
        <v>1.7718960256916196E-2</v>
      </c>
      <c r="N47" s="149"/>
    </row>
    <row r="48" spans="1:14" s="22" customFormat="1" ht="15">
      <c r="A48" s="239">
        <v>0.45</v>
      </c>
      <c r="B48" s="105">
        <v>0.15</v>
      </c>
      <c r="C48" s="509">
        <v>8.9932367517802873E-3</v>
      </c>
      <c r="D48" s="509">
        <v>1.2669402779523158E-2</v>
      </c>
      <c r="E48" s="509">
        <v>1.5562060609320763E-2</v>
      </c>
      <c r="F48" s="509">
        <v>1.7718960256916196E-2</v>
      </c>
      <c r="G48"/>
      <c r="H48" s="239">
        <v>0.45</v>
      </c>
      <c r="I48" s="105">
        <v>0.15</v>
      </c>
      <c r="J48" s="509">
        <v>8.9932367517802873E-3</v>
      </c>
      <c r="K48" s="509">
        <v>1.2669402779523158E-2</v>
      </c>
      <c r="L48" s="509">
        <v>1.5562060609320763E-2</v>
      </c>
      <c r="M48" s="509">
        <v>1.7718960256916196E-2</v>
      </c>
      <c r="N48" s="149"/>
    </row>
    <row r="49" spans="1:14" s="22" customFormat="1" ht="15">
      <c r="A49" s="170">
        <v>0.46</v>
      </c>
      <c r="B49" s="105">
        <v>0.15</v>
      </c>
      <c r="C49" s="509">
        <v>8.9932367517802873E-3</v>
      </c>
      <c r="D49" s="509">
        <v>1.2669402779523158E-2</v>
      </c>
      <c r="E49" s="509">
        <v>1.5562060609320763E-2</v>
      </c>
      <c r="F49" s="509">
        <v>1.7718960256916196E-2</v>
      </c>
      <c r="G49"/>
      <c r="H49" s="170">
        <v>0.46</v>
      </c>
      <c r="I49" s="105">
        <v>0.15</v>
      </c>
      <c r="J49" s="509">
        <v>8.9932367517802873E-3</v>
      </c>
      <c r="K49" s="509">
        <v>1.2669402779523158E-2</v>
      </c>
      <c r="L49" s="509">
        <v>1.5562060609320763E-2</v>
      </c>
      <c r="M49" s="509">
        <v>1.7718960256916196E-2</v>
      </c>
      <c r="N49" s="149"/>
    </row>
    <row r="50" spans="1:14" s="22" customFormat="1" ht="15">
      <c r="A50" s="170">
        <v>0.47</v>
      </c>
      <c r="B50" s="105">
        <v>0.15</v>
      </c>
      <c r="C50" s="509">
        <v>8.9932367517802873E-3</v>
      </c>
      <c r="D50" s="509">
        <v>1.2669402779523158E-2</v>
      </c>
      <c r="E50" s="509">
        <v>1.5562060609320763E-2</v>
      </c>
      <c r="F50" s="509">
        <v>1.7718960256916196E-2</v>
      </c>
      <c r="G50"/>
      <c r="H50" s="170">
        <v>0.47</v>
      </c>
      <c r="I50" s="105">
        <v>0.15</v>
      </c>
      <c r="J50" s="509">
        <v>8.9932367517802873E-3</v>
      </c>
      <c r="K50" s="509">
        <v>1.2669402779523158E-2</v>
      </c>
      <c r="L50" s="509">
        <v>1.5562060609320763E-2</v>
      </c>
      <c r="M50" s="509">
        <v>1.7718960256916196E-2</v>
      </c>
      <c r="N50" s="149"/>
    </row>
    <row r="51" spans="1:14" s="22" customFormat="1" ht="15">
      <c r="A51" s="170">
        <v>0.48</v>
      </c>
      <c r="B51" s="105">
        <v>0.15</v>
      </c>
      <c r="C51" s="509">
        <v>8.9932367517802873E-3</v>
      </c>
      <c r="D51" s="509">
        <v>1.2669402779523158E-2</v>
      </c>
      <c r="E51" s="509">
        <v>1.5562060609320763E-2</v>
      </c>
      <c r="F51" s="509">
        <v>1.7718960256916196E-2</v>
      </c>
      <c r="G51"/>
      <c r="H51" s="170">
        <v>0.48</v>
      </c>
      <c r="I51" s="105">
        <v>0.15</v>
      </c>
      <c r="J51" s="509">
        <v>8.9932367517802873E-3</v>
      </c>
      <c r="K51" s="509">
        <v>1.2669402779523158E-2</v>
      </c>
      <c r="L51" s="509">
        <v>1.5562060609320763E-2</v>
      </c>
      <c r="M51" s="509">
        <v>1.7718960256916196E-2</v>
      </c>
      <c r="N51" s="149"/>
    </row>
    <row r="52" spans="1:14" s="22" customFormat="1" ht="15">
      <c r="A52" s="170">
        <v>0.49</v>
      </c>
      <c r="B52" s="105">
        <v>0.15</v>
      </c>
      <c r="C52" s="509">
        <v>8.9932367517802873E-3</v>
      </c>
      <c r="D52" s="509">
        <v>1.2669402779523158E-2</v>
      </c>
      <c r="E52" s="509">
        <v>1.5562060609320763E-2</v>
      </c>
      <c r="F52" s="509">
        <v>1.7718960256916196E-2</v>
      </c>
      <c r="G52"/>
      <c r="H52" s="170">
        <v>0.49</v>
      </c>
      <c r="I52" s="105">
        <v>0.15</v>
      </c>
      <c r="J52" s="509">
        <v>8.9932367517802873E-3</v>
      </c>
      <c r="K52" s="509">
        <v>1.2669402779523158E-2</v>
      </c>
      <c r="L52" s="509">
        <v>1.5562060609320763E-2</v>
      </c>
      <c r="M52" s="509">
        <v>1.7718960256916196E-2</v>
      </c>
      <c r="N52" s="149"/>
    </row>
    <row r="53" spans="1:14" s="22" customFormat="1" ht="15">
      <c r="A53" s="241">
        <v>0.5</v>
      </c>
      <c r="B53" s="237">
        <v>0.15</v>
      </c>
      <c r="C53" s="510">
        <v>8.9932367517802873E-3</v>
      </c>
      <c r="D53" s="510">
        <v>1.2669402779523158E-2</v>
      </c>
      <c r="E53" s="510">
        <v>1.5562060609320763E-2</v>
      </c>
      <c r="F53" s="510">
        <v>1.7718960256916196E-2</v>
      </c>
      <c r="G53"/>
      <c r="H53" s="241">
        <v>0.5</v>
      </c>
      <c r="I53" s="237">
        <v>0.15</v>
      </c>
      <c r="J53" s="510">
        <v>8.9932367517802873E-3</v>
      </c>
      <c r="K53" s="510">
        <v>1.2669402779523158E-2</v>
      </c>
      <c r="L53" s="510">
        <v>1.5562060609320763E-2</v>
      </c>
      <c r="M53" s="510">
        <v>1.7718960256916196E-2</v>
      </c>
      <c r="N53" s="149"/>
    </row>
    <row r="54" spans="1:14" s="22" customFormat="1" ht="15">
      <c r="A54" s="241">
        <v>0.51</v>
      </c>
      <c r="B54" s="237">
        <v>0.2</v>
      </c>
      <c r="C54" s="511">
        <v>1.0096976054719244E-2</v>
      </c>
      <c r="D54" s="511">
        <v>1.4213872961745975E-2</v>
      </c>
      <c r="E54" s="511">
        <v>1.7454697710733394E-2</v>
      </c>
      <c r="F54" s="511">
        <v>1.9862020841030992E-2</v>
      </c>
      <c r="G54"/>
      <c r="H54" s="241">
        <v>0.51</v>
      </c>
      <c r="I54" s="237">
        <v>0.2</v>
      </c>
      <c r="J54" s="511">
        <v>1.0096976054719244E-2</v>
      </c>
      <c r="K54" s="511">
        <v>1.4213872961745975E-2</v>
      </c>
      <c r="L54" s="511">
        <v>1.7454697710733394E-2</v>
      </c>
      <c r="M54" s="511">
        <v>1.9862020841030992E-2</v>
      </c>
      <c r="N54" s="149"/>
    </row>
    <row r="55" spans="1:14" s="22" customFormat="1" ht="15">
      <c r="A55" s="170">
        <v>0.52</v>
      </c>
      <c r="B55" s="105">
        <v>0.2</v>
      </c>
      <c r="C55" s="512">
        <v>1.0096976054719244E-2</v>
      </c>
      <c r="D55" s="512">
        <v>1.4213872961745975E-2</v>
      </c>
      <c r="E55" s="512">
        <v>1.7454697710733394E-2</v>
      </c>
      <c r="F55" s="512">
        <v>1.9862020841030992E-2</v>
      </c>
      <c r="G55"/>
      <c r="H55" s="170">
        <v>0.52</v>
      </c>
      <c r="I55" s="105">
        <v>0.2</v>
      </c>
      <c r="J55" s="512">
        <v>1.0096976054719244E-2</v>
      </c>
      <c r="K55" s="512">
        <v>1.4213872961745975E-2</v>
      </c>
      <c r="L55" s="512">
        <v>1.7454697710733394E-2</v>
      </c>
      <c r="M55" s="512">
        <v>1.9862020841030992E-2</v>
      </c>
      <c r="N55" s="149"/>
    </row>
    <row r="56" spans="1:14" s="22" customFormat="1" ht="15">
      <c r="A56" s="170">
        <v>0.53</v>
      </c>
      <c r="B56" s="105">
        <v>0.2</v>
      </c>
      <c r="C56" s="512">
        <v>1.0096976054719244E-2</v>
      </c>
      <c r="D56" s="512">
        <v>1.4213872961745975E-2</v>
      </c>
      <c r="E56" s="512">
        <v>1.7454697710733394E-2</v>
      </c>
      <c r="F56" s="512">
        <v>1.9862020841030992E-2</v>
      </c>
      <c r="G56"/>
      <c r="H56" s="170">
        <v>0.53</v>
      </c>
      <c r="I56" s="105">
        <v>0.2</v>
      </c>
      <c r="J56" s="512">
        <v>1.0096976054719244E-2</v>
      </c>
      <c r="K56" s="512">
        <v>1.4213872961745975E-2</v>
      </c>
      <c r="L56" s="512">
        <v>1.7454697710733394E-2</v>
      </c>
      <c r="M56" s="512">
        <v>1.9862020841030992E-2</v>
      </c>
      <c r="N56" s="149"/>
    </row>
    <row r="57" spans="1:14" s="22" customFormat="1" ht="15">
      <c r="A57" s="170">
        <v>0.54</v>
      </c>
      <c r="B57" s="105">
        <v>0.2</v>
      </c>
      <c r="C57" s="512">
        <v>1.0096976054719244E-2</v>
      </c>
      <c r="D57" s="512">
        <v>1.4213872961745975E-2</v>
      </c>
      <c r="E57" s="512">
        <v>1.7454697710733394E-2</v>
      </c>
      <c r="F57" s="512">
        <v>1.9862020841030992E-2</v>
      </c>
      <c r="G57"/>
      <c r="H57" s="170">
        <v>0.54</v>
      </c>
      <c r="I57" s="105">
        <v>0.2</v>
      </c>
      <c r="J57" s="512">
        <v>1.0096976054719244E-2</v>
      </c>
      <c r="K57" s="512">
        <v>1.4213872961745975E-2</v>
      </c>
      <c r="L57" s="512">
        <v>1.7454697710733394E-2</v>
      </c>
      <c r="M57" s="512">
        <v>1.9862020841030992E-2</v>
      </c>
      <c r="N57" s="149"/>
    </row>
    <row r="58" spans="1:14" s="22" customFormat="1" ht="15">
      <c r="A58" s="170">
        <v>0.55000000000000004</v>
      </c>
      <c r="B58" s="105">
        <v>0.2</v>
      </c>
      <c r="C58" s="512">
        <v>1.0096976054719244E-2</v>
      </c>
      <c r="D58" s="512">
        <v>1.4213872961745975E-2</v>
      </c>
      <c r="E58" s="512">
        <v>1.7454697710733394E-2</v>
      </c>
      <c r="F58" s="512">
        <v>1.9862020841030992E-2</v>
      </c>
      <c r="G58"/>
      <c r="H58" s="170">
        <v>0.55000000000000004</v>
      </c>
      <c r="I58" s="105">
        <v>0.2</v>
      </c>
      <c r="J58" s="512">
        <v>1.0096976054719244E-2</v>
      </c>
      <c r="K58" s="512">
        <v>1.4213872961745975E-2</v>
      </c>
      <c r="L58" s="512">
        <v>1.7454697710733394E-2</v>
      </c>
      <c r="M58" s="512">
        <v>1.9862020841030992E-2</v>
      </c>
      <c r="N58" s="149"/>
    </row>
    <row r="59" spans="1:14" s="22" customFormat="1" ht="15">
      <c r="A59" s="170">
        <v>0.56000000000000005</v>
      </c>
      <c r="B59" s="105">
        <v>0.2</v>
      </c>
      <c r="C59" s="512">
        <v>1.0096976054719244E-2</v>
      </c>
      <c r="D59" s="512">
        <v>1.4213872961745975E-2</v>
      </c>
      <c r="E59" s="512">
        <v>1.7454697710733394E-2</v>
      </c>
      <c r="F59" s="512">
        <v>1.9862020841030992E-2</v>
      </c>
      <c r="G59"/>
      <c r="H59" s="170">
        <v>0.56000000000000005</v>
      </c>
      <c r="I59" s="105">
        <v>0.2</v>
      </c>
      <c r="J59" s="512">
        <v>1.0096976054719244E-2</v>
      </c>
      <c r="K59" s="512">
        <v>1.4213872961745975E-2</v>
      </c>
      <c r="L59" s="512">
        <v>1.7454697710733394E-2</v>
      </c>
      <c r="M59" s="512">
        <v>1.9862020841030992E-2</v>
      </c>
      <c r="N59" s="149"/>
    </row>
    <row r="60" spans="1:14" s="22" customFormat="1" ht="15">
      <c r="A60" s="170">
        <v>0.56999999999999995</v>
      </c>
      <c r="B60" s="105">
        <v>0.2</v>
      </c>
      <c r="C60" s="512">
        <v>1.0096976054719244E-2</v>
      </c>
      <c r="D60" s="512">
        <v>1.4213872961745975E-2</v>
      </c>
      <c r="E60" s="512">
        <v>1.7454697710733394E-2</v>
      </c>
      <c r="F60" s="512">
        <v>1.9862020841030992E-2</v>
      </c>
      <c r="G60"/>
      <c r="H60" s="170">
        <v>0.56999999999999995</v>
      </c>
      <c r="I60" s="105">
        <v>0.2</v>
      </c>
      <c r="J60" s="512">
        <v>1.0096976054719244E-2</v>
      </c>
      <c r="K60" s="512">
        <v>1.4213872961745975E-2</v>
      </c>
      <c r="L60" s="512">
        <v>1.7454697710733394E-2</v>
      </c>
      <c r="M60" s="512">
        <v>1.9862020841030992E-2</v>
      </c>
      <c r="N60" s="149"/>
    </row>
    <row r="61" spans="1:14" s="22" customFormat="1" ht="15">
      <c r="A61" s="170">
        <v>0.57999999999999996</v>
      </c>
      <c r="B61" s="105">
        <v>0.2</v>
      </c>
      <c r="C61" s="512">
        <v>1.0096976054719244E-2</v>
      </c>
      <c r="D61" s="512">
        <v>1.4213872961745975E-2</v>
      </c>
      <c r="E61" s="512">
        <v>1.7454697710733394E-2</v>
      </c>
      <c r="F61" s="512">
        <v>1.9862020841030992E-2</v>
      </c>
      <c r="G61"/>
      <c r="H61" s="170">
        <v>0.57999999999999996</v>
      </c>
      <c r="I61" s="105">
        <v>0.2</v>
      </c>
      <c r="J61" s="512">
        <v>1.0096976054719244E-2</v>
      </c>
      <c r="K61" s="512">
        <v>1.4213872961745975E-2</v>
      </c>
      <c r="L61" s="512">
        <v>1.7454697710733394E-2</v>
      </c>
      <c r="M61" s="512">
        <v>1.9862020841030992E-2</v>
      </c>
      <c r="N61" s="149"/>
    </row>
    <row r="62" spans="1:14" s="22" customFormat="1" ht="15">
      <c r="A62" s="170">
        <v>0.59</v>
      </c>
      <c r="B62" s="105">
        <v>0.2</v>
      </c>
      <c r="C62" s="512">
        <v>1.0096976054719244E-2</v>
      </c>
      <c r="D62" s="512">
        <v>1.4213872961745975E-2</v>
      </c>
      <c r="E62" s="512">
        <v>1.7454697710733394E-2</v>
      </c>
      <c r="F62" s="512">
        <v>1.9862020841030992E-2</v>
      </c>
      <c r="G62"/>
      <c r="H62" s="170">
        <v>0.59</v>
      </c>
      <c r="I62" s="105">
        <v>0.2</v>
      </c>
      <c r="J62" s="512">
        <v>1.0096976054719244E-2</v>
      </c>
      <c r="K62" s="512">
        <v>1.4213872961745975E-2</v>
      </c>
      <c r="L62" s="512">
        <v>1.7454697710733394E-2</v>
      </c>
      <c r="M62" s="512">
        <v>1.9862020841030992E-2</v>
      </c>
      <c r="N62" s="149"/>
    </row>
    <row r="63" spans="1:14" s="22" customFormat="1" ht="15">
      <c r="A63" s="170">
        <v>0.6</v>
      </c>
      <c r="B63" s="105">
        <v>0.2</v>
      </c>
      <c r="C63" s="512">
        <v>1.0096976054719244E-2</v>
      </c>
      <c r="D63" s="512">
        <v>1.4213872961745975E-2</v>
      </c>
      <c r="E63" s="512">
        <v>1.7454697710733394E-2</v>
      </c>
      <c r="F63" s="512">
        <v>1.9862020841030992E-2</v>
      </c>
      <c r="G63"/>
      <c r="H63" s="170">
        <v>0.6</v>
      </c>
      <c r="I63" s="105">
        <v>0.2</v>
      </c>
      <c r="J63" s="512">
        <v>1.0096976054719244E-2</v>
      </c>
      <c r="K63" s="512">
        <v>1.4213872961745975E-2</v>
      </c>
      <c r="L63" s="512">
        <v>1.7454697710733394E-2</v>
      </c>
      <c r="M63" s="512">
        <v>1.9862020841030992E-2</v>
      </c>
      <c r="N63" s="149"/>
    </row>
    <row r="64" spans="1:14" s="22" customFormat="1" ht="15">
      <c r="A64" s="170">
        <v>0.61</v>
      </c>
      <c r="B64" s="105">
        <v>0.2</v>
      </c>
      <c r="C64" s="512">
        <v>1.0096976054719244E-2</v>
      </c>
      <c r="D64" s="512">
        <v>1.4213872961745975E-2</v>
      </c>
      <c r="E64" s="512">
        <v>1.7454697710733394E-2</v>
      </c>
      <c r="F64" s="512">
        <v>1.9862020841030992E-2</v>
      </c>
      <c r="G64"/>
      <c r="H64" s="170">
        <v>0.61</v>
      </c>
      <c r="I64" s="105">
        <v>0.2</v>
      </c>
      <c r="J64" s="512">
        <v>1.0096976054719244E-2</v>
      </c>
      <c r="K64" s="512">
        <v>1.4213872961745975E-2</v>
      </c>
      <c r="L64" s="512">
        <v>1.7454697710733394E-2</v>
      </c>
      <c r="M64" s="512">
        <v>1.9862020841030992E-2</v>
      </c>
      <c r="N64" s="149"/>
    </row>
    <row r="65" spans="1:14" s="22" customFormat="1" ht="15">
      <c r="A65" s="170">
        <v>0.62</v>
      </c>
      <c r="B65" s="105">
        <v>0.2</v>
      </c>
      <c r="C65" s="512">
        <v>1.0096976054719244E-2</v>
      </c>
      <c r="D65" s="512">
        <v>1.4213872961745975E-2</v>
      </c>
      <c r="E65" s="512">
        <v>1.7454697710733394E-2</v>
      </c>
      <c r="F65" s="512">
        <v>1.9862020841030992E-2</v>
      </c>
      <c r="G65"/>
      <c r="H65" s="170">
        <v>0.62</v>
      </c>
      <c r="I65" s="105">
        <v>0.2</v>
      </c>
      <c r="J65" s="512">
        <v>1.0096976054719244E-2</v>
      </c>
      <c r="K65" s="512">
        <v>1.4213872961745975E-2</v>
      </c>
      <c r="L65" s="512">
        <v>1.7454697710733394E-2</v>
      </c>
      <c r="M65" s="512">
        <v>1.9862020841030992E-2</v>
      </c>
      <c r="N65" s="149"/>
    </row>
    <row r="66" spans="1:14" s="22" customFormat="1" ht="15">
      <c r="A66" s="170">
        <v>0.63</v>
      </c>
      <c r="B66" s="105">
        <v>0.2</v>
      </c>
      <c r="C66" s="512">
        <v>1.0096976054719244E-2</v>
      </c>
      <c r="D66" s="512">
        <v>1.4213872961745975E-2</v>
      </c>
      <c r="E66" s="512">
        <v>1.7454697710733394E-2</v>
      </c>
      <c r="F66" s="512">
        <v>1.9862020841030992E-2</v>
      </c>
      <c r="G66"/>
      <c r="H66" s="170">
        <v>0.63</v>
      </c>
      <c r="I66" s="105">
        <v>0.2</v>
      </c>
      <c r="J66" s="512">
        <v>1.0096976054719244E-2</v>
      </c>
      <c r="K66" s="512">
        <v>1.4213872961745975E-2</v>
      </c>
      <c r="L66" s="512">
        <v>1.7454697710733394E-2</v>
      </c>
      <c r="M66" s="512">
        <v>1.9862020841030992E-2</v>
      </c>
      <c r="N66" s="149"/>
    </row>
    <row r="67" spans="1:14" s="22" customFormat="1" ht="15">
      <c r="A67" s="170">
        <v>0.64</v>
      </c>
      <c r="B67" s="105">
        <v>0.2</v>
      </c>
      <c r="C67" s="512">
        <v>1.0096976054719244E-2</v>
      </c>
      <c r="D67" s="512">
        <v>1.4213872961745975E-2</v>
      </c>
      <c r="E67" s="512">
        <v>1.7454697710733394E-2</v>
      </c>
      <c r="F67" s="512">
        <v>1.9862020841030992E-2</v>
      </c>
      <c r="G67"/>
      <c r="H67" s="170">
        <v>0.64</v>
      </c>
      <c r="I67" s="105">
        <v>0.2</v>
      </c>
      <c r="J67" s="512">
        <v>1.0096976054719244E-2</v>
      </c>
      <c r="K67" s="512">
        <v>1.4213872961745975E-2</v>
      </c>
      <c r="L67" s="512">
        <v>1.7454697710733394E-2</v>
      </c>
      <c r="M67" s="512">
        <v>1.9862020841030992E-2</v>
      </c>
      <c r="N67" s="149"/>
    </row>
    <row r="68" spans="1:14" s="22" customFormat="1" ht="15">
      <c r="A68" s="170">
        <v>0.65</v>
      </c>
      <c r="B68" s="105">
        <v>0.2</v>
      </c>
      <c r="C68" s="512">
        <v>1.0096976054719244E-2</v>
      </c>
      <c r="D68" s="512">
        <v>1.4213872961745975E-2</v>
      </c>
      <c r="E68" s="512">
        <v>1.7454697710733394E-2</v>
      </c>
      <c r="F68" s="512">
        <v>1.9862020841030992E-2</v>
      </c>
      <c r="G68"/>
      <c r="H68" s="170">
        <v>0.65</v>
      </c>
      <c r="I68" s="105">
        <v>0.2</v>
      </c>
      <c r="J68" s="512">
        <v>1.0096976054719244E-2</v>
      </c>
      <c r="K68" s="512">
        <v>1.4213872961745975E-2</v>
      </c>
      <c r="L68" s="512">
        <v>1.7454697710733394E-2</v>
      </c>
      <c r="M68" s="512">
        <v>1.9862020841030992E-2</v>
      </c>
      <c r="N68" s="149"/>
    </row>
    <row r="69" spans="1:14" s="22" customFormat="1" ht="15">
      <c r="A69" s="170">
        <v>0.66</v>
      </c>
      <c r="B69" s="105">
        <v>0.2</v>
      </c>
      <c r="C69" s="512">
        <v>1.0096976054719244E-2</v>
      </c>
      <c r="D69" s="512">
        <v>1.4213872961745975E-2</v>
      </c>
      <c r="E69" s="512">
        <v>1.7454697710733394E-2</v>
      </c>
      <c r="F69" s="512">
        <v>1.9862020841030992E-2</v>
      </c>
      <c r="G69"/>
      <c r="H69" s="170">
        <v>0.66</v>
      </c>
      <c r="I69" s="105">
        <v>0.2</v>
      </c>
      <c r="J69" s="512">
        <v>1.0096976054719244E-2</v>
      </c>
      <c r="K69" s="512">
        <v>1.4213872961745975E-2</v>
      </c>
      <c r="L69" s="512">
        <v>1.7454697710733394E-2</v>
      </c>
      <c r="M69" s="512">
        <v>1.9862020841030992E-2</v>
      </c>
      <c r="N69" s="149"/>
    </row>
    <row r="70" spans="1:14" s="22" customFormat="1" ht="15">
      <c r="A70" s="170">
        <v>0.67</v>
      </c>
      <c r="B70" s="105">
        <v>0.2</v>
      </c>
      <c r="C70" s="512">
        <v>1.0096976054719244E-2</v>
      </c>
      <c r="D70" s="512">
        <v>1.4213872961745975E-2</v>
      </c>
      <c r="E70" s="512">
        <v>1.7454697710733394E-2</v>
      </c>
      <c r="F70" s="512">
        <v>1.9862020841030992E-2</v>
      </c>
      <c r="G70"/>
      <c r="H70" s="170">
        <v>0.67</v>
      </c>
      <c r="I70" s="105">
        <v>0.2</v>
      </c>
      <c r="J70" s="512">
        <v>1.0096976054719244E-2</v>
      </c>
      <c r="K70" s="512">
        <v>1.4213872961745975E-2</v>
      </c>
      <c r="L70" s="512">
        <v>1.7454697710733394E-2</v>
      </c>
      <c r="M70" s="512">
        <v>1.9862020841030992E-2</v>
      </c>
      <c r="N70" s="149"/>
    </row>
    <row r="71" spans="1:14" s="22" customFormat="1" ht="15">
      <c r="A71" s="170">
        <v>0.68</v>
      </c>
      <c r="B71" s="105">
        <v>0.2</v>
      </c>
      <c r="C71" s="512">
        <v>1.0096976054719244E-2</v>
      </c>
      <c r="D71" s="512">
        <v>1.4213872961745975E-2</v>
      </c>
      <c r="E71" s="512">
        <v>1.7454697710733394E-2</v>
      </c>
      <c r="F71" s="512">
        <v>1.9862020841030992E-2</v>
      </c>
      <c r="G71"/>
      <c r="H71" s="170">
        <v>0.68</v>
      </c>
      <c r="I71" s="105">
        <v>0.2</v>
      </c>
      <c r="J71" s="512">
        <v>1.0096976054719244E-2</v>
      </c>
      <c r="K71" s="512">
        <v>1.4213872961745975E-2</v>
      </c>
      <c r="L71" s="512">
        <v>1.7454697710733394E-2</v>
      </c>
      <c r="M71" s="512">
        <v>1.9862020841030992E-2</v>
      </c>
      <c r="N71" s="149"/>
    </row>
    <row r="72" spans="1:14" s="22" customFormat="1" ht="15">
      <c r="A72" s="170">
        <v>0.69</v>
      </c>
      <c r="B72" s="105">
        <v>0.2</v>
      </c>
      <c r="C72" s="512">
        <v>1.0096976054719244E-2</v>
      </c>
      <c r="D72" s="512">
        <v>1.4213872961745975E-2</v>
      </c>
      <c r="E72" s="512">
        <v>1.7454697710733394E-2</v>
      </c>
      <c r="F72" s="512">
        <v>1.9862020841030992E-2</v>
      </c>
      <c r="G72"/>
      <c r="H72" s="170">
        <v>0.69</v>
      </c>
      <c r="I72" s="105">
        <v>0.2</v>
      </c>
      <c r="J72" s="512">
        <v>1.0096976054719244E-2</v>
      </c>
      <c r="K72" s="512">
        <v>1.4213872961745975E-2</v>
      </c>
      <c r="L72" s="512">
        <v>1.7454697710733394E-2</v>
      </c>
      <c r="M72" s="512">
        <v>1.9862020841030992E-2</v>
      </c>
      <c r="N72" s="149"/>
    </row>
    <row r="73" spans="1:14" ht="15">
      <c r="A73" s="240">
        <v>0.7</v>
      </c>
      <c r="B73" s="105">
        <v>0.2</v>
      </c>
      <c r="C73" s="512">
        <v>1.0096976054719244E-2</v>
      </c>
      <c r="D73" s="512">
        <v>1.4213872961745975E-2</v>
      </c>
      <c r="E73" s="512">
        <v>1.7454697710733394E-2</v>
      </c>
      <c r="F73" s="512">
        <v>1.9862020841030992E-2</v>
      </c>
      <c r="H73" s="240">
        <v>0.7</v>
      </c>
      <c r="I73" s="105">
        <v>0.2</v>
      </c>
      <c r="J73" s="512">
        <v>1.0096976054719244E-2</v>
      </c>
      <c r="K73" s="512">
        <v>1.4213872961745975E-2</v>
      </c>
      <c r="L73" s="512">
        <v>1.7454697710733394E-2</v>
      </c>
      <c r="M73" s="512">
        <v>1.9862020841030992E-2</v>
      </c>
      <c r="N73" s="106"/>
    </row>
    <row r="74" spans="1:14" ht="15">
      <c r="A74" s="242">
        <v>0.71</v>
      </c>
      <c r="B74" s="237">
        <v>0.25</v>
      </c>
      <c r="C74" s="510">
        <v>1.1201259324284169E-2</v>
      </c>
      <c r="D74" s="510">
        <v>1.5759237425297362E-2</v>
      </c>
      <c r="E74" s="510">
        <v>1.93484240356104E-2</v>
      </c>
      <c r="F74" s="510">
        <v>2.2006180788107912E-2</v>
      </c>
      <c r="H74" s="242">
        <v>0.71</v>
      </c>
      <c r="I74" s="237">
        <v>0.25</v>
      </c>
      <c r="J74" s="510">
        <v>1.1201259324284169E-2</v>
      </c>
      <c r="K74" s="510">
        <v>1.5759237425297362E-2</v>
      </c>
      <c r="L74" s="510">
        <v>1.93484240356104E-2</v>
      </c>
      <c r="M74" s="510">
        <v>2.2006180788107912E-2</v>
      </c>
      <c r="N74" s="106"/>
    </row>
    <row r="75" spans="1:14" ht="15">
      <c r="A75" s="150">
        <v>0.72</v>
      </c>
      <c r="B75" s="105">
        <v>0.25</v>
      </c>
      <c r="C75" s="509">
        <v>1.1201259324284169E-2</v>
      </c>
      <c r="D75" s="509">
        <v>1.5759237425297362E-2</v>
      </c>
      <c r="E75" s="509">
        <v>1.93484240356104E-2</v>
      </c>
      <c r="F75" s="509">
        <v>2.2006180788107912E-2</v>
      </c>
      <c r="H75" s="150">
        <v>0.72</v>
      </c>
      <c r="I75" s="105">
        <v>0.25</v>
      </c>
      <c r="J75" s="509">
        <v>1.1201259324284169E-2</v>
      </c>
      <c r="K75" s="509">
        <v>1.5759237425297362E-2</v>
      </c>
      <c r="L75" s="509">
        <v>1.93484240356104E-2</v>
      </c>
      <c r="M75" s="509">
        <v>2.2006180788107912E-2</v>
      </c>
      <c r="N75" s="106"/>
    </row>
    <row r="76" spans="1:14" ht="15">
      <c r="A76" s="150">
        <v>0.73</v>
      </c>
      <c r="B76" s="105">
        <v>0.25</v>
      </c>
      <c r="C76" s="509">
        <v>1.1201259324284169E-2</v>
      </c>
      <c r="D76" s="509">
        <v>1.5759237425297362E-2</v>
      </c>
      <c r="E76" s="509">
        <v>1.93484240356104E-2</v>
      </c>
      <c r="F76" s="509">
        <v>2.2006180788107912E-2</v>
      </c>
      <c r="H76" s="150">
        <v>0.73</v>
      </c>
      <c r="I76" s="105">
        <v>0.25</v>
      </c>
      <c r="J76" s="509">
        <v>1.1201259324284169E-2</v>
      </c>
      <c r="K76" s="509">
        <v>1.5759237425297362E-2</v>
      </c>
      <c r="L76" s="509">
        <v>1.93484240356104E-2</v>
      </c>
      <c r="M76" s="509">
        <v>2.2006180788107912E-2</v>
      </c>
      <c r="N76" s="106"/>
    </row>
    <row r="77" spans="1:14" ht="15">
      <c r="A77" s="150">
        <v>0.74</v>
      </c>
      <c r="B77" s="105">
        <v>0.25</v>
      </c>
      <c r="C77" s="509">
        <v>1.1201259324284169E-2</v>
      </c>
      <c r="D77" s="509">
        <v>1.5759237425297362E-2</v>
      </c>
      <c r="E77" s="509">
        <v>1.93484240356104E-2</v>
      </c>
      <c r="F77" s="509">
        <v>2.2006180788107912E-2</v>
      </c>
      <c r="H77" s="150">
        <v>0.74</v>
      </c>
      <c r="I77" s="105">
        <v>0.25</v>
      </c>
      <c r="J77" s="509">
        <v>1.1201259324284169E-2</v>
      </c>
      <c r="K77" s="509">
        <v>1.5759237425297362E-2</v>
      </c>
      <c r="L77" s="509">
        <v>1.93484240356104E-2</v>
      </c>
      <c r="M77" s="509">
        <v>2.2006180788107912E-2</v>
      </c>
      <c r="N77" s="106"/>
    </row>
    <row r="78" spans="1:14" ht="15">
      <c r="A78" s="150">
        <v>0.75</v>
      </c>
      <c r="B78" s="105">
        <v>0.25</v>
      </c>
      <c r="C78" s="509">
        <v>1.1201259324284169E-2</v>
      </c>
      <c r="D78" s="509">
        <v>1.5759237425297362E-2</v>
      </c>
      <c r="E78" s="509">
        <v>1.93484240356104E-2</v>
      </c>
      <c r="F78" s="509">
        <v>2.2006180788107912E-2</v>
      </c>
      <c r="H78" s="150">
        <v>0.75</v>
      </c>
      <c r="I78" s="105">
        <v>0.25</v>
      </c>
      <c r="J78" s="509">
        <v>1.1201259324284169E-2</v>
      </c>
      <c r="K78" s="509">
        <v>1.5759237425297362E-2</v>
      </c>
      <c r="L78" s="509">
        <v>1.93484240356104E-2</v>
      </c>
      <c r="M78" s="509">
        <v>2.2006180788107912E-2</v>
      </c>
      <c r="N78" s="106"/>
    </row>
    <row r="79" spans="1:14" ht="15">
      <c r="A79" s="150">
        <v>0.76</v>
      </c>
      <c r="B79" s="105">
        <v>0.25</v>
      </c>
      <c r="C79" s="509">
        <v>1.1201259324284169E-2</v>
      </c>
      <c r="D79" s="509">
        <v>1.5759237425297362E-2</v>
      </c>
      <c r="E79" s="509">
        <v>1.93484240356104E-2</v>
      </c>
      <c r="F79" s="509">
        <v>2.2006180788107912E-2</v>
      </c>
      <c r="H79" s="150">
        <v>0.76</v>
      </c>
      <c r="I79" s="105">
        <v>0.25</v>
      </c>
      <c r="J79" s="509">
        <v>1.1201259324284169E-2</v>
      </c>
      <c r="K79" s="509">
        <v>1.5759237425297362E-2</v>
      </c>
      <c r="L79" s="509">
        <v>1.93484240356104E-2</v>
      </c>
      <c r="M79" s="509">
        <v>2.2006180788107912E-2</v>
      </c>
      <c r="N79" s="106"/>
    </row>
    <row r="80" spans="1:14" ht="15">
      <c r="A80" s="150">
        <v>0.77</v>
      </c>
      <c r="B80" s="105">
        <v>0.25</v>
      </c>
      <c r="C80" s="509">
        <v>1.1201259324284169E-2</v>
      </c>
      <c r="D80" s="509">
        <v>1.5759237425297362E-2</v>
      </c>
      <c r="E80" s="509">
        <v>1.93484240356104E-2</v>
      </c>
      <c r="F80" s="509">
        <v>2.2006180788107912E-2</v>
      </c>
      <c r="H80" s="150">
        <v>0.77</v>
      </c>
      <c r="I80" s="105">
        <v>0.25</v>
      </c>
      <c r="J80" s="509">
        <v>1.1201259324284169E-2</v>
      </c>
      <c r="K80" s="509">
        <v>1.5759237425297362E-2</v>
      </c>
      <c r="L80" s="509">
        <v>1.93484240356104E-2</v>
      </c>
      <c r="M80" s="509">
        <v>2.2006180788107912E-2</v>
      </c>
      <c r="N80" s="106"/>
    </row>
    <row r="81" spans="1:14" ht="15">
      <c r="A81" s="150">
        <v>0.78</v>
      </c>
      <c r="B81" s="105">
        <v>0.25</v>
      </c>
      <c r="C81" s="509">
        <v>1.1201259324284169E-2</v>
      </c>
      <c r="D81" s="509">
        <v>1.5759237425297362E-2</v>
      </c>
      <c r="E81" s="509">
        <v>1.93484240356104E-2</v>
      </c>
      <c r="F81" s="509">
        <v>2.2006180788107912E-2</v>
      </c>
      <c r="H81" s="150">
        <v>0.78</v>
      </c>
      <c r="I81" s="105">
        <v>0.25</v>
      </c>
      <c r="J81" s="509">
        <v>1.1201259324284169E-2</v>
      </c>
      <c r="K81" s="509">
        <v>1.5759237425297362E-2</v>
      </c>
      <c r="L81" s="509">
        <v>1.93484240356104E-2</v>
      </c>
      <c r="M81" s="509">
        <v>2.2006180788107912E-2</v>
      </c>
      <c r="N81" s="106"/>
    </row>
    <row r="82" spans="1:14" ht="15">
      <c r="A82" s="150">
        <v>0.79</v>
      </c>
      <c r="B82" s="105">
        <v>0.25</v>
      </c>
      <c r="C82" s="509">
        <v>1.1201259324284169E-2</v>
      </c>
      <c r="D82" s="509">
        <v>1.5759237425297362E-2</v>
      </c>
      <c r="E82" s="509">
        <v>1.93484240356104E-2</v>
      </c>
      <c r="F82" s="509">
        <v>2.2006180788107912E-2</v>
      </c>
      <c r="H82" s="150">
        <v>0.79</v>
      </c>
      <c r="I82" s="105">
        <v>0.25</v>
      </c>
      <c r="J82" s="509">
        <v>1.1201259324284169E-2</v>
      </c>
      <c r="K82" s="509">
        <v>1.5759237425297362E-2</v>
      </c>
      <c r="L82" s="509">
        <v>1.93484240356104E-2</v>
      </c>
      <c r="M82" s="509">
        <v>2.2006180788107912E-2</v>
      </c>
      <c r="N82" s="106"/>
    </row>
    <row r="83" spans="1:14" ht="15">
      <c r="A83" s="243">
        <v>0.8</v>
      </c>
      <c r="B83" s="237">
        <v>0.25</v>
      </c>
      <c r="C83" s="510">
        <v>1.2535374844751758E-2</v>
      </c>
      <c r="D83" s="510">
        <v>1.7575418330504879E-2</v>
      </c>
      <c r="E83" s="510">
        <v>2.1547475809848855E-2</v>
      </c>
      <c r="F83" s="510">
        <v>2.43987815869867E-2</v>
      </c>
      <c r="H83" s="243">
        <v>0.8</v>
      </c>
      <c r="I83" s="237">
        <v>0.25</v>
      </c>
      <c r="J83" s="510">
        <v>1.2535374844751758E-2</v>
      </c>
      <c r="K83" s="510">
        <v>1.7575418330504879E-2</v>
      </c>
      <c r="L83" s="510">
        <v>2.1547475809848855E-2</v>
      </c>
      <c r="M83" s="510">
        <v>2.43987815869867E-2</v>
      </c>
      <c r="N83" s="106"/>
    </row>
    <row r="84" spans="1:14" s="21" customFormat="1" ht="15">
      <c r="A84" s="244">
        <v>0.81</v>
      </c>
      <c r="B84" s="513">
        <v>0.3</v>
      </c>
      <c r="C84" s="511">
        <v>1.3907796541485678E-2</v>
      </c>
      <c r="D84" s="511">
        <v>1.9493504209361853E-2</v>
      </c>
      <c r="E84" s="511">
        <v>2.3895904192247186E-2</v>
      </c>
      <c r="F84" s="511">
        <v>2.7041167277367363E-2</v>
      </c>
      <c r="G84"/>
      <c r="H84" s="244">
        <v>0.81</v>
      </c>
      <c r="I84" s="513">
        <v>0.3</v>
      </c>
      <c r="J84" s="511">
        <v>1.3907796541485678E-2</v>
      </c>
      <c r="K84" s="511">
        <v>1.9493504209361853E-2</v>
      </c>
      <c r="L84" s="511">
        <v>2.3895904192247186E-2</v>
      </c>
      <c r="M84" s="511">
        <v>2.7041167277367363E-2</v>
      </c>
      <c r="N84" s="136"/>
    </row>
    <row r="85" spans="1:14" s="21" customFormat="1" ht="15">
      <c r="A85" s="151">
        <v>0.82</v>
      </c>
      <c r="B85" s="105">
        <v>0.3</v>
      </c>
      <c r="C85" s="512">
        <v>1.3907796541485678E-2</v>
      </c>
      <c r="D85" s="512">
        <v>1.9493504209361853E-2</v>
      </c>
      <c r="E85" s="512">
        <v>2.3895904192247186E-2</v>
      </c>
      <c r="F85" s="512">
        <v>2.7041167277367363E-2</v>
      </c>
      <c r="G85"/>
      <c r="H85" s="151">
        <v>0.82</v>
      </c>
      <c r="I85" s="105">
        <v>0.3</v>
      </c>
      <c r="J85" s="512">
        <v>1.3907796541485678E-2</v>
      </c>
      <c r="K85" s="512">
        <v>1.9493504209361853E-2</v>
      </c>
      <c r="L85" s="512">
        <v>2.3895904192247186E-2</v>
      </c>
      <c r="M85" s="512">
        <v>2.7041167277367363E-2</v>
      </c>
      <c r="N85" s="136"/>
    </row>
    <row r="86" spans="1:14" s="21" customFormat="1" ht="15">
      <c r="A86" s="151">
        <v>0.83</v>
      </c>
      <c r="B86" s="105">
        <v>0.3</v>
      </c>
      <c r="C86" s="512">
        <v>1.3907796541485678E-2</v>
      </c>
      <c r="D86" s="512">
        <v>1.9493504209361853E-2</v>
      </c>
      <c r="E86" s="512">
        <v>2.3895904192247186E-2</v>
      </c>
      <c r="F86" s="512">
        <v>2.7041167277367363E-2</v>
      </c>
      <c r="G86"/>
      <c r="H86" s="151">
        <v>0.83</v>
      </c>
      <c r="I86" s="105">
        <v>0.3</v>
      </c>
      <c r="J86" s="512">
        <v>1.3907796541485678E-2</v>
      </c>
      <c r="K86" s="512">
        <v>1.9493504209361853E-2</v>
      </c>
      <c r="L86" s="512">
        <v>2.3895904192247186E-2</v>
      </c>
      <c r="M86" s="512">
        <v>2.7041167277367363E-2</v>
      </c>
      <c r="N86" s="136"/>
    </row>
    <row r="87" spans="1:14" s="21" customFormat="1" ht="15">
      <c r="A87" s="151">
        <v>0.84</v>
      </c>
      <c r="B87" s="105">
        <v>0.3</v>
      </c>
      <c r="C87" s="512">
        <v>1.3907796541485678E-2</v>
      </c>
      <c r="D87" s="512">
        <v>1.9493504209361853E-2</v>
      </c>
      <c r="E87" s="512">
        <v>2.3895904192247186E-2</v>
      </c>
      <c r="F87" s="512">
        <v>2.7041167277367363E-2</v>
      </c>
      <c r="G87"/>
      <c r="H87" s="151">
        <v>0.84</v>
      </c>
      <c r="I87" s="105">
        <v>0.3</v>
      </c>
      <c r="J87" s="512">
        <v>1.3907796541485678E-2</v>
      </c>
      <c r="K87" s="512">
        <v>1.9493504209361853E-2</v>
      </c>
      <c r="L87" s="512">
        <v>2.3895904192247186E-2</v>
      </c>
      <c r="M87" s="512">
        <v>2.7041167277367363E-2</v>
      </c>
      <c r="N87" s="136"/>
    </row>
    <row r="88" spans="1:14" s="21" customFormat="1" ht="15">
      <c r="A88" s="151">
        <v>0.85</v>
      </c>
      <c r="B88" s="105">
        <v>0.3</v>
      </c>
      <c r="C88" s="512">
        <v>1.3907796541485678E-2</v>
      </c>
      <c r="D88" s="512">
        <v>1.9493504209361853E-2</v>
      </c>
      <c r="E88" s="512">
        <v>2.3895904192247186E-2</v>
      </c>
      <c r="F88" s="512">
        <v>2.7041167277367363E-2</v>
      </c>
      <c r="G88"/>
      <c r="H88" s="151">
        <v>0.85</v>
      </c>
      <c r="I88" s="105">
        <v>0.3</v>
      </c>
      <c r="J88" s="512">
        <v>1.3907796541485678E-2</v>
      </c>
      <c r="K88" s="512">
        <v>1.9493504209361853E-2</v>
      </c>
      <c r="L88" s="512">
        <v>2.3895904192247186E-2</v>
      </c>
      <c r="M88" s="512">
        <v>2.7041167277367363E-2</v>
      </c>
      <c r="N88" s="136"/>
    </row>
    <row r="89" spans="1:14" s="21" customFormat="1" ht="15">
      <c r="A89" s="151">
        <v>0.86</v>
      </c>
      <c r="B89" s="105">
        <v>0.3</v>
      </c>
      <c r="C89" s="512">
        <v>1.3907796541485678E-2</v>
      </c>
      <c r="D89" s="512">
        <v>1.9493504209361853E-2</v>
      </c>
      <c r="E89" s="512">
        <v>2.3895904192247186E-2</v>
      </c>
      <c r="F89" s="512">
        <v>2.7041167277367363E-2</v>
      </c>
      <c r="G89"/>
      <c r="H89" s="151">
        <v>0.86</v>
      </c>
      <c r="I89" s="105">
        <v>0.3</v>
      </c>
      <c r="J89" s="512">
        <v>1.3907796541485678E-2</v>
      </c>
      <c r="K89" s="512">
        <v>1.9493504209361853E-2</v>
      </c>
      <c r="L89" s="512">
        <v>2.3895904192247186E-2</v>
      </c>
      <c r="M89" s="512">
        <v>2.7041167277367363E-2</v>
      </c>
      <c r="N89" s="136"/>
    </row>
    <row r="90" spans="1:14" s="21" customFormat="1" ht="15">
      <c r="A90" s="171">
        <v>0.87</v>
      </c>
      <c r="B90" s="105">
        <v>0.3</v>
      </c>
      <c r="C90" s="512">
        <v>1.3907796541485678E-2</v>
      </c>
      <c r="D90" s="512">
        <v>1.9493504209361853E-2</v>
      </c>
      <c r="E90" s="512">
        <v>2.3895904192247186E-2</v>
      </c>
      <c r="F90" s="512">
        <v>2.7041167277367363E-2</v>
      </c>
      <c r="G90"/>
      <c r="H90" s="171">
        <v>0.87</v>
      </c>
      <c r="I90" s="105">
        <v>0.3</v>
      </c>
      <c r="J90" s="512">
        <v>1.3907796541485678E-2</v>
      </c>
      <c r="K90" s="512">
        <v>1.9493504209361853E-2</v>
      </c>
      <c r="L90" s="512">
        <v>2.3895904192247186E-2</v>
      </c>
      <c r="M90" s="512">
        <v>2.7041167277367363E-2</v>
      </c>
      <c r="N90" s="136"/>
    </row>
    <row r="91" spans="1:14" s="21" customFormat="1" ht="15">
      <c r="A91" s="151">
        <v>0.88</v>
      </c>
      <c r="B91" s="105">
        <v>0.3</v>
      </c>
      <c r="C91" s="512">
        <v>1.3907796541485678E-2</v>
      </c>
      <c r="D91" s="512">
        <v>1.9493504209361853E-2</v>
      </c>
      <c r="E91" s="512">
        <v>2.3895904192247186E-2</v>
      </c>
      <c r="F91" s="512">
        <v>2.7041167277367363E-2</v>
      </c>
      <c r="G91"/>
      <c r="H91" s="151">
        <v>0.88</v>
      </c>
      <c r="I91" s="105">
        <v>0.3</v>
      </c>
      <c r="J91" s="512">
        <v>1.3907796541485678E-2</v>
      </c>
      <c r="K91" s="512">
        <v>1.9493504209361853E-2</v>
      </c>
      <c r="L91" s="512">
        <v>2.3895904192247186E-2</v>
      </c>
      <c r="M91" s="512">
        <v>2.7041167277367363E-2</v>
      </c>
      <c r="N91" s="136"/>
    </row>
    <row r="92" spans="1:14" s="21" customFormat="1" ht="15">
      <c r="A92" s="151">
        <v>0.89</v>
      </c>
      <c r="B92" s="105">
        <v>0.3</v>
      </c>
      <c r="C92" s="512">
        <v>1.3907796541485678E-2</v>
      </c>
      <c r="D92" s="512">
        <v>1.9493504209361853E-2</v>
      </c>
      <c r="E92" s="512">
        <v>2.3895904192247186E-2</v>
      </c>
      <c r="F92" s="512">
        <v>2.7041167277367363E-2</v>
      </c>
      <c r="G92"/>
      <c r="H92" s="151">
        <v>0.89</v>
      </c>
      <c r="I92" s="105">
        <v>0.3</v>
      </c>
      <c r="J92" s="512">
        <v>1.3907796541485678E-2</v>
      </c>
      <c r="K92" s="512">
        <v>1.9493504209361853E-2</v>
      </c>
      <c r="L92" s="512">
        <v>2.3895904192247186E-2</v>
      </c>
      <c r="M92" s="512">
        <v>2.7041167277367363E-2</v>
      </c>
      <c r="N92" s="136"/>
    </row>
    <row r="93" spans="1:14" s="21" customFormat="1" ht="15">
      <c r="A93" s="244">
        <v>0.9</v>
      </c>
      <c r="B93" s="238">
        <v>0.3</v>
      </c>
      <c r="C93" s="511">
        <v>1.4774582388010816E-2</v>
      </c>
      <c r="D93" s="511">
        <v>2.0909102682563806E-2</v>
      </c>
      <c r="E93" s="511">
        <v>2.6113163471196722E-2</v>
      </c>
      <c r="F93" s="511">
        <v>3.0362027868267846E-2</v>
      </c>
      <c r="G93"/>
      <c r="H93" s="244">
        <v>0.9</v>
      </c>
      <c r="I93" s="238">
        <v>0.3</v>
      </c>
      <c r="J93" s="511">
        <v>1.4774582388010816E-2</v>
      </c>
      <c r="K93" s="511">
        <v>2.0909102682563806E-2</v>
      </c>
      <c r="L93" s="511">
        <v>2.6113163471196722E-2</v>
      </c>
      <c r="M93" s="511">
        <v>3.0362027868267846E-2</v>
      </c>
      <c r="N93" s="136"/>
    </row>
    <row r="94" spans="1:14" s="21" customFormat="1">
      <c r="A94" s="136"/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</row>
    <row r="95" spans="1:14" s="21" customFormat="1">
      <c r="A95" s="149"/>
      <c r="B95" s="106"/>
      <c r="C95" s="106"/>
      <c r="D95" s="106"/>
      <c r="E95" s="106"/>
      <c r="F95" s="106"/>
      <c r="G95" s="106"/>
      <c r="H95" s="106"/>
      <c r="I95" s="106"/>
      <c r="J95" s="106"/>
      <c r="K95" s="106"/>
      <c r="L95" s="106"/>
      <c r="M95" s="106"/>
      <c r="N95" s="106"/>
    </row>
    <row r="96" spans="1:14" s="21" customFormat="1">
      <c r="A96" s="149"/>
      <c r="B96" s="106"/>
      <c r="C96" s="106"/>
      <c r="D96" s="106"/>
      <c r="E96" s="106"/>
      <c r="F96" s="106"/>
      <c r="G96" s="106"/>
      <c r="H96" s="106"/>
      <c r="I96" s="106"/>
      <c r="J96" s="106"/>
      <c r="K96" s="106"/>
      <c r="L96" s="106"/>
      <c r="M96" s="106"/>
      <c r="N96" s="106"/>
    </row>
    <row r="97" spans="1:14" s="21" customFormat="1">
      <c r="A97" s="149"/>
      <c r="B97" s="106"/>
      <c r="C97" s="106"/>
      <c r="D97" s="106"/>
      <c r="E97" s="106"/>
      <c r="F97" s="106"/>
      <c r="G97" s="106"/>
      <c r="H97" s="106"/>
      <c r="I97" s="106"/>
      <c r="J97" s="106"/>
      <c r="K97" s="106"/>
      <c r="L97" s="106"/>
      <c r="M97" s="106"/>
      <c r="N97" s="106"/>
    </row>
    <row r="98" spans="1:14" s="21" customFormat="1">
      <c r="A98" s="106"/>
      <c r="B98" s="106"/>
      <c r="C98" s="106"/>
      <c r="D98" s="106"/>
      <c r="E98" s="106"/>
      <c r="F98" s="106"/>
      <c r="G98" s="106"/>
      <c r="H98" s="106"/>
      <c r="I98" s="106"/>
      <c r="J98" s="106"/>
      <c r="K98" s="106"/>
      <c r="L98" s="106"/>
      <c r="M98" s="106"/>
      <c r="N98" s="106"/>
    </row>
    <row r="99" spans="1:14" s="21" customFormat="1"/>
    <row r="100" spans="1:14" s="21" customFormat="1"/>
    <row r="101" spans="1:14" s="21" customFormat="1"/>
    <row r="102" spans="1:14" s="21" customFormat="1"/>
    <row r="103" spans="1:14" s="21" customFormat="1"/>
  </sheetData>
  <phoneticPr fontId="2" type="noConversion"/>
  <pageMargins left="0.75" right="0.75" top="1" bottom="1" header="0" footer="0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J110"/>
  <sheetViews>
    <sheetView showGridLines="0" topLeftCell="C1" workbookViewId="0">
      <selection activeCell="R2" sqref="R2"/>
    </sheetView>
  </sheetViews>
  <sheetFormatPr baseColWidth="10" defaultColWidth="11.453125" defaultRowHeight="12.5"/>
  <cols>
    <col min="1" max="1" width="22.90625" style="119" customWidth="1"/>
    <col min="2" max="2" width="22" style="119" customWidth="1"/>
    <col min="3" max="3" width="19.6328125" style="119" customWidth="1"/>
    <col min="4" max="4" width="11.453125" style="119"/>
    <col min="5" max="5" width="15.08984375" style="119" customWidth="1"/>
    <col min="6" max="6" width="12.453125" style="119" customWidth="1"/>
    <col min="7" max="9" width="19.36328125" style="123" customWidth="1"/>
    <col min="10" max="10" width="15.90625" style="119" customWidth="1"/>
    <col min="11" max="11" width="18" style="119" customWidth="1"/>
    <col min="12" max="14" width="11.453125" style="119"/>
    <col min="15" max="15" width="12.453125" style="119" customWidth="1"/>
    <col min="16" max="17" width="10.08984375" style="119" customWidth="1"/>
    <col min="18" max="18" width="11.453125" style="119"/>
    <col min="19" max="19" width="17.453125" style="119" bestFit="1" customWidth="1"/>
    <col min="20" max="21" width="21" style="119" customWidth="1"/>
    <col min="22" max="22" width="13.453125" style="119" customWidth="1"/>
    <col min="23" max="23" width="13.54296875" style="119" customWidth="1"/>
    <col min="24" max="24" width="16" style="119" customWidth="1"/>
    <col min="25" max="25" width="11.453125" style="119"/>
    <col min="26" max="26" width="13.90625" style="119" bestFit="1" customWidth="1"/>
    <col min="27" max="27" width="19.08984375" style="119" bestFit="1" customWidth="1"/>
    <col min="28" max="28" width="11.54296875" style="119" bestFit="1" customWidth="1"/>
    <col min="29" max="29" width="11.453125" style="119"/>
    <col min="30" max="30" width="16.08984375" style="119" customWidth="1"/>
    <col min="31" max="31" width="17.6328125" style="153" customWidth="1"/>
    <col min="32" max="32" width="18.36328125" style="122" customWidth="1"/>
    <col min="33" max="33" width="24.36328125" style="119" customWidth="1"/>
    <col min="34" max="34" width="20" style="119" customWidth="1"/>
    <col min="35" max="35" width="11.453125" style="119"/>
    <col min="36" max="36" width="2.453125" style="123" customWidth="1"/>
    <col min="37" max="16384" width="11.453125" style="119"/>
  </cols>
  <sheetData>
    <row r="1" spans="1:36" ht="26.5" thickBot="1">
      <c r="A1" s="1" t="s">
        <v>0</v>
      </c>
      <c r="B1" s="4" t="s">
        <v>5</v>
      </c>
      <c r="C1" s="8" t="s">
        <v>6</v>
      </c>
      <c r="D1" s="157" t="s">
        <v>12</v>
      </c>
      <c r="E1" s="523" t="s">
        <v>197</v>
      </c>
      <c r="F1" s="524"/>
      <c r="G1" s="229" t="s">
        <v>177</v>
      </c>
      <c r="H1" s="229" t="s">
        <v>178</v>
      </c>
      <c r="I1" s="228" t="s">
        <v>179</v>
      </c>
      <c r="J1" s="18" t="s">
        <v>13</v>
      </c>
      <c r="K1" s="232" t="s">
        <v>14</v>
      </c>
      <c r="L1" s="514" t="s">
        <v>187</v>
      </c>
      <c r="M1" s="514"/>
      <c r="N1" s="515"/>
      <c r="O1" s="518" t="s">
        <v>16</v>
      </c>
      <c r="P1" s="519"/>
      <c r="Q1" s="520"/>
      <c r="R1" s="23" t="s">
        <v>17</v>
      </c>
      <c r="S1" s="24" t="s">
        <v>18</v>
      </c>
      <c r="T1" s="207" t="s">
        <v>22</v>
      </c>
      <c r="U1" s="516" t="s">
        <v>19</v>
      </c>
      <c r="V1" s="517"/>
      <c r="W1" s="517"/>
      <c r="X1" s="30" t="s">
        <v>23</v>
      </c>
      <c r="Y1" s="32" t="s">
        <v>24</v>
      </c>
      <c r="Z1" s="246"/>
      <c r="AA1" s="246"/>
      <c r="AB1" s="246"/>
      <c r="AC1" s="35" t="s">
        <v>25</v>
      </c>
      <c r="AD1" s="31" t="s">
        <v>26</v>
      </c>
      <c r="AE1" s="152" t="s">
        <v>86</v>
      </c>
      <c r="AF1" s="208" t="s">
        <v>85</v>
      </c>
      <c r="AG1" s="155" t="s">
        <v>88</v>
      </c>
      <c r="AH1" s="184" t="s">
        <v>120</v>
      </c>
      <c r="AJ1" s="158"/>
    </row>
    <row r="2" spans="1:36" ht="13.5" thickBot="1">
      <c r="A2" s="201" t="str">
        <f>A3</f>
        <v>Adquisición</v>
      </c>
      <c r="B2" s="183">
        <f>Captura!G16</f>
        <v>0</v>
      </c>
      <c r="C2" s="16"/>
      <c r="D2" s="498">
        <f>Captura!G18</f>
        <v>0</v>
      </c>
      <c r="E2" s="499">
        <f>Captura!K16</f>
        <v>0</v>
      </c>
      <c r="F2" s="506"/>
      <c r="G2" s="269">
        <v>250000</v>
      </c>
      <c r="H2" s="270">
        <v>3900000</v>
      </c>
      <c r="I2" s="270">
        <v>6500</v>
      </c>
      <c r="J2" s="507" t="e">
        <f>VLOOKUP(E2,E3:F7,2,0)</f>
        <v>#N/A</v>
      </c>
      <c r="K2" s="271">
        <f>IF(B2=B3,K4,IF(B2=B4,L2,0))</f>
        <v>0</v>
      </c>
      <c r="L2" s="272" t="e">
        <f>VLOOKUP(J2,L4:N5,MATCH(D2,L3:N3,0))</f>
        <v>#N/A</v>
      </c>
      <c r="M2" s="19"/>
      <c r="N2" s="19"/>
      <c r="O2" s="273">
        <f>IF(B2=B4,VLOOKUP(J2,O4:Q5,MATCH(D2,O3:Q3,0)),0)</f>
        <v>0</v>
      </c>
      <c r="R2" s="206" t="e">
        <f>Captura!AF3/Captura!Y1</f>
        <v>#DIV/0!</v>
      </c>
      <c r="S2" s="120">
        <v>0.01</v>
      </c>
      <c r="T2" s="274">
        <f>Captura!G20</f>
        <v>1</v>
      </c>
      <c r="U2" s="14" t="s">
        <v>87</v>
      </c>
      <c r="V2" s="10" t="s">
        <v>20</v>
      </c>
      <c r="W2" s="10" t="s">
        <v>21</v>
      </c>
      <c r="X2" s="33">
        <f>0.35</f>
        <v>0.35</v>
      </c>
      <c r="Y2" s="266">
        <f>_xlfn.XLOOKUP(Captura!G38,AA4:AA18,AB4:AB18,0,1,1)</f>
        <v>2000</v>
      </c>
      <c r="Z2" s="521" t="s">
        <v>63</v>
      </c>
      <c r="AA2" s="522"/>
      <c r="AB2" s="247" t="s">
        <v>188</v>
      </c>
      <c r="AC2" s="36">
        <v>0.16</v>
      </c>
      <c r="AD2" s="267">
        <v>250</v>
      </c>
      <c r="AE2" s="268">
        <f>IF(B2=B3,Tablas!B1,IF(B2=B4,Tablas!I1,0))</f>
        <v>0</v>
      </c>
      <c r="AF2" s="209"/>
      <c r="AG2" s="177">
        <v>2</v>
      </c>
      <c r="AH2" s="258">
        <v>1964</v>
      </c>
      <c r="AJ2" s="156"/>
    </row>
    <row r="3" spans="1:36" ht="13">
      <c r="A3" s="7" t="s">
        <v>1</v>
      </c>
      <c r="B3" s="216" t="s">
        <v>15</v>
      </c>
      <c r="C3" s="14" t="s">
        <v>10</v>
      </c>
      <c r="E3" s="500" t="s">
        <v>198</v>
      </c>
      <c r="F3" s="503">
        <v>0.13500000000000001</v>
      </c>
      <c r="G3" s="168"/>
      <c r="H3" s="199"/>
      <c r="I3" s="199"/>
      <c r="J3" s="235">
        <v>0.125</v>
      </c>
      <c r="K3" s="121" t="s">
        <v>15</v>
      </c>
      <c r="L3" s="215" t="s">
        <v>162</v>
      </c>
      <c r="M3" s="215">
        <v>20</v>
      </c>
      <c r="N3" s="215">
        <v>25</v>
      </c>
      <c r="O3" s="215" t="s">
        <v>162</v>
      </c>
      <c r="P3" s="215">
        <v>20</v>
      </c>
      <c r="Q3" s="215">
        <v>25</v>
      </c>
      <c r="U3" s="264" t="str">
        <f>Captura!G22</f>
        <v>SI</v>
      </c>
      <c r="V3" s="25">
        <f>IF(U3="no",0,IFERROR(VLOOKUP(Captura!G20,V8:W11,2,0),0))</f>
        <v>6.1799999999999995E-4</v>
      </c>
      <c r="W3" s="26">
        <f>IF(U4="no",0,0.00037)</f>
        <v>3.6999999999999999E-4</v>
      </c>
      <c r="X3" s="3"/>
      <c r="Z3" s="249" t="s">
        <v>189</v>
      </c>
      <c r="AA3" s="250" t="s">
        <v>190</v>
      </c>
      <c r="AB3" s="251"/>
      <c r="AE3" s="212"/>
      <c r="AF3" s="210" t="s">
        <v>83</v>
      </c>
      <c r="AG3" s="176" t="s">
        <v>89</v>
      </c>
    </row>
    <row r="4" spans="1:36" ht="14.5">
      <c r="A4" s="195" t="s">
        <v>72</v>
      </c>
      <c r="B4" s="200" t="s">
        <v>166</v>
      </c>
      <c r="C4" s="6" t="s">
        <v>11</v>
      </c>
      <c r="E4" s="501" t="s">
        <v>199</v>
      </c>
      <c r="F4" s="504">
        <v>0.13500000000000001</v>
      </c>
      <c r="G4" s="167"/>
      <c r="H4" s="167"/>
      <c r="I4" s="167"/>
      <c r="J4" s="236">
        <v>0.13500000000000001</v>
      </c>
      <c r="K4" s="233" t="e">
        <f>PMT(J2/12,D2*12,-1000)</f>
        <v>#N/A</v>
      </c>
      <c r="L4" s="234">
        <v>0.125</v>
      </c>
      <c r="M4" s="259">
        <v>10.72</v>
      </c>
      <c r="N4" s="261">
        <v>10.69</v>
      </c>
      <c r="O4" s="234">
        <v>0.125</v>
      </c>
      <c r="P4" s="263">
        <v>1.2E-2</v>
      </c>
      <c r="Q4" s="263">
        <v>5.0000000000000001E-3</v>
      </c>
      <c r="U4" s="265" t="str">
        <f>Captura!G24</f>
        <v>SI</v>
      </c>
      <c r="V4" s="2"/>
      <c r="W4" s="27"/>
      <c r="X4" s="34"/>
      <c r="Z4" s="254">
        <v>0</v>
      </c>
      <c r="AA4" s="255">
        <v>500000</v>
      </c>
      <c r="AB4" s="252">
        <v>2000</v>
      </c>
      <c r="AE4" s="213"/>
      <c r="AF4" s="211" t="s">
        <v>84</v>
      </c>
      <c r="AG4" s="176" t="s">
        <v>109</v>
      </c>
      <c r="AH4" s="245"/>
    </row>
    <row r="5" spans="1:36" ht="13">
      <c r="A5" s="196" t="s">
        <v>2</v>
      </c>
      <c r="C5" s="2"/>
      <c r="D5" s="124"/>
      <c r="E5" s="501" t="s">
        <v>200</v>
      </c>
      <c r="F5" s="504">
        <v>0.125</v>
      </c>
      <c r="G5" s="3"/>
      <c r="H5" s="3"/>
      <c r="I5" s="3"/>
      <c r="J5" s="124"/>
      <c r="L5" s="234">
        <v>0.13500000000000001</v>
      </c>
      <c r="M5" s="260">
        <v>11.63</v>
      </c>
      <c r="N5" s="262">
        <v>11.61</v>
      </c>
      <c r="O5" s="234">
        <v>0.13500000000000001</v>
      </c>
      <c r="P5" s="263">
        <v>8.8000000000000005E-3</v>
      </c>
      <c r="Q5" s="263">
        <v>2.7000000000000001E-3</v>
      </c>
      <c r="U5" s="203"/>
      <c r="V5" s="2"/>
      <c r="W5" s="29"/>
      <c r="Z5" s="254">
        <v>500001</v>
      </c>
      <c r="AA5" s="255">
        <v>1000000</v>
      </c>
      <c r="AB5" s="252">
        <v>3000</v>
      </c>
      <c r="AE5" s="174"/>
      <c r="AG5" s="129" t="s">
        <v>108</v>
      </c>
    </row>
    <row r="6" spans="1:36">
      <c r="A6" s="196" t="s">
        <v>3</v>
      </c>
      <c r="C6" s="10" t="s">
        <v>7</v>
      </c>
      <c r="D6" s="124"/>
      <c r="E6" s="501" t="s">
        <v>201</v>
      </c>
      <c r="F6" s="504">
        <v>0.125</v>
      </c>
      <c r="G6" s="15"/>
      <c r="H6" s="15"/>
      <c r="I6" s="15"/>
      <c r="J6" s="124"/>
      <c r="L6" s="20"/>
      <c r="M6" s="20"/>
      <c r="N6" s="20"/>
      <c r="U6" s="205" t="s">
        <v>149</v>
      </c>
      <c r="V6" s="13"/>
      <c r="W6" s="15"/>
      <c r="Z6" s="254">
        <v>1000001</v>
      </c>
      <c r="AA6" s="255">
        <v>1500000</v>
      </c>
      <c r="AB6" s="252">
        <v>4500</v>
      </c>
    </row>
    <row r="7" spans="1:36" ht="15" thickBot="1">
      <c r="A7" s="197" t="s">
        <v>4</v>
      </c>
      <c r="C7" s="93">
        <v>88.36</v>
      </c>
      <c r="D7" s="124"/>
      <c r="E7" s="502" t="s">
        <v>202</v>
      </c>
      <c r="F7" s="505">
        <v>0.125</v>
      </c>
      <c r="G7" s="29"/>
      <c r="H7" s="29"/>
      <c r="I7" s="29"/>
      <c r="J7" s="124"/>
      <c r="L7" s="231"/>
      <c r="M7" s="231"/>
      <c r="N7" s="231"/>
      <c r="U7" s="204" t="s">
        <v>11</v>
      </c>
      <c r="V7" s="13"/>
      <c r="W7" s="15"/>
      <c r="Z7" s="254">
        <v>1500001</v>
      </c>
      <c r="AA7" s="255">
        <v>2000000</v>
      </c>
      <c r="AB7" s="252">
        <v>6000</v>
      </c>
    </row>
    <row r="8" spans="1:36" ht="15" thickBot="1">
      <c r="A8" s="172"/>
      <c r="C8" s="173"/>
      <c r="D8" s="124"/>
      <c r="G8" s="29"/>
      <c r="H8" s="29"/>
      <c r="I8" s="29"/>
      <c r="J8" s="124"/>
      <c r="L8" s="231"/>
      <c r="M8" s="231"/>
      <c r="N8" s="231"/>
      <c r="U8" s="204" t="s">
        <v>10</v>
      </c>
      <c r="V8" s="202">
        <v>1</v>
      </c>
      <c r="W8" s="275">
        <v>6.1799999999999995E-4</v>
      </c>
      <c r="Z8" s="254">
        <v>2000001</v>
      </c>
      <c r="AA8" s="255">
        <v>2500000</v>
      </c>
      <c r="AB8" s="252">
        <v>7000</v>
      </c>
    </row>
    <row r="9" spans="1:36" ht="15" thickBot="1">
      <c r="C9" s="128">
        <f>C7*30.4</f>
        <v>2686.1439999999998</v>
      </c>
      <c r="D9" s="124"/>
      <c r="G9" s="108"/>
      <c r="H9" s="108"/>
      <c r="I9" s="108"/>
      <c r="J9" s="124"/>
      <c r="L9" s="231"/>
      <c r="M9" s="231"/>
      <c r="N9" s="231"/>
      <c r="V9" s="5">
        <v>2</v>
      </c>
      <c r="W9" s="276">
        <v>9.8970000000000004E-4</v>
      </c>
      <c r="Z9" s="254">
        <v>2500001</v>
      </c>
      <c r="AA9" s="255">
        <v>3000000</v>
      </c>
      <c r="AB9" s="252">
        <v>9000</v>
      </c>
      <c r="AJ9" s="130"/>
    </row>
    <row r="10" spans="1:36">
      <c r="C10" s="9" t="s">
        <v>8</v>
      </c>
      <c r="D10" s="124"/>
      <c r="G10" s="15"/>
      <c r="H10" s="15"/>
      <c r="I10" s="15"/>
      <c r="J10" s="124"/>
      <c r="K10" s="122"/>
      <c r="L10" s="122"/>
      <c r="M10" s="122"/>
      <c r="N10" s="122"/>
      <c r="V10" s="5">
        <v>3</v>
      </c>
      <c r="W10" s="276">
        <v>1.2332000000000001E-3</v>
      </c>
      <c r="Z10" s="254">
        <v>3000001</v>
      </c>
      <c r="AA10" s="255">
        <v>3500000</v>
      </c>
      <c r="AB10" s="252">
        <v>10000</v>
      </c>
      <c r="AJ10" s="130"/>
    </row>
    <row r="11" spans="1:36">
      <c r="C11" s="11">
        <f>25*C9</f>
        <v>67153.599999999991</v>
      </c>
      <c r="D11" s="124"/>
      <c r="E11" s="15"/>
      <c r="F11" s="15"/>
      <c r="G11" s="109"/>
      <c r="H11" s="109"/>
      <c r="I11" s="109"/>
      <c r="J11" s="124"/>
      <c r="V11" s="5">
        <v>4</v>
      </c>
      <c r="W11" s="276">
        <v>1.5548000000000001E-3</v>
      </c>
      <c r="Z11" s="254">
        <v>3500001</v>
      </c>
      <c r="AA11" s="255">
        <v>4000000</v>
      </c>
      <c r="AB11" s="252">
        <v>11000</v>
      </c>
      <c r="AE11" s="123"/>
      <c r="AJ11" s="130"/>
    </row>
    <row r="12" spans="1:36">
      <c r="C12" s="2"/>
      <c r="D12" s="124"/>
      <c r="E12" s="179"/>
      <c r="F12" s="179"/>
      <c r="G12" s="3"/>
      <c r="H12" s="3"/>
      <c r="I12" s="3"/>
      <c r="J12" s="124"/>
      <c r="V12" s="28"/>
      <c r="W12" s="230"/>
      <c r="Z12" s="254">
        <v>4000001</v>
      </c>
      <c r="AA12" s="255">
        <v>4500000</v>
      </c>
      <c r="AB12" s="252">
        <v>13500</v>
      </c>
      <c r="AJ12" s="130"/>
    </row>
    <row r="13" spans="1:36">
      <c r="C13" s="10" t="s">
        <v>9</v>
      </c>
      <c r="G13" s="15"/>
      <c r="H13" s="15"/>
      <c r="I13" s="15"/>
      <c r="Z13" s="254">
        <v>4500001</v>
      </c>
      <c r="AA13" s="255">
        <v>5500000</v>
      </c>
      <c r="AB13" s="252">
        <v>14000</v>
      </c>
      <c r="AJ13" s="131"/>
    </row>
    <row r="14" spans="1:36">
      <c r="C14" s="12">
        <v>0</v>
      </c>
      <c r="G14" s="94"/>
      <c r="H14" s="94"/>
      <c r="I14" s="94"/>
      <c r="Z14" s="254">
        <v>5500001</v>
      </c>
      <c r="AA14" s="255">
        <v>6000000</v>
      </c>
      <c r="AB14" s="252">
        <v>17000</v>
      </c>
    </row>
    <row r="15" spans="1:36">
      <c r="E15" s="122"/>
      <c r="F15" s="122"/>
      <c r="G15" s="148"/>
      <c r="H15" s="148"/>
      <c r="I15" s="148"/>
      <c r="Z15" s="254">
        <v>6000001</v>
      </c>
      <c r="AA15" s="255">
        <v>6500000</v>
      </c>
      <c r="AB15" s="252">
        <v>19000</v>
      </c>
      <c r="AJ15" s="132"/>
    </row>
    <row r="16" spans="1:36">
      <c r="E16" s="122"/>
      <c r="F16" s="122"/>
      <c r="S16" s="122"/>
      <c r="T16" s="122"/>
      <c r="U16" s="122"/>
      <c r="V16" s="15"/>
      <c r="W16" s="15"/>
      <c r="Z16" s="254">
        <v>6500001</v>
      </c>
      <c r="AA16" s="255">
        <v>8000000</v>
      </c>
      <c r="AB16" s="252">
        <v>20000</v>
      </c>
    </row>
    <row r="17" spans="1:36">
      <c r="E17" s="122"/>
      <c r="F17" s="122"/>
      <c r="S17" s="122"/>
      <c r="T17" s="122"/>
      <c r="U17" s="122"/>
      <c r="V17" s="15"/>
      <c r="W17" s="15"/>
      <c r="Z17" s="254">
        <v>8000001</v>
      </c>
      <c r="AA17" s="255">
        <v>10000000</v>
      </c>
      <c r="AB17" s="252">
        <v>22000</v>
      </c>
    </row>
    <row r="18" spans="1:36">
      <c r="C18" s="147"/>
      <c r="E18" s="122"/>
      <c r="F18" s="122"/>
      <c r="G18" s="15"/>
      <c r="H18" s="15"/>
      <c r="I18" s="15"/>
      <c r="S18" s="122"/>
      <c r="T18" s="122"/>
      <c r="U18" s="122"/>
      <c r="V18" s="15"/>
      <c r="W18" s="15"/>
      <c r="Z18" s="256">
        <v>10000001</v>
      </c>
      <c r="AA18" s="257">
        <v>999999999999</v>
      </c>
      <c r="AB18" s="253">
        <v>24000</v>
      </c>
      <c r="AJ18" s="15"/>
    </row>
    <row r="19" spans="1:36">
      <c r="C19" s="13"/>
      <c r="E19" s="122"/>
      <c r="F19" s="122"/>
      <c r="G19" s="15"/>
      <c r="H19" s="15"/>
      <c r="I19" s="15"/>
      <c r="S19" s="122"/>
      <c r="T19" s="122"/>
      <c r="U19" s="122"/>
      <c r="V19" s="15"/>
      <c r="W19" s="15"/>
      <c r="AJ19" s="15"/>
    </row>
    <row r="20" spans="1:36">
      <c r="C20" s="124"/>
      <c r="D20" s="124"/>
      <c r="E20" s="122"/>
      <c r="F20" s="122"/>
      <c r="G20" s="122"/>
      <c r="H20" s="122"/>
      <c r="I20" s="122"/>
      <c r="S20" s="122"/>
      <c r="T20" s="122"/>
      <c r="U20" s="122"/>
      <c r="V20" s="15"/>
      <c r="W20" s="17"/>
      <c r="AJ20" s="122"/>
    </row>
    <row r="21" spans="1:36">
      <c r="C21" s="124"/>
      <c r="D21" s="124"/>
      <c r="G21" s="122"/>
      <c r="H21" s="122"/>
      <c r="I21" s="122"/>
      <c r="S21" s="122"/>
      <c r="T21" s="122"/>
      <c r="U21" s="122"/>
      <c r="V21" s="15"/>
      <c r="W21" s="29"/>
      <c r="AJ21" s="122"/>
    </row>
    <row r="22" spans="1:36">
      <c r="C22" s="17"/>
      <c r="D22" s="124"/>
      <c r="G22" s="17"/>
      <c r="H22" s="17"/>
      <c r="I22" s="17"/>
      <c r="S22" s="122"/>
      <c r="T22" s="122"/>
      <c r="U22" s="122"/>
      <c r="V22" s="15"/>
      <c r="W22" s="17"/>
      <c r="AJ22" s="17"/>
    </row>
    <row r="23" spans="1:36">
      <c r="C23" s="15"/>
      <c r="D23" s="124"/>
      <c r="G23" s="15"/>
      <c r="H23" s="15"/>
      <c r="I23" s="15"/>
      <c r="S23" s="122"/>
      <c r="T23" s="122"/>
      <c r="U23" s="122"/>
      <c r="V23" s="15"/>
      <c r="W23" s="15"/>
      <c r="AJ23" s="15"/>
    </row>
    <row r="24" spans="1:36">
      <c r="C24" s="124"/>
      <c r="D24" s="124"/>
      <c r="G24" s="122"/>
      <c r="H24" s="122"/>
      <c r="I24" s="122"/>
      <c r="S24" s="122"/>
      <c r="T24" s="122"/>
      <c r="U24" s="122"/>
      <c r="V24" s="122"/>
      <c r="W24" s="122"/>
      <c r="AJ24" s="122"/>
    </row>
    <row r="25" spans="1:36">
      <c r="C25" s="124"/>
      <c r="D25" s="124"/>
      <c r="G25" s="122"/>
      <c r="H25" s="122"/>
      <c r="I25" s="122"/>
      <c r="S25" s="122"/>
      <c r="T25" s="122"/>
      <c r="U25" s="122"/>
      <c r="V25" s="122"/>
      <c r="W25" s="122"/>
      <c r="AJ25" s="122"/>
    </row>
    <row r="26" spans="1:36">
      <c r="A26" s="127"/>
      <c r="B26" s="127"/>
      <c r="C26" s="127"/>
    </row>
    <row r="27" spans="1:36">
      <c r="A27" s="127"/>
      <c r="B27" s="127"/>
      <c r="C27" s="127"/>
    </row>
    <row r="28" spans="1:36">
      <c r="A28" s="127"/>
      <c r="B28" s="127"/>
      <c r="C28" s="127"/>
    </row>
    <row r="29" spans="1:36">
      <c r="A29" s="127"/>
      <c r="B29" s="127"/>
      <c r="C29" s="127"/>
    </row>
    <row r="30" spans="1:36">
      <c r="A30" s="127"/>
      <c r="B30" s="127"/>
      <c r="C30" s="127"/>
    </row>
    <row r="31" spans="1:36">
      <c r="A31" s="127"/>
      <c r="B31" s="127"/>
      <c r="C31" s="127"/>
      <c r="D31" s="125"/>
      <c r="J31" s="125"/>
      <c r="K31" s="125"/>
    </row>
    <row r="32" spans="1:36">
      <c r="A32" s="127"/>
      <c r="B32" s="127"/>
      <c r="C32" s="127"/>
      <c r="D32" s="125"/>
      <c r="J32" s="125"/>
      <c r="K32" s="125"/>
      <c r="L32" s="125"/>
      <c r="M32" s="125"/>
      <c r="N32" s="125"/>
    </row>
    <row r="33" spans="1:36">
      <c r="A33" s="127"/>
      <c r="B33" s="127"/>
      <c r="C33" s="127"/>
      <c r="D33" s="125"/>
      <c r="J33" s="125"/>
      <c r="K33" s="125"/>
      <c r="L33" s="125"/>
      <c r="M33" s="125"/>
      <c r="N33" s="125"/>
    </row>
    <row r="34" spans="1:36">
      <c r="A34" s="127"/>
      <c r="B34" s="127"/>
      <c r="C34" s="127"/>
      <c r="D34" s="125"/>
      <c r="G34" s="122"/>
      <c r="H34" s="122"/>
      <c r="I34" s="122"/>
      <c r="J34" s="125"/>
      <c r="K34" s="125"/>
      <c r="L34" s="125"/>
      <c r="M34" s="125"/>
      <c r="N34" s="125"/>
      <c r="AJ34" s="122"/>
    </row>
    <row r="35" spans="1:36">
      <c r="A35" s="127"/>
      <c r="B35" s="127"/>
      <c r="C35" s="127"/>
      <c r="D35" s="125"/>
      <c r="J35" s="125"/>
      <c r="K35" s="125"/>
      <c r="L35" s="125"/>
      <c r="M35" s="125"/>
      <c r="N35" s="125"/>
    </row>
    <row r="36" spans="1:36">
      <c r="A36" s="127"/>
      <c r="B36" s="127"/>
      <c r="C36" s="127"/>
      <c r="D36" s="125"/>
      <c r="J36" s="125"/>
      <c r="K36" s="125"/>
      <c r="L36" s="125"/>
      <c r="M36" s="125"/>
      <c r="N36" s="125"/>
    </row>
    <row r="37" spans="1:36">
      <c r="A37" s="127"/>
      <c r="B37" s="127"/>
      <c r="C37" s="127"/>
      <c r="D37" s="125"/>
      <c r="J37" s="125"/>
      <c r="K37" s="125"/>
      <c r="L37" s="125"/>
      <c r="M37" s="125"/>
      <c r="N37" s="125"/>
    </row>
    <row r="38" spans="1:36">
      <c r="A38" s="127"/>
      <c r="B38" s="127"/>
      <c r="C38" s="127"/>
      <c r="D38" s="125"/>
      <c r="J38" s="125"/>
      <c r="K38" s="125"/>
      <c r="L38" s="125"/>
      <c r="M38" s="125"/>
      <c r="N38" s="125"/>
    </row>
    <row r="39" spans="1:36">
      <c r="A39" s="127"/>
      <c r="B39" s="127"/>
      <c r="C39" s="127"/>
      <c r="D39" s="125"/>
      <c r="J39" s="125"/>
      <c r="K39" s="125"/>
    </row>
    <row r="40" spans="1:36">
      <c r="A40" s="127"/>
      <c r="B40" s="127"/>
      <c r="C40" s="127"/>
      <c r="D40" s="125"/>
      <c r="J40" s="125"/>
      <c r="K40" s="125"/>
    </row>
    <row r="41" spans="1:36">
      <c r="A41" s="127"/>
      <c r="B41" s="127"/>
      <c r="C41" s="127"/>
    </row>
    <row r="42" spans="1:36">
      <c r="A42" s="127"/>
      <c r="B42" s="127"/>
      <c r="C42" s="127"/>
    </row>
    <row r="43" spans="1:36">
      <c r="A43" s="126"/>
      <c r="B43" s="135"/>
      <c r="C43" s="126"/>
    </row>
    <row r="44" spans="1:36">
      <c r="A44" s="133"/>
      <c r="B44" s="134"/>
      <c r="C44" s="127"/>
    </row>
    <row r="45" spans="1:36">
      <c r="A45" s="127"/>
      <c r="B45" s="127"/>
      <c r="C45" s="127"/>
    </row>
    <row r="46" spans="1:36">
      <c r="A46" s="127"/>
      <c r="B46" s="127"/>
      <c r="C46" s="127"/>
    </row>
    <row r="47" spans="1:36">
      <c r="A47" s="127"/>
      <c r="B47" s="127"/>
      <c r="C47" s="127"/>
    </row>
    <row r="48" spans="1:36">
      <c r="A48" s="127"/>
      <c r="B48" s="127"/>
      <c r="C48" s="127"/>
    </row>
    <row r="49" spans="1:3">
      <c r="A49" s="127"/>
      <c r="B49" s="127"/>
      <c r="C49" s="127"/>
    </row>
    <row r="50" spans="1:3">
      <c r="A50" s="127"/>
      <c r="B50" s="127"/>
      <c r="C50" s="127"/>
    </row>
    <row r="51" spans="1:3">
      <c r="A51" s="127"/>
      <c r="B51" s="127"/>
      <c r="C51" s="127"/>
    </row>
    <row r="52" spans="1:3">
      <c r="A52" s="127"/>
      <c r="B52" s="127"/>
      <c r="C52" s="127"/>
    </row>
    <row r="53" spans="1:3">
      <c r="A53" s="127"/>
      <c r="B53" s="127"/>
      <c r="C53" s="127"/>
    </row>
    <row r="54" spans="1:3">
      <c r="A54" s="127"/>
      <c r="B54" s="127"/>
      <c r="C54" s="127"/>
    </row>
    <row r="55" spans="1:3">
      <c r="A55" s="127"/>
      <c r="B55" s="127"/>
      <c r="C55" s="127"/>
    </row>
    <row r="56" spans="1:3">
      <c r="A56" s="127"/>
      <c r="B56" s="127"/>
      <c r="C56" s="127"/>
    </row>
    <row r="57" spans="1:3">
      <c r="A57" s="127"/>
      <c r="B57" s="127"/>
      <c r="C57" s="127"/>
    </row>
    <row r="58" spans="1:3">
      <c r="A58" s="127"/>
      <c r="B58" s="127"/>
      <c r="C58" s="127"/>
    </row>
    <row r="59" spans="1:3">
      <c r="A59" s="127"/>
      <c r="B59" s="127"/>
      <c r="C59" s="127"/>
    </row>
    <row r="60" spans="1:3">
      <c r="A60" s="127"/>
      <c r="B60" s="127"/>
      <c r="C60" s="127"/>
    </row>
    <row r="61" spans="1:3">
      <c r="A61" s="127"/>
      <c r="B61" s="127"/>
      <c r="C61" s="127"/>
    </row>
    <row r="62" spans="1:3">
      <c r="A62" s="127"/>
      <c r="B62" s="127"/>
      <c r="C62" s="127"/>
    </row>
    <row r="63" spans="1:3">
      <c r="A63" s="127"/>
      <c r="B63" s="127"/>
      <c r="C63" s="127"/>
    </row>
    <row r="64" spans="1:3">
      <c r="A64" s="127"/>
      <c r="B64" s="127"/>
      <c r="C64" s="127"/>
    </row>
    <row r="65" spans="1:3">
      <c r="A65" s="127"/>
      <c r="B65" s="127"/>
      <c r="C65" s="127"/>
    </row>
    <row r="66" spans="1:3">
      <c r="A66" s="127"/>
      <c r="B66" s="127"/>
      <c r="C66" s="127"/>
    </row>
    <row r="67" spans="1:3">
      <c r="A67" s="127"/>
      <c r="B67" s="127"/>
      <c r="C67" s="127"/>
    </row>
    <row r="68" spans="1:3">
      <c r="A68" s="127"/>
      <c r="B68" s="127"/>
      <c r="C68" s="127"/>
    </row>
    <row r="69" spans="1:3">
      <c r="A69" s="127"/>
      <c r="B69" s="127"/>
      <c r="C69" s="127"/>
    </row>
    <row r="70" spans="1:3">
      <c r="A70" s="127"/>
      <c r="B70" s="127"/>
      <c r="C70" s="127"/>
    </row>
    <row r="71" spans="1:3">
      <c r="A71" s="127"/>
      <c r="B71" s="127"/>
      <c r="C71" s="127"/>
    </row>
    <row r="72" spans="1:3">
      <c r="A72" s="127"/>
      <c r="B72" s="127"/>
      <c r="C72" s="127"/>
    </row>
    <row r="73" spans="1:3">
      <c r="A73" s="127"/>
      <c r="B73" s="127"/>
      <c r="C73" s="127"/>
    </row>
    <row r="74" spans="1:3">
      <c r="A74" s="127"/>
      <c r="B74" s="127"/>
      <c r="C74" s="127"/>
    </row>
    <row r="75" spans="1:3">
      <c r="A75" s="127"/>
      <c r="B75" s="127"/>
      <c r="C75" s="127"/>
    </row>
    <row r="76" spans="1:3">
      <c r="A76" s="127"/>
      <c r="B76" s="127"/>
      <c r="C76" s="127"/>
    </row>
    <row r="77" spans="1:3">
      <c r="A77" s="127"/>
      <c r="B77" s="127"/>
      <c r="C77" s="127"/>
    </row>
    <row r="78" spans="1:3">
      <c r="A78" s="127"/>
      <c r="B78" s="127"/>
      <c r="C78" s="127"/>
    </row>
    <row r="79" spans="1:3">
      <c r="A79" s="127"/>
      <c r="B79" s="127"/>
      <c r="C79" s="127"/>
    </row>
    <row r="80" spans="1:3">
      <c r="A80" s="127"/>
      <c r="B80" s="127"/>
      <c r="C80" s="127"/>
    </row>
    <row r="81" spans="1:3">
      <c r="A81" s="127"/>
      <c r="B81" s="127"/>
      <c r="C81" s="127"/>
    </row>
    <row r="82" spans="1:3">
      <c r="A82" s="127"/>
      <c r="B82" s="127"/>
      <c r="C82" s="127"/>
    </row>
    <row r="83" spans="1:3">
      <c r="A83" s="127"/>
      <c r="B83" s="127"/>
      <c r="C83" s="127"/>
    </row>
    <row r="84" spans="1:3">
      <c r="A84" s="127"/>
      <c r="B84" s="127"/>
      <c r="C84" s="127"/>
    </row>
    <row r="85" spans="1:3">
      <c r="A85" s="127"/>
      <c r="B85" s="127"/>
      <c r="C85" s="127"/>
    </row>
    <row r="86" spans="1:3">
      <c r="A86" s="127"/>
      <c r="B86" s="127"/>
      <c r="C86" s="127"/>
    </row>
    <row r="87" spans="1:3">
      <c r="A87" s="127"/>
      <c r="B87" s="127"/>
      <c r="C87" s="127"/>
    </row>
    <row r="88" spans="1:3">
      <c r="A88" s="127"/>
      <c r="B88" s="127"/>
      <c r="C88" s="127"/>
    </row>
    <row r="89" spans="1:3">
      <c r="A89" s="127"/>
      <c r="B89" s="127"/>
      <c r="C89" s="127"/>
    </row>
    <row r="90" spans="1:3">
      <c r="A90" s="127"/>
      <c r="B90" s="127"/>
      <c r="C90" s="127"/>
    </row>
    <row r="91" spans="1:3">
      <c r="A91" s="127"/>
      <c r="B91" s="127"/>
      <c r="C91" s="127"/>
    </row>
    <row r="92" spans="1:3">
      <c r="A92" s="127"/>
      <c r="B92" s="127"/>
      <c r="C92" s="127"/>
    </row>
    <row r="93" spans="1:3">
      <c r="A93" s="127"/>
      <c r="B93" s="127"/>
      <c r="C93" s="127"/>
    </row>
    <row r="94" spans="1:3">
      <c r="A94" s="127"/>
      <c r="B94" s="127"/>
      <c r="C94" s="127"/>
    </row>
    <row r="95" spans="1:3">
      <c r="A95" s="127"/>
      <c r="B95" s="127"/>
      <c r="C95" s="127"/>
    </row>
    <row r="96" spans="1:3">
      <c r="A96" s="127"/>
      <c r="B96" s="127"/>
      <c r="C96" s="127"/>
    </row>
    <row r="97" spans="1:3">
      <c r="A97" s="127"/>
      <c r="B97" s="127"/>
      <c r="C97" s="127"/>
    </row>
    <row r="98" spans="1:3">
      <c r="A98" s="127"/>
      <c r="B98" s="127"/>
      <c r="C98" s="127"/>
    </row>
    <row r="99" spans="1:3">
      <c r="A99" s="127"/>
      <c r="B99" s="127"/>
      <c r="C99" s="127"/>
    </row>
    <row r="100" spans="1:3">
      <c r="A100" s="127"/>
      <c r="B100" s="127"/>
      <c r="C100" s="127"/>
    </row>
    <row r="101" spans="1:3">
      <c r="A101" s="127"/>
      <c r="B101" s="127"/>
      <c r="C101" s="127"/>
    </row>
    <row r="102" spans="1:3">
      <c r="A102" s="127"/>
      <c r="B102" s="127"/>
      <c r="C102" s="127"/>
    </row>
    <row r="103" spans="1:3">
      <c r="A103" s="127"/>
      <c r="B103" s="127"/>
      <c r="C103" s="127"/>
    </row>
    <row r="104" spans="1:3">
      <c r="A104" s="127"/>
      <c r="B104" s="127"/>
      <c r="C104" s="127"/>
    </row>
    <row r="105" spans="1:3">
      <c r="A105" s="127"/>
      <c r="B105" s="127"/>
      <c r="C105" s="127"/>
    </row>
    <row r="106" spans="1:3">
      <c r="A106" s="127"/>
      <c r="B106" s="127"/>
      <c r="C106" s="127"/>
    </row>
    <row r="107" spans="1:3">
      <c r="A107" s="127"/>
      <c r="B107" s="127"/>
      <c r="C107" s="127"/>
    </row>
    <row r="108" spans="1:3">
      <c r="A108" s="127"/>
      <c r="B108" s="127"/>
      <c r="C108" s="127"/>
    </row>
    <row r="109" spans="1:3">
      <c r="A109" s="127"/>
      <c r="B109" s="127"/>
      <c r="C109" s="127"/>
    </row>
    <row r="110" spans="1:3">
      <c r="A110" s="127"/>
      <c r="B110" s="127"/>
      <c r="C110" s="127"/>
    </row>
  </sheetData>
  <mergeCells count="5">
    <mergeCell ref="L1:N1"/>
    <mergeCell ref="U1:W1"/>
    <mergeCell ref="O1:Q1"/>
    <mergeCell ref="Z2:AA2"/>
    <mergeCell ref="E1:F1"/>
  </mergeCells>
  <phoneticPr fontId="2" type="noConversion"/>
  <pageMargins left="0.75" right="0.75" top="1" bottom="1" header="0" footer="0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F395"/>
  <sheetViews>
    <sheetView showGridLines="0" showRowColHeaders="0" showZeros="0" tabSelected="1" topLeftCell="C1" zoomScale="90" zoomScaleNormal="90" workbookViewId="0">
      <selection activeCell="C1" sqref="C1"/>
    </sheetView>
  </sheetViews>
  <sheetFormatPr baseColWidth="10" defaultColWidth="1" defaultRowHeight="12.5"/>
  <cols>
    <col min="1" max="1" width="12.6328125" style="277" hidden="1" customWidth="1"/>
    <col min="2" max="2" width="12" style="277" hidden="1" customWidth="1"/>
    <col min="3" max="3" width="8" style="277" customWidth="1"/>
    <col min="4" max="4" width="13.6328125" style="277" customWidth="1"/>
    <col min="5" max="5" width="13.08984375" style="277" customWidth="1"/>
    <col min="6" max="6" width="17.36328125" style="277" customWidth="1"/>
    <col min="7" max="7" width="17.90625" style="277" customWidth="1"/>
    <col min="8" max="8" width="15.90625" style="277" customWidth="1"/>
    <col min="9" max="9" width="14.453125" style="277" customWidth="1"/>
    <col min="10" max="10" width="17.90625" style="277" customWidth="1"/>
    <col min="11" max="11" width="15.90625" style="277" customWidth="1"/>
    <col min="12" max="12" width="15.453125" style="277" customWidth="1"/>
    <col min="13" max="13" width="18.6328125" style="277" customWidth="1"/>
    <col min="14" max="14" width="11.453125" style="277" customWidth="1"/>
    <col min="15" max="15" width="11.54296875" style="280" customWidth="1"/>
    <col min="16" max="16" width="16.08984375" style="277" hidden="1" customWidth="1"/>
    <col min="17" max="18" width="11.453125" style="277" hidden="1" customWidth="1"/>
    <col min="19" max="19" width="26.08984375" style="277" hidden="1" customWidth="1"/>
    <col min="20" max="20" width="11.453125" style="277" hidden="1" customWidth="1"/>
    <col min="21" max="22" width="12.08984375" style="277" hidden="1" customWidth="1"/>
    <col min="23" max="23" width="14.90625" style="277" hidden="1" customWidth="1"/>
    <col min="24" max="24" width="24.08984375" style="277" hidden="1" customWidth="1"/>
    <col min="25" max="25" width="15.453125" style="277" hidden="1" customWidth="1"/>
    <col min="26" max="26" width="13.08984375" style="277" hidden="1" customWidth="1"/>
    <col min="27" max="27" width="15.453125" style="277" hidden="1" customWidth="1"/>
    <col min="28" max="28" width="15.08984375" style="277" hidden="1" customWidth="1"/>
    <col min="29" max="29" width="5.6328125" style="277" hidden="1" customWidth="1"/>
    <col min="30" max="30" width="19.6328125" style="277" hidden="1" customWidth="1"/>
    <col min="31" max="31" width="23.90625" style="277" hidden="1" customWidth="1"/>
    <col min="32" max="32" width="20.453125" style="277" hidden="1" customWidth="1"/>
    <col min="33" max="33" width="16.36328125" style="277" hidden="1" customWidth="1"/>
    <col min="34" max="35" width="11.453125" style="277" hidden="1" customWidth="1"/>
    <col min="36" max="36" width="16.6328125" style="277" hidden="1" customWidth="1"/>
    <col min="37" max="84" width="11.453125" style="277" hidden="1" customWidth="1"/>
    <col min="85" max="259" width="11.453125" style="277" customWidth="1"/>
    <col min="260" max="16384" width="1" style="277"/>
  </cols>
  <sheetData>
    <row r="1" spans="1:35" ht="13" thickBot="1">
      <c r="K1" s="278"/>
      <c r="L1" s="278"/>
      <c r="M1" s="278"/>
      <c r="N1" s="279"/>
      <c r="S1" s="281" t="str">
        <f>IF(G16="","Indica esquema de pagos",IF(AND(G16&lt;&gt;"",G18=0),"Captura el plazo",IF(AND(G18&lt;20,Adm!B2=Adm!B4),"En pagos crecientes sólo plazos 20 y 25 años",IF(AND(G16&lt;&gt;"",G20=0),"Captura el número de intervinientes",IF(AND(G16&gt;"",G22=""),"Indica si contratará el seguro de Vida con el Santander",IF(AND(G16&lt;&gt;"",G24=""),"Indica si contrarará el seguro de Daños con Santander",IF(AND(G16&lt;&gt;"",G26=0),"Captura el porcentaje de escrituración",IF(AND(G16&lt;&gt;"",G28=0),"Captura el valor de la vivienda deseada",IF(AND(G28&gt;0,G28&lt;Adm!G2),"El valor mínmo de vivienda es de $250,000",IF(AND(G28&gt;0,G28&gt;Adm!H2),"El valor máximo de vivienda es de $3,900,000",IF(AND(G30&gt;0,G30&lt;Adm!I2),"Los ingresos mínimos son $6,500",IF(K16="","Indica Perfil de riesgo",""))))))))))))</f>
        <v>Indica esquema de pagos</v>
      </c>
      <c r="T1" s="282"/>
      <c r="U1" s="280"/>
      <c r="X1" s="283" t="s">
        <v>63</v>
      </c>
      <c r="Y1" s="284">
        <f>G28</f>
        <v>0</v>
      </c>
      <c r="Z1" s="285"/>
      <c r="AA1" s="285"/>
      <c r="AD1" s="286" t="s">
        <v>184</v>
      </c>
      <c r="AE1" s="287"/>
      <c r="AF1" s="288"/>
      <c r="AH1" s="289"/>
    </row>
    <row r="2" spans="1:35" ht="20">
      <c r="F2" s="531" t="s">
        <v>192</v>
      </c>
      <c r="G2" s="531"/>
      <c r="H2" s="531"/>
      <c r="I2" s="531"/>
      <c r="J2" s="531"/>
      <c r="K2" s="531"/>
      <c r="T2" s="282"/>
      <c r="U2" s="280"/>
      <c r="V2" s="290"/>
      <c r="W2" s="290"/>
      <c r="X2" s="291" t="s">
        <v>78</v>
      </c>
      <c r="Y2" s="292">
        <f>Y1*0.1</f>
        <v>0</v>
      </c>
      <c r="Z2" s="293"/>
      <c r="AA2" s="294"/>
      <c r="AD2" s="295">
        <f>G30*Adm!X2</f>
        <v>0</v>
      </c>
      <c r="AE2" s="290"/>
      <c r="AF2" s="296"/>
    </row>
    <row r="3" spans="1:35" ht="13">
      <c r="G3" s="297"/>
      <c r="H3" s="297"/>
      <c r="I3" s="297"/>
      <c r="J3" s="297"/>
      <c r="K3" s="297"/>
      <c r="M3" s="537">
        <f ca="1">TODAY()</f>
        <v>45884</v>
      </c>
      <c r="N3" s="538"/>
      <c r="T3" s="282"/>
      <c r="U3" s="280"/>
      <c r="V3" s="290"/>
      <c r="W3" s="290"/>
      <c r="X3" s="298" t="s">
        <v>79</v>
      </c>
      <c r="Y3" s="292">
        <f>J28</f>
        <v>0</v>
      </c>
      <c r="Z3" s="299"/>
      <c r="AA3" s="294"/>
      <c r="AB3" s="300"/>
      <c r="AC3" s="300"/>
      <c r="AD3" s="508">
        <f>IF(G30&lt;0.001,0,IF(Adm!J2=Captura!Y12,AA12,IF(Adm!J2=Captura!Y13,AA13)))</f>
        <v>0</v>
      </c>
      <c r="AE3" s="301" t="s">
        <v>65</v>
      </c>
      <c r="AF3" s="302">
        <f>IF(AD3&gt;=Y4,Y4,AD3)</f>
        <v>0</v>
      </c>
    </row>
    <row r="4" spans="1:35" ht="18" customHeight="1">
      <c r="M4" s="303" t="s">
        <v>147</v>
      </c>
      <c r="N4" s="304" t="str">
        <f ca="1">TEXT(M3,M4)</f>
        <v>15 ago 2025</v>
      </c>
      <c r="T4" s="280"/>
      <c r="U4" s="280"/>
      <c r="X4" s="305" t="s">
        <v>64</v>
      </c>
      <c r="Y4" s="306">
        <f>Y1-Y2-Y3</f>
        <v>0</v>
      </c>
      <c r="Z4" s="307"/>
      <c r="AA4" s="299"/>
      <c r="AB4" s="308"/>
      <c r="AC4" s="308"/>
      <c r="AD4" s="309"/>
      <c r="AE4" s="301" t="s">
        <v>80</v>
      </c>
      <c r="AF4" s="310">
        <f>Y1-Y2-AF3-Y3</f>
        <v>0</v>
      </c>
      <c r="AG4" s="311"/>
      <c r="AH4" s="311"/>
    </row>
    <row r="5" spans="1:35" ht="15" customHeight="1">
      <c r="A5" s="312"/>
      <c r="B5" s="312"/>
      <c r="C5" s="313" t="s">
        <v>123</v>
      </c>
      <c r="D5" s="314"/>
      <c r="E5" s="314"/>
      <c r="F5" s="314"/>
      <c r="G5" s="314"/>
      <c r="H5" s="314"/>
      <c r="I5" s="314"/>
      <c r="J5" s="314"/>
      <c r="K5" s="314"/>
      <c r="L5" s="314"/>
      <c r="M5" s="314"/>
      <c r="N5" s="314"/>
      <c r="O5" s="312"/>
      <c r="V5" s="290"/>
      <c r="W5" s="290"/>
      <c r="X5" s="315"/>
      <c r="Y5" s="316"/>
      <c r="Z5" s="290"/>
      <c r="AA5" s="290"/>
      <c r="AB5" s="290"/>
      <c r="AC5" s="290"/>
      <c r="AD5" s="309"/>
      <c r="AE5" s="317" t="s">
        <v>151</v>
      </c>
      <c r="AF5" s="318" t="e">
        <f>ROUND(CEILING(AF3/Y1,0.05),2)</f>
        <v>#DIV/0!</v>
      </c>
      <c r="AI5" s="280"/>
    </row>
    <row r="6" spans="1:35" ht="13.5" thickBot="1">
      <c r="A6" s="280"/>
      <c r="B6" s="280"/>
      <c r="C6" s="319"/>
      <c r="D6" s="320"/>
      <c r="E6" s="320"/>
      <c r="F6" s="320"/>
      <c r="G6" s="320"/>
      <c r="H6" s="320"/>
      <c r="I6" s="320"/>
      <c r="J6" s="320"/>
      <c r="K6" s="320"/>
      <c r="L6" s="320"/>
      <c r="M6" s="320"/>
      <c r="N6" s="321"/>
      <c r="V6" s="322"/>
      <c r="X6" s="323" t="s">
        <v>150</v>
      </c>
      <c r="Y6" s="324" t="e">
        <f>ROUND(Y4/Y1,2)</f>
        <v>#DIV/0!</v>
      </c>
      <c r="Z6" s="324"/>
      <c r="AA6" s="324"/>
      <c r="AB6" s="290"/>
      <c r="AC6" s="290"/>
      <c r="AD6" s="325"/>
      <c r="AE6" s="326"/>
      <c r="AF6" s="327"/>
      <c r="AI6" s="280"/>
    </row>
    <row r="7" spans="1:35" ht="13">
      <c r="A7" s="280"/>
      <c r="B7" s="280"/>
      <c r="C7" s="328" t="s">
        <v>124</v>
      </c>
      <c r="D7" s="329"/>
      <c r="E7" s="532"/>
      <c r="F7" s="533"/>
      <c r="G7" s="533"/>
      <c r="H7" s="533"/>
      <c r="I7" s="534"/>
      <c r="J7" s="329"/>
      <c r="K7" s="329"/>
      <c r="L7" s="329"/>
      <c r="M7" s="535"/>
      <c r="N7" s="536"/>
      <c r="AD7" s="290"/>
      <c r="AE7" s="290"/>
      <c r="AF7" s="290"/>
      <c r="AG7" s="280"/>
      <c r="AH7" s="280"/>
      <c r="AI7" s="280"/>
    </row>
    <row r="8" spans="1:35" ht="5.15" customHeight="1">
      <c r="A8" s="280"/>
      <c r="B8" s="280"/>
      <c r="C8" s="330"/>
      <c r="D8" s="329"/>
      <c r="E8" s="329"/>
      <c r="F8" s="329"/>
      <c r="G8" s="329"/>
      <c r="H8" s="329"/>
      <c r="I8" s="329"/>
      <c r="J8" s="329"/>
      <c r="K8" s="329"/>
      <c r="L8" s="329"/>
      <c r="M8" s="329"/>
      <c r="N8" s="331"/>
      <c r="AD8" s="290"/>
      <c r="AE8" s="290"/>
      <c r="AF8" s="290"/>
      <c r="AG8" s="280"/>
      <c r="AH8" s="280"/>
      <c r="AI8" s="280"/>
    </row>
    <row r="9" spans="1:35" ht="13">
      <c r="A9" s="280"/>
      <c r="B9" s="280"/>
      <c r="C9" s="328" t="s">
        <v>27</v>
      </c>
      <c r="D9" s="332"/>
      <c r="E9" s="532"/>
      <c r="F9" s="533"/>
      <c r="G9" s="533"/>
      <c r="H9" s="533"/>
      <c r="I9" s="534"/>
      <c r="J9" s="333" t="s">
        <v>28</v>
      </c>
      <c r="K9" s="539"/>
      <c r="L9" s="540"/>
      <c r="M9" s="329"/>
      <c r="N9" s="331"/>
      <c r="S9" s="280"/>
      <c r="Y9" s="280" t="s">
        <v>185</v>
      </c>
      <c r="AA9" s="334"/>
      <c r="AD9" s="335">
        <f>Adm!AE2</f>
        <v>0</v>
      </c>
      <c r="AE9" s="336" t="s">
        <v>152</v>
      </c>
      <c r="AF9" s="337">
        <f>AF3*AD9</f>
        <v>0</v>
      </c>
      <c r="AH9" s="338"/>
      <c r="AI9" s="280"/>
    </row>
    <row r="10" spans="1:35" ht="3.75" customHeight="1">
      <c r="A10" s="280"/>
      <c r="B10" s="280"/>
      <c r="C10" s="339"/>
      <c r="D10" s="340"/>
      <c r="E10" s="340"/>
      <c r="F10" s="340"/>
      <c r="G10" s="340"/>
      <c r="H10" s="340"/>
      <c r="I10" s="340"/>
      <c r="J10" s="340"/>
      <c r="K10" s="340"/>
      <c r="L10" s="340"/>
      <c r="M10" s="340"/>
      <c r="N10" s="341"/>
      <c r="AI10" s="280"/>
    </row>
    <row r="11" spans="1:35" ht="5.25" customHeight="1">
      <c r="A11" s="280"/>
      <c r="B11" s="280"/>
      <c r="C11" s="280"/>
      <c r="D11" s="280"/>
      <c r="E11" s="280"/>
      <c r="F11" s="280"/>
      <c r="G11" s="280"/>
      <c r="H11" s="280"/>
      <c r="I11" s="280"/>
      <c r="J11" s="280"/>
      <c r="K11" s="280"/>
      <c r="L11" s="280"/>
      <c r="M11" s="280"/>
      <c r="N11" s="280"/>
      <c r="AI11" s="280"/>
    </row>
    <row r="12" spans="1:35" ht="15" customHeight="1">
      <c r="A12" s="280"/>
      <c r="B12" s="280"/>
      <c r="C12" s="342" t="s">
        <v>125</v>
      </c>
      <c r="D12" s="343"/>
      <c r="E12" s="343"/>
      <c r="F12" s="343"/>
      <c r="G12" s="343"/>
      <c r="H12" s="343"/>
      <c r="I12" s="343"/>
      <c r="J12" s="343"/>
      <c r="K12" s="343"/>
      <c r="L12" s="343"/>
      <c r="M12" s="343"/>
      <c r="N12" s="344"/>
      <c r="Y12" s="345">
        <f>Adm!J3</f>
        <v>0.125</v>
      </c>
      <c r="Z12" s="346" t="b">
        <f>IF(Adm!B2=Adm!B3,PMT(Y12/12,Adm!D2*12,-1000),IF(Adm!B2=Adm!B4,VLOOKUP(Y12,Adm!L4:N5,MATCH(Adm!D2,Adm!L3:N3,0))))</f>
        <v>0</v>
      </c>
      <c r="AA12" s="347" t="e">
        <f>AD2/Z12*1000</f>
        <v>#DIV/0!</v>
      </c>
      <c r="AB12" s="348" t="e">
        <f>AA12/Y1</f>
        <v>#DIV/0!</v>
      </c>
      <c r="AC12" s="349"/>
      <c r="AI12" s="280"/>
    </row>
    <row r="13" spans="1:35" s="280" customFormat="1" ht="13">
      <c r="C13" s="350"/>
      <c r="D13" s="300"/>
      <c r="E13" s="300"/>
      <c r="F13" s="300"/>
      <c r="G13" s="300"/>
      <c r="H13" s="300"/>
      <c r="I13" s="300"/>
      <c r="J13" s="300"/>
      <c r="K13" s="300"/>
      <c r="L13" s="300"/>
      <c r="M13" s="300"/>
      <c r="N13" s="351"/>
      <c r="Y13" s="345">
        <f>Adm!J4</f>
        <v>0.13500000000000001</v>
      </c>
      <c r="Z13" s="352" t="b">
        <f>IF(Adm!B2=Adm!B3,PMT(Y13/12,Adm!D2*12,-1000),IF(Adm!B2=Adm!B4,VLOOKUP(Y13,Adm!L4:N5,MATCH(Adm!D2,Adm!L3:N3,0))))</f>
        <v>0</v>
      </c>
      <c r="AA13" s="353" t="e">
        <f>AD2/Z13*1000</f>
        <v>#DIV/0!</v>
      </c>
      <c r="AB13" s="354" t="e">
        <f>AA13/Y1</f>
        <v>#DIV/0!</v>
      </c>
      <c r="AC13" s="355"/>
      <c r="AE13" s="277"/>
      <c r="AF13" s="277"/>
      <c r="AG13" s="277"/>
      <c r="AH13" s="277"/>
    </row>
    <row r="14" spans="1:35" s="280" customFormat="1" ht="13">
      <c r="C14" s="356" t="s">
        <v>54</v>
      </c>
      <c r="E14" s="300"/>
      <c r="F14" s="300"/>
      <c r="G14" s="357" t="s">
        <v>1</v>
      </c>
      <c r="I14" s="300"/>
      <c r="J14" s="358"/>
      <c r="K14" s="300"/>
      <c r="L14" s="300"/>
      <c r="M14" s="300"/>
      <c r="N14" s="351"/>
      <c r="AB14" s="359" t="e">
        <f>IF(AB12&lt;=80%,AB12,AB13)</f>
        <v>#DIV/0!</v>
      </c>
      <c r="AD14" s="300"/>
      <c r="AE14" s="300"/>
      <c r="AF14" s="356"/>
      <c r="AG14" s="300"/>
      <c r="AH14" s="277"/>
    </row>
    <row r="15" spans="1:35" s="280" customFormat="1" ht="5.15" customHeight="1">
      <c r="C15" s="356"/>
      <c r="D15" s="300"/>
      <c r="E15" s="300"/>
      <c r="F15" s="300"/>
      <c r="G15" s="360"/>
      <c r="H15" s="300"/>
      <c r="K15" s="300"/>
      <c r="L15" s="300"/>
      <c r="M15" s="300"/>
      <c r="N15" s="300"/>
      <c r="AD15" s="300"/>
      <c r="AE15" s="300"/>
      <c r="AF15" s="300"/>
      <c r="AG15" s="300"/>
      <c r="AH15" s="277"/>
    </row>
    <row r="16" spans="1:35" s="280" customFormat="1" ht="13">
      <c r="C16" s="361" t="s">
        <v>135</v>
      </c>
      <c r="D16" s="300"/>
      <c r="G16" s="362"/>
      <c r="H16" s="300"/>
      <c r="I16" s="356" t="s">
        <v>191</v>
      </c>
      <c r="J16" s="300"/>
      <c r="K16" s="441"/>
      <c r="AB16" s="363"/>
      <c r="AD16" s="300"/>
      <c r="AE16" s="300"/>
      <c r="AF16" s="356"/>
      <c r="AG16" s="300"/>
      <c r="AH16" s="277"/>
    </row>
    <row r="17" spans="1:35" s="280" customFormat="1" ht="5.15" customHeight="1">
      <c r="C17" s="356"/>
      <c r="D17" s="300"/>
      <c r="E17" s="300"/>
      <c r="F17" s="300"/>
      <c r="G17" s="360"/>
      <c r="H17" s="300"/>
      <c r="I17" s="300"/>
      <c r="J17" s="300"/>
      <c r="K17" s="300"/>
      <c r="L17" s="300"/>
      <c r="M17" s="300"/>
      <c r="N17" s="351"/>
      <c r="AD17" s="364"/>
      <c r="AE17" s="365"/>
      <c r="AF17" s="366"/>
      <c r="AG17" s="300"/>
      <c r="AH17" s="277"/>
    </row>
    <row r="18" spans="1:35" s="280" customFormat="1" ht="13">
      <c r="C18" s="356" t="s">
        <v>36</v>
      </c>
      <c r="E18" s="300"/>
      <c r="F18" s="300"/>
      <c r="G18" s="362"/>
      <c r="H18" s="300"/>
      <c r="I18" s="300"/>
      <c r="J18" s="300"/>
      <c r="K18" s="300"/>
      <c r="L18" s="300"/>
      <c r="M18" s="300"/>
      <c r="N18" s="351"/>
      <c r="AD18" s="300"/>
      <c r="AE18" s="300"/>
      <c r="AF18" s="300"/>
      <c r="AG18" s="300"/>
      <c r="AH18" s="277"/>
    </row>
    <row r="19" spans="1:35" s="280" customFormat="1" ht="5.15" customHeight="1">
      <c r="C19" s="356"/>
      <c r="D19" s="300"/>
      <c r="E19" s="300"/>
      <c r="F19" s="300"/>
      <c r="G19" s="360"/>
      <c r="H19" s="300"/>
      <c r="I19" s="300"/>
      <c r="J19" s="300"/>
      <c r="K19" s="300"/>
      <c r="L19" s="300"/>
      <c r="M19" s="300"/>
      <c r="N19" s="351"/>
      <c r="AD19" s="300"/>
      <c r="AE19" s="300"/>
      <c r="AF19" s="300"/>
      <c r="AG19" s="300"/>
      <c r="AH19" s="277"/>
    </row>
    <row r="20" spans="1:35" s="280" customFormat="1" ht="13">
      <c r="C20" s="356" t="s">
        <v>22</v>
      </c>
      <c r="D20" s="367"/>
      <c r="F20" s="300"/>
      <c r="G20" s="362">
        <v>1</v>
      </c>
      <c r="H20" s="300"/>
      <c r="I20" s="300"/>
      <c r="J20" s="300"/>
      <c r="K20" s="300"/>
      <c r="L20" s="300"/>
      <c r="M20" s="300"/>
      <c r="N20" s="351"/>
      <c r="AD20" s="300"/>
      <c r="AE20" s="300"/>
      <c r="AF20" s="300"/>
      <c r="AG20" s="300"/>
      <c r="AH20" s="277"/>
      <c r="AI20" s="277"/>
    </row>
    <row r="21" spans="1:35" s="280" customFormat="1" ht="5.15" customHeight="1">
      <c r="C21" s="356"/>
      <c r="D21" s="300"/>
      <c r="E21" s="300"/>
      <c r="F21" s="300"/>
      <c r="G21" s="360"/>
      <c r="H21" s="300"/>
      <c r="I21" s="300"/>
      <c r="J21" s="300"/>
      <c r="K21" s="300"/>
      <c r="L21" s="300"/>
      <c r="M21" s="300"/>
      <c r="N21" s="351"/>
      <c r="AD21" s="300"/>
      <c r="AE21" s="300"/>
      <c r="AF21" s="300"/>
      <c r="AG21" s="300"/>
      <c r="AH21" s="277"/>
      <c r="AI21" s="277"/>
    </row>
    <row r="22" spans="1:35" s="280" customFormat="1" ht="13">
      <c r="C22" s="368" t="s">
        <v>181</v>
      </c>
      <c r="D22" s="367"/>
      <c r="E22" s="367"/>
      <c r="F22" s="367"/>
      <c r="G22" s="362" t="s">
        <v>11</v>
      </c>
      <c r="H22" s="300"/>
      <c r="I22" s="300"/>
      <c r="J22" s="300"/>
      <c r="K22" s="300"/>
      <c r="L22" s="300"/>
      <c r="M22" s="300"/>
      <c r="N22" s="351"/>
      <c r="AD22" s="300"/>
      <c r="AE22" s="300"/>
      <c r="AF22" s="300"/>
      <c r="AG22" s="300"/>
      <c r="AH22" s="277"/>
      <c r="AI22" s="277"/>
    </row>
    <row r="23" spans="1:35" s="280" customFormat="1" ht="5.15" customHeight="1">
      <c r="C23" s="368"/>
      <c r="D23" s="367"/>
      <c r="E23" s="367"/>
      <c r="F23" s="367"/>
      <c r="G23" s="369"/>
      <c r="H23" s="300"/>
      <c r="I23" s="300"/>
      <c r="J23" s="300"/>
      <c r="K23" s="300"/>
      <c r="L23" s="300"/>
      <c r="M23" s="300"/>
      <c r="N23" s="351"/>
      <c r="AD23" s="300"/>
      <c r="AE23" s="300"/>
      <c r="AF23" s="300"/>
      <c r="AG23" s="300"/>
      <c r="AH23" s="277"/>
      <c r="AI23" s="277"/>
    </row>
    <row r="24" spans="1:35" s="280" customFormat="1" ht="13">
      <c r="C24" s="368" t="s">
        <v>182</v>
      </c>
      <c r="D24" s="367"/>
      <c r="E24" s="367"/>
      <c r="F24" s="367"/>
      <c r="G24" s="362" t="s">
        <v>11</v>
      </c>
      <c r="H24" s="300"/>
      <c r="I24" s="300"/>
      <c r="J24" s="300"/>
      <c r="K24" s="300"/>
      <c r="L24" s="300"/>
      <c r="M24" s="300"/>
      <c r="N24" s="351"/>
      <c r="AD24" s="300"/>
      <c r="AE24" s="300"/>
      <c r="AF24" s="300"/>
      <c r="AG24" s="300"/>
      <c r="AH24" s="277"/>
      <c r="AI24" s="277"/>
    </row>
    <row r="25" spans="1:35" s="280" customFormat="1" ht="5.15" customHeight="1">
      <c r="C25" s="356"/>
      <c r="D25" s="300"/>
      <c r="E25" s="300"/>
      <c r="F25" s="300"/>
      <c r="G25" s="360"/>
      <c r="H25" s="300"/>
      <c r="I25" s="300"/>
      <c r="J25" s="300"/>
      <c r="K25" s="300"/>
      <c r="L25" s="300"/>
      <c r="M25" s="300"/>
      <c r="N25" s="351"/>
      <c r="AD25" s="277"/>
      <c r="AE25" s="277"/>
      <c r="AF25" s="277"/>
      <c r="AG25" s="277"/>
      <c r="AH25" s="277"/>
      <c r="AI25" s="277"/>
    </row>
    <row r="26" spans="1:35" s="280" customFormat="1" ht="13">
      <c r="C26" s="350" t="s">
        <v>53</v>
      </c>
      <c r="D26" s="370"/>
      <c r="F26" s="300"/>
      <c r="G26" s="371"/>
      <c r="H26" s="300"/>
      <c r="I26" s="300"/>
      <c r="J26" s="300"/>
      <c r="K26" s="300"/>
      <c r="L26" s="300"/>
      <c r="M26" s="300"/>
      <c r="N26" s="351"/>
      <c r="AD26" s="277"/>
      <c r="AE26" s="277"/>
      <c r="AF26" s="277"/>
      <c r="AG26" s="277"/>
      <c r="AH26" s="277"/>
      <c r="AI26" s="277"/>
    </row>
    <row r="27" spans="1:35" s="280" customFormat="1" ht="5.15" customHeight="1">
      <c r="C27" s="356"/>
      <c r="D27" s="300"/>
      <c r="E27" s="300"/>
      <c r="F27" s="300"/>
      <c r="G27" s="360"/>
      <c r="H27" s="300"/>
      <c r="I27" s="300"/>
      <c r="J27" s="300"/>
      <c r="K27" s="300"/>
      <c r="L27" s="300"/>
      <c r="M27" s="300"/>
      <c r="N27" s="351"/>
      <c r="AD27" s="277"/>
      <c r="AE27" s="277"/>
      <c r="AF27" s="277"/>
      <c r="AG27" s="277"/>
      <c r="AH27" s="277"/>
      <c r="AI27" s="277"/>
    </row>
    <row r="28" spans="1:35" s="280" customFormat="1" ht="13">
      <c r="C28" s="372" t="s">
        <v>134</v>
      </c>
      <c r="D28" s="290"/>
      <c r="E28" s="277"/>
      <c r="G28" s="373"/>
      <c r="I28" s="374" t="s">
        <v>180</v>
      </c>
      <c r="J28" s="375"/>
      <c r="L28" s="300"/>
      <c r="M28" s="300"/>
      <c r="N28" s="351"/>
      <c r="AD28" s="277"/>
      <c r="AE28" s="277"/>
      <c r="AF28" s="277"/>
      <c r="AG28" s="277"/>
      <c r="AH28" s="277"/>
      <c r="AI28" s="277"/>
    </row>
    <row r="29" spans="1:35" s="280" customFormat="1" ht="5.15" customHeight="1">
      <c r="C29" s="356"/>
      <c r="D29" s="300"/>
      <c r="E29" s="300"/>
      <c r="F29" s="300"/>
      <c r="G29" s="360"/>
      <c r="H29" s="300"/>
      <c r="I29" s="300"/>
      <c r="J29" s="300"/>
      <c r="K29" s="300"/>
      <c r="L29" s="300"/>
      <c r="M29" s="300"/>
      <c r="N29" s="351"/>
      <c r="AD29" s="277"/>
      <c r="AE29" s="277"/>
      <c r="AF29" s="277"/>
      <c r="AG29" s="277"/>
      <c r="AH29" s="277"/>
      <c r="AI29" s="277"/>
    </row>
    <row r="30" spans="1:35" s="280" customFormat="1" ht="13">
      <c r="C30" s="376" t="s">
        <v>183</v>
      </c>
      <c r="D30" s="300"/>
      <c r="E30" s="300"/>
      <c r="F30" s="300"/>
      <c r="G30" s="373"/>
      <c r="H30" s="377" t="str">
        <f>IF(Adm!T2&gt;=2," Para créditos con más de 1 interviniente deberás capturar la suma de todos los ingresos","")</f>
        <v/>
      </c>
      <c r="I30" s="300"/>
      <c r="J30" s="300"/>
      <c r="K30" s="300"/>
      <c r="L30" s="300"/>
      <c r="M30" s="300"/>
      <c r="N30" s="351"/>
      <c r="AD30" s="277"/>
      <c r="AE30" s="277"/>
      <c r="AF30" s="277"/>
      <c r="AG30" s="277"/>
      <c r="AH30" s="277"/>
      <c r="AI30" s="277"/>
    </row>
    <row r="31" spans="1:35" s="280" customFormat="1" ht="13">
      <c r="C31" s="356"/>
      <c r="D31" s="300"/>
      <c r="E31" s="300"/>
      <c r="F31" s="300"/>
      <c r="G31" s="300"/>
      <c r="H31" s="300"/>
      <c r="I31" s="300"/>
      <c r="J31" s="300"/>
      <c r="K31" s="300"/>
      <c r="L31" s="300"/>
      <c r="M31" s="300"/>
      <c r="N31" s="351"/>
      <c r="AD31" s="277"/>
      <c r="AE31" s="277"/>
      <c r="AF31" s="277"/>
      <c r="AG31" s="277"/>
      <c r="AH31" s="277"/>
      <c r="AI31" s="277"/>
    </row>
    <row r="32" spans="1:35" ht="16.5" customHeight="1">
      <c r="A32" s="280"/>
      <c r="B32" s="280"/>
      <c r="C32" s="528" t="str">
        <f>S1</f>
        <v>Indica esquema de pagos</v>
      </c>
      <c r="D32" s="529"/>
      <c r="E32" s="529"/>
      <c r="F32" s="529"/>
      <c r="G32" s="529"/>
      <c r="H32" s="529"/>
      <c r="I32" s="529"/>
      <c r="J32" s="529"/>
      <c r="K32" s="529"/>
      <c r="L32" s="529"/>
      <c r="M32" s="529"/>
      <c r="N32" s="530"/>
      <c r="U32" s="280"/>
    </row>
    <row r="33" spans="1:23" ht="15" customHeight="1">
      <c r="A33" s="300"/>
      <c r="B33" s="300"/>
      <c r="C33" s="378" t="s">
        <v>136</v>
      </c>
      <c r="D33" s="379"/>
      <c r="E33" s="379"/>
      <c r="F33" s="379"/>
      <c r="G33" s="379"/>
      <c r="H33" s="379"/>
      <c r="I33" s="379"/>
      <c r="J33" s="379"/>
      <c r="K33" s="379"/>
      <c r="L33" s="379"/>
      <c r="M33" s="379"/>
      <c r="N33" s="379"/>
      <c r="O33" s="300"/>
    </row>
    <row r="34" spans="1:23" ht="18.75" customHeight="1">
      <c r="A34" s="280"/>
      <c r="B34" s="280"/>
      <c r="C34" s="525" t="s">
        <v>137</v>
      </c>
      <c r="D34" s="525"/>
      <c r="E34" s="525"/>
      <c r="F34" s="525"/>
      <c r="G34" s="525"/>
      <c r="H34" s="525"/>
      <c r="I34" s="525"/>
      <c r="J34" s="525"/>
      <c r="K34" s="525"/>
      <c r="L34" s="525"/>
      <c r="M34" s="525"/>
      <c r="N34" s="525"/>
    </row>
    <row r="35" spans="1:23">
      <c r="A35" s="280"/>
      <c r="B35" s="280"/>
      <c r="C35" s="380"/>
      <c r="D35" s="381"/>
      <c r="E35" s="381"/>
      <c r="F35" s="381"/>
      <c r="G35" s="381"/>
      <c r="H35" s="381"/>
      <c r="I35" s="381"/>
      <c r="J35" s="381"/>
      <c r="K35" s="381"/>
      <c r="L35" s="381"/>
      <c r="M35" s="381"/>
      <c r="N35" s="382"/>
    </row>
    <row r="36" spans="1:23" ht="13">
      <c r="A36" s="280"/>
      <c r="B36" s="280"/>
      <c r="C36" s="383"/>
      <c r="D36" s="384" t="s">
        <v>156</v>
      </c>
      <c r="E36" s="329"/>
      <c r="F36" s="329"/>
      <c r="G36" s="329"/>
      <c r="H36" s="329"/>
      <c r="I36" s="329"/>
      <c r="J36" s="384" t="s">
        <v>139</v>
      </c>
      <c r="K36" s="329"/>
      <c r="L36" s="329"/>
      <c r="M36" s="329"/>
      <c r="N36" s="385"/>
    </row>
    <row r="37" spans="1:23" ht="5.15" customHeight="1">
      <c r="A37" s="280"/>
      <c r="B37" s="280"/>
      <c r="C37" s="383"/>
      <c r="D37" s="329"/>
      <c r="E37" s="329"/>
      <c r="F37" s="329"/>
      <c r="G37" s="386"/>
      <c r="H37" s="329"/>
      <c r="I37" s="329"/>
      <c r="J37" s="329"/>
      <c r="K37" s="329"/>
      <c r="L37" s="329"/>
      <c r="M37" s="329"/>
      <c r="N37" s="385"/>
    </row>
    <row r="38" spans="1:23" ht="13">
      <c r="A38" s="280"/>
      <c r="B38" s="280"/>
      <c r="C38" s="383"/>
      <c r="D38" s="387" t="s">
        <v>138</v>
      </c>
      <c r="E38" s="329"/>
      <c r="F38" s="329"/>
      <c r="G38" s="388">
        <f>G28</f>
        <v>0</v>
      </c>
      <c r="H38" s="329"/>
      <c r="I38" s="329"/>
      <c r="J38" s="387" t="s">
        <v>62</v>
      </c>
      <c r="K38" s="329"/>
      <c r="L38" s="329"/>
      <c r="M38" s="388">
        <f>IF(C32&lt;&gt;"",0,AF3*Adm!S2)</f>
        <v>0</v>
      </c>
      <c r="N38" s="385"/>
    </row>
    <row r="39" spans="1:23" ht="5.15" customHeight="1">
      <c r="C39" s="383"/>
      <c r="D39" s="329"/>
      <c r="E39" s="329"/>
      <c r="F39" s="329"/>
      <c r="G39" s="389"/>
      <c r="H39" s="329"/>
      <c r="I39" s="329"/>
      <c r="J39" s="387"/>
      <c r="K39" s="329"/>
      <c r="L39" s="329"/>
      <c r="M39" s="389"/>
      <c r="N39" s="385"/>
    </row>
    <row r="40" spans="1:23" ht="12.75" customHeight="1">
      <c r="C40" s="383"/>
      <c r="D40" s="329"/>
      <c r="E40" s="329"/>
      <c r="F40" s="390" t="s">
        <v>66</v>
      </c>
      <c r="G40" s="388">
        <f>IF(C32&lt;&gt;"",0,Y2)</f>
        <v>0</v>
      </c>
      <c r="H40" s="329"/>
      <c r="I40" s="329"/>
      <c r="J40" s="387" t="s">
        <v>61</v>
      </c>
      <c r="K40" s="329"/>
      <c r="L40" s="329"/>
      <c r="M40" s="388">
        <f>IF(C32&lt;&gt;"",0,Adm!Y2)</f>
        <v>0</v>
      </c>
      <c r="N40" s="385"/>
      <c r="U40" s="307"/>
      <c r="V40" s="307"/>
      <c r="W40" s="307"/>
    </row>
    <row r="41" spans="1:23" ht="5.15" customHeight="1">
      <c r="C41" s="383"/>
      <c r="D41" s="329"/>
      <c r="E41" s="329"/>
      <c r="F41" s="391"/>
      <c r="G41" s="389"/>
      <c r="H41" s="329"/>
      <c r="I41" s="329"/>
      <c r="J41" s="387"/>
      <c r="K41" s="329"/>
      <c r="L41" s="329"/>
      <c r="M41" s="389"/>
      <c r="N41" s="385"/>
      <c r="U41" s="307"/>
      <c r="V41" s="307"/>
      <c r="W41" s="307"/>
    </row>
    <row r="42" spans="1:23" ht="13">
      <c r="C42" s="383"/>
      <c r="D42" s="329"/>
      <c r="E42" s="329"/>
      <c r="F42" s="390" t="s">
        <v>153</v>
      </c>
      <c r="G42" s="388">
        <f>J28</f>
        <v>0</v>
      </c>
      <c r="H42" s="329"/>
      <c r="I42" s="329"/>
      <c r="J42" s="387" t="s">
        <v>122</v>
      </c>
      <c r="K42" s="329"/>
      <c r="L42" s="329"/>
      <c r="M42" s="388">
        <f>IF(C32&lt;&gt;"",0,G28*G26)</f>
        <v>0</v>
      </c>
      <c r="N42" s="385"/>
      <c r="U42" s="307"/>
      <c r="V42" s="307"/>
      <c r="W42" s="307"/>
    </row>
    <row r="43" spans="1:23" ht="5.15" customHeight="1">
      <c r="C43" s="383"/>
      <c r="D43" s="329"/>
      <c r="E43" s="329"/>
      <c r="F43" s="391"/>
      <c r="G43" s="389"/>
      <c r="H43" s="329"/>
      <c r="I43" s="329"/>
      <c r="J43" s="387"/>
      <c r="K43" s="329"/>
      <c r="L43" s="329"/>
      <c r="M43" s="389"/>
      <c r="N43" s="385"/>
      <c r="U43" s="307"/>
      <c r="V43" s="307"/>
      <c r="W43" s="307"/>
    </row>
    <row r="44" spans="1:23" ht="15">
      <c r="C44" s="383"/>
      <c r="D44" s="329"/>
      <c r="E44" s="329"/>
      <c r="F44" s="390" t="s">
        <v>155</v>
      </c>
      <c r="G44" s="388">
        <f>AF4</f>
        <v>0</v>
      </c>
      <c r="H44" s="329"/>
      <c r="I44" s="329"/>
      <c r="J44" s="387" t="s">
        <v>193</v>
      </c>
      <c r="K44" s="329"/>
      <c r="L44" s="329"/>
      <c r="M44" s="388">
        <f>IF(C32&lt;&gt;"",0,(Adm!AH2*G20))</f>
        <v>0</v>
      </c>
      <c r="N44" s="392"/>
      <c r="P44" s="393"/>
      <c r="U44" s="307"/>
      <c r="V44" s="307"/>
      <c r="W44" s="307"/>
    </row>
    <row r="45" spans="1:23" ht="5.15" customHeight="1">
      <c r="C45" s="383"/>
      <c r="D45" s="329"/>
      <c r="E45" s="329"/>
      <c r="F45" s="329"/>
      <c r="G45" s="389"/>
      <c r="H45" s="329"/>
      <c r="I45" s="329"/>
      <c r="J45" s="387"/>
      <c r="K45" s="329"/>
      <c r="L45" s="329"/>
      <c r="M45" s="389"/>
      <c r="N45" s="385"/>
      <c r="U45" s="307"/>
      <c r="V45" s="307"/>
      <c r="W45" s="307"/>
    </row>
    <row r="46" spans="1:23" ht="15">
      <c r="C46" s="383"/>
      <c r="D46" s="394" t="s">
        <v>60</v>
      </c>
      <c r="E46" s="329"/>
      <c r="F46" s="329"/>
      <c r="G46" s="395">
        <f>IF(C32&lt;&gt;"",0,AF3)</f>
        <v>0</v>
      </c>
      <c r="H46" s="329"/>
      <c r="I46" s="329"/>
      <c r="J46" s="387" t="s">
        <v>194</v>
      </c>
      <c r="K46" s="329"/>
      <c r="L46" s="329"/>
      <c r="M46" s="388">
        <f>IF(C32&lt;&gt;"",0,AF9)</f>
        <v>0</v>
      </c>
      <c r="N46" s="385"/>
      <c r="U46" s="307"/>
      <c r="V46" s="307"/>
      <c r="W46" s="307"/>
    </row>
    <row r="47" spans="1:23" ht="5.15" customHeight="1">
      <c r="C47" s="383"/>
      <c r="D47" s="329"/>
      <c r="E47" s="329"/>
      <c r="F47" s="329"/>
      <c r="G47" s="389"/>
      <c r="H47" s="329"/>
      <c r="I47" s="329"/>
      <c r="J47" s="387"/>
      <c r="K47" s="329"/>
      <c r="L47" s="329"/>
      <c r="M47" s="389"/>
      <c r="N47" s="385"/>
      <c r="U47" s="307"/>
      <c r="V47" s="307"/>
      <c r="W47" s="307"/>
    </row>
    <row r="48" spans="1:23" ht="13">
      <c r="C48" s="383"/>
      <c r="D48" s="329"/>
      <c r="E48" s="329"/>
      <c r="F48" s="329"/>
      <c r="G48" s="389"/>
      <c r="H48" s="329"/>
      <c r="I48" s="329"/>
      <c r="J48" s="396" t="s">
        <v>154</v>
      </c>
      <c r="K48" s="541" t="str">
        <f>IF(AF4&gt;0,"(obligatorio + opcional +necesario)","(obligatorio +opcional)")</f>
        <v>(obligatorio +opcional)</v>
      </c>
      <c r="L48" s="541"/>
      <c r="M48" s="388">
        <f>G40+G42+AF4</f>
        <v>0</v>
      </c>
      <c r="N48" s="385"/>
      <c r="U48" s="307"/>
      <c r="V48" s="307"/>
      <c r="W48" s="307"/>
    </row>
    <row r="49" spans="1:81" ht="5.15" customHeight="1">
      <c r="C49" s="383"/>
      <c r="D49" s="329"/>
      <c r="E49" s="329"/>
      <c r="F49" s="329"/>
      <c r="G49" s="389"/>
      <c r="H49" s="329"/>
      <c r="I49" s="329"/>
      <c r="J49" s="329"/>
      <c r="K49" s="329"/>
      <c r="L49" s="329"/>
      <c r="M49" s="389"/>
      <c r="N49" s="385"/>
      <c r="U49" s="307"/>
      <c r="V49" s="307"/>
      <c r="W49" s="307"/>
    </row>
    <row r="50" spans="1:81" ht="14">
      <c r="C50" s="383"/>
      <c r="D50" s="397" t="s">
        <v>140</v>
      </c>
      <c r="E50" s="329"/>
      <c r="F50" s="329"/>
      <c r="G50" s="389"/>
      <c r="H50" s="329"/>
      <c r="I50" s="329"/>
      <c r="J50" s="329"/>
      <c r="K50" s="384" t="s">
        <v>81</v>
      </c>
      <c r="L50" s="398"/>
      <c r="M50" s="395">
        <f>SUM(M38:M48)</f>
        <v>0</v>
      </c>
      <c r="N50" s="385"/>
      <c r="U50" s="307"/>
      <c r="V50" s="307"/>
      <c r="W50" s="307"/>
    </row>
    <row r="51" spans="1:81" ht="5.15" customHeight="1">
      <c r="C51" s="383"/>
      <c r="D51" s="329"/>
      <c r="E51" s="329"/>
      <c r="F51" s="329"/>
      <c r="G51" s="389"/>
      <c r="H51" s="329"/>
      <c r="I51" s="329"/>
      <c r="J51" s="329"/>
      <c r="K51" s="329"/>
      <c r="L51" s="329"/>
      <c r="M51" s="329"/>
      <c r="N51" s="385"/>
      <c r="U51" s="307"/>
      <c r="V51" s="307"/>
      <c r="W51" s="307"/>
    </row>
    <row r="52" spans="1:81" ht="13">
      <c r="C52" s="383"/>
      <c r="D52" s="387" t="s">
        <v>141</v>
      </c>
      <c r="E52" s="329"/>
      <c r="F52" s="329"/>
      <c r="G52" s="388">
        <f>IF(Adm!B2=Adm!B3,PMT(D70/12,Adm!D2*12,-L69),L69*Adm!K2/1000)</f>
        <v>0</v>
      </c>
      <c r="H52" s="329"/>
      <c r="I52" s="329"/>
      <c r="J52" s="329"/>
      <c r="K52" s="329"/>
      <c r="L52" s="329"/>
      <c r="M52" s="329"/>
      <c r="N52" s="385"/>
      <c r="U52" s="307"/>
      <c r="V52" s="307"/>
      <c r="W52" s="307"/>
    </row>
    <row r="53" spans="1:81" ht="5.15" customHeight="1" thickBot="1">
      <c r="C53" s="383"/>
      <c r="D53" s="387"/>
      <c r="E53" s="329"/>
      <c r="F53" s="329"/>
      <c r="G53" s="389"/>
      <c r="H53" s="329"/>
      <c r="I53" s="329"/>
      <c r="J53" s="329"/>
      <c r="K53" s="329"/>
      <c r="L53" s="329"/>
      <c r="M53" s="329"/>
      <c r="N53" s="385"/>
      <c r="U53" s="307"/>
      <c r="V53" s="307"/>
      <c r="W53" s="307"/>
    </row>
    <row r="54" spans="1:81" ht="13">
      <c r="C54" s="383"/>
      <c r="D54" s="387" t="s">
        <v>132</v>
      </c>
      <c r="E54" s="329"/>
      <c r="F54" s="329"/>
      <c r="G54" s="388">
        <f>L69*Adm!$V$3</f>
        <v>0</v>
      </c>
      <c r="H54" s="329"/>
      <c r="I54" s="329"/>
      <c r="J54" s="399" t="s">
        <v>186</v>
      </c>
      <c r="K54" s="400">
        <f>IF(C32&lt;&gt;"",0,Adm!J2)</f>
        <v>0</v>
      </c>
      <c r="L54" s="401"/>
      <c r="M54" s="329"/>
      <c r="N54" s="385"/>
      <c r="U54" s="307"/>
      <c r="V54" s="307"/>
      <c r="W54" s="307"/>
      <c r="CC54" s="322"/>
    </row>
    <row r="55" spans="1:81" ht="5.15" customHeight="1">
      <c r="C55" s="383"/>
      <c r="D55" s="387"/>
      <c r="E55" s="329"/>
      <c r="F55" s="329"/>
      <c r="G55" s="389"/>
      <c r="H55" s="329"/>
      <c r="I55" s="329"/>
      <c r="J55" s="402"/>
      <c r="K55" s="300"/>
      <c r="L55" s="403"/>
      <c r="M55" s="329"/>
      <c r="N55" s="385"/>
      <c r="U55" s="307"/>
      <c r="V55" s="307"/>
      <c r="W55" s="307"/>
    </row>
    <row r="56" spans="1:81" ht="13">
      <c r="C56" s="383"/>
      <c r="D56" s="404" t="s">
        <v>133</v>
      </c>
      <c r="E56" s="405"/>
      <c r="F56" s="405"/>
      <c r="G56" s="388">
        <f>($G$28*0.7*Adm!$W$3)</f>
        <v>0</v>
      </c>
      <c r="H56" s="329"/>
      <c r="I56" s="329"/>
      <c r="J56" s="402" t="s">
        <v>36</v>
      </c>
      <c r="K56" s="406">
        <f>IF(C32&lt;&gt;"",0,Captura!G18)</f>
        <v>0</v>
      </c>
      <c r="L56" s="407"/>
      <c r="M56" s="408"/>
      <c r="N56" s="385"/>
      <c r="S56" s="322"/>
      <c r="U56" s="307"/>
      <c r="V56" s="307"/>
      <c r="W56" s="307"/>
    </row>
    <row r="57" spans="1:81" ht="5.15" customHeight="1" thickBot="1">
      <c r="C57" s="383"/>
      <c r="D57" s="405"/>
      <c r="E57" s="405"/>
      <c r="F57" s="405"/>
      <c r="G57" s="389"/>
      <c r="H57" s="329"/>
      <c r="I57" s="329"/>
      <c r="J57" s="409"/>
      <c r="K57" s="410"/>
      <c r="L57" s="411"/>
      <c r="M57" s="408"/>
      <c r="N57" s="385"/>
      <c r="S57" s="322"/>
      <c r="U57" s="307"/>
      <c r="V57" s="307"/>
      <c r="W57" s="307"/>
    </row>
    <row r="58" spans="1:81" ht="13">
      <c r="C58" s="383"/>
      <c r="D58" s="404" t="s">
        <v>142</v>
      </c>
      <c r="E58" s="412"/>
      <c r="F58" s="412"/>
      <c r="G58" s="388">
        <f>IF(C32&lt;&gt;"",0,Adm!$AD$2*1.16)</f>
        <v>0</v>
      </c>
      <c r="H58" s="329"/>
      <c r="I58" s="329"/>
      <c r="J58" s="329"/>
      <c r="K58" s="329"/>
      <c r="L58" s="398"/>
      <c r="M58" s="408"/>
      <c r="N58" s="385"/>
      <c r="S58" s="322"/>
      <c r="U58" s="307"/>
      <c r="V58" s="307"/>
      <c r="W58" s="307"/>
      <c r="AA58" s="413" t="str">
        <f>Adm!B3</f>
        <v>Congelados</v>
      </c>
    </row>
    <row r="59" spans="1:81" ht="5.15" customHeight="1">
      <c r="C59" s="383"/>
      <c r="D59" s="412"/>
      <c r="E59" s="412"/>
      <c r="F59" s="412"/>
      <c r="G59" s="389"/>
      <c r="H59" s="329"/>
      <c r="I59" s="329"/>
      <c r="J59" s="329"/>
      <c r="K59" s="329"/>
      <c r="L59" s="398"/>
      <c r="M59" s="408"/>
      <c r="N59" s="385"/>
      <c r="S59" s="322"/>
      <c r="U59" s="307"/>
      <c r="V59" s="307"/>
      <c r="W59" s="307"/>
      <c r="AA59" s="414"/>
    </row>
    <row r="60" spans="1:81" ht="14.5" thickBot="1">
      <c r="C60" s="383"/>
      <c r="D60" s="415" t="s">
        <v>143</v>
      </c>
      <c r="E60" s="412"/>
      <c r="F60" s="412"/>
      <c r="G60" s="395">
        <f>G52+G54+G56+G58</f>
        <v>0</v>
      </c>
      <c r="H60" s="329"/>
      <c r="I60" s="329"/>
      <c r="J60" s="329"/>
      <c r="K60" s="329"/>
      <c r="L60" s="398"/>
      <c r="M60" s="408"/>
      <c r="N60" s="385"/>
      <c r="S60" s="322"/>
      <c r="U60" s="307"/>
      <c r="V60" s="307"/>
      <c r="W60" s="307"/>
      <c r="Z60" s="416" t="s">
        <v>165</v>
      </c>
      <c r="AA60" s="417" t="str">
        <f>Adm!B4</f>
        <v>Crecientes</v>
      </c>
    </row>
    <row r="61" spans="1:81" ht="14">
      <c r="C61" s="418"/>
      <c r="D61" s="419"/>
      <c r="E61" s="419"/>
      <c r="F61" s="419"/>
      <c r="G61" s="420"/>
      <c r="H61" s="420"/>
      <c r="I61" s="420"/>
      <c r="J61" s="420"/>
      <c r="K61" s="420"/>
      <c r="L61" s="421"/>
      <c r="M61" s="422"/>
      <c r="N61" s="423"/>
      <c r="S61" s="322"/>
      <c r="U61" s="307"/>
      <c r="V61" s="307"/>
      <c r="W61" s="307"/>
      <c r="X61" s="424" t="s">
        <v>159</v>
      </c>
      <c r="Z61" s="425" t="s">
        <v>170</v>
      </c>
    </row>
    <row r="62" spans="1:81" ht="13">
      <c r="A62" s="280"/>
      <c r="B62" s="280"/>
      <c r="C62" s="280"/>
      <c r="D62" s="280"/>
      <c r="E62" s="280"/>
      <c r="F62" s="280"/>
      <c r="G62" s="280"/>
      <c r="H62" s="280"/>
      <c r="I62" s="280"/>
      <c r="J62" s="280"/>
      <c r="K62" s="280"/>
      <c r="L62" s="280"/>
      <c r="M62" s="280"/>
      <c r="N62" s="280"/>
      <c r="X62" s="426">
        <f>MAXA(C69:C369)</f>
        <v>0</v>
      </c>
      <c r="Z62" s="427" t="s">
        <v>172</v>
      </c>
      <c r="AA62" s="358" t="s">
        <v>171</v>
      </c>
      <c r="AF62" s="428" t="s">
        <v>161</v>
      </c>
      <c r="AG62" s="429">
        <v>1000000</v>
      </c>
    </row>
    <row r="63" spans="1:81" ht="15" customHeight="1">
      <c r="A63" s="280"/>
      <c r="B63" s="280"/>
      <c r="C63" s="526" t="s">
        <v>144</v>
      </c>
      <c r="D63" s="527"/>
      <c r="E63" s="527"/>
      <c r="F63" s="527"/>
      <c r="G63" s="527"/>
      <c r="H63" s="527"/>
      <c r="I63" s="527"/>
      <c r="J63" s="527"/>
      <c r="K63" s="527"/>
      <c r="L63" s="527"/>
      <c r="M63" s="527"/>
      <c r="N63" s="527"/>
      <c r="X63" s="430">
        <f>X62/12</f>
        <v>0</v>
      </c>
      <c r="Z63" s="431" t="str">
        <f>IF(M65="",Z60,M65)</f>
        <v>Reducción Plazo</v>
      </c>
      <c r="AA63" s="431">
        <f>Adm!B2</f>
        <v>0</v>
      </c>
      <c r="AF63" s="432" t="s">
        <v>162</v>
      </c>
      <c r="AG63" s="433" t="e">
        <f>Adm!J2</f>
        <v>#N/A</v>
      </c>
    </row>
    <row r="64" spans="1:81" ht="13">
      <c r="A64" s="280"/>
      <c r="B64" s="280"/>
      <c r="C64" s="280"/>
      <c r="D64" s="280"/>
      <c r="E64" s="280"/>
      <c r="F64" s="280"/>
      <c r="G64" s="280"/>
      <c r="H64" s="280"/>
      <c r="I64" s="280"/>
      <c r="J64" s="280"/>
      <c r="K64" s="280"/>
      <c r="L64" s="280"/>
      <c r="M64" s="280"/>
      <c r="N64" s="280"/>
      <c r="AF64" s="434" t="s">
        <v>163</v>
      </c>
      <c r="AG64" s="435">
        <f>Adm!K2</f>
        <v>0</v>
      </c>
    </row>
    <row r="65" spans="1:36" ht="18">
      <c r="A65" s="280"/>
      <c r="B65" s="280"/>
      <c r="C65" s="436" t="s">
        <v>145</v>
      </c>
      <c r="D65" s="436"/>
      <c r="E65" s="437" t="e">
        <f>CAT!C19</f>
        <v>#NUM!</v>
      </c>
      <c r="F65" s="438" t="s">
        <v>146</v>
      </c>
      <c r="G65" s="439"/>
      <c r="H65" s="280"/>
      <c r="I65" s="280"/>
      <c r="J65" s="280"/>
      <c r="K65" s="280"/>
      <c r="L65" s="440" t="s">
        <v>148</v>
      </c>
      <c r="M65" s="441"/>
      <c r="N65" s="280"/>
      <c r="AF65" s="432" t="s">
        <v>164</v>
      </c>
      <c r="AG65" s="433">
        <f>Adm!O2</f>
        <v>0</v>
      </c>
    </row>
    <row r="66" spans="1:36" ht="18">
      <c r="A66" s="280"/>
      <c r="B66" s="280"/>
      <c r="C66" s="442" t="str">
        <f ca="1">CONCATENATE("Calculado al"," ",N4," ",".Para fines informativos y de comparación.")</f>
        <v>Calculado al 15 ago 2025 .Para fines informativos y de comparación.</v>
      </c>
      <c r="D66" s="442"/>
      <c r="E66" s="437"/>
      <c r="F66" s="438"/>
      <c r="G66" s="443"/>
      <c r="H66" s="280"/>
      <c r="I66" s="280"/>
      <c r="J66" s="280"/>
      <c r="K66" s="444" t="s">
        <v>173</v>
      </c>
      <c r="L66" s="445">
        <f>INT(X63)</f>
        <v>0</v>
      </c>
      <c r="M66" s="446" t="str">
        <f>IF(L66&gt;0,"años","")</f>
        <v/>
      </c>
      <c r="N66" s="280"/>
      <c r="AF66" s="432" t="s">
        <v>52</v>
      </c>
      <c r="AG66" s="447">
        <f>Adm!D2*12</f>
        <v>0</v>
      </c>
    </row>
    <row r="67" spans="1:36" ht="26.25" customHeight="1">
      <c r="A67" s="280"/>
      <c r="B67" s="280"/>
      <c r="C67" s="442"/>
      <c r="D67" s="442"/>
      <c r="E67" s="437"/>
      <c r="F67" s="438"/>
      <c r="G67" s="443"/>
      <c r="H67" s="280"/>
      <c r="I67" s="280"/>
      <c r="J67" s="280"/>
      <c r="K67" s="444"/>
      <c r="L67" s="448">
        <f>X62-(L66*12)</f>
        <v>0</v>
      </c>
      <c r="M67" s="449" t="str">
        <f>IF(L67&gt;0,"meses","")</f>
        <v/>
      </c>
      <c r="N67" s="280"/>
      <c r="AG67" s="290"/>
    </row>
    <row r="68" spans="1:36" s="311" customFormat="1" ht="42.75" customHeight="1">
      <c r="A68" s="450"/>
      <c r="B68" s="451" t="s">
        <v>157</v>
      </c>
      <c r="C68" s="452" t="s">
        <v>40</v>
      </c>
      <c r="D68" s="452" t="s">
        <v>126</v>
      </c>
      <c r="E68" s="452" t="s">
        <v>41</v>
      </c>
      <c r="F68" s="452" t="s">
        <v>42</v>
      </c>
      <c r="G68" s="452" t="s">
        <v>127</v>
      </c>
      <c r="H68" s="452" t="str">
        <f>IF(Adm!U3="no","","Seguro vida")</f>
        <v>Seguro vida</v>
      </c>
      <c r="I68" s="452" t="str">
        <f>IF(Adm!U4="no","","Seguro daños")</f>
        <v>Seguro daños</v>
      </c>
      <c r="J68" s="452" t="s">
        <v>128</v>
      </c>
      <c r="K68" s="452" t="s">
        <v>129</v>
      </c>
      <c r="L68" s="452" t="s">
        <v>130</v>
      </c>
      <c r="M68" s="453" t="s">
        <v>131</v>
      </c>
      <c r="Z68" s="454" t="s">
        <v>167</v>
      </c>
      <c r="AA68" s="454" t="s">
        <v>168</v>
      </c>
      <c r="AB68" s="454" t="s">
        <v>169</v>
      </c>
      <c r="AC68" s="455"/>
      <c r="AE68" s="456" t="s">
        <v>174</v>
      </c>
      <c r="AF68" s="456" t="s">
        <v>39</v>
      </c>
      <c r="AG68" s="456" t="s">
        <v>41</v>
      </c>
      <c r="AH68" s="457" t="s">
        <v>42</v>
      </c>
      <c r="AI68" s="457" t="s">
        <v>160</v>
      </c>
      <c r="AJ68" s="457" t="s">
        <v>47</v>
      </c>
    </row>
    <row r="69" spans="1:36" ht="13">
      <c r="B69" s="277">
        <f>Adm!D2*12</f>
        <v>0</v>
      </c>
      <c r="C69" s="458">
        <v>0</v>
      </c>
      <c r="D69" s="458"/>
      <c r="E69" s="459"/>
      <c r="F69" s="459"/>
      <c r="G69" s="459"/>
      <c r="H69" s="459"/>
      <c r="I69" s="459"/>
      <c r="J69" s="459"/>
      <c r="K69" s="459"/>
      <c r="L69" s="460">
        <f>IF(C32&lt;&gt;"",0,AF3)</f>
        <v>0</v>
      </c>
      <c r="M69" s="461"/>
      <c r="T69" s="462">
        <v>12</v>
      </c>
      <c r="U69" s="463" t="s">
        <v>49</v>
      </c>
      <c r="Z69" s="464"/>
      <c r="AA69" s="464"/>
      <c r="AB69" s="464"/>
      <c r="AC69" s="464"/>
      <c r="AE69" s="465">
        <v>1</v>
      </c>
      <c r="AJ69" s="338">
        <f>AG62</f>
        <v>1000000</v>
      </c>
    </row>
    <row r="70" spans="1:36">
      <c r="B70" s="277">
        <f>IF(L69&gt;0,B69-1,0)</f>
        <v>0</v>
      </c>
      <c r="C70" s="466">
        <f>IF(L69&gt;0.01,C69+1,0)</f>
        <v>0</v>
      </c>
      <c r="D70" s="467">
        <f>IF(L69&gt;0.01,Adm!J2,0)</f>
        <v>0</v>
      </c>
      <c r="E70" s="460">
        <f>IF(L69&lt;0.001,0,L69*D70/360*30.4166)</f>
        <v>0</v>
      </c>
      <c r="F70" s="460">
        <f>G70-E70</f>
        <v>0</v>
      </c>
      <c r="G70" s="460">
        <f>IF(L69=0,0,IF(Adm!B2=Adm!B4,L69*Adm!K2/1000,PMT(((D70/360)*(365/12)),Adm!D2*12,-L69)))</f>
        <v>0</v>
      </c>
      <c r="H70" s="460">
        <f>IF(L69&lt;0.01,0,IF($H$68="",0,L69*Adm!$V$3))</f>
        <v>0</v>
      </c>
      <c r="I70" s="460">
        <f>IF(L69&lt;0.01,0,IF($I$68="",0,($G$28*0.7*Adm!$W$3)))</f>
        <v>0</v>
      </c>
      <c r="J70" s="460">
        <f>IF(L69&lt;0.01,0,Adm!$AD$2*1.16)</f>
        <v>0</v>
      </c>
      <c r="K70" s="460">
        <f>IF(L69&lt;0.01,0,(G70+H70+I70+J70))</f>
        <v>0</v>
      </c>
      <c r="L70" s="460">
        <f>IF(L69&lt;0.01,0,(L69-F70-M70))</f>
        <v>0</v>
      </c>
      <c r="M70" s="468"/>
      <c r="T70" s="469">
        <f>IF(T69=12,1,T69+1)</f>
        <v>1</v>
      </c>
      <c r="U70" s="470"/>
      <c r="Z70" s="471"/>
      <c r="AA70" s="472"/>
      <c r="AB70" s="472"/>
      <c r="AC70" s="472"/>
      <c r="AE70" s="473" t="e">
        <f>AH70/AJ69</f>
        <v>#N/A</v>
      </c>
      <c r="AF70" s="474">
        <v>1</v>
      </c>
      <c r="AG70" s="475" t="e">
        <f>AJ69*$AG$63/12</f>
        <v>#N/A</v>
      </c>
      <c r="AH70" s="476" t="e">
        <f>AI70-AG70</f>
        <v>#N/A</v>
      </c>
      <c r="AI70" s="475">
        <f>AJ69*AG64/1000</f>
        <v>0</v>
      </c>
      <c r="AJ70" s="307" t="e">
        <f>IF(AJ69&lt;0.001,0,AJ69-AH70)</f>
        <v>#N/A</v>
      </c>
    </row>
    <row r="71" spans="1:36">
      <c r="B71" s="277">
        <f t="shared" ref="B71:B134" si="0">IF(L70&gt;0,B70-1,0)</f>
        <v>0</v>
      </c>
      <c r="C71" s="466">
        <f t="shared" ref="C71:C134" si="1">IF(L70&gt;0.01,C70+1,0)</f>
        <v>0</v>
      </c>
      <c r="D71" s="467">
        <f>IF(L70&gt;0.01,D70,0)</f>
        <v>0</v>
      </c>
      <c r="E71" s="460">
        <f t="shared" ref="E71:E134" si="2">IF(L70&lt;0.001,0,L70*D71/360*30.4166)</f>
        <v>0</v>
      </c>
      <c r="F71" s="460">
        <f t="shared" ref="F71:F134" si="3">G71-E71</f>
        <v>0</v>
      </c>
      <c r="G71" s="460">
        <f>IF(L70&lt;0.001,0,IF(Z71&gt;0,Z71,MIN(L70+E71,G70*(1+U71))))</f>
        <v>0</v>
      </c>
      <c r="H71" s="460">
        <f>IF(L70&lt;0.01,0,IF($H$68="",0,L70*Adm!$V$3))</f>
        <v>0</v>
      </c>
      <c r="I71" s="460">
        <f>IF(L70&lt;0.01,0,IF($I$68="",0,($G$28*0.7*Adm!$W$3)))</f>
        <v>0</v>
      </c>
      <c r="J71" s="460">
        <f>IF(L70&lt;0.01,0,Adm!$AD$2*1.16)</f>
        <v>0</v>
      </c>
      <c r="K71" s="460">
        <f t="shared" ref="K71:K134" si="4">IF(L70&lt;0.01,0,(G71+H71+I71+J71))</f>
        <v>0</v>
      </c>
      <c r="L71" s="460">
        <f t="shared" ref="L71:L134" si="5">IF(L70&lt;0.01,0,(L70-F71-M71))</f>
        <v>0</v>
      </c>
      <c r="M71" s="468"/>
      <c r="T71" s="469">
        <f t="shared" ref="T71:T134" si="6">IF(T70=12,1,T70+1)</f>
        <v>2</v>
      </c>
      <c r="U71" s="470">
        <f>IF(T71=1,Adm!$O$2,0)</f>
        <v>0</v>
      </c>
      <c r="Z71" s="477">
        <f t="shared" ref="Z71:Z134" si="7">IF(AA71&gt;0,AA71,IF(AB71&gt;0,AB71,0))</f>
        <v>0</v>
      </c>
      <c r="AA71" s="478">
        <f>IF(M70&lt;=0,0,IF($AA$63=$AA$60,0,IF($Z$63=$Z$61,PMT(Adm!$J$2/12,B70,-L70),0)))</f>
        <v>0</v>
      </c>
      <c r="AB71" s="479">
        <f t="shared" ref="AB71:AB134" si="8">IF(M70&lt;=0,0,IF($AA$63=$AA$58,0,IF($Z$63=$Z$61,(L70*AE71)+E71,0)))</f>
        <v>0</v>
      </c>
      <c r="AC71" s="479"/>
      <c r="AE71" s="473" t="e">
        <f t="shared" ref="AE71:AE134" si="9">AH71/AJ70</f>
        <v>#N/A</v>
      </c>
      <c r="AF71" s="480" t="e">
        <f>IF(AJ70&lt;=0,"",AF70+1)</f>
        <v>#N/A</v>
      </c>
      <c r="AG71" s="475" t="e">
        <f t="shared" ref="AG71:AG134" si="10">AJ70*$AG$63/12</f>
        <v>#N/A</v>
      </c>
      <c r="AH71" s="476" t="e">
        <f t="shared" ref="AH71:AH134" si="11">AI71-AG71</f>
        <v>#N/A</v>
      </c>
      <c r="AI71" s="475" t="e">
        <f>MIN(AJ70+AG71,AI70)</f>
        <v>#N/A</v>
      </c>
      <c r="AJ71" s="307" t="e">
        <f t="shared" ref="AJ71:AJ134" si="12">IF(AJ70&lt;0.001,0,AJ70-AH71)</f>
        <v>#N/A</v>
      </c>
    </row>
    <row r="72" spans="1:36">
      <c r="B72" s="277">
        <f t="shared" si="0"/>
        <v>0</v>
      </c>
      <c r="C72" s="466">
        <f t="shared" si="1"/>
        <v>0</v>
      </c>
      <c r="D72" s="467">
        <f t="shared" ref="D72:D135" si="13">IF(L71&gt;0.01,D71,0)</f>
        <v>0</v>
      </c>
      <c r="E72" s="460">
        <f t="shared" si="2"/>
        <v>0</v>
      </c>
      <c r="F72" s="460">
        <f t="shared" si="3"/>
        <v>0</v>
      </c>
      <c r="G72" s="460">
        <f t="shared" ref="G72:G135" si="14">IF(L71&lt;0.001,0,IF(Z72&gt;0,Z72,MIN(L71+E72,G71*(1+U72))))</f>
        <v>0</v>
      </c>
      <c r="H72" s="460">
        <f>IF(L71&lt;0.01,0,IF($H$68="",0,L71*Adm!$V$3))</f>
        <v>0</v>
      </c>
      <c r="I72" s="460">
        <f>IF(L71&lt;0.01,0,IF($I$68="",0,($G$28*0.7*Adm!$W$3)))</f>
        <v>0</v>
      </c>
      <c r="J72" s="460">
        <f>IF(L71&lt;0.01,0,Adm!$AD$2*1.16)</f>
        <v>0</v>
      </c>
      <c r="K72" s="460">
        <f t="shared" si="4"/>
        <v>0</v>
      </c>
      <c r="L72" s="460">
        <f t="shared" si="5"/>
        <v>0</v>
      </c>
      <c r="M72" s="468"/>
      <c r="T72" s="469">
        <f t="shared" si="6"/>
        <v>3</v>
      </c>
      <c r="U72" s="470">
        <f>IF(T72=1,Adm!$O$2,0)</f>
        <v>0</v>
      </c>
      <c r="Z72" s="477">
        <f t="shared" si="7"/>
        <v>0</v>
      </c>
      <c r="AA72" s="478">
        <f>IF(M71&lt;=0,0,IF($AA$63=$AA$60,0,IF($Z$63=$Z$61,PMT(Adm!$J$2/12,B71,-L71),0)))</f>
        <v>0</v>
      </c>
      <c r="AB72" s="479">
        <f t="shared" si="8"/>
        <v>0</v>
      </c>
      <c r="AC72" s="479"/>
      <c r="AE72" s="473" t="e">
        <f t="shared" si="9"/>
        <v>#N/A</v>
      </c>
      <c r="AF72" s="480" t="e">
        <f t="shared" ref="AF72:AF135" si="15">IF(AJ71&lt;=0,"",AF71+1)</f>
        <v>#N/A</v>
      </c>
      <c r="AG72" s="475" t="e">
        <f t="shared" si="10"/>
        <v>#N/A</v>
      </c>
      <c r="AH72" s="476" t="e">
        <f t="shared" si="11"/>
        <v>#N/A</v>
      </c>
      <c r="AI72" s="475" t="e">
        <f t="shared" ref="AI72:AI135" si="16">MIN(AJ71+AG72,AI71)</f>
        <v>#N/A</v>
      </c>
      <c r="AJ72" s="307" t="e">
        <f t="shared" si="12"/>
        <v>#N/A</v>
      </c>
    </row>
    <row r="73" spans="1:36">
      <c r="B73" s="277">
        <f t="shared" si="0"/>
        <v>0</v>
      </c>
      <c r="C73" s="466">
        <f t="shared" si="1"/>
        <v>0</v>
      </c>
      <c r="D73" s="467">
        <f t="shared" si="13"/>
        <v>0</v>
      </c>
      <c r="E73" s="460">
        <f t="shared" si="2"/>
        <v>0</v>
      </c>
      <c r="F73" s="460">
        <f t="shared" si="3"/>
        <v>0</v>
      </c>
      <c r="G73" s="460">
        <f t="shared" si="14"/>
        <v>0</v>
      </c>
      <c r="H73" s="460">
        <f>IF(L72&lt;0.01,0,IF($H$68="",0,L72*Adm!$V$3))</f>
        <v>0</v>
      </c>
      <c r="I73" s="460">
        <f>IF(L72&lt;0.01,0,IF($I$68="",0,($G$28*0.7*Adm!$W$3)))</f>
        <v>0</v>
      </c>
      <c r="J73" s="460">
        <f>IF(L72&lt;0.01,0,Adm!$AD$2*1.16)</f>
        <v>0</v>
      </c>
      <c r="K73" s="460">
        <f t="shared" si="4"/>
        <v>0</v>
      </c>
      <c r="L73" s="460">
        <f t="shared" si="5"/>
        <v>0</v>
      </c>
      <c r="M73" s="468"/>
      <c r="T73" s="469">
        <f t="shared" si="6"/>
        <v>4</v>
      </c>
      <c r="U73" s="470">
        <f>IF(T73=1,Adm!$O$2,0)</f>
        <v>0</v>
      </c>
      <c r="Z73" s="477">
        <f t="shared" si="7"/>
        <v>0</v>
      </c>
      <c r="AA73" s="478">
        <f>IF(M72&lt;=0,0,IF($AA$63=$AA$60,0,IF($Z$63=$Z$61,PMT(Adm!$J$2/12,B72,-L72),0)))</f>
        <v>0</v>
      </c>
      <c r="AB73" s="479">
        <f t="shared" si="8"/>
        <v>0</v>
      </c>
      <c r="AC73" s="479"/>
      <c r="AE73" s="473" t="e">
        <f t="shared" si="9"/>
        <v>#N/A</v>
      </c>
      <c r="AF73" s="480" t="e">
        <f t="shared" si="15"/>
        <v>#N/A</v>
      </c>
      <c r="AG73" s="475" t="e">
        <f t="shared" si="10"/>
        <v>#N/A</v>
      </c>
      <c r="AH73" s="476" t="e">
        <f t="shared" si="11"/>
        <v>#N/A</v>
      </c>
      <c r="AI73" s="475" t="e">
        <f t="shared" si="16"/>
        <v>#N/A</v>
      </c>
      <c r="AJ73" s="307" t="e">
        <f t="shared" si="12"/>
        <v>#N/A</v>
      </c>
    </row>
    <row r="74" spans="1:36">
      <c r="B74" s="277">
        <f t="shared" si="0"/>
        <v>0</v>
      </c>
      <c r="C74" s="466">
        <f t="shared" si="1"/>
        <v>0</v>
      </c>
      <c r="D74" s="467">
        <f t="shared" si="13"/>
        <v>0</v>
      </c>
      <c r="E74" s="460">
        <f t="shared" si="2"/>
        <v>0</v>
      </c>
      <c r="F74" s="460">
        <f t="shared" si="3"/>
        <v>0</v>
      </c>
      <c r="G74" s="460">
        <f t="shared" si="14"/>
        <v>0</v>
      </c>
      <c r="H74" s="460">
        <f>IF(L73&lt;0.01,0,IF($H$68="",0,L73*Adm!$V$3))</f>
        <v>0</v>
      </c>
      <c r="I74" s="460">
        <f>IF(L73&lt;0.01,0,IF($I$68="",0,($G$28*0.7*Adm!$W$3)))</f>
        <v>0</v>
      </c>
      <c r="J74" s="460">
        <f>IF(L73&lt;0.01,0,Adm!$AD$2*1.16)</f>
        <v>0</v>
      </c>
      <c r="K74" s="460">
        <f t="shared" si="4"/>
        <v>0</v>
      </c>
      <c r="L74" s="460">
        <f t="shared" si="5"/>
        <v>0</v>
      </c>
      <c r="M74" s="468"/>
      <c r="T74" s="469">
        <f t="shared" si="6"/>
        <v>5</v>
      </c>
      <c r="U74" s="470">
        <f>IF(T74=1,Adm!$O$2,0)</f>
        <v>0</v>
      </c>
      <c r="Z74" s="477">
        <f t="shared" si="7"/>
        <v>0</v>
      </c>
      <c r="AA74" s="478">
        <f>IF(M73&lt;=0,0,IF($AA$63=$AA$60,0,IF($Z$63=$Z$61,PMT(Adm!$J$2/12,B73,-L73),0)))</f>
        <v>0</v>
      </c>
      <c r="AB74" s="479">
        <f t="shared" si="8"/>
        <v>0</v>
      </c>
      <c r="AC74" s="479"/>
      <c r="AE74" s="473" t="e">
        <f t="shared" si="9"/>
        <v>#N/A</v>
      </c>
      <c r="AF74" s="480" t="e">
        <f t="shared" si="15"/>
        <v>#N/A</v>
      </c>
      <c r="AG74" s="475" t="e">
        <f t="shared" si="10"/>
        <v>#N/A</v>
      </c>
      <c r="AH74" s="476" t="e">
        <f t="shared" si="11"/>
        <v>#N/A</v>
      </c>
      <c r="AI74" s="475" t="e">
        <f t="shared" si="16"/>
        <v>#N/A</v>
      </c>
      <c r="AJ74" s="307" t="e">
        <f t="shared" si="12"/>
        <v>#N/A</v>
      </c>
    </row>
    <row r="75" spans="1:36">
      <c r="B75" s="277">
        <f t="shared" si="0"/>
        <v>0</v>
      </c>
      <c r="C75" s="466">
        <f t="shared" si="1"/>
        <v>0</v>
      </c>
      <c r="D75" s="467">
        <f t="shared" si="13"/>
        <v>0</v>
      </c>
      <c r="E75" s="460">
        <f t="shared" si="2"/>
        <v>0</v>
      </c>
      <c r="F75" s="460">
        <f t="shared" si="3"/>
        <v>0</v>
      </c>
      <c r="G75" s="460">
        <f t="shared" si="14"/>
        <v>0</v>
      </c>
      <c r="H75" s="460">
        <f>IF(L74&lt;0.01,0,IF($H$68="",0,L74*Adm!$V$3))</f>
        <v>0</v>
      </c>
      <c r="I75" s="460">
        <f>IF(L74&lt;0.01,0,IF($I$68="",0,($G$28*0.7*Adm!$W$3)))</f>
        <v>0</v>
      </c>
      <c r="J75" s="460">
        <f>IF(L74&lt;0.01,0,Adm!$AD$2*1.16)</f>
        <v>0</v>
      </c>
      <c r="K75" s="460">
        <f t="shared" si="4"/>
        <v>0</v>
      </c>
      <c r="L75" s="460">
        <f t="shared" si="5"/>
        <v>0</v>
      </c>
      <c r="M75" s="468"/>
      <c r="T75" s="469">
        <f t="shared" si="6"/>
        <v>6</v>
      </c>
      <c r="U75" s="470">
        <f>IF(T75=1,Adm!$O$2,0)</f>
        <v>0</v>
      </c>
      <c r="Z75" s="477">
        <f t="shared" si="7"/>
        <v>0</v>
      </c>
      <c r="AA75" s="478">
        <f>IF(M74&lt;=0,0,IF($AA$63=$AA$60,0,IF($Z$63=$Z$61,PMT(Adm!$J$2/12,B74,-L74),0)))</f>
        <v>0</v>
      </c>
      <c r="AB75" s="479">
        <f t="shared" si="8"/>
        <v>0</v>
      </c>
      <c r="AC75" s="479"/>
      <c r="AE75" s="473" t="e">
        <f t="shared" si="9"/>
        <v>#N/A</v>
      </c>
      <c r="AF75" s="480" t="e">
        <f t="shared" si="15"/>
        <v>#N/A</v>
      </c>
      <c r="AG75" s="475" t="e">
        <f t="shared" si="10"/>
        <v>#N/A</v>
      </c>
      <c r="AH75" s="476" t="e">
        <f t="shared" si="11"/>
        <v>#N/A</v>
      </c>
      <c r="AI75" s="475" t="e">
        <f t="shared" si="16"/>
        <v>#N/A</v>
      </c>
      <c r="AJ75" s="307" t="e">
        <f t="shared" si="12"/>
        <v>#N/A</v>
      </c>
    </row>
    <row r="76" spans="1:36">
      <c r="B76" s="277">
        <f t="shared" si="0"/>
        <v>0</v>
      </c>
      <c r="C76" s="466">
        <f t="shared" si="1"/>
        <v>0</v>
      </c>
      <c r="D76" s="467">
        <f t="shared" si="13"/>
        <v>0</v>
      </c>
      <c r="E76" s="460">
        <f t="shared" si="2"/>
        <v>0</v>
      </c>
      <c r="F76" s="460">
        <f t="shared" si="3"/>
        <v>0</v>
      </c>
      <c r="G76" s="460">
        <f t="shared" si="14"/>
        <v>0</v>
      </c>
      <c r="H76" s="460">
        <f>IF(L75&lt;0.01,0,IF($H$68="",0,L75*Adm!$V$3))</f>
        <v>0</v>
      </c>
      <c r="I76" s="460">
        <f>IF(L75&lt;0.01,0,IF($I$68="",0,($G$28*0.7*Adm!$W$3)))</f>
        <v>0</v>
      </c>
      <c r="J76" s="460">
        <f>IF(L75&lt;0.01,0,Adm!$AD$2*1.16)</f>
        <v>0</v>
      </c>
      <c r="K76" s="460">
        <f t="shared" si="4"/>
        <v>0</v>
      </c>
      <c r="L76" s="460">
        <f t="shared" si="5"/>
        <v>0</v>
      </c>
      <c r="M76" s="468"/>
      <c r="T76" s="469">
        <f t="shared" si="6"/>
        <v>7</v>
      </c>
      <c r="U76" s="470">
        <f>IF(T76=1,Adm!$O$2,0)</f>
        <v>0</v>
      </c>
      <c r="Z76" s="477">
        <f t="shared" si="7"/>
        <v>0</v>
      </c>
      <c r="AA76" s="478">
        <f>IF(M75&lt;=0,0,IF($AA$63=$AA$60,0,IF($Z$63=$Z$61,PMT(Adm!$J$2/12,B75,-L75),0)))</f>
        <v>0</v>
      </c>
      <c r="AB76" s="479">
        <f t="shared" si="8"/>
        <v>0</v>
      </c>
      <c r="AC76" s="479"/>
      <c r="AE76" s="473" t="e">
        <f t="shared" si="9"/>
        <v>#N/A</v>
      </c>
      <c r="AF76" s="480" t="e">
        <f t="shared" si="15"/>
        <v>#N/A</v>
      </c>
      <c r="AG76" s="475" t="e">
        <f t="shared" si="10"/>
        <v>#N/A</v>
      </c>
      <c r="AH76" s="476" t="e">
        <f t="shared" si="11"/>
        <v>#N/A</v>
      </c>
      <c r="AI76" s="475" t="e">
        <f t="shared" si="16"/>
        <v>#N/A</v>
      </c>
      <c r="AJ76" s="307" t="e">
        <f t="shared" si="12"/>
        <v>#N/A</v>
      </c>
    </row>
    <row r="77" spans="1:36">
      <c r="B77" s="277">
        <f t="shared" si="0"/>
        <v>0</v>
      </c>
      <c r="C77" s="466">
        <f t="shared" si="1"/>
        <v>0</v>
      </c>
      <c r="D77" s="467">
        <f t="shared" si="13"/>
        <v>0</v>
      </c>
      <c r="E77" s="460">
        <f t="shared" si="2"/>
        <v>0</v>
      </c>
      <c r="F77" s="460">
        <f t="shared" si="3"/>
        <v>0</v>
      </c>
      <c r="G77" s="460">
        <f t="shared" si="14"/>
        <v>0</v>
      </c>
      <c r="H77" s="460">
        <f>IF(L76&lt;0.01,0,IF($H$68="",0,L76*Adm!$V$3))</f>
        <v>0</v>
      </c>
      <c r="I77" s="460">
        <f>IF(L76&lt;0.01,0,IF($I$68="",0,($G$28*0.7*Adm!$W$3)))</f>
        <v>0</v>
      </c>
      <c r="J77" s="460">
        <f>IF(L76&lt;0.01,0,Adm!$AD$2*1.16)</f>
        <v>0</v>
      </c>
      <c r="K77" s="460">
        <f t="shared" si="4"/>
        <v>0</v>
      </c>
      <c r="L77" s="460">
        <f t="shared" si="5"/>
        <v>0</v>
      </c>
      <c r="M77" s="468"/>
      <c r="T77" s="469">
        <f t="shared" si="6"/>
        <v>8</v>
      </c>
      <c r="U77" s="470">
        <f>IF(T77=1,Adm!$O$2,0)</f>
        <v>0</v>
      </c>
      <c r="Z77" s="477">
        <f t="shared" si="7"/>
        <v>0</v>
      </c>
      <c r="AA77" s="478">
        <f>IF(M76&lt;=0,0,IF($AA$63=$AA$60,0,IF($Z$63=$Z$61,PMT(Adm!$J$2/12,B76,-L76),0)))</f>
        <v>0</v>
      </c>
      <c r="AB77" s="479">
        <f t="shared" si="8"/>
        <v>0</v>
      </c>
      <c r="AC77" s="479"/>
      <c r="AE77" s="473" t="e">
        <f t="shared" si="9"/>
        <v>#N/A</v>
      </c>
      <c r="AF77" s="480" t="e">
        <f t="shared" si="15"/>
        <v>#N/A</v>
      </c>
      <c r="AG77" s="475" t="e">
        <f t="shared" si="10"/>
        <v>#N/A</v>
      </c>
      <c r="AH77" s="476" t="e">
        <f t="shared" si="11"/>
        <v>#N/A</v>
      </c>
      <c r="AI77" s="475" t="e">
        <f t="shared" si="16"/>
        <v>#N/A</v>
      </c>
      <c r="AJ77" s="307" t="e">
        <f t="shared" si="12"/>
        <v>#N/A</v>
      </c>
    </row>
    <row r="78" spans="1:36">
      <c r="B78" s="277">
        <f t="shared" si="0"/>
        <v>0</v>
      </c>
      <c r="C78" s="466">
        <f t="shared" si="1"/>
        <v>0</v>
      </c>
      <c r="D78" s="467">
        <f t="shared" si="13"/>
        <v>0</v>
      </c>
      <c r="E78" s="460">
        <f t="shared" si="2"/>
        <v>0</v>
      </c>
      <c r="F78" s="460">
        <f t="shared" si="3"/>
        <v>0</v>
      </c>
      <c r="G78" s="460">
        <f t="shared" si="14"/>
        <v>0</v>
      </c>
      <c r="H78" s="460">
        <f>IF(L77&lt;0.01,0,IF($H$68="",0,L77*Adm!$V$3))</f>
        <v>0</v>
      </c>
      <c r="I78" s="460">
        <f>IF(L77&lt;0.01,0,IF($I$68="",0,($G$28*0.7*Adm!$W$3)))</f>
        <v>0</v>
      </c>
      <c r="J78" s="460">
        <f>IF(L77&lt;0.01,0,Adm!$AD$2*1.16)</f>
        <v>0</v>
      </c>
      <c r="K78" s="460">
        <f t="shared" si="4"/>
        <v>0</v>
      </c>
      <c r="L78" s="460">
        <f t="shared" si="5"/>
        <v>0</v>
      </c>
      <c r="M78" s="468"/>
      <c r="T78" s="469">
        <f t="shared" si="6"/>
        <v>9</v>
      </c>
      <c r="U78" s="470">
        <f>IF(T78=1,Adm!$O$2,0)</f>
        <v>0</v>
      </c>
      <c r="Z78" s="477">
        <f t="shared" si="7"/>
        <v>0</v>
      </c>
      <c r="AA78" s="478">
        <f>IF(M77&lt;=0,0,IF($AA$63=$AA$60,0,IF($Z$63=$Z$61,PMT(Adm!$J$2/12,B77,-L77),0)))</f>
        <v>0</v>
      </c>
      <c r="AB78" s="479">
        <f t="shared" si="8"/>
        <v>0</v>
      </c>
      <c r="AC78" s="479"/>
      <c r="AE78" s="473" t="e">
        <f t="shared" si="9"/>
        <v>#N/A</v>
      </c>
      <c r="AF78" s="480" t="e">
        <f t="shared" si="15"/>
        <v>#N/A</v>
      </c>
      <c r="AG78" s="475" t="e">
        <f t="shared" si="10"/>
        <v>#N/A</v>
      </c>
      <c r="AH78" s="476" t="e">
        <f t="shared" si="11"/>
        <v>#N/A</v>
      </c>
      <c r="AI78" s="475" t="e">
        <f t="shared" si="16"/>
        <v>#N/A</v>
      </c>
      <c r="AJ78" s="307" t="e">
        <f t="shared" si="12"/>
        <v>#N/A</v>
      </c>
    </row>
    <row r="79" spans="1:36">
      <c r="B79" s="277">
        <f t="shared" si="0"/>
        <v>0</v>
      </c>
      <c r="C79" s="466">
        <f t="shared" si="1"/>
        <v>0</v>
      </c>
      <c r="D79" s="467">
        <f t="shared" si="13"/>
        <v>0</v>
      </c>
      <c r="E79" s="460">
        <f t="shared" si="2"/>
        <v>0</v>
      </c>
      <c r="F79" s="460">
        <f t="shared" si="3"/>
        <v>0</v>
      </c>
      <c r="G79" s="460">
        <f t="shared" si="14"/>
        <v>0</v>
      </c>
      <c r="H79" s="460">
        <f>IF(L78&lt;0.01,0,IF($H$68="",0,L78*Adm!$V$3))</f>
        <v>0</v>
      </c>
      <c r="I79" s="460">
        <f>IF(L78&lt;0.01,0,IF($I$68="",0,($G$28*0.7*Adm!$W$3)))</f>
        <v>0</v>
      </c>
      <c r="J79" s="460">
        <f>IF(L78&lt;0.01,0,Adm!$AD$2*1.16)</f>
        <v>0</v>
      </c>
      <c r="K79" s="460">
        <f t="shared" si="4"/>
        <v>0</v>
      </c>
      <c r="L79" s="460">
        <f t="shared" si="5"/>
        <v>0</v>
      </c>
      <c r="M79" s="468"/>
      <c r="T79" s="469">
        <f t="shared" si="6"/>
        <v>10</v>
      </c>
      <c r="U79" s="470">
        <f>IF(T79=1,Adm!$O$2,0)</f>
        <v>0</v>
      </c>
      <c r="Z79" s="477">
        <f t="shared" si="7"/>
        <v>0</v>
      </c>
      <c r="AA79" s="478">
        <f>IF(M78&lt;=0,0,IF($AA$63=$AA$60,0,IF($Z$63=$Z$61,PMT(Adm!$J$2/12,B78,-L78),0)))</f>
        <v>0</v>
      </c>
      <c r="AB79" s="479">
        <f t="shared" si="8"/>
        <v>0</v>
      </c>
      <c r="AC79" s="479"/>
      <c r="AE79" s="473" t="e">
        <f t="shared" si="9"/>
        <v>#N/A</v>
      </c>
      <c r="AF79" s="480" t="e">
        <f t="shared" si="15"/>
        <v>#N/A</v>
      </c>
      <c r="AG79" s="475" t="e">
        <f t="shared" si="10"/>
        <v>#N/A</v>
      </c>
      <c r="AH79" s="476" t="e">
        <f t="shared" si="11"/>
        <v>#N/A</v>
      </c>
      <c r="AI79" s="475" t="e">
        <f t="shared" si="16"/>
        <v>#N/A</v>
      </c>
      <c r="AJ79" s="307" t="e">
        <f t="shared" si="12"/>
        <v>#N/A</v>
      </c>
    </row>
    <row r="80" spans="1:36">
      <c r="B80" s="277">
        <f t="shared" si="0"/>
        <v>0</v>
      </c>
      <c r="C80" s="466">
        <f t="shared" si="1"/>
        <v>0</v>
      </c>
      <c r="D80" s="467">
        <f t="shared" si="13"/>
        <v>0</v>
      </c>
      <c r="E80" s="460">
        <f t="shared" si="2"/>
        <v>0</v>
      </c>
      <c r="F80" s="460">
        <f t="shared" si="3"/>
        <v>0</v>
      </c>
      <c r="G80" s="460">
        <f t="shared" si="14"/>
        <v>0</v>
      </c>
      <c r="H80" s="460">
        <f>IF(L79&lt;0.01,0,IF($H$68="",0,L79*Adm!$V$3))</f>
        <v>0</v>
      </c>
      <c r="I80" s="460">
        <f>IF(L79&lt;0.01,0,IF($I$68="",0,($G$28*0.7*Adm!$W$3)))</f>
        <v>0</v>
      </c>
      <c r="J80" s="460">
        <f>IF(L79&lt;0.01,0,Adm!$AD$2*1.16)</f>
        <v>0</v>
      </c>
      <c r="K80" s="460">
        <f t="shared" si="4"/>
        <v>0</v>
      </c>
      <c r="L80" s="460">
        <f t="shared" si="5"/>
        <v>0</v>
      </c>
      <c r="M80" s="468"/>
      <c r="T80" s="469">
        <f t="shared" si="6"/>
        <v>11</v>
      </c>
      <c r="U80" s="470">
        <f>IF(T80=1,Adm!$O$2,0)</f>
        <v>0</v>
      </c>
      <c r="Z80" s="477">
        <f t="shared" si="7"/>
        <v>0</v>
      </c>
      <c r="AA80" s="478">
        <f>IF(M79&lt;=0,0,IF($AA$63=$AA$60,0,IF($Z$63=$Z$61,PMT(Adm!$J$2/12,B79,-L79),0)))</f>
        <v>0</v>
      </c>
      <c r="AB80" s="479">
        <f t="shared" si="8"/>
        <v>0</v>
      </c>
      <c r="AC80" s="479"/>
      <c r="AE80" s="473" t="e">
        <f t="shared" si="9"/>
        <v>#N/A</v>
      </c>
      <c r="AF80" s="480" t="e">
        <f t="shared" si="15"/>
        <v>#N/A</v>
      </c>
      <c r="AG80" s="475" t="e">
        <f t="shared" si="10"/>
        <v>#N/A</v>
      </c>
      <c r="AH80" s="476" t="e">
        <f t="shared" si="11"/>
        <v>#N/A</v>
      </c>
      <c r="AI80" s="475" t="e">
        <f t="shared" si="16"/>
        <v>#N/A</v>
      </c>
      <c r="AJ80" s="307" t="e">
        <f t="shared" si="12"/>
        <v>#N/A</v>
      </c>
    </row>
    <row r="81" spans="2:36">
      <c r="B81" s="277">
        <f t="shared" si="0"/>
        <v>0</v>
      </c>
      <c r="C81" s="466">
        <f t="shared" si="1"/>
        <v>0</v>
      </c>
      <c r="D81" s="467">
        <f t="shared" si="13"/>
        <v>0</v>
      </c>
      <c r="E81" s="460">
        <f t="shared" si="2"/>
        <v>0</v>
      </c>
      <c r="F81" s="460">
        <f t="shared" si="3"/>
        <v>0</v>
      </c>
      <c r="G81" s="460">
        <f t="shared" si="14"/>
        <v>0</v>
      </c>
      <c r="H81" s="460">
        <f>IF(L80&lt;0.01,0,IF($H$68="",0,L80*Adm!$V$3))</f>
        <v>0</v>
      </c>
      <c r="I81" s="460">
        <f>IF(L80&lt;0.01,0,IF($I$68="",0,($G$28*0.7*Adm!$W$3)))</f>
        <v>0</v>
      </c>
      <c r="J81" s="460">
        <f>IF(L80&lt;0.01,0,Adm!$AD$2*1.16)</f>
        <v>0</v>
      </c>
      <c r="K81" s="460">
        <f t="shared" si="4"/>
        <v>0</v>
      </c>
      <c r="L81" s="460">
        <f t="shared" si="5"/>
        <v>0</v>
      </c>
      <c r="M81" s="468"/>
      <c r="T81" s="469">
        <f t="shared" si="6"/>
        <v>12</v>
      </c>
      <c r="U81" s="470">
        <f>IF(T81=1,Adm!$O$2,0)</f>
        <v>0</v>
      </c>
      <c r="Z81" s="477">
        <f t="shared" si="7"/>
        <v>0</v>
      </c>
      <c r="AA81" s="478">
        <f>IF(M80&lt;=0,0,IF($AA$63=$AA$60,0,IF($Z$63=$Z$61,PMT(Adm!$J$2/12,B80,-L80),0)))</f>
        <v>0</v>
      </c>
      <c r="AB81" s="479">
        <f t="shared" si="8"/>
        <v>0</v>
      </c>
      <c r="AC81" s="479"/>
      <c r="AE81" s="473" t="e">
        <f t="shared" si="9"/>
        <v>#N/A</v>
      </c>
      <c r="AF81" s="480" t="e">
        <f t="shared" si="15"/>
        <v>#N/A</v>
      </c>
      <c r="AG81" s="475" t="e">
        <f t="shared" si="10"/>
        <v>#N/A</v>
      </c>
      <c r="AH81" s="476" t="e">
        <f t="shared" si="11"/>
        <v>#N/A</v>
      </c>
      <c r="AI81" s="475" t="e">
        <f t="shared" si="16"/>
        <v>#N/A</v>
      </c>
      <c r="AJ81" s="307" t="e">
        <f t="shared" si="12"/>
        <v>#N/A</v>
      </c>
    </row>
    <row r="82" spans="2:36">
      <c r="B82" s="277">
        <f t="shared" si="0"/>
        <v>0</v>
      </c>
      <c r="C82" s="466">
        <f t="shared" si="1"/>
        <v>0</v>
      </c>
      <c r="D82" s="467">
        <f t="shared" si="13"/>
        <v>0</v>
      </c>
      <c r="E82" s="460">
        <f t="shared" si="2"/>
        <v>0</v>
      </c>
      <c r="F82" s="460">
        <f t="shared" si="3"/>
        <v>0</v>
      </c>
      <c r="G82" s="460">
        <f t="shared" si="14"/>
        <v>0</v>
      </c>
      <c r="H82" s="460">
        <f>IF(L81&lt;0.01,0,IF($H$68="",0,L81*Adm!$V$3))</f>
        <v>0</v>
      </c>
      <c r="I82" s="460">
        <f>IF(L81&lt;0.01,0,IF($I$68="",0,($G$28*0.7*Adm!$W$3)))</f>
        <v>0</v>
      </c>
      <c r="J82" s="460">
        <f>IF(L81&lt;0.01,0,Adm!$AD$2*1.16)</f>
        <v>0</v>
      </c>
      <c r="K82" s="460">
        <f t="shared" si="4"/>
        <v>0</v>
      </c>
      <c r="L82" s="460">
        <f t="shared" si="5"/>
        <v>0</v>
      </c>
      <c r="M82" s="468"/>
      <c r="T82" s="469">
        <f t="shared" si="6"/>
        <v>1</v>
      </c>
      <c r="U82" s="470">
        <f>IF(T82=1,Adm!$O$2,0)</f>
        <v>0</v>
      </c>
      <c r="Z82" s="477">
        <f t="shared" si="7"/>
        <v>0</v>
      </c>
      <c r="AA82" s="478">
        <f>IF(M81&lt;=0,0,IF($AA$63=$AA$60,0,IF($Z$63=$Z$61,PMT(Adm!$J$2/12,B81,-L81),0)))</f>
        <v>0</v>
      </c>
      <c r="AB82" s="479">
        <f t="shared" si="8"/>
        <v>0</v>
      </c>
      <c r="AC82" s="479"/>
      <c r="AE82" s="473" t="e">
        <f t="shared" si="9"/>
        <v>#N/A</v>
      </c>
      <c r="AF82" s="480" t="e">
        <f t="shared" si="15"/>
        <v>#N/A</v>
      </c>
      <c r="AG82" s="475" t="e">
        <f t="shared" si="10"/>
        <v>#N/A</v>
      </c>
      <c r="AH82" s="476" t="e">
        <f t="shared" si="11"/>
        <v>#N/A</v>
      </c>
      <c r="AI82" s="481" t="e">
        <f>MIN(AJ81+AG82,AI81*(1+$AG$65))</f>
        <v>#N/A</v>
      </c>
      <c r="AJ82" s="307" t="e">
        <f t="shared" si="12"/>
        <v>#N/A</v>
      </c>
    </row>
    <row r="83" spans="2:36">
      <c r="B83" s="277">
        <f t="shared" si="0"/>
        <v>0</v>
      </c>
      <c r="C83" s="466">
        <f t="shared" si="1"/>
        <v>0</v>
      </c>
      <c r="D83" s="467">
        <f t="shared" si="13"/>
        <v>0</v>
      </c>
      <c r="E83" s="460">
        <f t="shared" si="2"/>
        <v>0</v>
      </c>
      <c r="F83" s="460">
        <f t="shared" si="3"/>
        <v>0</v>
      </c>
      <c r="G83" s="460">
        <f t="shared" si="14"/>
        <v>0</v>
      </c>
      <c r="H83" s="460">
        <f>IF(L82&lt;0.01,0,IF($H$68="",0,L82*Adm!$V$3))</f>
        <v>0</v>
      </c>
      <c r="I83" s="460">
        <f>IF(L82&lt;0.01,0,IF($I$68="",0,($G$28*0.7*Adm!$W$3)))</f>
        <v>0</v>
      </c>
      <c r="J83" s="460">
        <f>IF(L82&lt;0.01,0,Adm!$AD$2*1.16)</f>
        <v>0</v>
      </c>
      <c r="K83" s="460">
        <f t="shared" si="4"/>
        <v>0</v>
      </c>
      <c r="L83" s="460">
        <f t="shared" si="5"/>
        <v>0</v>
      </c>
      <c r="M83" s="468"/>
      <c r="T83" s="469">
        <f t="shared" si="6"/>
        <v>2</v>
      </c>
      <c r="U83" s="470">
        <f>IF(T83=1,Adm!$O$2,0)</f>
        <v>0</v>
      </c>
      <c r="Z83" s="477">
        <f t="shared" si="7"/>
        <v>0</v>
      </c>
      <c r="AA83" s="478">
        <f>IF(M82&lt;=0,0,IF($AA$63=$AA$60,0,IF($Z$63=$Z$61,PMT(Adm!$J$2/12,B82,-L82),0)))</f>
        <v>0</v>
      </c>
      <c r="AB83" s="479">
        <f t="shared" si="8"/>
        <v>0</v>
      </c>
      <c r="AC83" s="479"/>
      <c r="AE83" s="473" t="e">
        <f t="shared" si="9"/>
        <v>#N/A</v>
      </c>
      <c r="AF83" s="480" t="e">
        <f t="shared" si="15"/>
        <v>#N/A</v>
      </c>
      <c r="AG83" s="475" t="e">
        <f t="shared" si="10"/>
        <v>#N/A</v>
      </c>
      <c r="AH83" s="476" t="e">
        <f t="shared" si="11"/>
        <v>#N/A</v>
      </c>
      <c r="AI83" s="475" t="e">
        <f t="shared" si="16"/>
        <v>#N/A</v>
      </c>
      <c r="AJ83" s="307" t="e">
        <f t="shared" si="12"/>
        <v>#N/A</v>
      </c>
    </row>
    <row r="84" spans="2:36">
      <c r="B84" s="277">
        <f t="shared" si="0"/>
        <v>0</v>
      </c>
      <c r="C84" s="466">
        <f t="shared" si="1"/>
        <v>0</v>
      </c>
      <c r="D84" s="467">
        <f t="shared" si="13"/>
        <v>0</v>
      </c>
      <c r="E84" s="460">
        <f t="shared" si="2"/>
        <v>0</v>
      </c>
      <c r="F84" s="460">
        <f t="shared" si="3"/>
        <v>0</v>
      </c>
      <c r="G84" s="460">
        <f t="shared" si="14"/>
        <v>0</v>
      </c>
      <c r="H84" s="460">
        <f>IF(L83&lt;0.01,0,IF($H$68="",0,L83*Adm!$V$3))</f>
        <v>0</v>
      </c>
      <c r="I84" s="460">
        <f>IF(L83&lt;0.01,0,IF($I$68="",0,($G$28*0.7*Adm!$W$3)))</f>
        <v>0</v>
      </c>
      <c r="J84" s="460">
        <f>IF(L83&lt;0.01,0,Adm!$AD$2*1.16)</f>
        <v>0</v>
      </c>
      <c r="K84" s="460">
        <f t="shared" si="4"/>
        <v>0</v>
      </c>
      <c r="L84" s="460">
        <f t="shared" si="5"/>
        <v>0</v>
      </c>
      <c r="M84" s="468"/>
      <c r="T84" s="469">
        <f t="shared" si="6"/>
        <v>3</v>
      </c>
      <c r="U84" s="470">
        <f>IF(T84=1,Adm!$O$2,0)</f>
        <v>0</v>
      </c>
      <c r="Z84" s="477">
        <f t="shared" si="7"/>
        <v>0</v>
      </c>
      <c r="AA84" s="478">
        <f>IF(M83&lt;=0,0,IF($AA$63=$AA$60,0,IF($Z$63=$Z$61,PMT(Adm!$J$2/12,B83,-L83),0)))</f>
        <v>0</v>
      </c>
      <c r="AB84" s="479">
        <f t="shared" si="8"/>
        <v>0</v>
      </c>
      <c r="AC84" s="479"/>
      <c r="AE84" s="473" t="e">
        <f t="shared" si="9"/>
        <v>#N/A</v>
      </c>
      <c r="AF84" s="480" t="e">
        <f t="shared" si="15"/>
        <v>#N/A</v>
      </c>
      <c r="AG84" s="475" t="e">
        <f t="shared" si="10"/>
        <v>#N/A</v>
      </c>
      <c r="AH84" s="476" t="e">
        <f t="shared" si="11"/>
        <v>#N/A</v>
      </c>
      <c r="AI84" s="475" t="e">
        <f t="shared" si="16"/>
        <v>#N/A</v>
      </c>
      <c r="AJ84" s="307" t="e">
        <f t="shared" si="12"/>
        <v>#N/A</v>
      </c>
    </row>
    <row r="85" spans="2:36">
      <c r="B85" s="277">
        <f t="shared" si="0"/>
        <v>0</v>
      </c>
      <c r="C85" s="466">
        <f t="shared" si="1"/>
        <v>0</v>
      </c>
      <c r="D85" s="467">
        <f t="shared" si="13"/>
        <v>0</v>
      </c>
      <c r="E85" s="460">
        <f t="shared" si="2"/>
        <v>0</v>
      </c>
      <c r="F85" s="460">
        <f t="shared" si="3"/>
        <v>0</v>
      </c>
      <c r="G85" s="460">
        <f t="shared" si="14"/>
        <v>0</v>
      </c>
      <c r="H85" s="460">
        <f>IF(L84&lt;0.01,0,IF($H$68="",0,L84*Adm!$V$3))</f>
        <v>0</v>
      </c>
      <c r="I85" s="460">
        <f>IF(L84&lt;0.01,0,IF($I$68="",0,($G$28*0.7*Adm!$W$3)))</f>
        <v>0</v>
      </c>
      <c r="J85" s="460">
        <f>IF(L84&lt;0.01,0,Adm!$AD$2*1.16)</f>
        <v>0</v>
      </c>
      <c r="K85" s="460">
        <f t="shared" si="4"/>
        <v>0</v>
      </c>
      <c r="L85" s="460">
        <f t="shared" si="5"/>
        <v>0</v>
      </c>
      <c r="M85" s="468"/>
      <c r="T85" s="469">
        <f t="shared" si="6"/>
        <v>4</v>
      </c>
      <c r="U85" s="470">
        <f>IF(T85=1,Adm!$O$2,0)</f>
        <v>0</v>
      </c>
      <c r="Z85" s="477">
        <f t="shared" si="7"/>
        <v>0</v>
      </c>
      <c r="AA85" s="478">
        <f>IF(M84&lt;=0,0,IF($AA$63=$AA$60,0,IF($Z$63=$Z$61,PMT(Adm!$J$2/12,B84,-L84),0)))</f>
        <v>0</v>
      </c>
      <c r="AB85" s="479">
        <f t="shared" si="8"/>
        <v>0</v>
      </c>
      <c r="AC85" s="479"/>
      <c r="AE85" s="473" t="e">
        <f t="shared" si="9"/>
        <v>#N/A</v>
      </c>
      <c r="AF85" s="480" t="e">
        <f t="shared" si="15"/>
        <v>#N/A</v>
      </c>
      <c r="AG85" s="475" t="e">
        <f t="shared" si="10"/>
        <v>#N/A</v>
      </c>
      <c r="AH85" s="476" t="e">
        <f t="shared" si="11"/>
        <v>#N/A</v>
      </c>
      <c r="AI85" s="475" t="e">
        <f t="shared" si="16"/>
        <v>#N/A</v>
      </c>
      <c r="AJ85" s="307" t="e">
        <f t="shared" si="12"/>
        <v>#N/A</v>
      </c>
    </row>
    <row r="86" spans="2:36">
      <c r="B86" s="277">
        <f t="shared" si="0"/>
        <v>0</v>
      </c>
      <c r="C86" s="466">
        <f t="shared" si="1"/>
        <v>0</v>
      </c>
      <c r="D86" s="467">
        <f t="shared" si="13"/>
        <v>0</v>
      </c>
      <c r="E86" s="460">
        <f t="shared" si="2"/>
        <v>0</v>
      </c>
      <c r="F86" s="460">
        <f t="shared" si="3"/>
        <v>0</v>
      </c>
      <c r="G86" s="460">
        <f t="shared" si="14"/>
        <v>0</v>
      </c>
      <c r="H86" s="460">
        <f>IF(L85&lt;0.01,0,IF($H$68="",0,L85*Adm!$V$3))</f>
        <v>0</v>
      </c>
      <c r="I86" s="460">
        <f>IF(L85&lt;0.01,0,IF($I$68="",0,($G$28*0.7*Adm!$W$3)))</f>
        <v>0</v>
      </c>
      <c r="J86" s="460">
        <f>IF(L85&lt;0.01,0,Adm!$AD$2*1.16)</f>
        <v>0</v>
      </c>
      <c r="K86" s="460">
        <f t="shared" si="4"/>
        <v>0</v>
      </c>
      <c r="L86" s="460">
        <f t="shared" si="5"/>
        <v>0</v>
      </c>
      <c r="M86" s="468"/>
      <c r="T86" s="469">
        <f t="shared" si="6"/>
        <v>5</v>
      </c>
      <c r="U86" s="470">
        <f>IF(T86=1,Adm!$O$2,0)</f>
        <v>0</v>
      </c>
      <c r="Z86" s="477">
        <f t="shared" si="7"/>
        <v>0</v>
      </c>
      <c r="AA86" s="478">
        <f>IF(M85&lt;=0,0,IF($AA$63=$AA$60,0,IF($Z$63=$Z$61,PMT(Adm!$J$2/12,B85,-L85),0)))</f>
        <v>0</v>
      </c>
      <c r="AB86" s="479">
        <f t="shared" si="8"/>
        <v>0</v>
      </c>
      <c r="AC86" s="479"/>
      <c r="AE86" s="473" t="e">
        <f t="shared" si="9"/>
        <v>#N/A</v>
      </c>
      <c r="AF86" s="480" t="e">
        <f t="shared" si="15"/>
        <v>#N/A</v>
      </c>
      <c r="AG86" s="475" t="e">
        <f t="shared" si="10"/>
        <v>#N/A</v>
      </c>
      <c r="AH86" s="476" t="e">
        <f t="shared" si="11"/>
        <v>#N/A</v>
      </c>
      <c r="AI86" s="475" t="e">
        <f t="shared" si="16"/>
        <v>#N/A</v>
      </c>
      <c r="AJ86" s="307" t="e">
        <f t="shared" si="12"/>
        <v>#N/A</v>
      </c>
    </row>
    <row r="87" spans="2:36">
      <c r="B87" s="277">
        <f t="shared" si="0"/>
        <v>0</v>
      </c>
      <c r="C87" s="466">
        <f t="shared" si="1"/>
        <v>0</v>
      </c>
      <c r="D87" s="467">
        <f t="shared" si="13"/>
        <v>0</v>
      </c>
      <c r="E87" s="460">
        <f t="shared" si="2"/>
        <v>0</v>
      </c>
      <c r="F87" s="460">
        <f t="shared" si="3"/>
        <v>0</v>
      </c>
      <c r="G87" s="460">
        <f t="shared" si="14"/>
        <v>0</v>
      </c>
      <c r="H87" s="460">
        <f>IF(L86&lt;0.01,0,IF($H$68="",0,L86*Adm!$V$3))</f>
        <v>0</v>
      </c>
      <c r="I87" s="460">
        <f>IF(L86&lt;0.01,0,IF($I$68="",0,($G$28*0.7*Adm!$W$3)))</f>
        <v>0</v>
      </c>
      <c r="J87" s="460">
        <f>IF(L86&lt;0.01,0,Adm!$AD$2*1.16)</f>
        <v>0</v>
      </c>
      <c r="K87" s="460">
        <f t="shared" si="4"/>
        <v>0</v>
      </c>
      <c r="L87" s="460">
        <f t="shared" si="5"/>
        <v>0</v>
      </c>
      <c r="M87" s="468"/>
      <c r="T87" s="469">
        <f t="shared" si="6"/>
        <v>6</v>
      </c>
      <c r="U87" s="470">
        <f>IF(T87=1,Adm!$O$2,0)</f>
        <v>0</v>
      </c>
      <c r="Z87" s="477">
        <f t="shared" si="7"/>
        <v>0</v>
      </c>
      <c r="AA87" s="478">
        <f>IF(M86&lt;=0,0,IF($AA$63=$AA$60,0,IF($Z$63=$Z$61,PMT(Adm!$J$2/12,B86,-L86),0)))</f>
        <v>0</v>
      </c>
      <c r="AB87" s="479">
        <f t="shared" si="8"/>
        <v>0</v>
      </c>
      <c r="AC87" s="479"/>
      <c r="AE87" s="473" t="e">
        <f t="shared" si="9"/>
        <v>#N/A</v>
      </c>
      <c r="AF87" s="480" t="e">
        <f t="shared" si="15"/>
        <v>#N/A</v>
      </c>
      <c r="AG87" s="475" t="e">
        <f t="shared" si="10"/>
        <v>#N/A</v>
      </c>
      <c r="AH87" s="476" t="e">
        <f t="shared" si="11"/>
        <v>#N/A</v>
      </c>
      <c r="AI87" s="475" t="e">
        <f t="shared" si="16"/>
        <v>#N/A</v>
      </c>
      <c r="AJ87" s="307" t="e">
        <f t="shared" si="12"/>
        <v>#N/A</v>
      </c>
    </row>
    <row r="88" spans="2:36">
      <c r="B88" s="277">
        <f t="shared" si="0"/>
        <v>0</v>
      </c>
      <c r="C88" s="466">
        <f t="shared" si="1"/>
        <v>0</v>
      </c>
      <c r="D88" s="467">
        <f t="shared" si="13"/>
        <v>0</v>
      </c>
      <c r="E88" s="460">
        <f t="shared" si="2"/>
        <v>0</v>
      </c>
      <c r="F88" s="460">
        <f t="shared" si="3"/>
        <v>0</v>
      </c>
      <c r="G88" s="460">
        <f t="shared" si="14"/>
        <v>0</v>
      </c>
      <c r="H88" s="460">
        <f>IF(L87&lt;0.01,0,IF($H$68="",0,L87*Adm!$V$3))</f>
        <v>0</v>
      </c>
      <c r="I88" s="460">
        <f>IF(L87&lt;0.01,0,IF($I$68="",0,($G$28*0.7*Adm!$W$3)))</f>
        <v>0</v>
      </c>
      <c r="J88" s="460">
        <f>IF(L87&lt;0.01,0,Adm!$AD$2*1.16)</f>
        <v>0</v>
      </c>
      <c r="K88" s="460">
        <f t="shared" si="4"/>
        <v>0</v>
      </c>
      <c r="L88" s="460">
        <f t="shared" si="5"/>
        <v>0</v>
      </c>
      <c r="M88" s="468"/>
      <c r="T88" s="469">
        <f t="shared" si="6"/>
        <v>7</v>
      </c>
      <c r="U88" s="470">
        <f>IF(T88=1,Adm!$O$2,0)</f>
        <v>0</v>
      </c>
      <c r="Z88" s="477">
        <f t="shared" si="7"/>
        <v>0</v>
      </c>
      <c r="AA88" s="478">
        <f>IF(M87&lt;=0,0,IF($AA$63=$AA$60,0,IF($Z$63=$Z$61,PMT(Adm!$J$2/12,B87,-L87),0)))</f>
        <v>0</v>
      </c>
      <c r="AB88" s="479">
        <f t="shared" si="8"/>
        <v>0</v>
      </c>
      <c r="AC88" s="479"/>
      <c r="AE88" s="473" t="e">
        <f t="shared" si="9"/>
        <v>#N/A</v>
      </c>
      <c r="AF88" s="480" t="e">
        <f t="shared" si="15"/>
        <v>#N/A</v>
      </c>
      <c r="AG88" s="475" t="e">
        <f t="shared" si="10"/>
        <v>#N/A</v>
      </c>
      <c r="AH88" s="476" t="e">
        <f t="shared" si="11"/>
        <v>#N/A</v>
      </c>
      <c r="AI88" s="475" t="e">
        <f t="shared" si="16"/>
        <v>#N/A</v>
      </c>
      <c r="AJ88" s="307" t="e">
        <f t="shared" si="12"/>
        <v>#N/A</v>
      </c>
    </row>
    <row r="89" spans="2:36">
      <c r="B89" s="277">
        <f t="shared" si="0"/>
        <v>0</v>
      </c>
      <c r="C89" s="466">
        <f t="shared" si="1"/>
        <v>0</v>
      </c>
      <c r="D89" s="467">
        <f t="shared" si="13"/>
        <v>0</v>
      </c>
      <c r="E89" s="460">
        <f t="shared" si="2"/>
        <v>0</v>
      </c>
      <c r="F89" s="460">
        <f t="shared" si="3"/>
        <v>0</v>
      </c>
      <c r="G89" s="460">
        <f t="shared" si="14"/>
        <v>0</v>
      </c>
      <c r="H89" s="460">
        <f>IF(L88&lt;0.01,0,IF($H$68="",0,L88*Adm!$V$3))</f>
        <v>0</v>
      </c>
      <c r="I89" s="460">
        <f>IF(L88&lt;0.01,0,IF($I$68="",0,($G$28*0.7*Adm!$W$3)))</f>
        <v>0</v>
      </c>
      <c r="J89" s="460">
        <f>IF(L88&lt;0.01,0,Adm!$AD$2*1.16)</f>
        <v>0</v>
      </c>
      <c r="K89" s="460">
        <f t="shared" si="4"/>
        <v>0</v>
      </c>
      <c r="L89" s="460">
        <f t="shared" si="5"/>
        <v>0</v>
      </c>
      <c r="M89" s="468"/>
      <c r="T89" s="469">
        <f t="shared" si="6"/>
        <v>8</v>
      </c>
      <c r="U89" s="470">
        <f>IF(T89=1,Adm!$O$2,0)</f>
        <v>0</v>
      </c>
      <c r="Z89" s="477">
        <f t="shared" si="7"/>
        <v>0</v>
      </c>
      <c r="AA89" s="478">
        <f>IF(M88&lt;=0,0,IF($AA$63=$AA$60,0,IF($Z$63=$Z$61,PMT(Adm!$J$2/12,B88,-L88),0)))</f>
        <v>0</v>
      </c>
      <c r="AB89" s="479">
        <f t="shared" si="8"/>
        <v>0</v>
      </c>
      <c r="AC89" s="479"/>
      <c r="AE89" s="473" t="e">
        <f t="shared" si="9"/>
        <v>#N/A</v>
      </c>
      <c r="AF89" s="480" t="e">
        <f t="shared" si="15"/>
        <v>#N/A</v>
      </c>
      <c r="AG89" s="475" t="e">
        <f t="shared" si="10"/>
        <v>#N/A</v>
      </c>
      <c r="AH89" s="476" t="e">
        <f t="shared" si="11"/>
        <v>#N/A</v>
      </c>
      <c r="AI89" s="475" t="e">
        <f t="shared" si="16"/>
        <v>#N/A</v>
      </c>
      <c r="AJ89" s="307" t="e">
        <f t="shared" si="12"/>
        <v>#N/A</v>
      </c>
    </row>
    <row r="90" spans="2:36">
      <c r="B90" s="277">
        <f t="shared" si="0"/>
        <v>0</v>
      </c>
      <c r="C90" s="466">
        <f t="shared" si="1"/>
        <v>0</v>
      </c>
      <c r="D90" s="467">
        <f t="shared" si="13"/>
        <v>0</v>
      </c>
      <c r="E90" s="460">
        <f t="shared" si="2"/>
        <v>0</v>
      </c>
      <c r="F90" s="460">
        <f t="shared" si="3"/>
        <v>0</v>
      </c>
      <c r="G90" s="460">
        <f t="shared" si="14"/>
        <v>0</v>
      </c>
      <c r="H90" s="460">
        <f>IF(L89&lt;0.01,0,IF($H$68="",0,L89*Adm!$V$3))</f>
        <v>0</v>
      </c>
      <c r="I90" s="460">
        <f>IF(L89&lt;0.01,0,IF($I$68="",0,($G$28*0.7*Adm!$W$3)))</f>
        <v>0</v>
      </c>
      <c r="J90" s="460">
        <f>IF(L89&lt;0.01,0,Adm!$AD$2*1.16)</f>
        <v>0</v>
      </c>
      <c r="K90" s="460">
        <f t="shared" si="4"/>
        <v>0</v>
      </c>
      <c r="L90" s="460">
        <f t="shared" si="5"/>
        <v>0</v>
      </c>
      <c r="M90" s="468"/>
      <c r="T90" s="469">
        <f t="shared" si="6"/>
        <v>9</v>
      </c>
      <c r="U90" s="470">
        <f>IF(T90=1,Adm!$O$2,0)</f>
        <v>0</v>
      </c>
      <c r="Z90" s="477">
        <f t="shared" si="7"/>
        <v>0</v>
      </c>
      <c r="AA90" s="478">
        <f>IF(M89&lt;=0,0,IF($AA$63=$AA$60,0,IF($Z$63=$Z$61,PMT(Adm!$J$2/12,B89,-L89),0)))</f>
        <v>0</v>
      </c>
      <c r="AB90" s="479">
        <f t="shared" si="8"/>
        <v>0</v>
      </c>
      <c r="AC90" s="479"/>
      <c r="AE90" s="473" t="e">
        <f t="shared" si="9"/>
        <v>#N/A</v>
      </c>
      <c r="AF90" s="480" t="e">
        <f t="shared" si="15"/>
        <v>#N/A</v>
      </c>
      <c r="AG90" s="475" t="e">
        <f t="shared" si="10"/>
        <v>#N/A</v>
      </c>
      <c r="AH90" s="476" t="e">
        <f t="shared" si="11"/>
        <v>#N/A</v>
      </c>
      <c r="AI90" s="475" t="e">
        <f t="shared" si="16"/>
        <v>#N/A</v>
      </c>
      <c r="AJ90" s="307" t="e">
        <f t="shared" si="12"/>
        <v>#N/A</v>
      </c>
    </row>
    <row r="91" spans="2:36">
      <c r="B91" s="277">
        <f t="shared" si="0"/>
        <v>0</v>
      </c>
      <c r="C91" s="466">
        <f t="shared" si="1"/>
        <v>0</v>
      </c>
      <c r="D91" s="467">
        <f t="shared" si="13"/>
        <v>0</v>
      </c>
      <c r="E91" s="460">
        <f t="shared" si="2"/>
        <v>0</v>
      </c>
      <c r="F91" s="460">
        <f t="shared" si="3"/>
        <v>0</v>
      </c>
      <c r="G91" s="460">
        <f t="shared" si="14"/>
        <v>0</v>
      </c>
      <c r="H91" s="460">
        <f>IF(L90&lt;0.01,0,IF($H$68="",0,L90*Adm!$V$3))</f>
        <v>0</v>
      </c>
      <c r="I91" s="460">
        <f>IF(L90&lt;0.01,0,IF($I$68="",0,($G$28*0.7*Adm!$W$3)))</f>
        <v>0</v>
      </c>
      <c r="J91" s="460">
        <f>IF(L90&lt;0.01,0,Adm!$AD$2*1.16)</f>
        <v>0</v>
      </c>
      <c r="K91" s="460">
        <f t="shared" si="4"/>
        <v>0</v>
      </c>
      <c r="L91" s="460">
        <f t="shared" si="5"/>
        <v>0</v>
      </c>
      <c r="M91" s="468"/>
      <c r="T91" s="469">
        <f t="shared" si="6"/>
        <v>10</v>
      </c>
      <c r="U91" s="470">
        <f>IF(T91=1,Adm!$O$2,0)</f>
        <v>0</v>
      </c>
      <c r="Z91" s="477">
        <f t="shared" si="7"/>
        <v>0</v>
      </c>
      <c r="AA91" s="478">
        <f>IF(M90&lt;=0,0,IF($AA$63=$AA$60,0,IF($Z$63=$Z$61,PMT(Adm!$J$2/12,B90,-L90),0)))</f>
        <v>0</v>
      </c>
      <c r="AB91" s="479">
        <f t="shared" si="8"/>
        <v>0</v>
      </c>
      <c r="AC91" s="479"/>
      <c r="AE91" s="473" t="e">
        <f t="shared" si="9"/>
        <v>#N/A</v>
      </c>
      <c r="AF91" s="480" t="e">
        <f t="shared" si="15"/>
        <v>#N/A</v>
      </c>
      <c r="AG91" s="475" t="e">
        <f t="shared" si="10"/>
        <v>#N/A</v>
      </c>
      <c r="AH91" s="476" t="e">
        <f t="shared" si="11"/>
        <v>#N/A</v>
      </c>
      <c r="AI91" s="475" t="e">
        <f t="shared" si="16"/>
        <v>#N/A</v>
      </c>
      <c r="AJ91" s="307" t="e">
        <f t="shared" si="12"/>
        <v>#N/A</v>
      </c>
    </row>
    <row r="92" spans="2:36">
      <c r="B92" s="277">
        <f t="shared" si="0"/>
        <v>0</v>
      </c>
      <c r="C92" s="466">
        <f t="shared" si="1"/>
        <v>0</v>
      </c>
      <c r="D92" s="467">
        <f t="shared" si="13"/>
        <v>0</v>
      </c>
      <c r="E92" s="460">
        <f t="shared" si="2"/>
        <v>0</v>
      </c>
      <c r="F92" s="460">
        <f t="shared" si="3"/>
        <v>0</v>
      </c>
      <c r="G92" s="460">
        <f t="shared" si="14"/>
        <v>0</v>
      </c>
      <c r="H92" s="460">
        <f>IF(L91&lt;0.01,0,IF($H$68="",0,L91*Adm!$V$3))</f>
        <v>0</v>
      </c>
      <c r="I92" s="460">
        <f>IF(L91&lt;0.01,0,IF($I$68="",0,($G$28*0.7*Adm!$W$3)))</f>
        <v>0</v>
      </c>
      <c r="J92" s="460">
        <f>IF(L91&lt;0.01,0,Adm!$AD$2*1.16)</f>
        <v>0</v>
      </c>
      <c r="K92" s="460">
        <f t="shared" si="4"/>
        <v>0</v>
      </c>
      <c r="L92" s="460">
        <f t="shared" si="5"/>
        <v>0</v>
      </c>
      <c r="M92" s="468"/>
      <c r="T92" s="469">
        <f t="shared" si="6"/>
        <v>11</v>
      </c>
      <c r="U92" s="470">
        <f>IF(T92=1,Adm!$O$2,0)</f>
        <v>0</v>
      </c>
      <c r="Z92" s="477">
        <f t="shared" si="7"/>
        <v>0</v>
      </c>
      <c r="AA92" s="478">
        <f>IF(M91&lt;=0,0,IF($AA$63=$AA$60,0,IF($Z$63=$Z$61,PMT(Adm!$J$2/12,B91,-L91),0)))</f>
        <v>0</v>
      </c>
      <c r="AB92" s="479">
        <f t="shared" si="8"/>
        <v>0</v>
      </c>
      <c r="AC92" s="479"/>
      <c r="AE92" s="473" t="e">
        <f t="shared" si="9"/>
        <v>#N/A</v>
      </c>
      <c r="AF92" s="480" t="e">
        <f t="shared" si="15"/>
        <v>#N/A</v>
      </c>
      <c r="AG92" s="475" t="e">
        <f t="shared" si="10"/>
        <v>#N/A</v>
      </c>
      <c r="AH92" s="476" t="e">
        <f t="shared" si="11"/>
        <v>#N/A</v>
      </c>
      <c r="AI92" s="475" t="e">
        <f t="shared" si="16"/>
        <v>#N/A</v>
      </c>
      <c r="AJ92" s="307" t="e">
        <f t="shared" si="12"/>
        <v>#N/A</v>
      </c>
    </row>
    <row r="93" spans="2:36">
      <c r="B93" s="277">
        <f t="shared" si="0"/>
        <v>0</v>
      </c>
      <c r="C93" s="466">
        <f t="shared" si="1"/>
        <v>0</v>
      </c>
      <c r="D93" s="467">
        <f t="shared" si="13"/>
        <v>0</v>
      </c>
      <c r="E93" s="460">
        <f t="shared" si="2"/>
        <v>0</v>
      </c>
      <c r="F93" s="460">
        <f t="shared" si="3"/>
        <v>0</v>
      </c>
      <c r="G93" s="460">
        <f t="shared" si="14"/>
        <v>0</v>
      </c>
      <c r="H93" s="460">
        <f>IF(L92&lt;0.01,0,IF($H$68="",0,L92*Adm!$V$3))</f>
        <v>0</v>
      </c>
      <c r="I93" s="460">
        <f>IF(L92&lt;0.01,0,IF($I$68="",0,($G$28*0.7*Adm!$W$3)))</f>
        <v>0</v>
      </c>
      <c r="J93" s="460">
        <f>IF(L92&lt;0.01,0,Adm!$AD$2*1.16)</f>
        <v>0</v>
      </c>
      <c r="K93" s="460">
        <f t="shared" si="4"/>
        <v>0</v>
      </c>
      <c r="L93" s="460">
        <f t="shared" si="5"/>
        <v>0</v>
      </c>
      <c r="M93" s="468"/>
      <c r="T93" s="469">
        <f t="shared" si="6"/>
        <v>12</v>
      </c>
      <c r="U93" s="470">
        <f>IF(T93=1,Adm!$O$2,0)</f>
        <v>0</v>
      </c>
      <c r="Z93" s="477">
        <f t="shared" si="7"/>
        <v>0</v>
      </c>
      <c r="AA93" s="478">
        <f>IF(M92&lt;=0,0,IF($AA$63=$AA$60,0,IF($Z$63=$Z$61,PMT(Adm!$J$2/12,B92,-L92),0)))</f>
        <v>0</v>
      </c>
      <c r="AB93" s="479">
        <f t="shared" si="8"/>
        <v>0</v>
      </c>
      <c r="AC93" s="479"/>
      <c r="AE93" s="473" t="e">
        <f t="shared" si="9"/>
        <v>#N/A</v>
      </c>
      <c r="AF93" s="480" t="e">
        <f t="shared" si="15"/>
        <v>#N/A</v>
      </c>
      <c r="AG93" s="475" t="e">
        <f t="shared" si="10"/>
        <v>#N/A</v>
      </c>
      <c r="AH93" s="476" t="e">
        <f t="shared" si="11"/>
        <v>#N/A</v>
      </c>
      <c r="AI93" s="475" t="e">
        <f t="shared" si="16"/>
        <v>#N/A</v>
      </c>
      <c r="AJ93" s="307" t="e">
        <f t="shared" si="12"/>
        <v>#N/A</v>
      </c>
    </row>
    <row r="94" spans="2:36">
      <c r="B94" s="277">
        <f t="shared" si="0"/>
        <v>0</v>
      </c>
      <c r="C94" s="466">
        <f t="shared" si="1"/>
        <v>0</v>
      </c>
      <c r="D94" s="467">
        <f t="shared" si="13"/>
        <v>0</v>
      </c>
      <c r="E94" s="460">
        <f t="shared" si="2"/>
        <v>0</v>
      </c>
      <c r="F94" s="460">
        <f t="shared" si="3"/>
        <v>0</v>
      </c>
      <c r="G94" s="460">
        <f t="shared" si="14"/>
        <v>0</v>
      </c>
      <c r="H94" s="460">
        <f>IF(L93&lt;0.01,0,IF($H$68="",0,L93*Adm!$V$3))</f>
        <v>0</v>
      </c>
      <c r="I94" s="460">
        <f>IF(L93&lt;0.01,0,IF($I$68="",0,($G$28*0.7*Adm!$W$3)))</f>
        <v>0</v>
      </c>
      <c r="J94" s="460">
        <f>IF(L93&lt;0.01,0,Adm!$AD$2*1.16)</f>
        <v>0</v>
      </c>
      <c r="K94" s="460">
        <f t="shared" si="4"/>
        <v>0</v>
      </c>
      <c r="L94" s="460">
        <f t="shared" si="5"/>
        <v>0</v>
      </c>
      <c r="M94" s="468"/>
      <c r="T94" s="469">
        <f t="shared" si="6"/>
        <v>1</v>
      </c>
      <c r="U94" s="470">
        <f>IF(T94=1,Adm!$O$2,0)</f>
        <v>0</v>
      </c>
      <c r="Z94" s="477">
        <f t="shared" si="7"/>
        <v>0</v>
      </c>
      <c r="AA94" s="478">
        <f>IF(M93&lt;=0,0,IF($AA$63=$AA$60,0,IF($Z$63=$Z$61,PMT(Adm!$J$2/12,B93,-L93),0)))</f>
        <v>0</v>
      </c>
      <c r="AB94" s="479">
        <f t="shared" si="8"/>
        <v>0</v>
      </c>
      <c r="AC94" s="479"/>
      <c r="AE94" s="473" t="e">
        <f t="shared" si="9"/>
        <v>#N/A</v>
      </c>
      <c r="AF94" s="480" t="e">
        <f t="shared" si="15"/>
        <v>#N/A</v>
      </c>
      <c r="AG94" s="475" t="e">
        <f t="shared" si="10"/>
        <v>#N/A</v>
      </c>
      <c r="AH94" s="476" t="e">
        <f t="shared" si="11"/>
        <v>#N/A</v>
      </c>
      <c r="AI94" s="481" t="e">
        <f>MIN(AJ93+AG94,AI93*(1+$AG$65))</f>
        <v>#N/A</v>
      </c>
      <c r="AJ94" s="307" t="e">
        <f t="shared" si="12"/>
        <v>#N/A</v>
      </c>
    </row>
    <row r="95" spans="2:36">
      <c r="B95" s="277">
        <f t="shared" si="0"/>
        <v>0</v>
      </c>
      <c r="C95" s="466">
        <f t="shared" si="1"/>
        <v>0</v>
      </c>
      <c r="D95" s="467">
        <f t="shared" si="13"/>
        <v>0</v>
      </c>
      <c r="E95" s="460">
        <f t="shared" si="2"/>
        <v>0</v>
      </c>
      <c r="F95" s="460">
        <f t="shared" si="3"/>
        <v>0</v>
      </c>
      <c r="G95" s="460">
        <f t="shared" si="14"/>
        <v>0</v>
      </c>
      <c r="H95" s="460">
        <f>IF(L94&lt;0.01,0,IF($H$68="",0,L94*Adm!$V$3))</f>
        <v>0</v>
      </c>
      <c r="I95" s="460">
        <f>IF(L94&lt;0.01,0,IF($I$68="",0,($G$28*0.7*Adm!$W$3)))</f>
        <v>0</v>
      </c>
      <c r="J95" s="460">
        <f>IF(L94&lt;0.01,0,Adm!$AD$2*1.16)</f>
        <v>0</v>
      </c>
      <c r="K95" s="460">
        <f t="shared" si="4"/>
        <v>0</v>
      </c>
      <c r="L95" s="460">
        <f t="shared" si="5"/>
        <v>0</v>
      </c>
      <c r="M95" s="468"/>
      <c r="T95" s="469">
        <f t="shared" si="6"/>
        <v>2</v>
      </c>
      <c r="U95" s="470">
        <f>IF(T95=1,Adm!$O$2,0)</f>
        <v>0</v>
      </c>
      <c r="Z95" s="477">
        <f t="shared" si="7"/>
        <v>0</v>
      </c>
      <c r="AA95" s="478">
        <f>IF(M94&lt;=0,0,IF($AA$63=$AA$60,0,IF($Z$63=$Z$61,PMT(Adm!$J$2/12,B94,-L94),0)))</f>
        <v>0</v>
      </c>
      <c r="AB95" s="479">
        <f t="shared" si="8"/>
        <v>0</v>
      </c>
      <c r="AC95" s="479"/>
      <c r="AE95" s="473" t="e">
        <f t="shared" si="9"/>
        <v>#N/A</v>
      </c>
      <c r="AF95" s="480" t="e">
        <f t="shared" si="15"/>
        <v>#N/A</v>
      </c>
      <c r="AG95" s="475" t="e">
        <f t="shared" si="10"/>
        <v>#N/A</v>
      </c>
      <c r="AH95" s="476" t="e">
        <f t="shared" si="11"/>
        <v>#N/A</v>
      </c>
      <c r="AI95" s="475" t="e">
        <f t="shared" si="16"/>
        <v>#N/A</v>
      </c>
      <c r="AJ95" s="307" t="e">
        <f t="shared" si="12"/>
        <v>#N/A</v>
      </c>
    </row>
    <row r="96" spans="2:36">
      <c r="B96" s="277">
        <f t="shared" si="0"/>
        <v>0</v>
      </c>
      <c r="C96" s="466">
        <f t="shared" si="1"/>
        <v>0</v>
      </c>
      <c r="D96" s="467">
        <f t="shared" si="13"/>
        <v>0</v>
      </c>
      <c r="E96" s="460">
        <f t="shared" si="2"/>
        <v>0</v>
      </c>
      <c r="F96" s="460">
        <f t="shared" si="3"/>
        <v>0</v>
      </c>
      <c r="G96" s="460">
        <f t="shared" si="14"/>
        <v>0</v>
      </c>
      <c r="H96" s="460">
        <f>IF(L95&lt;0.01,0,IF($H$68="",0,L95*Adm!$V$3))</f>
        <v>0</v>
      </c>
      <c r="I96" s="460">
        <f>IF(L95&lt;0.01,0,IF($I$68="",0,($G$28*0.7*Adm!$W$3)))</f>
        <v>0</v>
      </c>
      <c r="J96" s="460">
        <f>IF(L95&lt;0.01,0,Adm!$AD$2*1.16)</f>
        <v>0</v>
      </c>
      <c r="K96" s="460">
        <f t="shared" si="4"/>
        <v>0</v>
      </c>
      <c r="L96" s="460">
        <f t="shared" si="5"/>
        <v>0</v>
      </c>
      <c r="M96" s="468"/>
      <c r="T96" s="469">
        <f t="shared" si="6"/>
        <v>3</v>
      </c>
      <c r="U96" s="470">
        <f>IF(T96=1,Adm!$O$2,0)</f>
        <v>0</v>
      </c>
      <c r="Z96" s="477">
        <f t="shared" si="7"/>
        <v>0</v>
      </c>
      <c r="AA96" s="478">
        <f>IF(M95&lt;=0,0,IF($AA$63=$AA$60,0,IF($Z$63=$Z$61,PMT(Adm!$J$2/12,B95,-L95),0)))</f>
        <v>0</v>
      </c>
      <c r="AB96" s="479">
        <f t="shared" si="8"/>
        <v>0</v>
      </c>
      <c r="AC96" s="479"/>
      <c r="AE96" s="473" t="e">
        <f t="shared" si="9"/>
        <v>#N/A</v>
      </c>
      <c r="AF96" s="480" t="e">
        <f t="shared" si="15"/>
        <v>#N/A</v>
      </c>
      <c r="AG96" s="475" t="e">
        <f t="shared" si="10"/>
        <v>#N/A</v>
      </c>
      <c r="AH96" s="476" t="e">
        <f t="shared" si="11"/>
        <v>#N/A</v>
      </c>
      <c r="AI96" s="475" t="e">
        <f t="shared" si="16"/>
        <v>#N/A</v>
      </c>
      <c r="AJ96" s="307" t="e">
        <f t="shared" si="12"/>
        <v>#N/A</v>
      </c>
    </row>
    <row r="97" spans="2:36">
      <c r="B97" s="277">
        <f t="shared" si="0"/>
        <v>0</v>
      </c>
      <c r="C97" s="466">
        <f t="shared" si="1"/>
        <v>0</v>
      </c>
      <c r="D97" s="467">
        <f t="shared" si="13"/>
        <v>0</v>
      </c>
      <c r="E97" s="460">
        <f t="shared" si="2"/>
        <v>0</v>
      </c>
      <c r="F97" s="460">
        <f t="shared" si="3"/>
        <v>0</v>
      </c>
      <c r="G97" s="460">
        <f t="shared" si="14"/>
        <v>0</v>
      </c>
      <c r="H97" s="460">
        <f>IF(L96&lt;0.01,0,IF($H$68="",0,L96*Adm!$V$3))</f>
        <v>0</v>
      </c>
      <c r="I97" s="460">
        <f>IF(L96&lt;0.01,0,IF($I$68="",0,($G$28*0.7*Adm!$W$3)))</f>
        <v>0</v>
      </c>
      <c r="J97" s="460">
        <f>IF(L96&lt;0.01,0,Adm!$AD$2*1.16)</f>
        <v>0</v>
      </c>
      <c r="K97" s="460">
        <f t="shared" si="4"/>
        <v>0</v>
      </c>
      <c r="L97" s="460">
        <f t="shared" si="5"/>
        <v>0</v>
      </c>
      <c r="M97" s="468"/>
      <c r="T97" s="469">
        <f t="shared" si="6"/>
        <v>4</v>
      </c>
      <c r="U97" s="470">
        <f>IF(T97=1,Adm!$O$2,0)</f>
        <v>0</v>
      </c>
      <c r="Z97" s="477">
        <f t="shared" si="7"/>
        <v>0</v>
      </c>
      <c r="AA97" s="478">
        <f>IF(M96&lt;=0,0,IF($AA$63=$AA$60,0,IF($Z$63=$Z$61,PMT(Adm!$J$2/12,B96,-L96),0)))</f>
        <v>0</v>
      </c>
      <c r="AB97" s="479">
        <f t="shared" si="8"/>
        <v>0</v>
      </c>
      <c r="AC97" s="479"/>
      <c r="AE97" s="473" t="e">
        <f t="shared" si="9"/>
        <v>#N/A</v>
      </c>
      <c r="AF97" s="480" t="e">
        <f t="shared" si="15"/>
        <v>#N/A</v>
      </c>
      <c r="AG97" s="475" t="e">
        <f t="shared" si="10"/>
        <v>#N/A</v>
      </c>
      <c r="AH97" s="476" t="e">
        <f t="shared" si="11"/>
        <v>#N/A</v>
      </c>
      <c r="AI97" s="475" t="e">
        <f t="shared" si="16"/>
        <v>#N/A</v>
      </c>
      <c r="AJ97" s="307" t="e">
        <f t="shared" si="12"/>
        <v>#N/A</v>
      </c>
    </row>
    <row r="98" spans="2:36">
      <c r="B98" s="277">
        <f t="shared" si="0"/>
        <v>0</v>
      </c>
      <c r="C98" s="466">
        <f t="shared" si="1"/>
        <v>0</v>
      </c>
      <c r="D98" s="467">
        <f t="shared" si="13"/>
        <v>0</v>
      </c>
      <c r="E98" s="460">
        <f t="shared" si="2"/>
        <v>0</v>
      </c>
      <c r="F98" s="460">
        <f t="shared" si="3"/>
        <v>0</v>
      </c>
      <c r="G98" s="460">
        <f t="shared" si="14"/>
        <v>0</v>
      </c>
      <c r="H98" s="460">
        <f>IF(L97&lt;0.01,0,IF($H$68="",0,L97*Adm!$V$3))</f>
        <v>0</v>
      </c>
      <c r="I98" s="460">
        <f>IF(L97&lt;0.01,0,IF($I$68="",0,($G$28*0.7*Adm!$W$3)))</f>
        <v>0</v>
      </c>
      <c r="J98" s="460">
        <f>IF(L97&lt;0.01,0,Adm!$AD$2*1.16)</f>
        <v>0</v>
      </c>
      <c r="K98" s="460">
        <f t="shared" si="4"/>
        <v>0</v>
      </c>
      <c r="L98" s="460">
        <f t="shared" si="5"/>
        <v>0</v>
      </c>
      <c r="M98" s="468"/>
      <c r="T98" s="469">
        <f t="shared" si="6"/>
        <v>5</v>
      </c>
      <c r="U98" s="470">
        <f>IF(T98=1,Adm!$O$2,0)</f>
        <v>0</v>
      </c>
      <c r="Z98" s="477">
        <f t="shared" si="7"/>
        <v>0</v>
      </c>
      <c r="AA98" s="478">
        <f>IF(M97&lt;=0,0,IF($AA$63=$AA$60,0,IF($Z$63=$Z$61,PMT(Adm!$J$2/12,B97,-L97),0)))</f>
        <v>0</v>
      </c>
      <c r="AB98" s="479">
        <f t="shared" si="8"/>
        <v>0</v>
      </c>
      <c r="AC98" s="479"/>
      <c r="AE98" s="473" t="e">
        <f t="shared" si="9"/>
        <v>#N/A</v>
      </c>
      <c r="AF98" s="480" t="e">
        <f t="shared" si="15"/>
        <v>#N/A</v>
      </c>
      <c r="AG98" s="475" t="e">
        <f t="shared" si="10"/>
        <v>#N/A</v>
      </c>
      <c r="AH98" s="476" t="e">
        <f t="shared" si="11"/>
        <v>#N/A</v>
      </c>
      <c r="AI98" s="475" t="e">
        <f t="shared" si="16"/>
        <v>#N/A</v>
      </c>
      <c r="AJ98" s="307" t="e">
        <f t="shared" si="12"/>
        <v>#N/A</v>
      </c>
    </row>
    <row r="99" spans="2:36">
      <c r="B99" s="277">
        <f t="shared" si="0"/>
        <v>0</v>
      </c>
      <c r="C99" s="466">
        <f t="shared" si="1"/>
        <v>0</v>
      </c>
      <c r="D99" s="467">
        <f t="shared" si="13"/>
        <v>0</v>
      </c>
      <c r="E99" s="460">
        <f t="shared" si="2"/>
        <v>0</v>
      </c>
      <c r="F99" s="460">
        <f t="shared" si="3"/>
        <v>0</v>
      </c>
      <c r="G99" s="460">
        <f t="shared" si="14"/>
        <v>0</v>
      </c>
      <c r="H99" s="460">
        <f>IF(L98&lt;0.01,0,IF($H$68="",0,L98*Adm!$V$3))</f>
        <v>0</v>
      </c>
      <c r="I99" s="460">
        <f>IF(L98&lt;0.01,0,IF($I$68="",0,($G$28*0.7*Adm!$W$3)))</f>
        <v>0</v>
      </c>
      <c r="J99" s="460">
        <f>IF(L98&lt;0.01,0,Adm!$AD$2*1.16)</f>
        <v>0</v>
      </c>
      <c r="K99" s="460">
        <f t="shared" si="4"/>
        <v>0</v>
      </c>
      <c r="L99" s="460">
        <f t="shared" si="5"/>
        <v>0</v>
      </c>
      <c r="M99" s="468"/>
      <c r="T99" s="469">
        <f t="shared" si="6"/>
        <v>6</v>
      </c>
      <c r="U99" s="470">
        <f>IF(T99=1,Adm!$O$2,0)</f>
        <v>0</v>
      </c>
      <c r="Z99" s="477">
        <f t="shared" si="7"/>
        <v>0</v>
      </c>
      <c r="AA99" s="478">
        <f>IF(M98&lt;=0,0,IF($AA$63=$AA$60,0,IF($Z$63=$Z$61,PMT(Adm!$J$2/12,B98,-L98),0)))</f>
        <v>0</v>
      </c>
      <c r="AB99" s="479">
        <f t="shared" si="8"/>
        <v>0</v>
      </c>
      <c r="AC99" s="479"/>
      <c r="AE99" s="473" t="e">
        <f t="shared" si="9"/>
        <v>#N/A</v>
      </c>
      <c r="AF99" s="480" t="e">
        <f t="shared" si="15"/>
        <v>#N/A</v>
      </c>
      <c r="AG99" s="475" t="e">
        <f t="shared" si="10"/>
        <v>#N/A</v>
      </c>
      <c r="AH99" s="476" t="e">
        <f t="shared" si="11"/>
        <v>#N/A</v>
      </c>
      <c r="AI99" s="475" t="e">
        <f t="shared" si="16"/>
        <v>#N/A</v>
      </c>
      <c r="AJ99" s="307" t="e">
        <f t="shared" si="12"/>
        <v>#N/A</v>
      </c>
    </row>
    <row r="100" spans="2:36">
      <c r="B100" s="277">
        <f t="shared" si="0"/>
        <v>0</v>
      </c>
      <c r="C100" s="466">
        <f t="shared" si="1"/>
        <v>0</v>
      </c>
      <c r="D100" s="467">
        <f t="shared" si="13"/>
        <v>0</v>
      </c>
      <c r="E100" s="460">
        <f t="shared" si="2"/>
        <v>0</v>
      </c>
      <c r="F100" s="460">
        <f t="shared" si="3"/>
        <v>0</v>
      </c>
      <c r="G100" s="460">
        <f t="shared" si="14"/>
        <v>0</v>
      </c>
      <c r="H100" s="460">
        <f>IF(L99&lt;0.01,0,IF($H$68="",0,L99*Adm!$V$3))</f>
        <v>0</v>
      </c>
      <c r="I100" s="460">
        <f>IF(L99&lt;0.01,0,IF($I$68="",0,($G$28*0.7*Adm!$W$3)))</f>
        <v>0</v>
      </c>
      <c r="J100" s="460">
        <f>IF(L99&lt;0.01,0,Adm!$AD$2*1.16)</f>
        <v>0</v>
      </c>
      <c r="K100" s="460">
        <f t="shared" si="4"/>
        <v>0</v>
      </c>
      <c r="L100" s="460">
        <f t="shared" si="5"/>
        <v>0</v>
      </c>
      <c r="M100" s="468"/>
      <c r="T100" s="469">
        <f t="shared" si="6"/>
        <v>7</v>
      </c>
      <c r="U100" s="470">
        <f>IF(T100=1,Adm!$O$2,0)</f>
        <v>0</v>
      </c>
      <c r="Z100" s="477">
        <f t="shared" si="7"/>
        <v>0</v>
      </c>
      <c r="AA100" s="478">
        <f>IF(M99&lt;=0,0,IF($AA$63=$AA$60,0,IF($Z$63=$Z$61,PMT(Adm!$J$2/12,B99,-L99),0)))</f>
        <v>0</v>
      </c>
      <c r="AB100" s="479">
        <f t="shared" si="8"/>
        <v>0</v>
      </c>
      <c r="AC100" s="479"/>
      <c r="AE100" s="473" t="e">
        <f t="shared" si="9"/>
        <v>#N/A</v>
      </c>
      <c r="AF100" s="480" t="e">
        <f t="shared" si="15"/>
        <v>#N/A</v>
      </c>
      <c r="AG100" s="475" t="e">
        <f t="shared" si="10"/>
        <v>#N/A</v>
      </c>
      <c r="AH100" s="476" t="e">
        <f t="shared" si="11"/>
        <v>#N/A</v>
      </c>
      <c r="AI100" s="475" t="e">
        <f t="shared" si="16"/>
        <v>#N/A</v>
      </c>
      <c r="AJ100" s="307" t="e">
        <f t="shared" si="12"/>
        <v>#N/A</v>
      </c>
    </row>
    <row r="101" spans="2:36">
      <c r="B101" s="277">
        <f t="shared" si="0"/>
        <v>0</v>
      </c>
      <c r="C101" s="466">
        <f t="shared" si="1"/>
        <v>0</v>
      </c>
      <c r="D101" s="467">
        <f t="shared" si="13"/>
        <v>0</v>
      </c>
      <c r="E101" s="460">
        <f t="shared" si="2"/>
        <v>0</v>
      </c>
      <c r="F101" s="460">
        <f t="shared" si="3"/>
        <v>0</v>
      </c>
      <c r="G101" s="460">
        <f t="shared" si="14"/>
        <v>0</v>
      </c>
      <c r="H101" s="460">
        <f>IF(L100&lt;0.01,0,IF($H$68="",0,L100*Adm!$V$3))</f>
        <v>0</v>
      </c>
      <c r="I101" s="460">
        <f>IF(L100&lt;0.01,0,IF($I$68="",0,($G$28*0.7*Adm!$W$3)))</f>
        <v>0</v>
      </c>
      <c r="J101" s="460">
        <f>IF(L100&lt;0.01,0,Adm!$AD$2*1.16)</f>
        <v>0</v>
      </c>
      <c r="K101" s="460">
        <f t="shared" si="4"/>
        <v>0</v>
      </c>
      <c r="L101" s="460">
        <f t="shared" si="5"/>
        <v>0</v>
      </c>
      <c r="M101" s="468"/>
      <c r="T101" s="469">
        <f t="shared" si="6"/>
        <v>8</v>
      </c>
      <c r="U101" s="470">
        <f>IF(T101=1,Adm!$O$2,0)</f>
        <v>0</v>
      </c>
      <c r="Z101" s="477">
        <f t="shared" si="7"/>
        <v>0</v>
      </c>
      <c r="AA101" s="478">
        <f>IF(M100&lt;=0,0,IF($AA$63=$AA$60,0,IF($Z$63=$Z$61,PMT(Adm!$J$2/12,B100,-L100),0)))</f>
        <v>0</v>
      </c>
      <c r="AB101" s="479">
        <f t="shared" si="8"/>
        <v>0</v>
      </c>
      <c r="AC101" s="479"/>
      <c r="AE101" s="473" t="e">
        <f t="shared" si="9"/>
        <v>#N/A</v>
      </c>
      <c r="AF101" s="480" t="e">
        <f t="shared" si="15"/>
        <v>#N/A</v>
      </c>
      <c r="AG101" s="475" t="e">
        <f t="shared" si="10"/>
        <v>#N/A</v>
      </c>
      <c r="AH101" s="476" t="e">
        <f t="shared" si="11"/>
        <v>#N/A</v>
      </c>
      <c r="AI101" s="475" t="e">
        <f t="shared" si="16"/>
        <v>#N/A</v>
      </c>
      <c r="AJ101" s="307" t="e">
        <f t="shared" si="12"/>
        <v>#N/A</v>
      </c>
    </row>
    <row r="102" spans="2:36">
      <c r="B102" s="277">
        <f t="shared" si="0"/>
        <v>0</v>
      </c>
      <c r="C102" s="466">
        <f t="shared" si="1"/>
        <v>0</v>
      </c>
      <c r="D102" s="467">
        <f t="shared" si="13"/>
        <v>0</v>
      </c>
      <c r="E102" s="460">
        <f t="shared" si="2"/>
        <v>0</v>
      </c>
      <c r="F102" s="460">
        <f t="shared" si="3"/>
        <v>0</v>
      </c>
      <c r="G102" s="460">
        <f t="shared" si="14"/>
        <v>0</v>
      </c>
      <c r="H102" s="460">
        <f>IF(L101&lt;0.01,0,IF($H$68="",0,L101*Adm!$V$3))</f>
        <v>0</v>
      </c>
      <c r="I102" s="460">
        <f>IF(L101&lt;0.01,0,IF($I$68="",0,($G$28*0.7*Adm!$W$3)))</f>
        <v>0</v>
      </c>
      <c r="J102" s="460">
        <f>IF(L101&lt;0.01,0,Adm!$AD$2*1.16)</f>
        <v>0</v>
      </c>
      <c r="K102" s="460">
        <f t="shared" si="4"/>
        <v>0</v>
      </c>
      <c r="L102" s="460">
        <f t="shared" si="5"/>
        <v>0</v>
      </c>
      <c r="M102" s="468"/>
      <c r="T102" s="469">
        <f t="shared" si="6"/>
        <v>9</v>
      </c>
      <c r="U102" s="470">
        <f>IF(T102=1,Adm!$O$2,0)</f>
        <v>0</v>
      </c>
      <c r="Z102" s="477">
        <f t="shared" si="7"/>
        <v>0</v>
      </c>
      <c r="AA102" s="478">
        <f>IF(M101&lt;=0,0,IF($AA$63=$AA$60,0,IF($Z$63=$Z$61,PMT(Adm!$J$2/12,B101,-L101),0)))</f>
        <v>0</v>
      </c>
      <c r="AB102" s="479">
        <f t="shared" si="8"/>
        <v>0</v>
      </c>
      <c r="AC102" s="479"/>
      <c r="AE102" s="473" t="e">
        <f t="shared" si="9"/>
        <v>#N/A</v>
      </c>
      <c r="AF102" s="480" t="e">
        <f t="shared" si="15"/>
        <v>#N/A</v>
      </c>
      <c r="AG102" s="475" t="e">
        <f t="shared" si="10"/>
        <v>#N/A</v>
      </c>
      <c r="AH102" s="476" t="e">
        <f t="shared" si="11"/>
        <v>#N/A</v>
      </c>
      <c r="AI102" s="475" t="e">
        <f t="shared" si="16"/>
        <v>#N/A</v>
      </c>
      <c r="AJ102" s="307" t="e">
        <f t="shared" si="12"/>
        <v>#N/A</v>
      </c>
    </row>
    <row r="103" spans="2:36">
      <c r="B103" s="277">
        <f t="shared" si="0"/>
        <v>0</v>
      </c>
      <c r="C103" s="466">
        <f t="shared" si="1"/>
        <v>0</v>
      </c>
      <c r="D103" s="467">
        <f t="shared" si="13"/>
        <v>0</v>
      </c>
      <c r="E103" s="460">
        <f t="shared" si="2"/>
        <v>0</v>
      </c>
      <c r="F103" s="460">
        <f t="shared" si="3"/>
        <v>0</v>
      </c>
      <c r="G103" s="460">
        <f t="shared" si="14"/>
        <v>0</v>
      </c>
      <c r="H103" s="460">
        <f>IF(L102&lt;0.01,0,IF($H$68="",0,L102*Adm!$V$3))</f>
        <v>0</v>
      </c>
      <c r="I103" s="460">
        <f>IF(L102&lt;0.01,0,IF($I$68="",0,($G$28*0.7*Adm!$W$3)))</f>
        <v>0</v>
      </c>
      <c r="J103" s="460">
        <f>IF(L102&lt;0.01,0,Adm!$AD$2*1.16)</f>
        <v>0</v>
      </c>
      <c r="K103" s="460">
        <f t="shared" si="4"/>
        <v>0</v>
      </c>
      <c r="L103" s="460">
        <f t="shared" si="5"/>
        <v>0</v>
      </c>
      <c r="M103" s="468"/>
      <c r="T103" s="469">
        <f t="shared" si="6"/>
        <v>10</v>
      </c>
      <c r="U103" s="470">
        <f>IF(T103=1,Adm!$O$2,0)</f>
        <v>0</v>
      </c>
      <c r="Z103" s="477">
        <f t="shared" si="7"/>
        <v>0</v>
      </c>
      <c r="AA103" s="478">
        <f>IF(M102&lt;=0,0,IF($AA$63=$AA$60,0,IF($Z$63=$Z$61,PMT(Adm!$J$2/12,B102,-L102),0)))</f>
        <v>0</v>
      </c>
      <c r="AB103" s="479">
        <f t="shared" si="8"/>
        <v>0</v>
      </c>
      <c r="AC103" s="479"/>
      <c r="AE103" s="473" t="e">
        <f t="shared" si="9"/>
        <v>#N/A</v>
      </c>
      <c r="AF103" s="480" t="e">
        <f t="shared" si="15"/>
        <v>#N/A</v>
      </c>
      <c r="AG103" s="475" t="e">
        <f t="shared" si="10"/>
        <v>#N/A</v>
      </c>
      <c r="AH103" s="476" t="e">
        <f t="shared" si="11"/>
        <v>#N/A</v>
      </c>
      <c r="AI103" s="475" t="e">
        <f t="shared" si="16"/>
        <v>#N/A</v>
      </c>
      <c r="AJ103" s="307" t="e">
        <f t="shared" si="12"/>
        <v>#N/A</v>
      </c>
    </row>
    <row r="104" spans="2:36">
      <c r="B104" s="277">
        <f t="shared" si="0"/>
        <v>0</v>
      </c>
      <c r="C104" s="466">
        <f t="shared" si="1"/>
        <v>0</v>
      </c>
      <c r="D104" s="467">
        <f t="shared" si="13"/>
        <v>0</v>
      </c>
      <c r="E104" s="460">
        <f t="shared" si="2"/>
        <v>0</v>
      </c>
      <c r="F104" s="460">
        <f t="shared" si="3"/>
        <v>0</v>
      </c>
      <c r="G104" s="460">
        <f t="shared" si="14"/>
        <v>0</v>
      </c>
      <c r="H104" s="460">
        <f>IF(L103&lt;0.01,0,IF($H$68="",0,L103*Adm!$V$3))</f>
        <v>0</v>
      </c>
      <c r="I104" s="460">
        <f>IF(L103&lt;0.01,0,IF($I$68="",0,($G$28*0.7*Adm!$W$3)))</f>
        <v>0</v>
      </c>
      <c r="J104" s="460">
        <f>IF(L103&lt;0.01,0,Adm!$AD$2*1.16)</f>
        <v>0</v>
      </c>
      <c r="K104" s="460">
        <f t="shared" si="4"/>
        <v>0</v>
      </c>
      <c r="L104" s="460">
        <f t="shared" si="5"/>
        <v>0</v>
      </c>
      <c r="M104" s="468"/>
      <c r="T104" s="469">
        <f t="shared" si="6"/>
        <v>11</v>
      </c>
      <c r="U104" s="470">
        <f>IF(T104=1,Adm!$O$2,0)</f>
        <v>0</v>
      </c>
      <c r="Z104" s="477">
        <f t="shared" si="7"/>
        <v>0</v>
      </c>
      <c r="AA104" s="478">
        <f>IF(M103&lt;=0,0,IF($AA$63=$AA$60,0,IF($Z$63=$Z$61,PMT(Adm!$J$2/12,B103,-L103),0)))</f>
        <v>0</v>
      </c>
      <c r="AB104" s="479">
        <f t="shared" si="8"/>
        <v>0</v>
      </c>
      <c r="AC104" s="479"/>
      <c r="AE104" s="473" t="e">
        <f t="shared" si="9"/>
        <v>#N/A</v>
      </c>
      <c r="AF104" s="480" t="e">
        <f t="shared" si="15"/>
        <v>#N/A</v>
      </c>
      <c r="AG104" s="475" t="e">
        <f t="shared" si="10"/>
        <v>#N/A</v>
      </c>
      <c r="AH104" s="476" t="e">
        <f t="shared" si="11"/>
        <v>#N/A</v>
      </c>
      <c r="AI104" s="475" t="e">
        <f t="shared" si="16"/>
        <v>#N/A</v>
      </c>
      <c r="AJ104" s="307" t="e">
        <f t="shared" si="12"/>
        <v>#N/A</v>
      </c>
    </row>
    <row r="105" spans="2:36">
      <c r="B105" s="277">
        <f t="shared" si="0"/>
        <v>0</v>
      </c>
      <c r="C105" s="466">
        <f t="shared" si="1"/>
        <v>0</v>
      </c>
      <c r="D105" s="467">
        <f t="shared" si="13"/>
        <v>0</v>
      </c>
      <c r="E105" s="460">
        <f t="shared" si="2"/>
        <v>0</v>
      </c>
      <c r="F105" s="460">
        <f t="shared" si="3"/>
        <v>0</v>
      </c>
      <c r="G105" s="460">
        <f t="shared" si="14"/>
        <v>0</v>
      </c>
      <c r="H105" s="460">
        <f>IF(L104&lt;0.01,0,IF($H$68="",0,L104*Adm!$V$3))</f>
        <v>0</v>
      </c>
      <c r="I105" s="460">
        <f>IF(L104&lt;0.01,0,IF($I$68="",0,($G$28*0.7*Adm!$W$3)))</f>
        <v>0</v>
      </c>
      <c r="J105" s="460">
        <f>IF(L104&lt;0.01,0,Adm!$AD$2*1.16)</f>
        <v>0</v>
      </c>
      <c r="K105" s="460">
        <f t="shared" si="4"/>
        <v>0</v>
      </c>
      <c r="L105" s="460">
        <f t="shared" si="5"/>
        <v>0</v>
      </c>
      <c r="M105" s="468"/>
      <c r="T105" s="469">
        <f t="shared" si="6"/>
        <v>12</v>
      </c>
      <c r="U105" s="470">
        <f>IF(T105=1,Adm!$O$2,0)</f>
        <v>0</v>
      </c>
      <c r="Z105" s="477">
        <f t="shared" si="7"/>
        <v>0</v>
      </c>
      <c r="AA105" s="478">
        <f>IF(M104&lt;=0,0,IF($AA$63=$AA$60,0,IF($Z$63=$Z$61,PMT(Adm!$J$2/12,B104,-L104),0)))</f>
        <v>0</v>
      </c>
      <c r="AB105" s="479">
        <f t="shared" si="8"/>
        <v>0</v>
      </c>
      <c r="AC105" s="479"/>
      <c r="AE105" s="473" t="e">
        <f t="shared" si="9"/>
        <v>#N/A</v>
      </c>
      <c r="AF105" s="480" t="e">
        <f t="shared" si="15"/>
        <v>#N/A</v>
      </c>
      <c r="AG105" s="475" t="e">
        <f t="shared" si="10"/>
        <v>#N/A</v>
      </c>
      <c r="AH105" s="476" t="e">
        <f t="shared" si="11"/>
        <v>#N/A</v>
      </c>
      <c r="AI105" s="475" t="e">
        <f t="shared" si="16"/>
        <v>#N/A</v>
      </c>
      <c r="AJ105" s="307" t="e">
        <f t="shared" si="12"/>
        <v>#N/A</v>
      </c>
    </row>
    <row r="106" spans="2:36">
      <c r="B106" s="277">
        <f t="shared" si="0"/>
        <v>0</v>
      </c>
      <c r="C106" s="466">
        <f t="shared" si="1"/>
        <v>0</v>
      </c>
      <c r="D106" s="467">
        <f t="shared" si="13"/>
        <v>0</v>
      </c>
      <c r="E106" s="460">
        <f t="shared" si="2"/>
        <v>0</v>
      </c>
      <c r="F106" s="460">
        <f t="shared" si="3"/>
        <v>0</v>
      </c>
      <c r="G106" s="460">
        <f t="shared" si="14"/>
        <v>0</v>
      </c>
      <c r="H106" s="460">
        <f>IF(L105&lt;0.01,0,IF($H$68="",0,L105*Adm!$V$3))</f>
        <v>0</v>
      </c>
      <c r="I106" s="460">
        <f>IF(L105&lt;0.01,0,IF($I$68="",0,($G$28*0.7*Adm!$W$3)))</f>
        <v>0</v>
      </c>
      <c r="J106" s="460">
        <f>IF(L105&lt;0.01,0,Adm!$AD$2*1.16)</f>
        <v>0</v>
      </c>
      <c r="K106" s="460">
        <f t="shared" si="4"/>
        <v>0</v>
      </c>
      <c r="L106" s="460">
        <f t="shared" si="5"/>
        <v>0</v>
      </c>
      <c r="M106" s="468"/>
      <c r="T106" s="469">
        <f t="shared" si="6"/>
        <v>1</v>
      </c>
      <c r="U106" s="470">
        <f>IF(T106=1,Adm!$O$2,0)</f>
        <v>0</v>
      </c>
      <c r="Z106" s="477">
        <f t="shared" si="7"/>
        <v>0</v>
      </c>
      <c r="AA106" s="478">
        <f>IF(M105&lt;=0,0,IF($AA$63=$AA$60,0,IF($Z$63=$Z$61,PMT(Adm!$J$2/12,B105,-L105),0)))</f>
        <v>0</v>
      </c>
      <c r="AB106" s="479">
        <f t="shared" si="8"/>
        <v>0</v>
      </c>
      <c r="AC106" s="479"/>
      <c r="AE106" s="473" t="e">
        <f t="shared" si="9"/>
        <v>#N/A</v>
      </c>
      <c r="AF106" s="480" t="e">
        <f t="shared" si="15"/>
        <v>#N/A</v>
      </c>
      <c r="AG106" s="475" t="e">
        <f t="shared" si="10"/>
        <v>#N/A</v>
      </c>
      <c r="AH106" s="476" t="e">
        <f t="shared" si="11"/>
        <v>#N/A</v>
      </c>
      <c r="AI106" s="481" t="e">
        <f>MIN(AJ105+AG106,AI105*(1+$AG$65))</f>
        <v>#N/A</v>
      </c>
      <c r="AJ106" s="307" t="e">
        <f t="shared" si="12"/>
        <v>#N/A</v>
      </c>
    </row>
    <row r="107" spans="2:36">
      <c r="B107" s="277">
        <f t="shared" si="0"/>
        <v>0</v>
      </c>
      <c r="C107" s="466">
        <f t="shared" si="1"/>
        <v>0</v>
      </c>
      <c r="D107" s="467">
        <f t="shared" si="13"/>
        <v>0</v>
      </c>
      <c r="E107" s="460">
        <f t="shared" si="2"/>
        <v>0</v>
      </c>
      <c r="F107" s="460">
        <f t="shared" si="3"/>
        <v>0</v>
      </c>
      <c r="G107" s="460">
        <f t="shared" si="14"/>
        <v>0</v>
      </c>
      <c r="H107" s="460">
        <f>IF(L106&lt;0.01,0,IF($H$68="",0,L106*Adm!$V$3))</f>
        <v>0</v>
      </c>
      <c r="I107" s="460">
        <f>IF(L106&lt;0.01,0,IF($I$68="",0,($G$28*0.7*Adm!$W$3)))</f>
        <v>0</v>
      </c>
      <c r="J107" s="460">
        <f>IF(L106&lt;0.01,0,Adm!$AD$2*1.16)</f>
        <v>0</v>
      </c>
      <c r="K107" s="460">
        <f t="shared" si="4"/>
        <v>0</v>
      </c>
      <c r="L107" s="460">
        <f t="shared" si="5"/>
        <v>0</v>
      </c>
      <c r="M107" s="468"/>
      <c r="T107" s="469">
        <f t="shared" si="6"/>
        <v>2</v>
      </c>
      <c r="U107" s="470">
        <f>IF(T107=1,Adm!$O$2,0)</f>
        <v>0</v>
      </c>
      <c r="Z107" s="477">
        <f t="shared" si="7"/>
        <v>0</v>
      </c>
      <c r="AA107" s="478">
        <f>IF(M106&lt;=0,0,IF($AA$63=$AA$60,0,IF($Z$63=$Z$61,PMT(Adm!$J$2/12,B106,-L106),0)))</f>
        <v>0</v>
      </c>
      <c r="AB107" s="479">
        <f t="shared" si="8"/>
        <v>0</v>
      </c>
      <c r="AC107" s="479"/>
      <c r="AE107" s="473" t="e">
        <f t="shared" si="9"/>
        <v>#N/A</v>
      </c>
      <c r="AF107" s="480" t="e">
        <f t="shared" si="15"/>
        <v>#N/A</v>
      </c>
      <c r="AG107" s="475" t="e">
        <f t="shared" si="10"/>
        <v>#N/A</v>
      </c>
      <c r="AH107" s="476" t="e">
        <f t="shared" si="11"/>
        <v>#N/A</v>
      </c>
      <c r="AI107" s="475" t="e">
        <f t="shared" si="16"/>
        <v>#N/A</v>
      </c>
      <c r="AJ107" s="307" t="e">
        <f t="shared" si="12"/>
        <v>#N/A</v>
      </c>
    </row>
    <row r="108" spans="2:36">
      <c r="B108" s="277">
        <f t="shared" si="0"/>
        <v>0</v>
      </c>
      <c r="C108" s="466">
        <f t="shared" si="1"/>
        <v>0</v>
      </c>
      <c r="D108" s="467">
        <f t="shared" si="13"/>
        <v>0</v>
      </c>
      <c r="E108" s="460">
        <f t="shared" si="2"/>
        <v>0</v>
      </c>
      <c r="F108" s="460">
        <f t="shared" si="3"/>
        <v>0</v>
      </c>
      <c r="G108" s="460">
        <f t="shared" si="14"/>
        <v>0</v>
      </c>
      <c r="H108" s="460">
        <f>IF(L107&lt;0.01,0,IF($H$68="",0,L107*Adm!$V$3))</f>
        <v>0</v>
      </c>
      <c r="I108" s="460">
        <f>IF(L107&lt;0.01,0,IF($I$68="",0,($G$28*0.7*Adm!$W$3)))</f>
        <v>0</v>
      </c>
      <c r="J108" s="460">
        <f>IF(L107&lt;0.01,0,Adm!$AD$2*1.16)</f>
        <v>0</v>
      </c>
      <c r="K108" s="460">
        <f t="shared" si="4"/>
        <v>0</v>
      </c>
      <c r="L108" s="460">
        <f t="shared" si="5"/>
        <v>0</v>
      </c>
      <c r="M108" s="468"/>
      <c r="T108" s="469">
        <f t="shared" si="6"/>
        <v>3</v>
      </c>
      <c r="U108" s="470">
        <f>IF(T108=1,Adm!$O$2,0)</f>
        <v>0</v>
      </c>
      <c r="Z108" s="477">
        <f t="shared" si="7"/>
        <v>0</v>
      </c>
      <c r="AA108" s="478">
        <f>IF(M107&lt;=0,0,IF($AA$63=$AA$60,0,IF($Z$63=$Z$61,PMT(Adm!$J$2/12,B107,-L107),0)))</f>
        <v>0</v>
      </c>
      <c r="AB108" s="479">
        <f t="shared" si="8"/>
        <v>0</v>
      </c>
      <c r="AC108" s="479"/>
      <c r="AE108" s="473" t="e">
        <f t="shared" si="9"/>
        <v>#N/A</v>
      </c>
      <c r="AF108" s="480" t="e">
        <f t="shared" si="15"/>
        <v>#N/A</v>
      </c>
      <c r="AG108" s="475" t="e">
        <f t="shared" si="10"/>
        <v>#N/A</v>
      </c>
      <c r="AH108" s="476" t="e">
        <f t="shared" si="11"/>
        <v>#N/A</v>
      </c>
      <c r="AI108" s="475" t="e">
        <f t="shared" si="16"/>
        <v>#N/A</v>
      </c>
      <c r="AJ108" s="307" t="e">
        <f t="shared" si="12"/>
        <v>#N/A</v>
      </c>
    </row>
    <row r="109" spans="2:36">
      <c r="B109" s="277">
        <f t="shared" si="0"/>
        <v>0</v>
      </c>
      <c r="C109" s="466">
        <f t="shared" si="1"/>
        <v>0</v>
      </c>
      <c r="D109" s="467">
        <f t="shared" si="13"/>
        <v>0</v>
      </c>
      <c r="E109" s="460">
        <f t="shared" si="2"/>
        <v>0</v>
      </c>
      <c r="F109" s="460">
        <f t="shared" si="3"/>
        <v>0</v>
      </c>
      <c r="G109" s="460">
        <f t="shared" si="14"/>
        <v>0</v>
      </c>
      <c r="H109" s="460">
        <f>IF(L108&lt;0.01,0,IF($H$68="",0,L108*Adm!$V$3))</f>
        <v>0</v>
      </c>
      <c r="I109" s="460">
        <f>IF(L108&lt;0.01,0,IF($I$68="",0,($G$28*0.7*Adm!$W$3)))</f>
        <v>0</v>
      </c>
      <c r="J109" s="460">
        <f>IF(L108&lt;0.01,0,Adm!$AD$2*1.16)</f>
        <v>0</v>
      </c>
      <c r="K109" s="460">
        <f t="shared" si="4"/>
        <v>0</v>
      </c>
      <c r="L109" s="460">
        <f t="shared" si="5"/>
        <v>0</v>
      </c>
      <c r="M109" s="468"/>
      <c r="T109" s="469">
        <f t="shared" si="6"/>
        <v>4</v>
      </c>
      <c r="U109" s="470">
        <f>IF(T109=1,Adm!$O$2,0)</f>
        <v>0</v>
      </c>
      <c r="Z109" s="477">
        <f t="shared" si="7"/>
        <v>0</v>
      </c>
      <c r="AA109" s="478">
        <f>IF(M108&lt;=0,0,IF($AA$63=$AA$60,0,IF($Z$63=$Z$61,PMT(Adm!$J$2/12,B108,-L108),0)))</f>
        <v>0</v>
      </c>
      <c r="AB109" s="479">
        <f t="shared" si="8"/>
        <v>0</v>
      </c>
      <c r="AC109" s="479"/>
      <c r="AE109" s="473" t="e">
        <f t="shared" si="9"/>
        <v>#N/A</v>
      </c>
      <c r="AF109" s="480" t="e">
        <f t="shared" si="15"/>
        <v>#N/A</v>
      </c>
      <c r="AG109" s="475" t="e">
        <f t="shared" si="10"/>
        <v>#N/A</v>
      </c>
      <c r="AH109" s="476" t="e">
        <f t="shared" si="11"/>
        <v>#N/A</v>
      </c>
      <c r="AI109" s="475" t="e">
        <f t="shared" si="16"/>
        <v>#N/A</v>
      </c>
      <c r="AJ109" s="307" t="e">
        <f t="shared" si="12"/>
        <v>#N/A</v>
      </c>
    </row>
    <row r="110" spans="2:36">
      <c r="B110" s="277">
        <f t="shared" si="0"/>
        <v>0</v>
      </c>
      <c r="C110" s="466">
        <f t="shared" si="1"/>
        <v>0</v>
      </c>
      <c r="D110" s="467">
        <f t="shared" si="13"/>
        <v>0</v>
      </c>
      <c r="E110" s="460">
        <f t="shared" si="2"/>
        <v>0</v>
      </c>
      <c r="F110" s="460">
        <f t="shared" si="3"/>
        <v>0</v>
      </c>
      <c r="G110" s="460">
        <f t="shared" si="14"/>
        <v>0</v>
      </c>
      <c r="H110" s="460">
        <f>IF(L109&lt;0.01,0,IF($H$68="",0,L109*Adm!$V$3))</f>
        <v>0</v>
      </c>
      <c r="I110" s="460">
        <f>IF(L109&lt;0.01,0,IF($I$68="",0,($G$28*0.7*Adm!$W$3)))</f>
        <v>0</v>
      </c>
      <c r="J110" s="460">
        <f>IF(L109&lt;0.01,0,Adm!$AD$2*1.16)</f>
        <v>0</v>
      </c>
      <c r="K110" s="460">
        <f t="shared" si="4"/>
        <v>0</v>
      </c>
      <c r="L110" s="460">
        <f t="shared" si="5"/>
        <v>0</v>
      </c>
      <c r="M110" s="468"/>
      <c r="T110" s="469">
        <f t="shared" si="6"/>
        <v>5</v>
      </c>
      <c r="U110" s="470">
        <f>IF(T110=1,Adm!$O$2,0)</f>
        <v>0</v>
      </c>
      <c r="Z110" s="477">
        <f t="shared" si="7"/>
        <v>0</v>
      </c>
      <c r="AA110" s="478">
        <f>IF(M109&lt;=0,0,IF($AA$63=$AA$60,0,IF($Z$63=$Z$61,PMT(Adm!$J$2/12,B109,-L109),0)))</f>
        <v>0</v>
      </c>
      <c r="AB110" s="479">
        <f t="shared" si="8"/>
        <v>0</v>
      </c>
      <c r="AC110" s="479"/>
      <c r="AE110" s="473" t="e">
        <f t="shared" si="9"/>
        <v>#N/A</v>
      </c>
      <c r="AF110" s="480" t="e">
        <f t="shared" si="15"/>
        <v>#N/A</v>
      </c>
      <c r="AG110" s="475" t="e">
        <f t="shared" si="10"/>
        <v>#N/A</v>
      </c>
      <c r="AH110" s="476" t="e">
        <f t="shared" si="11"/>
        <v>#N/A</v>
      </c>
      <c r="AI110" s="475" t="e">
        <f t="shared" si="16"/>
        <v>#N/A</v>
      </c>
      <c r="AJ110" s="307" t="e">
        <f t="shared" si="12"/>
        <v>#N/A</v>
      </c>
    </row>
    <row r="111" spans="2:36">
      <c r="B111" s="277">
        <f t="shared" si="0"/>
        <v>0</v>
      </c>
      <c r="C111" s="466">
        <f t="shared" si="1"/>
        <v>0</v>
      </c>
      <c r="D111" s="467">
        <f t="shared" si="13"/>
        <v>0</v>
      </c>
      <c r="E111" s="460">
        <f t="shared" si="2"/>
        <v>0</v>
      </c>
      <c r="F111" s="460">
        <f t="shared" si="3"/>
        <v>0</v>
      </c>
      <c r="G111" s="460">
        <f t="shared" si="14"/>
        <v>0</v>
      </c>
      <c r="H111" s="460">
        <f>IF(L110&lt;0.01,0,IF($H$68="",0,L110*Adm!$V$3))</f>
        <v>0</v>
      </c>
      <c r="I111" s="460">
        <f>IF(L110&lt;0.01,0,IF($I$68="",0,($G$28*0.7*Adm!$W$3)))</f>
        <v>0</v>
      </c>
      <c r="J111" s="460">
        <f>IF(L110&lt;0.01,0,Adm!$AD$2*1.16)</f>
        <v>0</v>
      </c>
      <c r="K111" s="460">
        <f t="shared" si="4"/>
        <v>0</v>
      </c>
      <c r="L111" s="460">
        <f t="shared" si="5"/>
        <v>0</v>
      </c>
      <c r="M111" s="468"/>
      <c r="T111" s="469">
        <f t="shared" si="6"/>
        <v>6</v>
      </c>
      <c r="U111" s="470">
        <f>IF(T111=1,Adm!$O$2,0)</f>
        <v>0</v>
      </c>
      <c r="Z111" s="477">
        <f t="shared" si="7"/>
        <v>0</v>
      </c>
      <c r="AA111" s="478">
        <f>IF(M110&lt;=0,0,IF($AA$63=$AA$60,0,IF($Z$63=$Z$61,PMT(Adm!$J$2/12,B110,-L110),0)))</f>
        <v>0</v>
      </c>
      <c r="AB111" s="479">
        <f t="shared" si="8"/>
        <v>0</v>
      </c>
      <c r="AC111" s="479"/>
      <c r="AE111" s="473" t="e">
        <f t="shared" si="9"/>
        <v>#N/A</v>
      </c>
      <c r="AF111" s="480" t="e">
        <f t="shared" si="15"/>
        <v>#N/A</v>
      </c>
      <c r="AG111" s="475" t="e">
        <f t="shared" si="10"/>
        <v>#N/A</v>
      </c>
      <c r="AH111" s="476" t="e">
        <f t="shared" si="11"/>
        <v>#N/A</v>
      </c>
      <c r="AI111" s="475" t="e">
        <f t="shared" si="16"/>
        <v>#N/A</v>
      </c>
      <c r="AJ111" s="307" t="e">
        <f t="shared" si="12"/>
        <v>#N/A</v>
      </c>
    </row>
    <row r="112" spans="2:36">
      <c r="B112" s="277">
        <f t="shared" si="0"/>
        <v>0</v>
      </c>
      <c r="C112" s="466">
        <f t="shared" si="1"/>
        <v>0</v>
      </c>
      <c r="D112" s="467">
        <f t="shared" si="13"/>
        <v>0</v>
      </c>
      <c r="E112" s="460">
        <f t="shared" si="2"/>
        <v>0</v>
      </c>
      <c r="F112" s="460">
        <f t="shared" si="3"/>
        <v>0</v>
      </c>
      <c r="G112" s="460">
        <f t="shared" si="14"/>
        <v>0</v>
      </c>
      <c r="H112" s="460">
        <f>IF(L111&lt;0.01,0,IF($H$68="",0,L111*Adm!$V$3))</f>
        <v>0</v>
      </c>
      <c r="I112" s="460">
        <f>IF(L111&lt;0.01,0,IF($I$68="",0,($G$28*0.7*Adm!$W$3)))</f>
        <v>0</v>
      </c>
      <c r="J112" s="460">
        <f>IF(L111&lt;0.01,0,Adm!$AD$2*1.16)</f>
        <v>0</v>
      </c>
      <c r="K112" s="460">
        <f t="shared" si="4"/>
        <v>0</v>
      </c>
      <c r="L112" s="460">
        <f t="shared" si="5"/>
        <v>0</v>
      </c>
      <c r="M112" s="468"/>
      <c r="T112" s="469">
        <f t="shared" si="6"/>
        <v>7</v>
      </c>
      <c r="U112" s="470">
        <f>IF(T112=1,Adm!$O$2,0)</f>
        <v>0</v>
      </c>
      <c r="Z112" s="477">
        <f t="shared" si="7"/>
        <v>0</v>
      </c>
      <c r="AA112" s="478">
        <f>IF(M111&lt;=0,0,IF($AA$63=$AA$60,0,IF($Z$63=$Z$61,PMT(Adm!$J$2/12,B111,-L111),0)))</f>
        <v>0</v>
      </c>
      <c r="AB112" s="479">
        <f t="shared" si="8"/>
        <v>0</v>
      </c>
      <c r="AC112" s="479"/>
      <c r="AE112" s="473" t="e">
        <f t="shared" si="9"/>
        <v>#N/A</v>
      </c>
      <c r="AF112" s="480" t="e">
        <f t="shared" si="15"/>
        <v>#N/A</v>
      </c>
      <c r="AG112" s="475" t="e">
        <f t="shared" si="10"/>
        <v>#N/A</v>
      </c>
      <c r="AH112" s="476" t="e">
        <f t="shared" si="11"/>
        <v>#N/A</v>
      </c>
      <c r="AI112" s="475" t="e">
        <f t="shared" si="16"/>
        <v>#N/A</v>
      </c>
      <c r="AJ112" s="307" t="e">
        <f t="shared" si="12"/>
        <v>#N/A</v>
      </c>
    </row>
    <row r="113" spans="2:36">
      <c r="B113" s="277">
        <f t="shared" si="0"/>
        <v>0</v>
      </c>
      <c r="C113" s="466">
        <f t="shared" si="1"/>
        <v>0</v>
      </c>
      <c r="D113" s="467">
        <f t="shared" si="13"/>
        <v>0</v>
      </c>
      <c r="E113" s="460">
        <f t="shared" si="2"/>
        <v>0</v>
      </c>
      <c r="F113" s="460">
        <f t="shared" si="3"/>
        <v>0</v>
      </c>
      <c r="G113" s="460">
        <f t="shared" si="14"/>
        <v>0</v>
      </c>
      <c r="H113" s="460">
        <f>IF(L112&lt;0.01,0,IF($H$68="",0,L112*Adm!$V$3))</f>
        <v>0</v>
      </c>
      <c r="I113" s="460">
        <f>IF(L112&lt;0.01,0,IF($I$68="",0,($G$28*0.7*Adm!$W$3)))</f>
        <v>0</v>
      </c>
      <c r="J113" s="460">
        <f>IF(L112&lt;0.01,0,Adm!$AD$2*1.16)</f>
        <v>0</v>
      </c>
      <c r="K113" s="460">
        <f t="shared" si="4"/>
        <v>0</v>
      </c>
      <c r="L113" s="460">
        <f t="shared" si="5"/>
        <v>0</v>
      </c>
      <c r="M113" s="468"/>
      <c r="T113" s="469">
        <f t="shared" si="6"/>
        <v>8</v>
      </c>
      <c r="U113" s="470">
        <f>IF(T113=1,Adm!$O$2,0)</f>
        <v>0</v>
      </c>
      <c r="Z113" s="477">
        <f t="shared" si="7"/>
        <v>0</v>
      </c>
      <c r="AA113" s="478">
        <f>IF(M112&lt;=0,0,IF($AA$63=$AA$60,0,IF($Z$63=$Z$61,PMT(Adm!$J$2/12,B112,-L112),0)))</f>
        <v>0</v>
      </c>
      <c r="AB113" s="479">
        <f t="shared" si="8"/>
        <v>0</v>
      </c>
      <c r="AC113" s="479"/>
      <c r="AE113" s="473" t="e">
        <f t="shared" si="9"/>
        <v>#N/A</v>
      </c>
      <c r="AF113" s="480" t="e">
        <f t="shared" si="15"/>
        <v>#N/A</v>
      </c>
      <c r="AG113" s="475" t="e">
        <f t="shared" si="10"/>
        <v>#N/A</v>
      </c>
      <c r="AH113" s="476" t="e">
        <f t="shared" si="11"/>
        <v>#N/A</v>
      </c>
      <c r="AI113" s="475" t="e">
        <f t="shared" si="16"/>
        <v>#N/A</v>
      </c>
      <c r="AJ113" s="307" t="e">
        <f t="shared" si="12"/>
        <v>#N/A</v>
      </c>
    </row>
    <row r="114" spans="2:36">
      <c r="B114" s="277">
        <f t="shared" si="0"/>
        <v>0</v>
      </c>
      <c r="C114" s="466">
        <f t="shared" si="1"/>
        <v>0</v>
      </c>
      <c r="D114" s="467">
        <f t="shared" si="13"/>
        <v>0</v>
      </c>
      <c r="E114" s="460">
        <f t="shared" si="2"/>
        <v>0</v>
      </c>
      <c r="F114" s="460">
        <f t="shared" si="3"/>
        <v>0</v>
      </c>
      <c r="G114" s="460">
        <f t="shared" si="14"/>
        <v>0</v>
      </c>
      <c r="H114" s="460">
        <f>IF(L113&lt;0.01,0,IF($H$68="",0,L113*Adm!$V$3))</f>
        <v>0</v>
      </c>
      <c r="I114" s="460">
        <f>IF(L113&lt;0.01,0,IF($I$68="",0,($G$28*0.7*Adm!$W$3)))</f>
        <v>0</v>
      </c>
      <c r="J114" s="460">
        <f>IF(L113&lt;0.01,0,Adm!$AD$2*1.16)</f>
        <v>0</v>
      </c>
      <c r="K114" s="460">
        <f t="shared" si="4"/>
        <v>0</v>
      </c>
      <c r="L114" s="460">
        <f t="shared" si="5"/>
        <v>0</v>
      </c>
      <c r="M114" s="468"/>
      <c r="T114" s="469">
        <f t="shared" si="6"/>
        <v>9</v>
      </c>
      <c r="U114" s="470">
        <f>IF(T114=1,Adm!$O$2,0)</f>
        <v>0</v>
      </c>
      <c r="Z114" s="477">
        <f t="shared" si="7"/>
        <v>0</v>
      </c>
      <c r="AA114" s="478">
        <f>IF(M113&lt;=0,0,IF($AA$63=$AA$60,0,IF($Z$63=$Z$61,PMT(Adm!$J$2/12,B113,-L113),0)))</f>
        <v>0</v>
      </c>
      <c r="AB114" s="479">
        <f t="shared" si="8"/>
        <v>0</v>
      </c>
      <c r="AC114" s="479"/>
      <c r="AE114" s="473" t="e">
        <f t="shared" si="9"/>
        <v>#N/A</v>
      </c>
      <c r="AF114" s="480" t="e">
        <f t="shared" si="15"/>
        <v>#N/A</v>
      </c>
      <c r="AG114" s="475" t="e">
        <f t="shared" si="10"/>
        <v>#N/A</v>
      </c>
      <c r="AH114" s="476" t="e">
        <f t="shared" si="11"/>
        <v>#N/A</v>
      </c>
      <c r="AI114" s="475" t="e">
        <f t="shared" si="16"/>
        <v>#N/A</v>
      </c>
      <c r="AJ114" s="307" t="e">
        <f t="shared" si="12"/>
        <v>#N/A</v>
      </c>
    </row>
    <row r="115" spans="2:36">
      <c r="B115" s="277">
        <f t="shared" si="0"/>
        <v>0</v>
      </c>
      <c r="C115" s="466">
        <f t="shared" si="1"/>
        <v>0</v>
      </c>
      <c r="D115" s="467">
        <f t="shared" si="13"/>
        <v>0</v>
      </c>
      <c r="E115" s="460">
        <f t="shared" si="2"/>
        <v>0</v>
      </c>
      <c r="F115" s="460">
        <f t="shared" si="3"/>
        <v>0</v>
      </c>
      <c r="G115" s="460">
        <f t="shared" si="14"/>
        <v>0</v>
      </c>
      <c r="H115" s="460">
        <f>IF(L114&lt;0.01,0,IF($H$68="",0,L114*Adm!$V$3))</f>
        <v>0</v>
      </c>
      <c r="I115" s="460">
        <f>IF(L114&lt;0.01,0,IF($I$68="",0,($G$28*0.7*Adm!$W$3)))</f>
        <v>0</v>
      </c>
      <c r="J115" s="460">
        <f>IF(L114&lt;0.01,0,Adm!$AD$2*1.16)</f>
        <v>0</v>
      </c>
      <c r="K115" s="460">
        <f t="shared" si="4"/>
        <v>0</v>
      </c>
      <c r="L115" s="460">
        <f t="shared" si="5"/>
        <v>0</v>
      </c>
      <c r="M115" s="468"/>
      <c r="T115" s="469">
        <f t="shared" si="6"/>
        <v>10</v>
      </c>
      <c r="U115" s="470">
        <f>IF(T115=1,Adm!$O$2,0)</f>
        <v>0</v>
      </c>
      <c r="Z115" s="477">
        <f t="shared" si="7"/>
        <v>0</v>
      </c>
      <c r="AA115" s="478">
        <f>IF(M114&lt;=0,0,IF($AA$63=$AA$60,0,IF($Z$63=$Z$61,PMT(Adm!$J$2/12,B114,-L114),0)))</f>
        <v>0</v>
      </c>
      <c r="AB115" s="479">
        <f t="shared" si="8"/>
        <v>0</v>
      </c>
      <c r="AC115" s="479"/>
      <c r="AE115" s="473" t="e">
        <f t="shared" si="9"/>
        <v>#N/A</v>
      </c>
      <c r="AF115" s="480" t="e">
        <f t="shared" si="15"/>
        <v>#N/A</v>
      </c>
      <c r="AG115" s="475" t="e">
        <f t="shared" si="10"/>
        <v>#N/A</v>
      </c>
      <c r="AH115" s="476" t="e">
        <f t="shared" si="11"/>
        <v>#N/A</v>
      </c>
      <c r="AI115" s="475" t="e">
        <f t="shared" si="16"/>
        <v>#N/A</v>
      </c>
      <c r="AJ115" s="307" t="e">
        <f t="shared" si="12"/>
        <v>#N/A</v>
      </c>
    </row>
    <row r="116" spans="2:36">
      <c r="B116" s="277">
        <f t="shared" si="0"/>
        <v>0</v>
      </c>
      <c r="C116" s="466">
        <f t="shared" si="1"/>
        <v>0</v>
      </c>
      <c r="D116" s="467">
        <f t="shared" si="13"/>
        <v>0</v>
      </c>
      <c r="E116" s="460">
        <f t="shared" si="2"/>
        <v>0</v>
      </c>
      <c r="F116" s="460">
        <f t="shared" si="3"/>
        <v>0</v>
      </c>
      <c r="G116" s="460">
        <f t="shared" si="14"/>
        <v>0</v>
      </c>
      <c r="H116" s="460">
        <f>IF(L115&lt;0.01,0,IF($H$68="",0,L115*Adm!$V$3))</f>
        <v>0</v>
      </c>
      <c r="I116" s="460">
        <f>IF(L115&lt;0.01,0,IF($I$68="",0,($G$28*0.7*Adm!$W$3)))</f>
        <v>0</v>
      </c>
      <c r="J116" s="460">
        <f>IF(L115&lt;0.01,0,Adm!$AD$2*1.16)</f>
        <v>0</v>
      </c>
      <c r="K116" s="460">
        <f t="shared" si="4"/>
        <v>0</v>
      </c>
      <c r="L116" s="460">
        <f t="shared" si="5"/>
        <v>0</v>
      </c>
      <c r="M116" s="468"/>
      <c r="T116" s="469">
        <f t="shared" si="6"/>
        <v>11</v>
      </c>
      <c r="U116" s="470">
        <f>IF(T116=1,Adm!$O$2,0)</f>
        <v>0</v>
      </c>
      <c r="Z116" s="477">
        <f t="shared" si="7"/>
        <v>0</v>
      </c>
      <c r="AA116" s="478">
        <f>IF(M115&lt;=0,0,IF($AA$63=$AA$60,0,IF($Z$63=$Z$61,PMT(Adm!$J$2/12,B115,-L115),0)))</f>
        <v>0</v>
      </c>
      <c r="AB116" s="479">
        <f t="shared" si="8"/>
        <v>0</v>
      </c>
      <c r="AC116" s="479"/>
      <c r="AE116" s="473" t="e">
        <f t="shared" si="9"/>
        <v>#N/A</v>
      </c>
      <c r="AF116" s="480" t="e">
        <f t="shared" si="15"/>
        <v>#N/A</v>
      </c>
      <c r="AG116" s="475" t="e">
        <f t="shared" si="10"/>
        <v>#N/A</v>
      </c>
      <c r="AH116" s="476" t="e">
        <f t="shared" si="11"/>
        <v>#N/A</v>
      </c>
      <c r="AI116" s="475" t="e">
        <f t="shared" si="16"/>
        <v>#N/A</v>
      </c>
      <c r="AJ116" s="307" t="e">
        <f t="shared" si="12"/>
        <v>#N/A</v>
      </c>
    </row>
    <row r="117" spans="2:36">
      <c r="B117" s="277">
        <f t="shared" si="0"/>
        <v>0</v>
      </c>
      <c r="C117" s="466">
        <f t="shared" si="1"/>
        <v>0</v>
      </c>
      <c r="D117" s="467">
        <f t="shared" si="13"/>
        <v>0</v>
      </c>
      <c r="E117" s="460">
        <f t="shared" si="2"/>
        <v>0</v>
      </c>
      <c r="F117" s="460">
        <f t="shared" si="3"/>
        <v>0</v>
      </c>
      <c r="G117" s="460">
        <f t="shared" si="14"/>
        <v>0</v>
      </c>
      <c r="H117" s="460">
        <f>IF(L116&lt;0.01,0,IF($H$68="",0,L116*Adm!$V$3))</f>
        <v>0</v>
      </c>
      <c r="I117" s="460">
        <f>IF(L116&lt;0.01,0,IF($I$68="",0,($G$28*0.7*Adm!$W$3)))</f>
        <v>0</v>
      </c>
      <c r="J117" s="460">
        <f>IF(L116&lt;0.01,0,Adm!$AD$2*1.16)</f>
        <v>0</v>
      </c>
      <c r="K117" s="460">
        <f t="shared" si="4"/>
        <v>0</v>
      </c>
      <c r="L117" s="460">
        <f t="shared" si="5"/>
        <v>0</v>
      </c>
      <c r="M117" s="468"/>
      <c r="T117" s="469">
        <f t="shared" si="6"/>
        <v>12</v>
      </c>
      <c r="U117" s="470">
        <f>IF(T117=1,Adm!$O$2,0)</f>
        <v>0</v>
      </c>
      <c r="Z117" s="477">
        <f t="shared" si="7"/>
        <v>0</v>
      </c>
      <c r="AA117" s="478">
        <f>IF(M116&lt;=0,0,IF($AA$63=$AA$60,0,IF($Z$63=$Z$61,PMT(Adm!$J$2/12,B116,-L116),0)))</f>
        <v>0</v>
      </c>
      <c r="AB117" s="479">
        <f t="shared" si="8"/>
        <v>0</v>
      </c>
      <c r="AC117" s="479"/>
      <c r="AE117" s="473" t="e">
        <f t="shared" si="9"/>
        <v>#N/A</v>
      </c>
      <c r="AF117" s="480" t="e">
        <f t="shared" si="15"/>
        <v>#N/A</v>
      </c>
      <c r="AG117" s="475" t="e">
        <f t="shared" si="10"/>
        <v>#N/A</v>
      </c>
      <c r="AH117" s="476" t="e">
        <f t="shared" si="11"/>
        <v>#N/A</v>
      </c>
      <c r="AI117" s="475" t="e">
        <f t="shared" si="16"/>
        <v>#N/A</v>
      </c>
      <c r="AJ117" s="307" t="e">
        <f t="shared" si="12"/>
        <v>#N/A</v>
      </c>
    </row>
    <row r="118" spans="2:36">
      <c r="B118" s="277">
        <f t="shared" si="0"/>
        <v>0</v>
      </c>
      <c r="C118" s="466">
        <f t="shared" si="1"/>
        <v>0</v>
      </c>
      <c r="D118" s="467">
        <f t="shared" si="13"/>
        <v>0</v>
      </c>
      <c r="E118" s="460">
        <f t="shared" si="2"/>
        <v>0</v>
      </c>
      <c r="F118" s="460">
        <f t="shared" si="3"/>
        <v>0</v>
      </c>
      <c r="G118" s="460">
        <f t="shared" si="14"/>
        <v>0</v>
      </c>
      <c r="H118" s="460">
        <f>IF(L117&lt;0.01,0,IF($H$68="",0,L117*Adm!$V$3))</f>
        <v>0</v>
      </c>
      <c r="I118" s="460">
        <f>IF(L117&lt;0.01,0,IF($I$68="",0,($G$28*0.7*Adm!$W$3)))</f>
        <v>0</v>
      </c>
      <c r="J118" s="460">
        <f>IF(L117&lt;0.01,0,Adm!$AD$2*1.16)</f>
        <v>0</v>
      </c>
      <c r="K118" s="460">
        <f t="shared" si="4"/>
        <v>0</v>
      </c>
      <c r="L118" s="460">
        <f t="shared" si="5"/>
        <v>0</v>
      </c>
      <c r="M118" s="468"/>
      <c r="T118" s="469">
        <f t="shared" si="6"/>
        <v>1</v>
      </c>
      <c r="U118" s="470">
        <f>IF(T118=1,Adm!$O$2,0)</f>
        <v>0</v>
      </c>
      <c r="Z118" s="477">
        <f t="shared" si="7"/>
        <v>0</v>
      </c>
      <c r="AA118" s="478">
        <f>IF(M117&lt;=0,0,IF($AA$63=$AA$60,0,IF($Z$63=$Z$61,PMT(Adm!$J$2/12,B117,-L117),0)))</f>
        <v>0</v>
      </c>
      <c r="AB118" s="479">
        <f t="shared" si="8"/>
        <v>0</v>
      </c>
      <c r="AC118" s="479"/>
      <c r="AE118" s="473" t="e">
        <f t="shared" si="9"/>
        <v>#N/A</v>
      </c>
      <c r="AF118" s="480" t="e">
        <f t="shared" si="15"/>
        <v>#N/A</v>
      </c>
      <c r="AG118" s="475" t="e">
        <f t="shared" si="10"/>
        <v>#N/A</v>
      </c>
      <c r="AH118" s="476" t="e">
        <f t="shared" si="11"/>
        <v>#N/A</v>
      </c>
      <c r="AI118" s="481" t="e">
        <f>MIN(AJ117+AG118,AI117*(1+$AG$65))</f>
        <v>#N/A</v>
      </c>
      <c r="AJ118" s="307" t="e">
        <f t="shared" si="12"/>
        <v>#N/A</v>
      </c>
    </row>
    <row r="119" spans="2:36">
      <c r="B119" s="277">
        <f t="shared" si="0"/>
        <v>0</v>
      </c>
      <c r="C119" s="466">
        <f t="shared" si="1"/>
        <v>0</v>
      </c>
      <c r="D119" s="467">
        <f t="shared" si="13"/>
        <v>0</v>
      </c>
      <c r="E119" s="460">
        <f t="shared" si="2"/>
        <v>0</v>
      </c>
      <c r="F119" s="460">
        <f t="shared" si="3"/>
        <v>0</v>
      </c>
      <c r="G119" s="460">
        <f t="shared" si="14"/>
        <v>0</v>
      </c>
      <c r="H119" s="460">
        <f>IF(L118&lt;0.01,0,IF($H$68="",0,L118*Adm!$V$3))</f>
        <v>0</v>
      </c>
      <c r="I119" s="460">
        <f>IF(L118&lt;0.01,0,IF($I$68="",0,($G$28*0.7*Adm!$W$3)))</f>
        <v>0</v>
      </c>
      <c r="J119" s="460">
        <f>IF(L118&lt;0.01,0,Adm!$AD$2*1.16)</f>
        <v>0</v>
      </c>
      <c r="K119" s="460">
        <f t="shared" si="4"/>
        <v>0</v>
      </c>
      <c r="L119" s="460">
        <f t="shared" si="5"/>
        <v>0</v>
      </c>
      <c r="M119" s="468"/>
      <c r="T119" s="469">
        <f t="shared" si="6"/>
        <v>2</v>
      </c>
      <c r="U119" s="470">
        <f>IF(T119=1,Adm!$O$2,0)</f>
        <v>0</v>
      </c>
      <c r="Z119" s="477">
        <f t="shared" si="7"/>
        <v>0</v>
      </c>
      <c r="AA119" s="478">
        <f>IF(M118&lt;=0,0,IF($AA$63=$AA$60,0,IF($Z$63=$Z$61,PMT(Adm!$J$2/12,B118,-L118),0)))</f>
        <v>0</v>
      </c>
      <c r="AB119" s="479">
        <f t="shared" si="8"/>
        <v>0</v>
      </c>
      <c r="AC119" s="479"/>
      <c r="AE119" s="473" t="e">
        <f t="shared" si="9"/>
        <v>#N/A</v>
      </c>
      <c r="AF119" s="480" t="e">
        <f t="shared" si="15"/>
        <v>#N/A</v>
      </c>
      <c r="AG119" s="475" t="e">
        <f t="shared" si="10"/>
        <v>#N/A</v>
      </c>
      <c r="AH119" s="476" t="e">
        <f t="shared" si="11"/>
        <v>#N/A</v>
      </c>
      <c r="AI119" s="475" t="e">
        <f t="shared" si="16"/>
        <v>#N/A</v>
      </c>
      <c r="AJ119" s="307" t="e">
        <f t="shared" si="12"/>
        <v>#N/A</v>
      </c>
    </row>
    <row r="120" spans="2:36">
      <c r="B120" s="277">
        <f t="shared" si="0"/>
        <v>0</v>
      </c>
      <c r="C120" s="466">
        <f t="shared" si="1"/>
        <v>0</v>
      </c>
      <c r="D120" s="467">
        <f t="shared" si="13"/>
        <v>0</v>
      </c>
      <c r="E120" s="460">
        <f t="shared" si="2"/>
        <v>0</v>
      </c>
      <c r="F120" s="460">
        <f t="shared" si="3"/>
        <v>0</v>
      </c>
      <c r="G120" s="460">
        <f t="shared" si="14"/>
        <v>0</v>
      </c>
      <c r="H120" s="460">
        <f>IF(L119&lt;0.01,0,IF($H$68="",0,L119*Adm!$V$3))</f>
        <v>0</v>
      </c>
      <c r="I120" s="460">
        <f>IF(L119&lt;0.01,0,IF($I$68="",0,($G$28*0.7*Adm!$W$3)))</f>
        <v>0</v>
      </c>
      <c r="J120" s="460">
        <f>IF(L119&lt;0.01,0,Adm!$AD$2*1.16)</f>
        <v>0</v>
      </c>
      <c r="K120" s="460">
        <f t="shared" si="4"/>
        <v>0</v>
      </c>
      <c r="L120" s="460">
        <f t="shared" si="5"/>
        <v>0</v>
      </c>
      <c r="M120" s="468"/>
      <c r="T120" s="469">
        <f t="shared" si="6"/>
        <v>3</v>
      </c>
      <c r="U120" s="470">
        <f>IF(T120=1,Adm!$O$2,0)</f>
        <v>0</v>
      </c>
      <c r="Z120" s="477">
        <f t="shared" si="7"/>
        <v>0</v>
      </c>
      <c r="AA120" s="478">
        <f>IF(M119&lt;=0,0,IF($AA$63=$AA$60,0,IF($Z$63=$Z$61,PMT(Adm!$J$2/12,B119,-L119),0)))</f>
        <v>0</v>
      </c>
      <c r="AB120" s="479">
        <f t="shared" si="8"/>
        <v>0</v>
      </c>
      <c r="AC120" s="479"/>
      <c r="AE120" s="473" t="e">
        <f t="shared" si="9"/>
        <v>#N/A</v>
      </c>
      <c r="AF120" s="480" t="e">
        <f t="shared" si="15"/>
        <v>#N/A</v>
      </c>
      <c r="AG120" s="475" t="e">
        <f t="shared" si="10"/>
        <v>#N/A</v>
      </c>
      <c r="AH120" s="476" t="e">
        <f t="shared" si="11"/>
        <v>#N/A</v>
      </c>
      <c r="AI120" s="475" t="e">
        <f t="shared" si="16"/>
        <v>#N/A</v>
      </c>
      <c r="AJ120" s="307" t="e">
        <f t="shared" si="12"/>
        <v>#N/A</v>
      </c>
    </row>
    <row r="121" spans="2:36">
      <c r="B121" s="277">
        <f t="shared" si="0"/>
        <v>0</v>
      </c>
      <c r="C121" s="466">
        <f t="shared" si="1"/>
        <v>0</v>
      </c>
      <c r="D121" s="467">
        <f t="shared" si="13"/>
        <v>0</v>
      </c>
      <c r="E121" s="460">
        <f t="shared" si="2"/>
        <v>0</v>
      </c>
      <c r="F121" s="460">
        <f t="shared" si="3"/>
        <v>0</v>
      </c>
      <c r="G121" s="460">
        <f t="shared" si="14"/>
        <v>0</v>
      </c>
      <c r="H121" s="460">
        <f>IF(L120&lt;0.01,0,IF($H$68="",0,L120*Adm!$V$3))</f>
        <v>0</v>
      </c>
      <c r="I121" s="460">
        <f>IF(L120&lt;0.01,0,IF($I$68="",0,($G$28*0.7*Adm!$W$3)))</f>
        <v>0</v>
      </c>
      <c r="J121" s="460">
        <f>IF(L120&lt;0.01,0,Adm!$AD$2*1.16)</f>
        <v>0</v>
      </c>
      <c r="K121" s="460">
        <f t="shared" si="4"/>
        <v>0</v>
      </c>
      <c r="L121" s="460">
        <f t="shared" si="5"/>
        <v>0</v>
      </c>
      <c r="M121" s="468"/>
      <c r="T121" s="469">
        <f t="shared" si="6"/>
        <v>4</v>
      </c>
      <c r="U121" s="470">
        <f>IF(T121=1,Adm!$O$2,0)</f>
        <v>0</v>
      </c>
      <c r="Z121" s="477">
        <f t="shared" si="7"/>
        <v>0</v>
      </c>
      <c r="AA121" s="478">
        <f>IF(M120&lt;=0,0,IF($AA$63=$AA$60,0,IF($Z$63=$Z$61,PMT(Adm!$J$2/12,B120,-L120),0)))</f>
        <v>0</v>
      </c>
      <c r="AB121" s="479">
        <f t="shared" si="8"/>
        <v>0</v>
      </c>
      <c r="AC121" s="479"/>
      <c r="AE121" s="473" t="e">
        <f t="shared" si="9"/>
        <v>#N/A</v>
      </c>
      <c r="AF121" s="480" t="e">
        <f t="shared" si="15"/>
        <v>#N/A</v>
      </c>
      <c r="AG121" s="475" t="e">
        <f t="shared" si="10"/>
        <v>#N/A</v>
      </c>
      <c r="AH121" s="476" t="e">
        <f t="shared" si="11"/>
        <v>#N/A</v>
      </c>
      <c r="AI121" s="475" t="e">
        <f t="shared" si="16"/>
        <v>#N/A</v>
      </c>
      <c r="AJ121" s="307" t="e">
        <f t="shared" si="12"/>
        <v>#N/A</v>
      </c>
    </row>
    <row r="122" spans="2:36">
      <c r="B122" s="277">
        <f t="shared" si="0"/>
        <v>0</v>
      </c>
      <c r="C122" s="466">
        <f t="shared" si="1"/>
        <v>0</v>
      </c>
      <c r="D122" s="467">
        <f t="shared" si="13"/>
        <v>0</v>
      </c>
      <c r="E122" s="460">
        <f t="shared" si="2"/>
        <v>0</v>
      </c>
      <c r="F122" s="460">
        <f t="shared" si="3"/>
        <v>0</v>
      </c>
      <c r="G122" s="460">
        <f t="shared" si="14"/>
        <v>0</v>
      </c>
      <c r="H122" s="460">
        <f>IF(L121&lt;0.01,0,IF($H$68="",0,L121*Adm!$V$3))</f>
        <v>0</v>
      </c>
      <c r="I122" s="460">
        <f>IF(L121&lt;0.01,0,IF($I$68="",0,($G$28*0.7*Adm!$W$3)))</f>
        <v>0</v>
      </c>
      <c r="J122" s="460">
        <f>IF(L121&lt;0.01,0,Adm!$AD$2*1.16)</f>
        <v>0</v>
      </c>
      <c r="K122" s="460">
        <f t="shared" si="4"/>
        <v>0</v>
      </c>
      <c r="L122" s="460">
        <f t="shared" si="5"/>
        <v>0</v>
      </c>
      <c r="M122" s="468"/>
      <c r="T122" s="469">
        <f t="shared" si="6"/>
        <v>5</v>
      </c>
      <c r="U122" s="470">
        <f>IF(T122=1,Adm!$O$2,0)</f>
        <v>0</v>
      </c>
      <c r="Z122" s="477">
        <f t="shared" si="7"/>
        <v>0</v>
      </c>
      <c r="AA122" s="478">
        <f>IF(M121&lt;=0,0,IF($AA$63=$AA$60,0,IF($Z$63=$Z$61,PMT(Adm!$J$2/12,B121,-L121),0)))</f>
        <v>0</v>
      </c>
      <c r="AB122" s="479">
        <f t="shared" si="8"/>
        <v>0</v>
      </c>
      <c r="AC122" s="479"/>
      <c r="AE122" s="473" t="e">
        <f t="shared" si="9"/>
        <v>#N/A</v>
      </c>
      <c r="AF122" s="480" t="e">
        <f t="shared" si="15"/>
        <v>#N/A</v>
      </c>
      <c r="AG122" s="475" t="e">
        <f t="shared" si="10"/>
        <v>#N/A</v>
      </c>
      <c r="AH122" s="476" t="e">
        <f t="shared" si="11"/>
        <v>#N/A</v>
      </c>
      <c r="AI122" s="475" t="e">
        <f t="shared" si="16"/>
        <v>#N/A</v>
      </c>
      <c r="AJ122" s="307" t="e">
        <f t="shared" si="12"/>
        <v>#N/A</v>
      </c>
    </row>
    <row r="123" spans="2:36">
      <c r="B123" s="277">
        <f t="shared" si="0"/>
        <v>0</v>
      </c>
      <c r="C123" s="466">
        <f t="shared" si="1"/>
        <v>0</v>
      </c>
      <c r="D123" s="467">
        <f t="shared" si="13"/>
        <v>0</v>
      </c>
      <c r="E123" s="460">
        <f t="shared" si="2"/>
        <v>0</v>
      </c>
      <c r="F123" s="460">
        <f t="shared" si="3"/>
        <v>0</v>
      </c>
      <c r="G123" s="460">
        <f t="shared" si="14"/>
        <v>0</v>
      </c>
      <c r="H123" s="460">
        <f>IF(L122&lt;0.01,0,IF($H$68="",0,L122*Adm!$V$3))</f>
        <v>0</v>
      </c>
      <c r="I123" s="460">
        <f>IF(L122&lt;0.01,0,IF($I$68="",0,($G$28*0.7*Adm!$W$3)))</f>
        <v>0</v>
      </c>
      <c r="J123" s="460">
        <f>IF(L122&lt;0.01,0,Adm!$AD$2*1.16)</f>
        <v>0</v>
      </c>
      <c r="K123" s="460">
        <f t="shared" si="4"/>
        <v>0</v>
      </c>
      <c r="L123" s="460">
        <f t="shared" si="5"/>
        <v>0</v>
      </c>
      <c r="M123" s="468"/>
      <c r="T123" s="469">
        <f t="shared" si="6"/>
        <v>6</v>
      </c>
      <c r="U123" s="470">
        <f>IF(T123=1,Adm!$O$2,0)</f>
        <v>0</v>
      </c>
      <c r="Z123" s="477">
        <f t="shared" si="7"/>
        <v>0</v>
      </c>
      <c r="AA123" s="478">
        <f>IF(M122&lt;=0,0,IF($AA$63=$AA$60,0,IF($Z$63=$Z$61,PMT(Adm!$J$2/12,B122,-L122),0)))</f>
        <v>0</v>
      </c>
      <c r="AB123" s="479">
        <f t="shared" si="8"/>
        <v>0</v>
      </c>
      <c r="AC123" s="479"/>
      <c r="AE123" s="473" t="e">
        <f t="shared" si="9"/>
        <v>#N/A</v>
      </c>
      <c r="AF123" s="480" t="e">
        <f t="shared" si="15"/>
        <v>#N/A</v>
      </c>
      <c r="AG123" s="475" t="e">
        <f t="shared" si="10"/>
        <v>#N/A</v>
      </c>
      <c r="AH123" s="476" t="e">
        <f t="shared" si="11"/>
        <v>#N/A</v>
      </c>
      <c r="AI123" s="475" t="e">
        <f t="shared" si="16"/>
        <v>#N/A</v>
      </c>
      <c r="AJ123" s="307" t="e">
        <f t="shared" si="12"/>
        <v>#N/A</v>
      </c>
    </row>
    <row r="124" spans="2:36">
      <c r="B124" s="277">
        <f t="shared" si="0"/>
        <v>0</v>
      </c>
      <c r="C124" s="466">
        <f t="shared" si="1"/>
        <v>0</v>
      </c>
      <c r="D124" s="467">
        <f t="shared" si="13"/>
        <v>0</v>
      </c>
      <c r="E124" s="460">
        <f t="shared" si="2"/>
        <v>0</v>
      </c>
      <c r="F124" s="460">
        <f t="shared" si="3"/>
        <v>0</v>
      </c>
      <c r="G124" s="460">
        <f t="shared" si="14"/>
        <v>0</v>
      </c>
      <c r="H124" s="460">
        <f>IF(L123&lt;0.01,0,IF($H$68="",0,L123*Adm!$V$3))</f>
        <v>0</v>
      </c>
      <c r="I124" s="460">
        <f>IF(L123&lt;0.01,0,IF($I$68="",0,($G$28*0.7*Adm!$W$3)))</f>
        <v>0</v>
      </c>
      <c r="J124" s="460">
        <f>IF(L123&lt;0.01,0,Adm!$AD$2*1.16)</f>
        <v>0</v>
      </c>
      <c r="K124" s="460">
        <f t="shared" si="4"/>
        <v>0</v>
      </c>
      <c r="L124" s="460">
        <f t="shared" si="5"/>
        <v>0</v>
      </c>
      <c r="M124" s="468"/>
      <c r="T124" s="469">
        <f t="shared" si="6"/>
        <v>7</v>
      </c>
      <c r="U124" s="470">
        <f>IF(T124=1,Adm!$O$2,0)</f>
        <v>0</v>
      </c>
      <c r="Z124" s="477">
        <f t="shared" si="7"/>
        <v>0</v>
      </c>
      <c r="AA124" s="478">
        <f>IF(M123&lt;=0,0,IF($AA$63=$AA$60,0,IF($Z$63=$Z$61,PMT(Adm!$J$2/12,B123,-L123),0)))</f>
        <v>0</v>
      </c>
      <c r="AB124" s="479">
        <f t="shared" si="8"/>
        <v>0</v>
      </c>
      <c r="AC124" s="479"/>
      <c r="AE124" s="473" t="e">
        <f t="shared" si="9"/>
        <v>#N/A</v>
      </c>
      <c r="AF124" s="480" t="e">
        <f t="shared" si="15"/>
        <v>#N/A</v>
      </c>
      <c r="AG124" s="475" t="e">
        <f t="shared" si="10"/>
        <v>#N/A</v>
      </c>
      <c r="AH124" s="476" t="e">
        <f t="shared" si="11"/>
        <v>#N/A</v>
      </c>
      <c r="AI124" s="475" t="e">
        <f t="shared" si="16"/>
        <v>#N/A</v>
      </c>
      <c r="AJ124" s="307" t="e">
        <f t="shared" si="12"/>
        <v>#N/A</v>
      </c>
    </row>
    <row r="125" spans="2:36">
      <c r="B125" s="277">
        <f t="shared" si="0"/>
        <v>0</v>
      </c>
      <c r="C125" s="466">
        <f t="shared" si="1"/>
        <v>0</v>
      </c>
      <c r="D125" s="467">
        <f t="shared" si="13"/>
        <v>0</v>
      </c>
      <c r="E125" s="460">
        <f t="shared" si="2"/>
        <v>0</v>
      </c>
      <c r="F125" s="460">
        <f t="shared" si="3"/>
        <v>0</v>
      </c>
      <c r="G125" s="460">
        <f t="shared" si="14"/>
        <v>0</v>
      </c>
      <c r="H125" s="460">
        <f>IF(L124&lt;0.01,0,IF($H$68="",0,L124*Adm!$V$3))</f>
        <v>0</v>
      </c>
      <c r="I125" s="460">
        <f>IF(L124&lt;0.01,0,IF($I$68="",0,($G$28*0.7*Adm!$W$3)))</f>
        <v>0</v>
      </c>
      <c r="J125" s="460">
        <f>IF(L124&lt;0.01,0,Adm!$AD$2*1.16)</f>
        <v>0</v>
      </c>
      <c r="K125" s="460">
        <f t="shared" si="4"/>
        <v>0</v>
      </c>
      <c r="L125" s="460">
        <f t="shared" si="5"/>
        <v>0</v>
      </c>
      <c r="M125" s="468"/>
      <c r="T125" s="469">
        <f t="shared" si="6"/>
        <v>8</v>
      </c>
      <c r="U125" s="470">
        <f>IF(T125=1,Adm!$O$2,0)</f>
        <v>0</v>
      </c>
      <c r="Z125" s="477">
        <f t="shared" si="7"/>
        <v>0</v>
      </c>
      <c r="AA125" s="478">
        <f>IF(M124&lt;=0,0,IF($AA$63=$AA$60,0,IF($Z$63=$Z$61,PMT(Adm!$J$2/12,B124,-L124),0)))</f>
        <v>0</v>
      </c>
      <c r="AB125" s="479">
        <f t="shared" si="8"/>
        <v>0</v>
      </c>
      <c r="AC125" s="479"/>
      <c r="AE125" s="473" t="e">
        <f t="shared" si="9"/>
        <v>#N/A</v>
      </c>
      <c r="AF125" s="480" t="e">
        <f t="shared" si="15"/>
        <v>#N/A</v>
      </c>
      <c r="AG125" s="475" t="e">
        <f t="shared" si="10"/>
        <v>#N/A</v>
      </c>
      <c r="AH125" s="476" t="e">
        <f t="shared" si="11"/>
        <v>#N/A</v>
      </c>
      <c r="AI125" s="475" t="e">
        <f t="shared" si="16"/>
        <v>#N/A</v>
      </c>
      <c r="AJ125" s="307" t="e">
        <f t="shared" si="12"/>
        <v>#N/A</v>
      </c>
    </row>
    <row r="126" spans="2:36">
      <c r="B126" s="277">
        <f t="shared" si="0"/>
        <v>0</v>
      </c>
      <c r="C126" s="466">
        <f t="shared" si="1"/>
        <v>0</v>
      </c>
      <c r="D126" s="467">
        <f t="shared" si="13"/>
        <v>0</v>
      </c>
      <c r="E126" s="460">
        <f t="shared" si="2"/>
        <v>0</v>
      </c>
      <c r="F126" s="460">
        <f t="shared" si="3"/>
        <v>0</v>
      </c>
      <c r="G126" s="460">
        <f t="shared" si="14"/>
        <v>0</v>
      </c>
      <c r="H126" s="460">
        <f>IF(L125&lt;0.01,0,IF($H$68="",0,L125*Adm!$V$3))</f>
        <v>0</v>
      </c>
      <c r="I126" s="460">
        <f>IF(L125&lt;0.01,0,IF($I$68="",0,($G$28*0.7*Adm!$W$3)))</f>
        <v>0</v>
      </c>
      <c r="J126" s="460">
        <f>IF(L125&lt;0.01,0,Adm!$AD$2*1.16)</f>
        <v>0</v>
      </c>
      <c r="K126" s="460">
        <f t="shared" si="4"/>
        <v>0</v>
      </c>
      <c r="L126" s="460">
        <f t="shared" si="5"/>
        <v>0</v>
      </c>
      <c r="M126" s="468"/>
      <c r="T126" s="469">
        <f t="shared" si="6"/>
        <v>9</v>
      </c>
      <c r="U126" s="470">
        <f>IF(T126=1,Adm!$O$2,0)</f>
        <v>0</v>
      </c>
      <c r="Z126" s="477">
        <f t="shared" si="7"/>
        <v>0</v>
      </c>
      <c r="AA126" s="478">
        <f>IF(M125&lt;=0,0,IF($AA$63=$AA$60,0,IF($Z$63=$Z$61,PMT(Adm!$J$2/12,B125,-L125),0)))</f>
        <v>0</v>
      </c>
      <c r="AB126" s="479">
        <f t="shared" si="8"/>
        <v>0</v>
      </c>
      <c r="AC126" s="479"/>
      <c r="AE126" s="473" t="e">
        <f t="shared" si="9"/>
        <v>#N/A</v>
      </c>
      <c r="AF126" s="480" t="e">
        <f t="shared" si="15"/>
        <v>#N/A</v>
      </c>
      <c r="AG126" s="475" t="e">
        <f t="shared" si="10"/>
        <v>#N/A</v>
      </c>
      <c r="AH126" s="476" t="e">
        <f t="shared" si="11"/>
        <v>#N/A</v>
      </c>
      <c r="AI126" s="475" t="e">
        <f t="shared" si="16"/>
        <v>#N/A</v>
      </c>
      <c r="AJ126" s="307" t="e">
        <f t="shared" si="12"/>
        <v>#N/A</v>
      </c>
    </row>
    <row r="127" spans="2:36">
      <c r="B127" s="277">
        <f t="shared" si="0"/>
        <v>0</v>
      </c>
      <c r="C127" s="466">
        <f t="shared" si="1"/>
        <v>0</v>
      </c>
      <c r="D127" s="467">
        <f t="shared" si="13"/>
        <v>0</v>
      </c>
      <c r="E127" s="460">
        <f t="shared" si="2"/>
        <v>0</v>
      </c>
      <c r="F127" s="460">
        <f t="shared" si="3"/>
        <v>0</v>
      </c>
      <c r="G127" s="460">
        <f t="shared" si="14"/>
        <v>0</v>
      </c>
      <c r="H127" s="460">
        <f>IF(L126&lt;0.01,0,IF($H$68="",0,L126*Adm!$V$3))</f>
        <v>0</v>
      </c>
      <c r="I127" s="460">
        <f>IF(L126&lt;0.01,0,IF($I$68="",0,($G$28*0.7*Adm!$W$3)))</f>
        <v>0</v>
      </c>
      <c r="J127" s="460">
        <f>IF(L126&lt;0.01,0,Adm!$AD$2*1.16)</f>
        <v>0</v>
      </c>
      <c r="K127" s="460">
        <f t="shared" si="4"/>
        <v>0</v>
      </c>
      <c r="L127" s="460">
        <f t="shared" si="5"/>
        <v>0</v>
      </c>
      <c r="M127" s="468"/>
      <c r="T127" s="469">
        <f t="shared" si="6"/>
        <v>10</v>
      </c>
      <c r="U127" s="470">
        <f>IF(T127=1,Adm!$O$2,0)</f>
        <v>0</v>
      </c>
      <c r="Z127" s="477">
        <f t="shared" si="7"/>
        <v>0</v>
      </c>
      <c r="AA127" s="478">
        <f>IF(M126&lt;=0,0,IF($AA$63=$AA$60,0,IF($Z$63=$Z$61,PMT(Adm!$J$2/12,B126,-L126),0)))</f>
        <v>0</v>
      </c>
      <c r="AB127" s="479">
        <f t="shared" si="8"/>
        <v>0</v>
      </c>
      <c r="AC127" s="479"/>
      <c r="AE127" s="473" t="e">
        <f t="shared" si="9"/>
        <v>#N/A</v>
      </c>
      <c r="AF127" s="480" t="e">
        <f t="shared" si="15"/>
        <v>#N/A</v>
      </c>
      <c r="AG127" s="475" t="e">
        <f t="shared" si="10"/>
        <v>#N/A</v>
      </c>
      <c r="AH127" s="476" t="e">
        <f t="shared" si="11"/>
        <v>#N/A</v>
      </c>
      <c r="AI127" s="475" t="e">
        <f t="shared" si="16"/>
        <v>#N/A</v>
      </c>
      <c r="AJ127" s="307" t="e">
        <f t="shared" si="12"/>
        <v>#N/A</v>
      </c>
    </row>
    <row r="128" spans="2:36">
      <c r="B128" s="277">
        <f t="shared" si="0"/>
        <v>0</v>
      </c>
      <c r="C128" s="466">
        <f t="shared" si="1"/>
        <v>0</v>
      </c>
      <c r="D128" s="467">
        <f t="shared" si="13"/>
        <v>0</v>
      </c>
      <c r="E128" s="460">
        <f t="shared" si="2"/>
        <v>0</v>
      </c>
      <c r="F128" s="460">
        <f t="shared" si="3"/>
        <v>0</v>
      </c>
      <c r="G128" s="460">
        <f t="shared" si="14"/>
        <v>0</v>
      </c>
      <c r="H128" s="460">
        <f>IF(L127&lt;0.01,0,IF($H$68="",0,L127*Adm!$V$3))</f>
        <v>0</v>
      </c>
      <c r="I128" s="460">
        <f>IF(L127&lt;0.01,0,IF($I$68="",0,($G$28*0.7*Adm!$W$3)))</f>
        <v>0</v>
      </c>
      <c r="J128" s="460">
        <f>IF(L127&lt;0.01,0,Adm!$AD$2*1.16)</f>
        <v>0</v>
      </c>
      <c r="K128" s="460">
        <f t="shared" si="4"/>
        <v>0</v>
      </c>
      <c r="L128" s="460">
        <f t="shared" si="5"/>
        <v>0</v>
      </c>
      <c r="M128" s="468"/>
      <c r="T128" s="469">
        <f t="shared" si="6"/>
        <v>11</v>
      </c>
      <c r="U128" s="470">
        <f>IF(T128=1,Adm!$O$2,0)</f>
        <v>0</v>
      </c>
      <c r="Z128" s="477">
        <f t="shared" si="7"/>
        <v>0</v>
      </c>
      <c r="AA128" s="478">
        <f>IF(M127&lt;=0,0,IF($AA$63=$AA$60,0,IF($Z$63=$Z$61,PMT(Adm!$J$2/12,B127,-L127),0)))</f>
        <v>0</v>
      </c>
      <c r="AB128" s="479">
        <f t="shared" si="8"/>
        <v>0</v>
      </c>
      <c r="AC128" s="479"/>
      <c r="AE128" s="473" t="e">
        <f t="shared" si="9"/>
        <v>#N/A</v>
      </c>
      <c r="AF128" s="480" t="e">
        <f t="shared" si="15"/>
        <v>#N/A</v>
      </c>
      <c r="AG128" s="475" t="e">
        <f t="shared" si="10"/>
        <v>#N/A</v>
      </c>
      <c r="AH128" s="476" t="e">
        <f t="shared" si="11"/>
        <v>#N/A</v>
      </c>
      <c r="AI128" s="475" t="e">
        <f t="shared" si="16"/>
        <v>#N/A</v>
      </c>
      <c r="AJ128" s="307" t="e">
        <f t="shared" si="12"/>
        <v>#N/A</v>
      </c>
    </row>
    <row r="129" spans="2:36">
      <c r="B129" s="277">
        <f t="shared" si="0"/>
        <v>0</v>
      </c>
      <c r="C129" s="466">
        <f t="shared" si="1"/>
        <v>0</v>
      </c>
      <c r="D129" s="467">
        <f t="shared" si="13"/>
        <v>0</v>
      </c>
      <c r="E129" s="460">
        <f t="shared" si="2"/>
        <v>0</v>
      </c>
      <c r="F129" s="460">
        <f t="shared" si="3"/>
        <v>0</v>
      </c>
      <c r="G129" s="460">
        <f t="shared" si="14"/>
        <v>0</v>
      </c>
      <c r="H129" s="460">
        <f>IF(L128&lt;0.01,0,IF($H$68="",0,L128*Adm!$V$3))</f>
        <v>0</v>
      </c>
      <c r="I129" s="460">
        <f>IF(L128&lt;0.01,0,IF($I$68="",0,($G$28*0.7*Adm!$W$3)))</f>
        <v>0</v>
      </c>
      <c r="J129" s="460">
        <f>IF(L128&lt;0.01,0,Adm!$AD$2*1.16)</f>
        <v>0</v>
      </c>
      <c r="K129" s="460">
        <f t="shared" si="4"/>
        <v>0</v>
      </c>
      <c r="L129" s="460">
        <f t="shared" si="5"/>
        <v>0</v>
      </c>
      <c r="M129" s="468"/>
      <c r="T129" s="469">
        <f t="shared" si="6"/>
        <v>12</v>
      </c>
      <c r="U129" s="470">
        <f>IF(T129=1,Adm!$O$2,0)</f>
        <v>0</v>
      </c>
      <c r="Z129" s="477">
        <f t="shared" si="7"/>
        <v>0</v>
      </c>
      <c r="AA129" s="478">
        <f>IF(M128&lt;=0,0,IF($AA$63=$AA$60,0,IF($Z$63=$Z$61,PMT(Adm!$J$2/12,B128,-L128),0)))</f>
        <v>0</v>
      </c>
      <c r="AB129" s="479">
        <f t="shared" si="8"/>
        <v>0</v>
      </c>
      <c r="AC129" s="479"/>
      <c r="AE129" s="473" t="e">
        <f t="shared" si="9"/>
        <v>#N/A</v>
      </c>
      <c r="AF129" s="480" t="e">
        <f t="shared" si="15"/>
        <v>#N/A</v>
      </c>
      <c r="AG129" s="475" t="e">
        <f t="shared" si="10"/>
        <v>#N/A</v>
      </c>
      <c r="AH129" s="476" t="e">
        <f t="shared" si="11"/>
        <v>#N/A</v>
      </c>
      <c r="AI129" s="475" t="e">
        <f t="shared" si="16"/>
        <v>#N/A</v>
      </c>
      <c r="AJ129" s="307" t="e">
        <f t="shared" si="12"/>
        <v>#N/A</v>
      </c>
    </row>
    <row r="130" spans="2:36">
      <c r="B130" s="277">
        <f t="shared" si="0"/>
        <v>0</v>
      </c>
      <c r="C130" s="466">
        <f t="shared" si="1"/>
        <v>0</v>
      </c>
      <c r="D130" s="467">
        <f t="shared" si="13"/>
        <v>0</v>
      </c>
      <c r="E130" s="460">
        <f t="shared" si="2"/>
        <v>0</v>
      </c>
      <c r="F130" s="460">
        <f t="shared" si="3"/>
        <v>0</v>
      </c>
      <c r="G130" s="460">
        <f t="shared" si="14"/>
        <v>0</v>
      </c>
      <c r="H130" s="460">
        <f>IF(L129&lt;0.01,0,IF($H$68="",0,L129*Adm!$V$3))</f>
        <v>0</v>
      </c>
      <c r="I130" s="460">
        <f>IF(L129&lt;0.01,0,IF($I$68="",0,($G$28*0.7*Adm!$W$3)))</f>
        <v>0</v>
      </c>
      <c r="J130" s="460">
        <f>IF(L129&lt;0.01,0,Adm!$AD$2*1.16)</f>
        <v>0</v>
      </c>
      <c r="K130" s="460">
        <f t="shared" si="4"/>
        <v>0</v>
      </c>
      <c r="L130" s="460">
        <f t="shared" si="5"/>
        <v>0</v>
      </c>
      <c r="M130" s="468"/>
      <c r="T130" s="469">
        <f t="shared" si="6"/>
        <v>1</v>
      </c>
      <c r="U130" s="470">
        <f>IF(T130=1,Adm!$O$2,0)</f>
        <v>0</v>
      </c>
      <c r="Z130" s="477">
        <f t="shared" si="7"/>
        <v>0</v>
      </c>
      <c r="AA130" s="478">
        <f>IF(M129&lt;=0,0,IF($AA$63=$AA$60,0,IF($Z$63=$Z$61,PMT(Adm!$J$2/12,B129,-L129),0)))</f>
        <v>0</v>
      </c>
      <c r="AB130" s="479">
        <f t="shared" si="8"/>
        <v>0</v>
      </c>
      <c r="AC130" s="479"/>
      <c r="AE130" s="473" t="e">
        <f t="shared" si="9"/>
        <v>#N/A</v>
      </c>
      <c r="AF130" s="480" t="e">
        <f t="shared" si="15"/>
        <v>#N/A</v>
      </c>
      <c r="AG130" s="475" t="e">
        <f t="shared" si="10"/>
        <v>#N/A</v>
      </c>
      <c r="AH130" s="476" t="e">
        <f t="shared" si="11"/>
        <v>#N/A</v>
      </c>
      <c r="AI130" s="481" t="e">
        <f>MIN(AJ129+AG130,AI129*(1+$AG$65))</f>
        <v>#N/A</v>
      </c>
      <c r="AJ130" s="307" t="e">
        <f t="shared" si="12"/>
        <v>#N/A</v>
      </c>
    </row>
    <row r="131" spans="2:36">
      <c r="B131" s="277">
        <f t="shared" si="0"/>
        <v>0</v>
      </c>
      <c r="C131" s="466">
        <f t="shared" si="1"/>
        <v>0</v>
      </c>
      <c r="D131" s="467">
        <f t="shared" si="13"/>
        <v>0</v>
      </c>
      <c r="E131" s="460">
        <f t="shared" si="2"/>
        <v>0</v>
      </c>
      <c r="F131" s="460">
        <f t="shared" si="3"/>
        <v>0</v>
      </c>
      <c r="G131" s="460">
        <f t="shared" si="14"/>
        <v>0</v>
      </c>
      <c r="H131" s="460">
        <f>IF(L130&lt;0.01,0,IF($H$68="",0,L130*Adm!$V$3))</f>
        <v>0</v>
      </c>
      <c r="I131" s="460">
        <f>IF(L130&lt;0.01,0,IF($I$68="",0,($G$28*0.7*Adm!$W$3)))</f>
        <v>0</v>
      </c>
      <c r="J131" s="460">
        <f>IF(L130&lt;0.01,0,Adm!$AD$2*1.16)</f>
        <v>0</v>
      </c>
      <c r="K131" s="460">
        <f t="shared" si="4"/>
        <v>0</v>
      </c>
      <c r="L131" s="460">
        <f t="shared" si="5"/>
        <v>0</v>
      </c>
      <c r="M131" s="468"/>
      <c r="T131" s="469">
        <f t="shared" si="6"/>
        <v>2</v>
      </c>
      <c r="U131" s="470">
        <f>IF(T131=1,Adm!$O$2,0)</f>
        <v>0</v>
      </c>
      <c r="Z131" s="477">
        <f t="shared" si="7"/>
        <v>0</v>
      </c>
      <c r="AA131" s="478">
        <f>IF(M130&lt;=0,0,IF($AA$63=$AA$60,0,IF($Z$63=$Z$61,PMT(Adm!$J$2/12,B130,-L130),0)))</f>
        <v>0</v>
      </c>
      <c r="AB131" s="479">
        <f t="shared" si="8"/>
        <v>0</v>
      </c>
      <c r="AC131" s="479"/>
      <c r="AE131" s="473" t="e">
        <f t="shared" si="9"/>
        <v>#N/A</v>
      </c>
      <c r="AF131" s="480" t="e">
        <f t="shared" si="15"/>
        <v>#N/A</v>
      </c>
      <c r="AG131" s="475" t="e">
        <f t="shared" si="10"/>
        <v>#N/A</v>
      </c>
      <c r="AH131" s="476" t="e">
        <f t="shared" si="11"/>
        <v>#N/A</v>
      </c>
      <c r="AI131" s="475" t="e">
        <f t="shared" si="16"/>
        <v>#N/A</v>
      </c>
      <c r="AJ131" s="307" t="e">
        <f t="shared" si="12"/>
        <v>#N/A</v>
      </c>
    </row>
    <row r="132" spans="2:36">
      <c r="B132" s="277">
        <f t="shared" si="0"/>
        <v>0</v>
      </c>
      <c r="C132" s="466">
        <f t="shared" si="1"/>
        <v>0</v>
      </c>
      <c r="D132" s="467">
        <f t="shared" si="13"/>
        <v>0</v>
      </c>
      <c r="E132" s="460">
        <f t="shared" si="2"/>
        <v>0</v>
      </c>
      <c r="F132" s="460">
        <f t="shared" si="3"/>
        <v>0</v>
      </c>
      <c r="G132" s="460">
        <f t="shared" si="14"/>
        <v>0</v>
      </c>
      <c r="H132" s="460">
        <f>IF(L131&lt;0.01,0,IF($H$68="",0,L131*Adm!$V$3))</f>
        <v>0</v>
      </c>
      <c r="I132" s="460">
        <f>IF(L131&lt;0.01,0,IF($I$68="",0,($G$28*0.7*Adm!$W$3)))</f>
        <v>0</v>
      </c>
      <c r="J132" s="460">
        <f>IF(L131&lt;0.01,0,Adm!$AD$2*1.16)</f>
        <v>0</v>
      </c>
      <c r="K132" s="460">
        <f t="shared" si="4"/>
        <v>0</v>
      </c>
      <c r="L132" s="460">
        <f t="shared" si="5"/>
        <v>0</v>
      </c>
      <c r="M132" s="468"/>
      <c r="T132" s="469">
        <f t="shared" si="6"/>
        <v>3</v>
      </c>
      <c r="U132" s="470">
        <f>IF(T132=1,Adm!$O$2,0)</f>
        <v>0</v>
      </c>
      <c r="Z132" s="477">
        <f t="shared" si="7"/>
        <v>0</v>
      </c>
      <c r="AA132" s="478">
        <f>IF(M131&lt;=0,0,IF($AA$63=$AA$60,0,IF($Z$63=$Z$61,PMT(Adm!$J$2/12,B131,-L131),0)))</f>
        <v>0</v>
      </c>
      <c r="AB132" s="479">
        <f t="shared" si="8"/>
        <v>0</v>
      </c>
      <c r="AC132" s="479"/>
      <c r="AE132" s="473" t="e">
        <f t="shared" si="9"/>
        <v>#N/A</v>
      </c>
      <c r="AF132" s="480" t="e">
        <f t="shared" si="15"/>
        <v>#N/A</v>
      </c>
      <c r="AG132" s="475" t="e">
        <f t="shared" si="10"/>
        <v>#N/A</v>
      </c>
      <c r="AH132" s="476" t="e">
        <f t="shared" si="11"/>
        <v>#N/A</v>
      </c>
      <c r="AI132" s="475" t="e">
        <f t="shared" si="16"/>
        <v>#N/A</v>
      </c>
      <c r="AJ132" s="307" t="e">
        <f t="shared" si="12"/>
        <v>#N/A</v>
      </c>
    </row>
    <row r="133" spans="2:36">
      <c r="B133" s="277">
        <f t="shared" si="0"/>
        <v>0</v>
      </c>
      <c r="C133" s="466">
        <f t="shared" si="1"/>
        <v>0</v>
      </c>
      <c r="D133" s="467">
        <f t="shared" si="13"/>
        <v>0</v>
      </c>
      <c r="E133" s="460">
        <f t="shared" si="2"/>
        <v>0</v>
      </c>
      <c r="F133" s="460">
        <f t="shared" si="3"/>
        <v>0</v>
      </c>
      <c r="G133" s="460">
        <f t="shared" si="14"/>
        <v>0</v>
      </c>
      <c r="H133" s="460">
        <f>IF(L132&lt;0.01,0,IF($H$68="",0,L132*Adm!$V$3))</f>
        <v>0</v>
      </c>
      <c r="I133" s="460">
        <f>IF(L132&lt;0.01,0,IF($I$68="",0,($G$28*0.7*Adm!$W$3)))</f>
        <v>0</v>
      </c>
      <c r="J133" s="460">
        <f>IF(L132&lt;0.01,0,Adm!$AD$2*1.16)</f>
        <v>0</v>
      </c>
      <c r="K133" s="460">
        <f t="shared" si="4"/>
        <v>0</v>
      </c>
      <c r="L133" s="460">
        <f t="shared" si="5"/>
        <v>0</v>
      </c>
      <c r="M133" s="468"/>
      <c r="T133" s="469">
        <f t="shared" si="6"/>
        <v>4</v>
      </c>
      <c r="U133" s="470">
        <f>IF(T133=1,Adm!$O$2,0)</f>
        <v>0</v>
      </c>
      <c r="Z133" s="477">
        <f t="shared" si="7"/>
        <v>0</v>
      </c>
      <c r="AA133" s="478">
        <f>IF(M132&lt;=0,0,IF($AA$63=$AA$60,0,IF($Z$63=$Z$61,PMT(Adm!$J$2/12,B132,-L132),0)))</f>
        <v>0</v>
      </c>
      <c r="AB133" s="479">
        <f t="shared" si="8"/>
        <v>0</v>
      </c>
      <c r="AC133" s="479"/>
      <c r="AE133" s="473" t="e">
        <f t="shared" si="9"/>
        <v>#N/A</v>
      </c>
      <c r="AF133" s="480" t="e">
        <f t="shared" si="15"/>
        <v>#N/A</v>
      </c>
      <c r="AG133" s="475" t="e">
        <f t="shared" si="10"/>
        <v>#N/A</v>
      </c>
      <c r="AH133" s="476" t="e">
        <f t="shared" si="11"/>
        <v>#N/A</v>
      </c>
      <c r="AI133" s="475" t="e">
        <f t="shared" si="16"/>
        <v>#N/A</v>
      </c>
      <c r="AJ133" s="307" t="e">
        <f t="shared" si="12"/>
        <v>#N/A</v>
      </c>
    </row>
    <row r="134" spans="2:36">
      <c r="B134" s="277">
        <f t="shared" si="0"/>
        <v>0</v>
      </c>
      <c r="C134" s="466">
        <f t="shared" si="1"/>
        <v>0</v>
      </c>
      <c r="D134" s="467">
        <f t="shared" si="13"/>
        <v>0</v>
      </c>
      <c r="E134" s="460">
        <f t="shared" si="2"/>
        <v>0</v>
      </c>
      <c r="F134" s="460">
        <f t="shared" si="3"/>
        <v>0</v>
      </c>
      <c r="G134" s="460">
        <f t="shared" si="14"/>
        <v>0</v>
      </c>
      <c r="H134" s="460">
        <f>IF(L133&lt;0.01,0,IF($H$68="",0,L133*Adm!$V$3))</f>
        <v>0</v>
      </c>
      <c r="I134" s="460">
        <f>IF(L133&lt;0.01,0,IF($I$68="",0,($G$28*0.7*Adm!$W$3)))</f>
        <v>0</v>
      </c>
      <c r="J134" s="460">
        <f>IF(L133&lt;0.01,0,Adm!$AD$2*1.16)</f>
        <v>0</v>
      </c>
      <c r="K134" s="460">
        <f t="shared" si="4"/>
        <v>0</v>
      </c>
      <c r="L134" s="460">
        <f t="shared" si="5"/>
        <v>0</v>
      </c>
      <c r="M134" s="468"/>
      <c r="T134" s="469">
        <f t="shared" si="6"/>
        <v>5</v>
      </c>
      <c r="U134" s="470">
        <f>IF(T134=1,Adm!$O$2,0)</f>
        <v>0</v>
      </c>
      <c r="Z134" s="477">
        <f t="shared" si="7"/>
        <v>0</v>
      </c>
      <c r="AA134" s="478">
        <f>IF(M133&lt;=0,0,IF($AA$63=$AA$60,0,IF($Z$63=$Z$61,PMT(Adm!$J$2/12,B133,-L133),0)))</f>
        <v>0</v>
      </c>
      <c r="AB134" s="479">
        <f t="shared" si="8"/>
        <v>0</v>
      </c>
      <c r="AC134" s="479"/>
      <c r="AE134" s="473" t="e">
        <f t="shared" si="9"/>
        <v>#N/A</v>
      </c>
      <c r="AF134" s="480" t="e">
        <f t="shared" si="15"/>
        <v>#N/A</v>
      </c>
      <c r="AG134" s="475" t="e">
        <f t="shared" si="10"/>
        <v>#N/A</v>
      </c>
      <c r="AH134" s="476" t="e">
        <f t="shared" si="11"/>
        <v>#N/A</v>
      </c>
      <c r="AI134" s="475" t="e">
        <f t="shared" si="16"/>
        <v>#N/A</v>
      </c>
      <c r="AJ134" s="307" t="e">
        <f t="shared" si="12"/>
        <v>#N/A</v>
      </c>
    </row>
    <row r="135" spans="2:36">
      <c r="B135" s="277">
        <f t="shared" ref="B135:B198" si="17">IF(L134&gt;0,B134-1,0)</f>
        <v>0</v>
      </c>
      <c r="C135" s="466">
        <f t="shared" ref="C135:C198" si="18">IF(L134&gt;0.01,C134+1,0)</f>
        <v>0</v>
      </c>
      <c r="D135" s="467">
        <f t="shared" si="13"/>
        <v>0</v>
      </c>
      <c r="E135" s="460">
        <f t="shared" ref="E135:E198" si="19">IF(L134&lt;0.001,0,L134*D135/360*30.4166)</f>
        <v>0</v>
      </c>
      <c r="F135" s="460">
        <f t="shared" ref="F135:F198" si="20">G135-E135</f>
        <v>0</v>
      </c>
      <c r="G135" s="460">
        <f t="shared" si="14"/>
        <v>0</v>
      </c>
      <c r="H135" s="460">
        <f>IF(L134&lt;0.01,0,IF($H$68="",0,L134*Adm!$V$3))</f>
        <v>0</v>
      </c>
      <c r="I135" s="460">
        <f>IF(L134&lt;0.01,0,IF($I$68="",0,($G$28*0.7*Adm!$W$3)))</f>
        <v>0</v>
      </c>
      <c r="J135" s="460">
        <f>IF(L134&lt;0.01,0,Adm!$AD$2*1.16)</f>
        <v>0</v>
      </c>
      <c r="K135" s="460">
        <f t="shared" ref="K135:K198" si="21">IF(L134&lt;0.01,0,(G135+H135+I135+J135))</f>
        <v>0</v>
      </c>
      <c r="L135" s="460">
        <f t="shared" ref="L135:L198" si="22">IF(L134&lt;0.01,0,(L134-F135-M135))</f>
        <v>0</v>
      </c>
      <c r="M135" s="468"/>
      <c r="T135" s="469">
        <f t="shared" ref="T135:T198" si="23">IF(T134=12,1,T134+1)</f>
        <v>6</v>
      </c>
      <c r="U135" s="470">
        <f>IF(T135=1,Adm!$O$2,0)</f>
        <v>0</v>
      </c>
      <c r="Z135" s="477">
        <f t="shared" ref="Z135:Z198" si="24">IF(AA135&gt;0,AA135,IF(AB135&gt;0,AB135,0))</f>
        <v>0</v>
      </c>
      <c r="AA135" s="478">
        <f>IF(M134&lt;=0,0,IF($AA$63=$AA$60,0,IF($Z$63=$Z$61,PMT(Adm!$J$2/12,B134,-L134),0)))</f>
        <v>0</v>
      </c>
      <c r="AB135" s="479">
        <f t="shared" ref="AB135:AB198" si="25">IF(M134&lt;=0,0,IF($AA$63=$AA$58,0,IF($Z$63=$Z$61,(L134*AE135)+E135,0)))</f>
        <v>0</v>
      </c>
      <c r="AC135" s="479"/>
      <c r="AE135" s="473" t="e">
        <f t="shared" ref="AE135:AE198" si="26">AH135/AJ134</f>
        <v>#N/A</v>
      </c>
      <c r="AF135" s="480" t="e">
        <f t="shared" si="15"/>
        <v>#N/A</v>
      </c>
      <c r="AG135" s="475" t="e">
        <f t="shared" ref="AG135:AG198" si="27">AJ134*$AG$63/12</f>
        <v>#N/A</v>
      </c>
      <c r="AH135" s="476" t="e">
        <f t="shared" ref="AH135:AH198" si="28">AI135-AG135</f>
        <v>#N/A</v>
      </c>
      <c r="AI135" s="475" t="e">
        <f t="shared" si="16"/>
        <v>#N/A</v>
      </c>
      <c r="AJ135" s="307" t="e">
        <f t="shared" ref="AJ135:AJ198" si="29">IF(AJ134&lt;0.001,0,AJ134-AH135)</f>
        <v>#N/A</v>
      </c>
    </row>
    <row r="136" spans="2:36">
      <c r="B136" s="277">
        <f t="shared" si="17"/>
        <v>0</v>
      </c>
      <c r="C136" s="466">
        <f t="shared" si="18"/>
        <v>0</v>
      </c>
      <c r="D136" s="467">
        <f t="shared" ref="D136:D199" si="30">IF(L135&gt;0.01,D135,0)</f>
        <v>0</v>
      </c>
      <c r="E136" s="460">
        <f t="shared" si="19"/>
        <v>0</v>
      </c>
      <c r="F136" s="460">
        <f t="shared" si="20"/>
        <v>0</v>
      </c>
      <c r="G136" s="460">
        <f t="shared" ref="G136:G199" si="31">IF(L135&lt;0.001,0,IF(Z136&gt;0,Z136,MIN(L135+E136,G135*(1+U136))))</f>
        <v>0</v>
      </c>
      <c r="H136" s="460">
        <f>IF(L135&lt;0.01,0,IF($H$68="",0,L135*Adm!$V$3))</f>
        <v>0</v>
      </c>
      <c r="I136" s="460">
        <f>IF(L135&lt;0.01,0,IF($I$68="",0,($G$28*0.7*Adm!$W$3)))</f>
        <v>0</v>
      </c>
      <c r="J136" s="460">
        <f>IF(L135&lt;0.01,0,Adm!$AD$2*1.16)</f>
        <v>0</v>
      </c>
      <c r="K136" s="460">
        <f t="shared" si="21"/>
        <v>0</v>
      </c>
      <c r="L136" s="460">
        <f t="shared" si="22"/>
        <v>0</v>
      </c>
      <c r="M136" s="468"/>
      <c r="T136" s="469">
        <f t="shared" si="23"/>
        <v>7</v>
      </c>
      <c r="U136" s="470">
        <f>IF(T136=1,Adm!$O$2,0)</f>
        <v>0</v>
      </c>
      <c r="Z136" s="477">
        <f t="shared" si="24"/>
        <v>0</v>
      </c>
      <c r="AA136" s="478">
        <f>IF(M135&lt;=0,0,IF($AA$63=$AA$60,0,IF($Z$63=$Z$61,PMT(Adm!$J$2/12,B135,-L135),0)))</f>
        <v>0</v>
      </c>
      <c r="AB136" s="479">
        <f t="shared" si="25"/>
        <v>0</v>
      </c>
      <c r="AC136" s="479"/>
      <c r="AE136" s="473" t="e">
        <f t="shared" si="26"/>
        <v>#N/A</v>
      </c>
      <c r="AF136" s="480" t="e">
        <f t="shared" ref="AF136:AF199" si="32">IF(AJ135&lt;=0,"",AF135+1)</f>
        <v>#N/A</v>
      </c>
      <c r="AG136" s="475" t="e">
        <f t="shared" si="27"/>
        <v>#N/A</v>
      </c>
      <c r="AH136" s="476" t="e">
        <f t="shared" si="28"/>
        <v>#N/A</v>
      </c>
      <c r="AI136" s="475" t="e">
        <f t="shared" ref="AI136:AI199" si="33">MIN(AJ135+AG136,AI135)</f>
        <v>#N/A</v>
      </c>
      <c r="AJ136" s="307" t="e">
        <f t="shared" si="29"/>
        <v>#N/A</v>
      </c>
    </row>
    <row r="137" spans="2:36">
      <c r="B137" s="277">
        <f t="shared" si="17"/>
        <v>0</v>
      </c>
      <c r="C137" s="466">
        <f t="shared" si="18"/>
        <v>0</v>
      </c>
      <c r="D137" s="467">
        <f t="shared" si="30"/>
        <v>0</v>
      </c>
      <c r="E137" s="460">
        <f t="shared" si="19"/>
        <v>0</v>
      </c>
      <c r="F137" s="460">
        <f t="shared" si="20"/>
        <v>0</v>
      </c>
      <c r="G137" s="460">
        <f t="shared" si="31"/>
        <v>0</v>
      </c>
      <c r="H137" s="460">
        <f>IF(L136&lt;0.01,0,IF($H$68="",0,L136*Adm!$V$3))</f>
        <v>0</v>
      </c>
      <c r="I137" s="460">
        <f>IF(L136&lt;0.01,0,IF($I$68="",0,($G$28*0.7*Adm!$W$3)))</f>
        <v>0</v>
      </c>
      <c r="J137" s="460">
        <f>IF(L136&lt;0.01,0,Adm!$AD$2*1.16)</f>
        <v>0</v>
      </c>
      <c r="K137" s="460">
        <f t="shared" si="21"/>
        <v>0</v>
      </c>
      <c r="L137" s="460">
        <f t="shared" si="22"/>
        <v>0</v>
      </c>
      <c r="M137" s="468"/>
      <c r="T137" s="469">
        <f t="shared" si="23"/>
        <v>8</v>
      </c>
      <c r="U137" s="470">
        <f>IF(T137=1,Adm!$O$2,0)</f>
        <v>0</v>
      </c>
      <c r="Z137" s="477">
        <f t="shared" si="24"/>
        <v>0</v>
      </c>
      <c r="AA137" s="478">
        <f>IF(M136&lt;=0,0,IF($AA$63=$AA$60,0,IF($Z$63=$Z$61,PMT(Adm!$J$2/12,B136,-L136),0)))</f>
        <v>0</v>
      </c>
      <c r="AB137" s="479">
        <f t="shared" si="25"/>
        <v>0</v>
      </c>
      <c r="AC137" s="479"/>
      <c r="AE137" s="473" t="e">
        <f t="shared" si="26"/>
        <v>#N/A</v>
      </c>
      <c r="AF137" s="480" t="e">
        <f t="shared" si="32"/>
        <v>#N/A</v>
      </c>
      <c r="AG137" s="475" t="e">
        <f t="shared" si="27"/>
        <v>#N/A</v>
      </c>
      <c r="AH137" s="476" t="e">
        <f t="shared" si="28"/>
        <v>#N/A</v>
      </c>
      <c r="AI137" s="475" t="e">
        <f t="shared" si="33"/>
        <v>#N/A</v>
      </c>
      <c r="AJ137" s="307" t="e">
        <f t="shared" si="29"/>
        <v>#N/A</v>
      </c>
    </row>
    <row r="138" spans="2:36">
      <c r="B138" s="277">
        <f t="shared" si="17"/>
        <v>0</v>
      </c>
      <c r="C138" s="466">
        <f t="shared" si="18"/>
        <v>0</v>
      </c>
      <c r="D138" s="467">
        <f t="shared" si="30"/>
        <v>0</v>
      </c>
      <c r="E138" s="460">
        <f t="shared" si="19"/>
        <v>0</v>
      </c>
      <c r="F138" s="460">
        <f t="shared" si="20"/>
        <v>0</v>
      </c>
      <c r="G138" s="460">
        <f t="shared" si="31"/>
        <v>0</v>
      </c>
      <c r="H138" s="460">
        <f>IF(L137&lt;0.01,0,IF($H$68="",0,L137*Adm!$V$3))</f>
        <v>0</v>
      </c>
      <c r="I138" s="460">
        <f>IF(L137&lt;0.01,0,IF($I$68="",0,($G$28*0.7*Adm!$W$3)))</f>
        <v>0</v>
      </c>
      <c r="J138" s="460">
        <f>IF(L137&lt;0.01,0,Adm!$AD$2*1.16)</f>
        <v>0</v>
      </c>
      <c r="K138" s="460">
        <f t="shared" si="21"/>
        <v>0</v>
      </c>
      <c r="L138" s="460">
        <f t="shared" si="22"/>
        <v>0</v>
      </c>
      <c r="M138" s="468"/>
      <c r="T138" s="469">
        <f t="shared" si="23"/>
        <v>9</v>
      </c>
      <c r="U138" s="470">
        <f>IF(T138=1,Adm!$O$2,0)</f>
        <v>0</v>
      </c>
      <c r="Z138" s="477">
        <f t="shared" si="24"/>
        <v>0</v>
      </c>
      <c r="AA138" s="478">
        <f>IF(M137&lt;=0,0,IF($AA$63=$AA$60,0,IF($Z$63=$Z$61,PMT(Adm!$J$2/12,B137,-L137),0)))</f>
        <v>0</v>
      </c>
      <c r="AB138" s="479">
        <f t="shared" si="25"/>
        <v>0</v>
      </c>
      <c r="AC138" s="479"/>
      <c r="AE138" s="473" t="e">
        <f t="shared" si="26"/>
        <v>#N/A</v>
      </c>
      <c r="AF138" s="480" t="e">
        <f t="shared" si="32"/>
        <v>#N/A</v>
      </c>
      <c r="AG138" s="475" t="e">
        <f t="shared" si="27"/>
        <v>#N/A</v>
      </c>
      <c r="AH138" s="476" t="e">
        <f t="shared" si="28"/>
        <v>#N/A</v>
      </c>
      <c r="AI138" s="475" t="e">
        <f t="shared" si="33"/>
        <v>#N/A</v>
      </c>
      <c r="AJ138" s="307" t="e">
        <f t="shared" si="29"/>
        <v>#N/A</v>
      </c>
    </row>
    <row r="139" spans="2:36">
      <c r="B139" s="277">
        <f t="shared" si="17"/>
        <v>0</v>
      </c>
      <c r="C139" s="466">
        <f t="shared" si="18"/>
        <v>0</v>
      </c>
      <c r="D139" s="467">
        <f t="shared" si="30"/>
        <v>0</v>
      </c>
      <c r="E139" s="460">
        <f t="shared" si="19"/>
        <v>0</v>
      </c>
      <c r="F139" s="460">
        <f t="shared" si="20"/>
        <v>0</v>
      </c>
      <c r="G139" s="460">
        <f t="shared" si="31"/>
        <v>0</v>
      </c>
      <c r="H139" s="460">
        <f>IF(L138&lt;0.01,0,IF($H$68="",0,L138*Adm!$V$3))</f>
        <v>0</v>
      </c>
      <c r="I139" s="460">
        <f>IF(L138&lt;0.01,0,IF($I$68="",0,($G$28*0.7*Adm!$W$3)))</f>
        <v>0</v>
      </c>
      <c r="J139" s="460">
        <f>IF(L138&lt;0.01,0,Adm!$AD$2*1.16)</f>
        <v>0</v>
      </c>
      <c r="K139" s="460">
        <f t="shared" si="21"/>
        <v>0</v>
      </c>
      <c r="L139" s="460">
        <f t="shared" si="22"/>
        <v>0</v>
      </c>
      <c r="M139" s="468"/>
      <c r="T139" s="469">
        <f t="shared" si="23"/>
        <v>10</v>
      </c>
      <c r="U139" s="470">
        <f>IF(T139=1,Adm!$O$2,0)</f>
        <v>0</v>
      </c>
      <c r="Z139" s="477">
        <f t="shared" si="24"/>
        <v>0</v>
      </c>
      <c r="AA139" s="478">
        <f>IF(M138&lt;=0,0,IF($AA$63=$AA$60,0,IF($Z$63=$Z$61,PMT(Adm!$J$2/12,B138,-L138),0)))</f>
        <v>0</v>
      </c>
      <c r="AB139" s="479">
        <f t="shared" si="25"/>
        <v>0</v>
      </c>
      <c r="AC139" s="479"/>
      <c r="AE139" s="473" t="e">
        <f t="shared" si="26"/>
        <v>#N/A</v>
      </c>
      <c r="AF139" s="480" t="e">
        <f t="shared" si="32"/>
        <v>#N/A</v>
      </c>
      <c r="AG139" s="475" t="e">
        <f t="shared" si="27"/>
        <v>#N/A</v>
      </c>
      <c r="AH139" s="476" t="e">
        <f t="shared" si="28"/>
        <v>#N/A</v>
      </c>
      <c r="AI139" s="475" t="e">
        <f t="shared" si="33"/>
        <v>#N/A</v>
      </c>
      <c r="AJ139" s="307" t="e">
        <f t="shared" si="29"/>
        <v>#N/A</v>
      </c>
    </row>
    <row r="140" spans="2:36">
      <c r="B140" s="277">
        <f t="shared" si="17"/>
        <v>0</v>
      </c>
      <c r="C140" s="466">
        <f t="shared" si="18"/>
        <v>0</v>
      </c>
      <c r="D140" s="467">
        <f t="shared" si="30"/>
        <v>0</v>
      </c>
      <c r="E140" s="460">
        <f t="shared" si="19"/>
        <v>0</v>
      </c>
      <c r="F140" s="460">
        <f t="shared" si="20"/>
        <v>0</v>
      </c>
      <c r="G140" s="460">
        <f t="shared" si="31"/>
        <v>0</v>
      </c>
      <c r="H140" s="460">
        <f>IF(L139&lt;0.01,0,IF($H$68="",0,L139*Adm!$V$3))</f>
        <v>0</v>
      </c>
      <c r="I140" s="460">
        <f>IF(L139&lt;0.01,0,IF($I$68="",0,($G$28*0.7*Adm!$W$3)))</f>
        <v>0</v>
      </c>
      <c r="J140" s="460">
        <f>IF(L139&lt;0.01,0,Adm!$AD$2*1.16)</f>
        <v>0</v>
      </c>
      <c r="K140" s="460">
        <f t="shared" si="21"/>
        <v>0</v>
      </c>
      <c r="L140" s="460">
        <f t="shared" si="22"/>
        <v>0</v>
      </c>
      <c r="M140" s="468"/>
      <c r="T140" s="469">
        <f t="shared" si="23"/>
        <v>11</v>
      </c>
      <c r="U140" s="470">
        <f>IF(T140=1,Adm!$O$2,0)</f>
        <v>0</v>
      </c>
      <c r="Z140" s="477">
        <f t="shared" si="24"/>
        <v>0</v>
      </c>
      <c r="AA140" s="478">
        <f>IF(M139&lt;=0,0,IF($AA$63=$AA$60,0,IF($Z$63=$Z$61,PMT(Adm!$J$2/12,B139,-L139),0)))</f>
        <v>0</v>
      </c>
      <c r="AB140" s="479">
        <f t="shared" si="25"/>
        <v>0</v>
      </c>
      <c r="AC140" s="479"/>
      <c r="AE140" s="473" t="e">
        <f t="shared" si="26"/>
        <v>#N/A</v>
      </c>
      <c r="AF140" s="480" t="e">
        <f t="shared" si="32"/>
        <v>#N/A</v>
      </c>
      <c r="AG140" s="475" t="e">
        <f t="shared" si="27"/>
        <v>#N/A</v>
      </c>
      <c r="AH140" s="476" t="e">
        <f t="shared" si="28"/>
        <v>#N/A</v>
      </c>
      <c r="AI140" s="475" t="e">
        <f t="shared" si="33"/>
        <v>#N/A</v>
      </c>
      <c r="AJ140" s="307" t="e">
        <f t="shared" si="29"/>
        <v>#N/A</v>
      </c>
    </row>
    <row r="141" spans="2:36">
      <c r="B141" s="277">
        <f t="shared" si="17"/>
        <v>0</v>
      </c>
      <c r="C141" s="466">
        <f t="shared" si="18"/>
        <v>0</v>
      </c>
      <c r="D141" s="467">
        <f t="shared" si="30"/>
        <v>0</v>
      </c>
      <c r="E141" s="460">
        <f t="shared" si="19"/>
        <v>0</v>
      </c>
      <c r="F141" s="460">
        <f t="shared" si="20"/>
        <v>0</v>
      </c>
      <c r="G141" s="460">
        <f t="shared" si="31"/>
        <v>0</v>
      </c>
      <c r="H141" s="460">
        <f>IF(L140&lt;0.01,0,IF($H$68="",0,L140*Adm!$V$3))</f>
        <v>0</v>
      </c>
      <c r="I141" s="460">
        <f>IF(L140&lt;0.01,0,IF($I$68="",0,($G$28*0.7*Adm!$W$3)))</f>
        <v>0</v>
      </c>
      <c r="J141" s="460">
        <f>IF(L140&lt;0.01,0,Adm!$AD$2*1.16)</f>
        <v>0</v>
      </c>
      <c r="K141" s="460">
        <f t="shared" si="21"/>
        <v>0</v>
      </c>
      <c r="L141" s="460">
        <f t="shared" si="22"/>
        <v>0</v>
      </c>
      <c r="M141" s="468"/>
      <c r="T141" s="469">
        <f t="shared" si="23"/>
        <v>12</v>
      </c>
      <c r="U141" s="470">
        <f>IF(T141=1,Adm!$O$2,0)</f>
        <v>0</v>
      </c>
      <c r="Z141" s="477">
        <f t="shared" si="24"/>
        <v>0</v>
      </c>
      <c r="AA141" s="478">
        <f>IF(M140&lt;=0,0,IF($AA$63=$AA$60,0,IF($Z$63=$Z$61,PMT(Adm!$J$2/12,B140,-L140),0)))</f>
        <v>0</v>
      </c>
      <c r="AB141" s="479">
        <f t="shared" si="25"/>
        <v>0</v>
      </c>
      <c r="AC141" s="479"/>
      <c r="AE141" s="473" t="e">
        <f t="shared" si="26"/>
        <v>#N/A</v>
      </c>
      <c r="AF141" s="480" t="e">
        <f t="shared" si="32"/>
        <v>#N/A</v>
      </c>
      <c r="AG141" s="475" t="e">
        <f t="shared" si="27"/>
        <v>#N/A</v>
      </c>
      <c r="AH141" s="476" t="e">
        <f t="shared" si="28"/>
        <v>#N/A</v>
      </c>
      <c r="AI141" s="475" t="e">
        <f t="shared" si="33"/>
        <v>#N/A</v>
      </c>
      <c r="AJ141" s="307" t="e">
        <f t="shared" si="29"/>
        <v>#N/A</v>
      </c>
    </row>
    <row r="142" spans="2:36">
      <c r="B142" s="277">
        <f t="shared" si="17"/>
        <v>0</v>
      </c>
      <c r="C142" s="466">
        <f t="shared" si="18"/>
        <v>0</v>
      </c>
      <c r="D142" s="467">
        <f t="shared" si="30"/>
        <v>0</v>
      </c>
      <c r="E142" s="460">
        <f t="shared" si="19"/>
        <v>0</v>
      </c>
      <c r="F142" s="460">
        <f t="shared" si="20"/>
        <v>0</v>
      </c>
      <c r="G142" s="460">
        <f t="shared" si="31"/>
        <v>0</v>
      </c>
      <c r="H142" s="460">
        <f>IF(L141&lt;0.01,0,IF($H$68="",0,L141*Adm!$V$3))</f>
        <v>0</v>
      </c>
      <c r="I142" s="460">
        <f>IF(L141&lt;0.01,0,IF($I$68="",0,($G$28*0.7*Adm!$W$3)))</f>
        <v>0</v>
      </c>
      <c r="J142" s="460">
        <f>IF(L141&lt;0.01,0,Adm!$AD$2*1.16)</f>
        <v>0</v>
      </c>
      <c r="K142" s="460">
        <f t="shared" si="21"/>
        <v>0</v>
      </c>
      <c r="L142" s="460">
        <f t="shared" si="22"/>
        <v>0</v>
      </c>
      <c r="M142" s="468"/>
      <c r="T142" s="469">
        <f t="shared" si="23"/>
        <v>1</v>
      </c>
      <c r="U142" s="470">
        <f>IF(T142=1,Adm!$O$2,0)</f>
        <v>0</v>
      </c>
      <c r="Z142" s="477">
        <f t="shared" si="24"/>
        <v>0</v>
      </c>
      <c r="AA142" s="478">
        <f>IF(M141&lt;=0,0,IF($AA$63=$AA$60,0,IF($Z$63=$Z$61,PMT(Adm!$J$2/12,B141,-L141),0)))</f>
        <v>0</v>
      </c>
      <c r="AB142" s="479">
        <f t="shared" si="25"/>
        <v>0</v>
      </c>
      <c r="AC142" s="479"/>
      <c r="AE142" s="473" t="e">
        <f t="shared" si="26"/>
        <v>#N/A</v>
      </c>
      <c r="AF142" s="480" t="e">
        <f t="shared" si="32"/>
        <v>#N/A</v>
      </c>
      <c r="AG142" s="475" t="e">
        <f t="shared" si="27"/>
        <v>#N/A</v>
      </c>
      <c r="AH142" s="476" t="e">
        <f t="shared" si="28"/>
        <v>#N/A</v>
      </c>
      <c r="AI142" s="481" t="e">
        <f>MIN(AJ141+AG142,AI141*(1+$AG$65))</f>
        <v>#N/A</v>
      </c>
      <c r="AJ142" s="307" t="e">
        <f t="shared" si="29"/>
        <v>#N/A</v>
      </c>
    </row>
    <row r="143" spans="2:36">
      <c r="B143" s="277">
        <f t="shared" si="17"/>
        <v>0</v>
      </c>
      <c r="C143" s="466">
        <f t="shared" si="18"/>
        <v>0</v>
      </c>
      <c r="D143" s="467">
        <f t="shared" si="30"/>
        <v>0</v>
      </c>
      <c r="E143" s="460">
        <f t="shared" si="19"/>
        <v>0</v>
      </c>
      <c r="F143" s="460">
        <f t="shared" si="20"/>
        <v>0</v>
      </c>
      <c r="G143" s="460">
        <f t="shared" si="31"/>
        <v>0</v>
      </c>
      <c r="H143" s="460">
        <f>IF(L142&lt;0.01,0,IF($H$68="",0,L142*Adm!$V$3))</f>
        <v>0</v>
      </c>
      <c r="I143" s="460">
        <f>IF(L142&lt;0.01,0,IF($I$68="",0,($G$28*0.7*Adm!$W$3)))</f>
        <v>0</v>
      </c>
      <c r="J143" s="460">
        <f>IF(L142&lt;0.01,0,Adm!$AD$2*1.16)</f>
        <v>0</v>
      </c>
      <c r="K143" s="460">
        <f t="shared" si="21"/>
        <v>0</v>
      </c>
      <c r="L143" s="460">
        <f t="shared" si="22"/>
        <v>0</v>
      </c>
      <c r="M143" s="468"/>
      <c r="T143" s="469">
        <f t="shared" si="23"/>
        <v>2</v>
      </c>
      <c r="U143" s="470">
        <f>IF(T143=1,Adm!$O$2,0)</f>
        <v>0</v>
      </c>
      <c r="Z143" s="477">
        <f t="shared" si="24"/>
        <v>0</v>
      </c>
      <c r="AA143" s="478">
        <f>IF(M142&lt;=0,0,IF($AA$63=$AA$60,0,IF($Z$63=$Z$61,PMT(Adm!$J$2/12,B142,-L142),0)))</f>
        <v>0</v>
      </c>
      <c r="AB143" s="479">
        <f t="shared" si="25"/>
        <v>0</v>
      </c>
      <c r="AC143" s="479"/>
      <c r="AE143" s="473" t="e">
        <f t="shared" si="26"/>
        <v>#N/A</v>
      </c>
      <c r="AF143" s="480" t="e">
        <f t="shared" si="32"/>
        <v>#N/A</v>
      </c>
      <c r="AG143" s="475" t="e">
        <f t="shared" si="27"/>
        <v>#N/A</v>
      </c>
      <c r="AH143" s="476" t="e">
        <f t="shared" si="28"/>
        <v>#N/A</v>
      </c>
      <c r="AI143" s="475" t="e">
        <f t="shared" si="33"/>
        <v>#N/A</v>
      </c>
      <c r="AJ143" s="307" t="e">
        <f t="shared" si="29"/>
        <v>#N/A</v>
      </c>
    </row>
    <row r="144" spans="2:36">
      <c r="B144" s="277">
        <f t="shared" si="17"/>
        <v>0</v>
      </c>
      <c r="C144" s="466">
        <f t="shared" si="18"/>
        <v>0</v>
      </c>
      <c r="D144" s="467">
        <f t="shared" si="30"/>
        <v>0</v>
      </c>
      <c r="E144" s="460">
        <f t="shared" si="19"/>
        <v>0</v>
      </c>
      <c r="F144" s="460">
        <f t="shared" si="20"/>
        <v>0</v>
      </c>
      <c r="G144" s="460">
        <f t="shared" si="31"/>
        <v>0</v>
      </c>
      <c r="H144" s="460">
        <f>IF(L143&lt;0.01,0,IF($H$68="",0,L143*Adm!$V$3))</f>
        <v>0</v>
      </c>
      <c r="I144" s="460">
        <f>IF(L143&lt;0.01,0,IF($I$68="",0,($G$28*0.7*Adm!$W$3)))</f>
        <v>0</v>
      </c>
      <c r="J144" s="460">
        <f>IF(L143&lt;0.01,0,Adm!$AD$2*1.16)</f>
        <v>0</v>
      </c>
      <c r="K144" s="460">
        <f t="shared" si="21"/>
        <v>0</v>
      </c>
      <c r="L144" s="460">
        <f t="shared" si="22"/>
        <v>0</v>
      </c>
      <c r="M144" s="468"/>
      <c r="T144" s="469">
        <f t="shared" si="23"/>
        <v>3</v>
      </c>
      <c r="U144" s="470">
        <f>IF(T144=1,Adm!$O$2,0)</f>
        <v>0</v>
      </c>
      <c r="Z144" s="477">
        <f t="shared" si="24"/>
        <v>0</v>
      </c>
      <c r="AA144" s="478">
        <f>IF(M143&lt;=0,0,IF($AA$63=$AA$60,0,IF($Z$63=$Z$61,PMT(Adm!$J$2/12,B143,-L143),0)))</f>
        <v>0</v>
      </c>
      <c r="AB144" s="479">
        <f t="shared" si="25"/>
        <v>0</v>
      </c>
      <c r="AC144" s="479"/>
      <c r="AE144" s="473" t="e">
        <f t="shared" si="26"/>
        <v>#N/A</v>
      </c>
      <c r="AF144" s="480" t="e">
        <f t="shared" si="32"/>
        <v>#N/A</v>
      </c>
      <c r="AG144" s="475" t="e">
        <f t="shared" si="27"/>
        <v>#N/A</v>
      </c>
      <c r="AH144" s="476" t="e">
        <f t="shared" si="28"/>
        <v>#N/A</v>
      </c>
      <c r="AI144" s="475" t="e">
        <f t="shared" si="33"/>
        <v>#N/A</v>
      </c>
      <c r="AJ144" s="307" t="e">
        <f t="shared" si="29"/>
        <v>#N/A</v>
      </c>
    </row>
    <row r="145" spans="2:36">
      <c r="B145" s="277">
        <f t="shared" si="17"/>
        <v>0</v>
      </c>
      <c r="C145" s="466">
        <f t="shared" si="18"/>
        <v>0</v>
      </c>
      <c r="D145" s="467">
        <f t="shared" si="30"/>
        <v>0</v>
      </c>
      <c r="E145" s="460">
        <f t="shared" si="19"/>
        <v>0</v>
      </c>
      <c r="F145" s="460">
        <f t="shared" si="20"/>
        <v>0</v>
      </c>
      <c r="G145" s="460">
        <f t="shared" si="31"/>
        <v>0</v>
      </c>
      <c r="H145" s="460">
        <f>IF(L144&lt;0.01,0,IF($H$68="",0,L144*Adm!$V$3))</f>
        <v>0</v>
      </c>
      <c r="I145" s="460">
        <f>IF(L144&lt;0.01,0,IF($I$68="",0,($G$28*0.7*Adm!$W$3)))</f>
        <v>0</v>
      </c>
      <c r="J145" s="460">
        <f>IF(L144&lt;0.01,0,Adm!$AD$2*1.16)</f>
        <v>0</v>
      </c>
      <c r="K145" s="460">
        <f t="shared" si="21"/>
        <v>0</v>
      </c>
      <c r="L145" s="460">
        <f t="shared" si="22"/>
        <v>0</v>
      </c>
      <c r="M145" s="468"/>
      <c r="T145" s="469">
        <f t="shared" si="23"/>
        <v>4</v>
      </c>
      <c r="U145" s="470">
        <f>IF(T145=1,Adm!$O$2,0)</f>
        <v>0</v>
      </c>
      <c r="Z145" s="477">
        <f t="shared" si="24"/>
        <v>0</v>
      </c>
      <c r="AA145" s="478">
        <f>IF(M144&lt;=0,0,IF($AA$63=$AA$60,0,IF($Z$63=$Z$61,PMT(Adm!$J$2/12,B144,-L144),0)))</f>
        <v>0</v>
      </c>
      <c r="AB145" s="479">
        <f t="shared" si="25"/>
        <v>0</v>
      </c>
      <c r="AC145" s="479"/>
      <c r="AE145" s="473" t="e">
        <f t="shared" si="26"/>
        <v>#N/A</v>
      </c>
      <c r="AF145" s="480" t="e">
        <f t="shared" si="32"/>
        <v>#N/A</v>
      </c>
      <c r="AG145" s="475" t="e">
        <f t="shared" si="27"/>
        <v>#N/A</v>
      </c>
      <c r="AH145" s="476" t="e">
        <f t="shared" si="28"/>
        <v>#N/A</v>
      </c>
      <c r="AI145" s="475" t="e">
        <f t="shared" si="33"/>
        <v>#N/A</v>
      </c>
      <c r="AJ145" s="307" t="e">
        <f t="shared" si="29"/>
        <v>#N/A</v>
      </c>
    </row>
    <row r="146" spans="2:36">
      <c r="B146" s="277">
        <f t="shared" si="17"/>
        <v>0</v>
      </c>
      <c r="C146" s="466">
        <f t="shared" si="18"/>
        <v>0</v>
      </c>
      <c r="D146" s="467">
        <f t="shared" si="30"/>
        <v>0</v>
      </c>
      <c r="E146" s="460">
        <f t="shared" si="19"/>
        <v>0</v>
      </c>
      <c r="F146" s="460">
        <f t="shared" si="20"/>
        <v>0</v>
      </c>
      <c r="G146" s="460">
        <f t="shared" si="31"/>
        <v>0</v>
      </c>
      <c r="H146" s="460">
        <f>IF(L145&lt;0.01,0,IF($H$68="",0,L145*Adm!$V$3))</f>
        <v>0</v>
      </c>
      <c r="I146" s="460">
        <f>IF(L145&lt;0.01,0,IF($I$68="",0,($G$28*0.7*Adm!$W$3)))</f>
        <v>0</v>
      </c>
      <c r="J146" s="460">
        <f>IF(L145&lt;0.01,0,Adm!$AD$2*1.16)</f>
        <v>0</v>
      </c>
      <c r="K146" s="460">
        <f t="shared" si="21"/>
        <v>0</v>
      </c>
      <c r="L146" s="460">
        <f t="shared" si="22"/>
        <v>0</v>
      </c>
      <c r="M146" s="468"/>
      <c r="T146" s="469">
        <f t="shared" si="23"/>
        <v>5</v>
      </c>
      <c r="U146" s="470">
        <f>IF(T146=1,Adm!$O$2,0)</f>
        <v>0</v>
      </c>
      <c r="Z146" s="477">
        <f t="shared" si="24"/>
        <v>0</v>
      </c>
      <c r="AA146" s="478">
        <f>IF(M145&lt;=0,0,IF($AA$63=$AA$60,0,IF($Z$63=$Z$61,PMT(Adm!$J$2/12,B145,-L145),0)))</f>
        <v>0</v>
      </c>
      <c r="AB146" s="479">
        <f t="shared" si="25"/>
        <v>0</v>
      </c>
      <c r="AC146" s="479"/>
      <c r="AE146" s="473" t="e">
        <f t="shared" si="26"/>
        <v>#N/A</v>
      </c>
      <c r="AF146" s="480" t="e">
        <f t="shared" si="32"/>
        <v>#N/A</v>
      </c>
      <c r="AG146" s="475" t="e">
        <f t="shared" si="27"/>
        <v>#N/A</v>
      </c>
      <c r="AH146" s="476" t="e">
        <f t="shared" si="28"/>
        <v>#N/A</v>
      </c>
      <c r="AI146" s="475" t="e">
        <f t="shared" si="33"/>
        <v>#N/A</v>
      </c>
      <c r="AJ146" s="307" t="e">
        <f t="shared" si="29"/>
        <v>#N/A</v>
      </c>
    </row>
    <row r="147" spans="2:36">
      <c r="B147" s="277">
        <f t="shared" si="17"/>
        <v>0</v>
      </c>
      <c r="C147" s="466">
        <f t="shared" si="18"/>
        <v>0</v>
      </c>
      <c r="D147" s="467">
        <f t="shared" si="30"/>
        <v>0</v>
      </c>
      <c r="E147" s="460">
        <f t="shared" si="19"/>
        <v>0</v>
      </c>
      <c r="F147" s="460">
        <f t="shared" si="20"/>
        <v>0</v>
      </c>
      <c r="G147" s="460">
        <f t="shared" si="31"/>
        <v>0</v>
      </c>
      <c r="H147" s="460">
        <f>IF(L146&lt;0.01,0,IF($H$68="",0,L146*Adm!$V$3))</f>
        <v>0</v>
      </c>
      <c r="I147" s="460">
        <f>IF(L146&lt;0.01,0,IF($I$68="",0,($G$28*0.7*Adm!$W$3)))</f>
        <v>0</v>
      </c>
      <c r="J147" s="460">
        <f>IF(L146&lt;0.01,0,Adm!$AD$2*1.16)</f>
        <v>0</v>
      </c>
      <c r="K147" s="460">
        <f t="shared" si="21"/>
        <v>0</v>
      </c>
      <c r="L147" s="460">
        <f t="shared" si="22"/>
        <v>0</v>
      </c>
      <c r="M147" s="468"/>
      <c r="T147" s="469">
        <f t="shared" si="23"/>
        <v>6</v>
      </c>
      <c r="U147" s="470">
        <f>IF(T147=1,Adm!$O$2,0)</f>
        <v>0</v>
      </c>
      <c r="Z147" s="477">
        <f t="shared" si="24"/>
        <v>0</v>
      </c>
      <c r="AA147" s="478">
        <f>IF(M146&lt;=0,0,IF($AA$63=$AA$60,0,IF($Z$63=$Z$61,PMT(Adm!$J$2/12,B146,-L146),0)))</f>
        <v>0</v>
      </c>
      <c r="AB147" s="479">
        <f t="shared" si="25"/>
        <v>0</v>
      </c>
      <c r="AC147" s="479"/>
      <c r="AE147" s="473" t="e">
        <f t="shared" si="26"/>
        <v>#N/A</v>
      </c>
      <c r="AF147" s="480" t="e">
        <f t="shared" si="32"/>
        <v>#N/A</v>
      </c>
      <c r="AG147" s="475" t="e">
        <f t="shared" si="27"/>
        <v>#N/A</v>
      </c>
      <c r="AH147" s="476" t="e">
        <f t="shared" si="28"/>
        <v>#N/A</v>
      </c>
      <c r="AI147" s="475" t="e">
        <f t="shared" si="33"/>
        <v>#N/A</v>
      </c>
      <c r="AJ147" s="307" t="e">
        <f t="shared" si="29"/>
        <v>#N/A</v>
      </c>
    </row>
    <row r="148" spans="2:36">
      <c r="B148" s="277">
        <f t="shared" si="17"/>
        <v>0</v>
      </c>
      <c r="C148" s="466">
        <f t="shared" si="18"/>
        <v>0</v>
      </c>
      <c r="D148" s="467">
        <f t="shared" si="30"/>
        <v>0</v>
      </c>
      <c r="E148" s="460">
        <f t="shared" si="19"/>
        <v>0</v>
      </c>
      <c r="F148" s="460">
        <f t="shared" si="20"/>
        <v>0</v>
      </c>
      <c r="G148" s="460">
        <f t="shared" si="31"/>
        <v>0</v>
      </c>
      <c r="H148" s="460">
        <f>IF(L147&lt;0.01,0,IF($H$68="",0,L147*Adm!$V$3))</f>
        <v>0</v>
      </c>
      <c r="I148" s="460">
        <f>IF(L147&lt;0.01,0,IF($I$68="",0,($G$28*0.7*Adm!$W$3)))</f>
        <v>0</v>
      </c>
      <c r="J148" s="460">
        <f>IF(L147&lt;0.01,0,Adm!$AD$2*1.16)</f>
        <v>0</v>
      </c>
      <c r="K148" s="460">
        <f t="shared" si="21"/>
        <v>0</v>
      </c>
      <c r="L148" s="460">
        <f t="shared" si="22"/>
        <v>0</v>
      </c>
      <c r="M148" s="468"/>
      <c r="T148" s="469">
        <f t="shared" si="23"/>
        <v>7</v>
      </c>
      <c r="U148" s="470">
        <f>IF(T148=1,Adm!$O$2,0)</f>
        <v>0</v>
      </c>
      <c r="Z148" s="477">
        <f t="shared" si="24"/>
        <v>0</v>
      </c>
      <c r="AA148" s="478">
        <f>IF(M147&lt;=0,0,IF($AA$63=$AA$60,0,IF($Z$63=$Z$61,PMT(Adm!$J$2/12,B147,-L147),0)))</f>
        <v>0</v>
      </c>
      <c r="AB148" s="479">
        <f t="shared" si="25"/>
        <v>0</v>
      </c>
      <c r="AC148" s="479"/>
      <c r="AE148" s="473" t="e">
        <f t="shared" si="26"/>
        <v>#N/A</v>
      </c>
      <c r="AF148" s="480" t="e">
        <f t="shared" si="32"/>
        <v>#N/A</v>
      </c>
      <c r="AG148" s="475" t="e">
        <f t="shared" si="27"/>
        <v>#N/A</v>
      </c>
      <c r="AH148" s="476" t="e">
        <f t="shared" si="28"/>
        <v>#N/A</v>
      </c>
      <c r="AI148" s="475" t="e">
        <f t="shared" si="33"/>
        <v>#N/A</v>
      </c>
      <c r="AJ148" s="307" t="e">
        <f t="shared" si="29"/>
        <v>#N/A</v>
      </c>
    </row>
    <row r="149" spans="2:36">
      <c r="B149" s="277">
        <f t="shared" si="17"/>
        <v>0</v>
      </c>
      <c r="C149" s="466">
        <f t="shared" si="18"/>
        <v>0</v>
      </c>
      <c r="D149" s="467">
        <f t="shared" si="30"/>
        <v>0</v>
      </c>
      <c r="E149" s="460">
        <f t="shared" si="19"/>
        <v>0</v>
      </c>
      <c r="F149" s="460">
        <f t="shared" si="20"/>
        <v>0</v>
      </c>
      <c r="G149" s="460">
        <f t="shared" si="31"/>
        <v>0</v>
      </c>
      <c r="H149" s="460">
        <f>IF(L148&lt;0.01,0,IF($H$68="",0,L148*Adm!$V$3))</f>
        <v>0</v>
      </c>
      <c r="I149" s="460">
        <f>IF(L148&lt;0.01,0,IF($I$68="",0,($G$28*0.7*Adm!$W$3)))</f>
        <v>0</v>
      </c>
      <c r="J149" s="460">
        <f>IF(L148&lt;0.01,0,Adm!$AD$2*1.16)</f>
        <v>0</v>
      </c>
      <c r="K149" s="460">
        <f t="shared" si="21"/>
        <v>0</v>
      </c>
      <c r="L149" s="460">
        <f t="shared" si="22"/>
        <v>0</v>
      </c>
      <c r="M149" s="468"/>
      <c r="T149" s="469">
        <f t="shared" si="23"/>
        <v>8</v>
      </c>
      <c r="U149" s="470">
        <f>IF(T149=1,Adm!$O$2,0)</f>
        <v>0</v>
      </c>
      <c r="Z149" s="477">
        <f t="shared" si="24"/>
        <v>0</v>
      </c>
      <c r="AA149" s="478">
        <f>IF(M148&lt;=0,0,IF($AA$63=$AA$60,0,IF($Z$63=$Z$61,PMT(Adm!$J$2/12,B148,-L148),0)))</f>
        <v>0</v>
      </c>
      <c r="AB149" s="479">
        <f t="shared" si="25"/>
        <v>0</v>
      </c>
      <c r="AC149" s="479"/>
      <c r="AE149" s="473" t="e">
        <f t="shared" si="26"/>
        <v>#N/A</v>
      </c>
      <c r="AF149" s="480" t="e">
        <f t="shared" si="32"/>
        <v>#N/A</v>
      </c>
      <c r="AG149" s="475" t="e">
        <f t="shared" si="27"/>
        <v>#N/A</v>
      </c>
      <c r="AH149" s="476" t="e">
        <f t="shared" si="28"/>
        <v>#N/A</v>
      </c>
      <c r="AI149" s="475" t="e">
        <f t="shared" si="33"/>
        <v>#N/A</v>
      </c>
      <c r="AJ149" s="307" t="e">
        <f t="shared" si="29"/>
        <v>#N/A</v>
      </c>
    </row>
    <row r="150" spans="2:36">
      <c r="B150" s="277">
        <f t="shared" si="17"/>
        <v>0</v>
      </c>
      <c r="C150" s="466">
        <f t="shared" si="18"/>
        <v>0</v>
      </c>
      <c r="D150" s="467">
        <f t="shared" si="30"/>
        <v>0</v>
      </c>
      <c r="E150" s="460">
        <f t="shared" si="19"/>
        <v>0</v>
      </c>
      <c r="F150" s="460">
        <f t="shared" si="20"/>
        <v>0</v>
      </c>
      <c r="G150" s="460">
        <f t="shared" si="31"/>
        <v>0</v>
      </c>
      <c r="H150" s="460">
        <f>IF(L149&lt;0.01,0,IF($H$68="",0,L149*Adm!$V$3))</f>
        <v>0</v>
      </c>
      <c r="I150" s="460">
        <f>IF(L149&lt;0.01,0,IF($I$68="",0,($G$28*0.7*Adm!$W$3)))</f>
        <v>0</v>
      </c>
      <c r="J150" s="460">
        <f>IF(L149&lt;0.01,0,Adm!$AD$2*1.16)</f>
        <v>0</v>
      </c>
      <c r="K150" s="460">
        <f t="shared" si="21"/>
        <v>0</v>
      </c>
      <c r="L150" s="460">
        <f t="shared" si="22"/>
        <v>0</v>
      </c>
      <c r="M150" s="468"/>
      <c r="T150" s="469">
        <f t="shared" si="23"/>
        <v>9</v>
      </c>
      <c r="U150" s="470">
        <f>IF(T150=1,Adm!$O$2,0)</f>
        <v>0</v>
      </c>
      <c r="Z150" s="477">
        <f t="shared" si="24"/>
        <v>0</v>
      </c>
      <c r="AA150" s="478">
        <f>IF(M149&lt;=0,0,IF($AA$63=$AA$60,0,IF($Z$63=$Z$61,PMT(Adm!$J$2/12,B149,-L149),0)))</f>
        <v>0</v>
      </c>
      <c r="AB150" s="479">
        <f t="shared" si="25"/>
        <v>0</v>
      </c>
      <c r="AC150" s="479"/>
      <c r="AE150" s="473" t="e">
        <f t="shared" si="26"/>
        <v>#N/A</v>
      </c>
      <c r="AF150" s="480" t="e">
        <f t="shared" si="32"/>
        <v>#N/A</v>
      </c>
      <c r="AG150" s="475" t="e">
        <f t="shared" si="27"/>
        <v>#N/A</v>
      </c>
      <c r="AH150" s="476" t="e">
        <f t="shared" si="28"/>
        <v>#N/A</v>
      </c>
      <c r="AI150" s="475" t="e">
        <f t="shared" si="33"/>
        <v>#N/A</v>
      </c>
      <c r="AJ150" s="307" t="e">
        <f t="shared" si="29"/>
        <v>#N/A</v>
      </c>
    </row>
    <row r="151" spans="2:36">
      <c r="B151" s="277">
        <f t="shared" si="17"/>
        <v>0</v>
      </c>
      <c r="C151" s="466">
        <f t="shared" si="18"/>
        <v>0</v>
      </c>
      <c r="D151" s="467">
        <f t="shared" si="30"/>
        <v>0</v>
      </c>
      <c r="E151" s="460">
        <f t="shared" si="19"/>
        <v>0</v>
      </c>
      <c r="F151" s="460">
        <f t="shared" si="20"/>
        <v>0</v>
      </c>
      <c r="G151" s="460">
        <f t="shared" si="31"/>
        <v>0</v>
      </c>
      <c r="H151" s="460">
        <f>IF(L150&lt;0.01,0,IF($H$68="",0,L150*Adm!$V$3))</f>
        <v>0</v>
      </c>
      <c r="I151" s="460">
        <f>IF(L150&lt;0.01,0,IF($I$68="",0,($G$28*0.7*Adm!$W$3)))</f>
        <v>0</v>
      </c>
      <c r="J151" s="460">
        <f>IF(L150&lt;0.01,0,Adm!$AD$2*1.16)</f>
        <v>0</v>
      </c>
      <c r="K151" s="460">
        <f t="shared" si="21"/>
        <v>0</v>
      </c>
      <c r="L151" s="460">
        <f t="shared" si="22"/>
        <v>0</v>
      </c>
      <c r="M151" s="468"/>
      <c r="T151" s="469">
        <f t="shared" si="23"/>
        <v>10</v>
      </c>
      <c r="U151" s="470">
        <f>IF(T151=1,Adm!$O$2,0)</f>
        <v>0</v>
      </c>
      <c r="Z151" s="477">
        <f t="shared" si="24"/>
        <v>0</v>
      </c>
      <c r="AA151" s="478">
        <f>IF(M150&lt;=0,0,IF($AA$63=$AA$60,0,IF($Z$63=$Z$61,PMT(Adm!$J$2/12,B150,-L150),0)))</f>
        <v>0</v>
      </c>
      <c r="AB151" s="479">
        <f t="shared" si="25"/>
        <v>0</v>
      </c>
      <c r="AC151" s="479"/>
      <c r="AE151" s="473" t="e">
        <f t="shared" si="26"/>
        <v>#N/A</v>
      </c>
      <c r="AF151" s="480" t="e">
        <f t="shared" si="32"/>
        <v>#N/A</v>
      </c>
      <c r="AG151" s="475" t="e">
        <f t="shared" si="27"/>
        <v>#N/A</v>
      </c>
      <c r="AH151" s="476" t="e">
        <f t="shared" si="28"/>
        <v>#N/A</v>
      </c>
      <c r="AI151" s="475" t="e">
        <f t="shared" si="33"/>
        <v>#N/A</v>
      </c>
      <c r="AJ151" s="307" t="e">
        <f t="shared" si="29"/>
        <v>#N/A</v>
      </c>
    </row>
    <row r="152" spans="2:36">
      <c r="B152" s="277">
        <f t="shared" si="17"/>
        <v>0</v>
      </c>
      <c r="C152" s="466">
        <f t="shared" si="18"/>
        <v>0</v>
      </c>
      <c r="D152" s="467">
        <f t="shared" si="30"/>
        <v>0</v>
      </c>
      <c r="E152" s="460">
        <f t="shared" si="19"/>
        <v>0</v>
      </c>
      <c r="F152" s="460">
        <f t="shared" si="20"/>
        <v>0</v>
      </c>
      <c r="G152" s="460">
        <f t="shared" si="31"/>
        <v>0</v>
      </c>
      <c r="H152" s="460">
        <f>IF(L151&lt;0.01,0,IF($H$68="",0,L151*Adm!$V$3))</f>
        <v>0</v>
      </c>
      <c r="I152" s="460">
        <f>IF(L151&lt;0.01,0,IF($I$68="",0,($G$28*0.7*Adm!$W$3)))</f>
        <v>0</v>
      </c>
      <c r="J152" s="460">
        <f>IF(L151&lt;0.01,0,Adm!$AD$2*1.16)</f>
        <v>0</v>
      </c>
      <c r="K152" s="460">
        <f t="shared" si="21"/>
        <v>0</v>
      </c>
      <c r="L152" s="460">
        <f t="shared" si="22"/>
        <v>0</v>
      </c>
      <c r="M152" s="468"/>
      <c r="T152" s="469">
        <f t="shared" si="23"/>
        <v>11</v>
      </c>
      <c r="U152" s="470">
        <f>IF(T152=1,Adm!$O$2,0)</f>
        <v>0</v>
      </c>
      <c r="Z152" s="477">
        <f t="shared" si="24"/>
        <v>0</v>
      </c>
      <c r="AA152" s="478">
        <f>IF(M151&lt;=0,0,IF($AA$63=$AA$60,0,IF($Z$63=$Z$61,PMT(Adm!$J$2/12,B151,-L151),0)))</f>
        <v>0</v>
      </c>
      <c r="AB152" s="479">
        <f t="shared" si="25"/>
        <v>0</v>
      </c>
      <c r="AC152" s="479"/>
      <c r="AE152" s="473" t="e">
        <f t="shared" si="26"/>
        <v>#N/A</v>
      </c>
      <c r="AF152" s="480" t="e">
        <f t="shared" si="32"/>
        <v>#N/A</v>
      </c>
      <c r="AG152" s="475" t="e">
        <f t="shared" si="27"/>
        <v>#N/A</v>
      </c>
      <c r="AH152" s="476" t="e">
        <f t="shared" si="28"/>
        <v>#N/A</v>
      </c>
      <c r="AI152" s="475" t="e">
        <f t="shared" si="33"/>
        <v>#N/A</v>
      </c>
      <c r="AJ152" s="307" t="e">
        <f t="shared" si="29"/>
        <v>#N/A</v>
      </c>
    </row>
    <row r="153" spans="2:36">
      <c r="B153" s="277">
        <f t="shared" si="17"/>
        <v>0</v>
      </c>
      <c r="C153" s="466">
        <f t="shared" si="18"/>
        <v>0</v>
      </c>
      <c r="D153" s="467">
        <f t="shared" si="30"/>
        <v>0</v>
      </c>
      <c r="E153" s="460">
        <f t="shared" si="19"/>
        <v>0</v>
      </c>
      <c r="F153" s="460">
        <f t="shared" si="20"/>
        <v>0</v>
      </c>
      <c r="G153" s="460">
        <f t="shared" si="31"/>
        <v>0</v>
      </c>
      <c r="H153" s="460">
        <f>IF(L152&lt;0.01,0,IF($H$68="",0,L152*Adm!$V$3))</f>
        <v>0</v>
      </c>
      <c r="I153" s="460">
        <f>IF(L152&lt;0.01,0,IF($I$68="",0,($G$28*0.7*Adm!$W$3)))</f>
        <v>0</v>
      </c>
      <c r="J153" s="460">
        <f>IF(L152&lt;0.01,0,Adm!$AD$2*1.16)</f>
        <v>0</v>
      </c>
      <c r="K153" s="460">
        <f t="shared" si="21"/>
        <v>0</v>
      </c>
      <c r="L153" s="460">
        <f t="shared" si="22"/>
        <v>0</v>
      </c>
      <c r="M153" s="468"/>
      <c r="T153" s="469">
        <f t="shared" si="23"/>
        <v>12</v>
      </c>
      <c r="U153" s="470">
        <f>IF(T153=1,Adm!$O$2,0)</f>
        <v>0</v>
      </c>
      <c r="Z153" s="477">
        <f t="shared" si="24"/>
        <v>0</v>
      </c>
      <c r="AA153" s="478">
        <f>IF(M152&lt;=0,0,IF($AA$63=$AA$60,0,IF($Z$63=$Z$61,PMT(Adm!$J$2/12,B152,-L152),0)))</f>
        <v>0</v>
      </c>
      <c r="AB153" s="479">
        <f t="shared" si="25"/>
        <v>0</v>
      </c>
      <c r="AC153" s="479"/>
      <c r="AE153" s="473" t="e">
        <f t="shared" si="26"/>
        <v>#N/A</v>
      </c>
      <c r="AF153" s="480" t="e">
        <f t="shared" si="32"/>
        <v>#N/A</v>
      </c>
      <c r="AG153" s="475" t="e">
        <f t="shared" si="27"/>
        <v>#N/A</v>
      </c>
      <c r="AH153" s="476" t="e">
        <f t="shared" si="28"/>
        <v>#N/A</v>
      </c>
      <c r="AI153" s="475" t="e">
        <f t="shared" si="33"/>
        <v>#N/A</v>
      </c>
      <c r="AJ153" s="307" t="e">
        <f t="shared" si="29"/>
        <v>#N/A</v>
      </c>
    </row>
    <row r="154" spans="2:36">
      <c r="B154" s="277">
        <f t="shared" si="17"/>
        <v>0</v>
      </c>
      <c r="C154" s="466">
        <f t="shared" si="18"/>
        <v>0</v>
      </c>
      <c r="D154" s="467">
        <f t="shared" si="30"/>
        <v>0</v>
      </c>
      <c r="E154" s="460">
        <f t="shared" si="19"/>
        <v>0</v>
      </c>
      <c r="F154" s="460">
        <f t="shared" si="20"/>
        <v>0</v>
      </c>
      <c r="G154" s="460">
        <f t="shared" si="31"/>
        <v>0</v>
      </c>
      <c r="H154" s="460">
        <f>IF(L153&lt;0.01,0,IF($H$68="",0,L153*Adm!$V$3))</f>
        <v>0</v>
      </c>
      <c r="I154" s="460">
        <f>IF(L153&lt;0.01,0,IF($I$68="",0,($G$28*0.7*Adm!$W$3)))</f>
        <v>0</v>
      </c>
      <c r="J154" s="460">
        <f>IF(L153&lt;0.01,0,Adm!$AD$2*1.16)</f>
        <v>0</v>
      </c>
      <c r="K154" s="460">
        <f t="shared" si="21"/>
        <v>0</v>
      </c>
      <c r="L154" s="460">
        <f t="shared" si="22"/>
        <v>0</v>
      </c>
      <c r="M154" s="468"/>
      <c r="T154" s="469">
        <f t="shared" si="23"/>
        <v>1</v>
      </c>
      <c r="U154" s="470">
        <f>IF(T154=1,Adm!$O$2,0)</f>
        <v>0</v>
      </c>
      <c r="Z154" s="477">
        <f t="shared" si="24"/>
        <v>0</v>
      </c>
      <c r="AA154" s="478">
        <f>IF(M153&lt;=0,0,IF($AA$63=$AA$60,0,IF($Z$63=$Z$61,PMT(Adm!$J$2/12,B153,-L153),0)))</f>
        <v>0</v>
      </c>
      <c r="AB154" s="479">
        <f t="shared" si="25"/>
        <v>0</v>
      </c>
      <c r="AC154" s="479"/>
      <c r="AE154" s="473" t="e">
        <f t="shared" si="26"/>
        <v>#N/A</v>
      </c>
      <c r="AF154" s="480" t="e">
        <f t="shared" si="32"/>
        <v>#N/A</v>
      </c>
      <c r="AG154" s="475" t="e">
        <f t="shared" si="27"/>
        <v>#N/A</v>
      </c>
      <c r="AH154" s="476" t="e">
        <f t="shared" si="28"/>
        <v>#N/A</v>
      </c>
      <c r="AI154" s="481" t="e">
        <f>MIN(AJ153+AG154,AI153*(1+$AG$65))</f>
        <v>#N/A</v>
      </c>
      <c r="AJ154" s="307" t="e">
        <f t="shared" si="29"/>
        <v>#N/A</v>
      </c>
    </row>
    <row r="155" spans="2:36">
      <c r="B155" s="277">
        <f t="shared" si="17"/>
        <v>0</v>
      </c>
      <c r="C155" s="466">
        <f t="shared" si="18"/>
        <v>0</v>
      </c>
      <c r="D155" s="467">
        <f t="shared" si="30"/>
        <v>0</v>
      </c>
      <c r="E155" s="460">
        <f t="shared" si="19"/>
        <v>0</v>
      </c>
      <c r="F155" s="460">
        <f t="shared" si="20"/>
        <v>0</v>
      </c>
      <c r="G155" s="460">
        <f t="shared" si="31"/>
        <v>0</v>
      </c>
      <c r="H155" s="460">
        <f>IF(L154&lt;0.01,0,IF($H$68="",0,L154*Adm!$V$3))</f>
        <v>0</v>
      </c>
      <c r="I155" s="460">
        <f>IF(L154&lt;0.01,0,IF($I$68="",0,($G$28*0.7*Adm!$W$3)))</f>
        <v>0</v>
      </c>
      <c r="J155" s="460">
        <f>IF(L154&lt;0.01,0,Adm!$AD$2*1.16)</f>
        <v>0</v>
      </c>
      <c r="K155" s="460">
        <f t="shared" si="21"/>
        <v>0</v>
      </c>
      <c r="L155" s="460">
        <f t="shared" si="22"/>
        <v>0</v>
      </c>
      <c r="M155" s="468"/>
      <c r="T155" s="469">
        <f t="shared" si="23"/>
        <v>2</v>
      </c>
      <c r="U155" s="470">
        <f>IF(T155=1,Adm!$O$2,0)</f>
        <v>0</v>
      </c>
      <c r="Z155" s="477">
        <f t="shared" si="24"/>
        <v>0</v>
      </c>
      <c r="AA155" s="478">
        <f>IF(M154&lt;=0,0,IF($AA$63=$AA$60,0,IF($Z$63=$Z$61,PMT(Adm!$J$2/12,B154,-L154),0)))</f>
        <v>0</v>
      </c>
      <c r="AB155" s="479">
        <f t="shared" si="25"/>
        <v>0</v>
      </c>
      <c r="AC155" s="479"/>
      <c r="AE155" s="473" t="e">
        <f t="shared" si="26"/>
        <v>#N/A</v>
      </c>
      <c r="AF155" s="480" t="e">
        <f t="shared" si="32"/>
        <v>#N/A</v>
      </c>
      <c r="AG155" s="475" t="e">
        <f t="shared" si="27"/>
        <v>#N/A</v>
      </c>
      <c r="AH155" s="476" t="e">
        <f t="shared" si="28"/>
        <v>#N/A</v>
      </c>
      <c r="AI155" s="475" t="e">
        <f t="shared" si="33"/>
        <v>#N/A</v>
      </c>
      <c r="AJ155" s="307" t="e">
        <f t="shared" si="29"/>
        <v>#N/A</v>
      </c>
    </row>
    <row r="156" spans="2:36">
      <c r="B156" s="277">
        <f t="shared" si="17"/>
        <v>0</v>
      </c>
      <c r="C156" s="466">
        <f t="shared" si="18"/>
        <v>0</v>
      </c>
      <c r="D156" s="467">
        <f t="shared" si="30"/>
        <v>0</v>
      </c>
      <c r="E156" s="460">
        <f t="shared" si="19"/>
        <v>0</v>
      </c>
      <c r="F156" s="460">
        <f t="shared" si="20"/>
        <v>0</v>
      </c>
      <c r="G156" s="460">
        <f t="shared" si="31"/>
        <v>0</v>
      </c>
      <c r="H156" s="460">
        <f>IF(L155&lt;0.01,0,IF($H$68="",0,L155*Adm!$V$3))</f>
        <v>0</v>
      </c>
      <c r="I156" s="460">
        <f>IF(L155&lt;0.01,0,IF($I$68="",0,($G$28*0.7*Adm!$W$3)))</f>
        <v>0</v>
      </c>
      <c r="J156" s="460">
        <f>IF(L155&lt;0.01,0,Adm!$AD$2*1.16)</f>
        <v>0</v>
      </c>
      <c r="K156" s="460">
        <f t="shared" si="21"/>
        <v>0</v>
      </c>
      <c r="L156" s="460">
        <f t="shared" si="22"/>
        <v>0</v>
      </c>
      <c r="M156" s="468"/>
      <c r="T156" s="469">
        <f t="shared" si="23"/>
        <v>3</v>
      </c>
      <c r="U156" s="470">
        <f>IF(T156=1,Adm!$O$2,0)</f>
        <v>0</v>
      </c>
      <c r="Z156" s="477">
        <f t="shared" si="24"/>
        <v>0</v>
      </c>
      <c r="AA156" s="478">
        <f>IF(M155&lt;=0,0,IF($AA$63=$AA$60,0,IF($Z$63=$Z$61,PMT(Adm!$J$2/12,B155,-L155),0)))</f>
        <v>0</v>
      </c>
      <c r="AB156" s="479">
        <f t="shared" si="25"/>
        <v>0</v>
      </c>
      <c r="AC156" s="479"/>
      <c r="AE156" s="473" t="e">
        <f t="shared" si="26"/>
        <v>#N/A</v>
      </c>
      <c r="AF156" s="480" t="e">
        <f t="shared" si="32"/>
        <v>#N/A</v>
      </c>
      <c r="AG156" s="475" t="e">
        <f t="shared" si="27"/>
        <v>#N/A</v>
      </c>
      <c r="AH156" s="476" t="e">
        <f t="shared" si="28"/>
        <v>#N/A</v>
      </c>
      <c r="AI156" s="475" t="e">
        <f t="shared" si="33"/>
        <v>#N/A</v>
      </c>
      <c r="AJ156" s="307" t="e">
        <f t="shared" si="29"/>
        <v>#N/A</v>
      </c>
    </row>
    <row r="157" spans="2:36">
      <c r="B157" s="277">
        <f t="shared" si="17"/>
        <v>0</v>
      </c>
      <c r="C157" s="466">
        <f t="shared" si="18"/>
        <v>0</v>
      </c>
      <c r="D157" s="467">
        <f t="shared" si="30"/>
        <v>0</v>
      </c>
      <c r="E157" s="460">
        <f t="shared" si="19"/>
        <v>0</v>
      </c>
      <c r="F157" s="460">
        <f t="shared" si="20"/>
        <v>0</v>
      </c>
      <c r="G157" s="460">
        <f t="shared" si="31"/>
        <v>0</v>
      </c>
      <c r="H157" s="460">
        <f>IF(L156&lt;0.01,0,IF($H$68="",0,L156*Adm!$V$3))</f>
        <v>0</v>
      </c>
      <c r="I157" s="460">
        <f>IF(L156&lt;0.01,0,IF($I$68="",0,($G$28*0.7*Adm!$W$3)))</f>
        <v>0</v>
      </c>
      <c r="J157" s="460">
        <f>IF(L156&lt;0.01,0,Adm!$AD$2*1.16)</f>
        <v>0</v>
      </c>
      <c r="K157" s="460">
        <f t="shared" si="21"/>
        <v>0</v>
      </c>
      <c r="L157" s="460">
        <f t="shared" si="22"/>
        <v>0</v>
      </c>
      <c r="M157" s="468"/>
      <c r="T157" s="469">
        <f t="shared" si="23"/>
        <v>4</v>
      </c>
      <c r="U157" s="470">
        <f>IF(T157=1,Adm!$O$2,0)</f>
        <v>0</v>
      </c>
      <c r="Z157" s="477">
        <f t="shared" si="24"/>
        <v>0</v>
      </c>
      <c r="AA157" s="478">
        <f>IF(M156&lt;=0,0,IF($AA$63=$AA$60,0,IF($Z$63=$Z$61,PMT(Adm!$J$2/12,B156,-L156),0)))</f>
        <v>0</v>
      </c>
      <c r="AB157" s="479">
        <f t="shared" si="25"/>
        <v>0</v>
      </c>
      <c r="AC157" s="479"/>
      <c r="AE157" s="473" t="e">
        <f t="shared" si="26"/>
        <v>#N/A</v>
      </c>
      <c r="AF157" s="480" t="e">
        <f t="shared" si="32"/>
        <v>#N/A</v>
      </c>
      <c r="AG157" s="475" t="e">
        <f t="shared" si="27"/>
        <v>#N/A</v>
      </c>
      <c r="AH157" s="476" t="e">
        <f t="shared" si="28"/>
        <v>#N/A</v>
      </c>
      <c r="AI157" s="475" t="e">
        <f t="shared" si="33"/>
        <v>#N/A</v>
      </c>
      <c r="AJ157" s="307" t="e">
        <f t="shared" si="29"/>
        <v>#N/A</v>
      </c>
    </row>
    <row r="158" spans="2:36">
      <c r="B158" s="277">
        <f t="shared" si="17"/>
        <v>0</v>
      </c>
      <c r="C158" s="466">
        <f t="shared" si="18"/>
        <v>0</v>
      </c>
      <c r="D158" s="467">
        <f t="shared" si="30"/>
        <v>0</v>
      </c>
      <c r="E158" s="460">
        <f t="shared" si="19"/>
        <v>0</v>
      </c>
      <c r="F158" s="460">
        <f t="shared" si="20"/>
        <v>0</v>
      </c>
      <c r="G158" s="460">
        <f t="shared" si="31"/>
        <v>0</v>
      </c>
      <c r="H158" s="460">
        <f>IF(L157&lt;0.01,0,IF($H$68="",0,L157*Adm!$V$3))</f>
        <v>0</v>
      </c>
      <c r="I158" s="460">
        <f>IF(L157&lt;0.01,0,IF($I$68="",0,($G$28*0.7*Adm!$W$3)))</f>
        <v>0</v>
      </c>
      <c r="J158" s="460">
        <f>IF(L157&lt;0.01,0,Adm!$AD$2*1.16)</f>
        <v>0</v>
      </c>
      <c r="K158" s="460">
        <f t="shared" si="21"/>
        <v>0</v>
      </c>
      <c r="L158" s="460">
        <f t="shared" si="22"/>
        <v>0</v>
      </c>
      <c r="M158" s="468"/>
      <c r="T158" s="469">
        <f t="shared" si="23"/>
        <v>5</v>
      </c>
      <c r="U158" s="470">
        <f>IF(T158=1,Adm!$O$2,0)</f>
        <v>0</v>
      </c>
      <c r="Z158" s="477">
        <f t="shared" si="24"/>
        <v>0</v>
      </c>
      <c r="AA158" s="478">
        <f>IF(M157&lt;=0,0,IF($AA$63=$AA$60,0,IF($Z$63=$Z$61,PMT(Adm!$J$2/12,B157,-L157),0)))</f>
        <v>0</v>
      </c>
      <c r="AB158" s="479">
        <f t="shared" si="25"/>
        <v>0</v>
      </c>
      <c r="AC158" s="479"/>
      <c r="AE158" s="473" t="e">
        <f t="shared" si="26"/>
        <v>#N/A</v>
      </c>
      <c r="AF158" s="480" t="e">
        <f t="shared" si="32"/>
        <v>#N/A</v>
      </c>
      <c r="AG158" s="475" t="e">
        <f t="shared" si="27"/>
        <v>#N/A</v>
      </c>
      <c r="AH158" s="476" t="e">
        <f t="shared" si="28"/>
        <v>#N/A</v>
      </c>
      <c r="AI158" s="475" t="e">
        <f t="shared" si="33"/>
        <v>#N/A</v>
      </c>
      <c r="AJ158" s="307" t="e">
        <f t="shared" si="29"/>
        <v>#N/A</v>
      </c>
    </row>
    <row r="159" spans="2:36">
      <c r="B159" s="277">
        <f t="shared" si="17"/>
        <v>0</v>
      </c>
      <c r="C159" s="466">
        <f t="shared" si="18"/>
        <v>0</v>
      </c>
      <c r="D159" s="467">
        <f t="shared" si="30"/>
        <v>0</v>
      </c>
      <c r="E159" s="460">
        <f t="shared" si="19"/>
        <v>0</v>
      </c>
      <c r="F159" s="460">
        <f t="shared" si="20"/>
        <v>0</v>
      </c>
      <c r="G159" s="460">
        <f t="shared" si="31"/>
        <v>0</v>
      </c>
      <c r="H159" s="460">
        <f>IF(L158&lt;0.01,0,IF($H$68="",0,L158*Adm!$V$3))</f>
        <v>0</v>
      </c>
      <c r="I159" s="460">
        <f>IF(L158&lt;0.01,0,IF($I$68="",0,($G$28*0.7*Adm!$W$3)))</f>
        <v>0</v>
      </c>
      <c r="J159" s="460">
        <f>IF(L158&lt;0.01,0,Adm!$AD$2*1.16)</f>
        <v>0</v>
      </c>
      <c r="K159" s="460">
        <f t="shared" si="21"/>
        <v>0</v>
      </c>
      <c r="L159" s="460">
        <f t="shared" si="22"/>
        <v>0</v>
      </c>
      <c r="M159" s="468"/>
      <c r="T159" s="469">
        <f t="shared" si="23"/>
        <v>6</v>
      </c>
      <c r="U159" s="470">
        <f>IF(T159=1,Adm!$O$2,0)</f>
        <v>0</v>
      </c>
      <c r="Z159" s="477">
        <f t="shared" si="24"/>
        <v>0</v>
      </c>
      <c r="AA159" s="478">
        <f>IF(M158&lt;=0,0,IF($AA$63=$AA$60,0,IF($Z$63=$Z$61,PMT(Adm!$J$2/12,B158,-L158),0)))</f>
        <v>0</v>
      </c>
      <c r="AB159" s="479">
        <f t="shared" si="25"/>
        <v>0</v>
      </c>
      <c r="AC159" s="479"/>
      <c r="AE159" s="473" t="e">
        <f t="shared" si="26"/>
        <v>#N/A</v>
      </c>
      <c r="AF159" s="480" t="e">
        <f t="shared" si="32"/>
        <v>#N/A</v>
      </c>
      <c r="AG159" s="475" t="e">
        <f t="shared" si="27"/>
        <v>#N/A</v>
      </c>
      <c r="AH159" s="476" t="e">
        <f t="shared" si="28"/>
        <v>#N/A</v>
      </c>
      <c r="AI159" s="475" t="e">
        <f t="shared" si="33"/>
        <v>#N/A</v>
      </c>
      <c r="AJ159" s="307" t="e">
        <f t="shared" si="29"/>
        <v>#N/A</v>
      </c>
    </row>
    <row r="160" spans="2:36">
      <c r="B160" s="277">
        <f t="shared" si="17"/>
        <v>0</v>
      </c>
      <c r="C160" s="466">
        <f t="shared" si="18"/>
        <v>0</v>
      </c>
      <c r="D160" s="467">
        <f t="shared" si="30"/>
        <v>0</v>
      </c>
      <c r="E160" s="460">
        <f t="shared" si="19"/>
        <v>0</v>
      </c>
      <c r="F160" s="460">
        <f t="shared" si="20"/>
        <v>0</v>
      </c>
      <c r="G160" s="460">
        <f t="shared" si="31"/>
        <v>0</v>
      </c>
      <c r="H160" s="460">
        <f>IF(L159&lt;0.01,0,IF($H$68="",0,L159*Adm!$V$3))</f>
        <v>0</v>
      </c>
      <c r="I160" s="460">
        <f>IF(L159&lt;0.01,0,IF($I$68="",0,($G$28*0.7*Adm!$W$3)))</f>
        <v>0</v>
      </c>
      <c r="J160" s="460">
        <f>IF(L159&lt;0.01,0,Adm!$AD$2*1.16)</f>
        <v>0</v>
      </c>
      <c r="K160" s="460">
        <f t="shared" si="21"/>
        <v>0</v>
      </c>
      <c r="L160" s="460">
        <f t="shared" si="22"/>
        <v>0</v>
      </c>
      <c r="M160" s="468"/>
      <c r="T160" s="469">
        <f t="shared" si="23"/>
        <v>7</v>
      </c>
      <c r="U160" s="470">
        <f>IF(T160=1,Adm!$O$2,0)</f>
        <v>0</v>
      </c>
      <c r="Z160" s="477">
        <f t="shared" si="24"/>
        <v>0</v>
      </c>
      <c r="AA160" s="478">
        <f>IF(M159&lt;=0,0,IF($AA$63=$AA$60,0,IF($Z$63=$Z$61,PMT(Adm!$J$2/12,B159,-L159),0)))</f>
        <v>0</v>
      </c>
      <c r="AB160" s="479">
        <f t="shared" si="25"/>
        <v>0</v>
      </c>
      <c r="AC160" s="479"/>
      <c r="AE160" s="473" t="e">
        <f t="shared" si="26"/>
        <v>#N/A</v>
      </c>
      <c r="AF160" s="480" t="e">
        <f t="shared" si="32"/>
        <v>#N/A</v>
      </c>
      <c r="AG160" s="475" t="e">
        <f t="shared" si="27"/>
        <v>#N/A</v>
      </c>
      <c r="AH160" s="476" t="e">
        <f t="shared" si="28"/>
        <v>#N/A</v>
      </c>
      <c r="AI160" s="475" t="e">
        <f t="shared" si="33"/>
        <v>#N/A</v>
      </c>
      <c r="AJ160" s="307" t="e">
        <f t="shared" si="29"/>
        <v>#N/A</v>
      </c>
    </row>
    <row r="161" spans="2:36">
      <c r="B161" s="277">
        <f t="shared" si="17"/>
        <v>0</v>
      </c>
      <c r="C161" s="466">
        <f t="shared" si="18"/>
        <v>0</v>
      </c>
      <c r="D161" s="467">
        <f t="shared" si="30"/>
        <v>0</v>
      </c>
      <c r="E161" s="460">
        <f t="shared" si="19"/>
        <v>0</v>
      </c>
      <c r="F161" s="460">
        <f t="shared" si="20"/>
        <v>0</v>
      </c>
      <c r="G161" s="460">
        <f t="shared" si="31"/>
        <v>0</v>
      </c>
      <c r="H161" s="460">
        <f>IF(L160&lt;0.01,0,IF($H$68="",0,L160*Adm!$V$3))</f>
        <v>0</v>
      </c>
      <c r="I161" s="460">
        <f>IF(L160&lt;0.01,0,IF($I$68="",0,($G$28*0.7*Adm!$W$3)))</f>
        <v>0</v>
      </c>
      <c r="J161" s="460">
        <f>IF(L160&lt;0.01,0,Adm!$AD$2*1.16)</f>
        <v>0</v>
      </c>
      <c r="K161" s="460">
        <f t="shared" si="21"/>
        <v>0</v>
      </c>
      <c r="L161" s="460">
        <f t="shared" si="22"/>
        <v>0</v>
      </c>
      <c r="M161" s="468"/>
      <c r="T161" s="469">
        <f t="shared" si="23"/>
        <v>8</v>
      </c>
      <c r="U161" s="470">
        <f>IF(T161=1,Adm!$O$2,0)</f>
        <v>0</v>
      </c>
      <c r="Z161" s="477">
        <f t="shared" si="24"/>
        <v>0</v>
      </c>
      <c r="AA161" s="478">
        <f>IF(M160&lt;=0,0,IF($AA$63=$AA$60,0,IF($Z$63=$Z$61,PMT(Adm!$J$2/12,B160,-L160),0)))</f>
        <v>0</v>
      </c>
      <c r="AB161" s="479">
        <f t="shared" si="25"/>
        <v>0</v>
      </c>
      <c r="AC161" s="479"/>
      <c r="AE161" s="473" t="e">
        <f t="shared" si="26"/>
        <v>#N/A</v>
      </c>
      <c r="AF161" s="480" t="e">
        <f t="shared" si="32"/>
        <v>#N/A</v>
      </c>
      <c r="AG161" s="475" t="e">
        <f t="shared" si="27"/>
        <v>#N/A</v>
      </c>
      <c r="AH161" s="476" t="e">
        <f t="shared" si="28"/>
        <v>#N/A</v>
      </c>
      <c r="AI161" s="475" t="e">
        <f t="shared" si="33"/>
        <v>#N/A</v>
      </c>
      <c r="AJ161" s="307" t="e">
        <f t="shared" si="29"/>
        <v>#N/A</v>
      </c>
    </row>
    <row r="162" spans="2:36">
      <c r="B162" s="277">
        <f t="shared" si="17"/>
        <v>0</v>
      </c>
      <c r="C162" s="466">
        <f t="shared" si="18"/>
        <v>0</v>
      </c>
      <c r="D162" s="467">
        <f t="shared" si="30"/>
        <v>0</v>
      </c>
      <c r="E162" s="460">
        <f t="shared" si="19"/>
        <v>0</v>
      </c>
      <c r="F162" s="460">
        <f t="shared" si="20"/>
        <v>0</v>
      </c>
      <c r="G162" s="460">
        <f t="shared" si="31"/>
        <v>0</v>
      </c>
      <c r="H162" s="460">
        <f>IF(L161&lt;0.01,0,IF($H$68="",0,L161*Adm!$V$3))</f>
        <v>0</v>
      </c>
      <c r="I162" s="460">
        <f>IF(L161&lt;0.01,0,IF($I$68="",0,($G$28*0.7*Adm!$W$3)))</f>
        <v>0</v>
      </c>
      <c r="J162" s="460">
        <f>IF(L161&lt;0.01,0,Adm!$AD$2*1.16)</f>
        <v>0</v>
      </c>
      <c r="K162" s="460">
        <f t="shared" si="21"/>
        <v>0</v>
      </c>
      <c r="L162" s="460">
        <f t="shared" si="22"/>
        <v>0</v>
      </c>
      <c r="M162" s="468"/>
      <c r="T162" s="469">
        <f t="shared" si="23"/>
        <v>9</v>
      </c>
      <c r="U162" s="470">
        <f>IF(T162=1,Adm!$O$2,0)</f>
        <v>0</v>
      </c>
      <c r="Z162" s="477">
        <f t="shared" si="24"/>
        <v>0</v>
      </c>
      <c r="AA162" s="478">
        <f>IF(M161&lt;=0,0,IF($AA$63=$AA$60,0,IF($Z$63=$Z$61,PMT(Adm!$J$2/12,B161,-L161),0)))</f>
        <v>0</v>
      </c>
      <c r="AB162" s="479">
        <f t="shared" si="25"/>
        <v>0</v>
      </c>
      <c r="AC162" s="479"/>
      <c r="AE162" s="473" t="e">
        <f t="shared" si="26"/>
        <v>#N/A</v>
      </c>
      <c r="AF162" s="480" t="e">
        <f t="shared" si="32"/>
        <v>#N/A</v>
      </c>
      <c r="AG162" s="475" t="e">
        <f t="shared" si="27"/>
        <v>#N/A</v>
      </c>
      <c r="AH162" s="476" t="e">
        <f t="shared" si="28"/>
        <v>#N/A</v>
      </c>
      <c r="AI162" s="475" t="e">
        <f t="shared" si="33"/>
        <v>#N/A</v>
      </c>
      <c r="AJ162" s="307" t="e">
        <f t="shared" si="29"/>
        <v>#N/A</v>
      </c>
    </row>
    <row r="163" spans="2:36">
      <c r="B163" s="277">
        <f t="shared" si="17"/>
        <v>0</v>
      </c>
      <c r="C163" s="466">
        <f t="shared" si="18"/>
        <v>0</v>
      </c>
      <c r="D163" s="467">
        <f t="shared" si="30"/>
        <v>0</v>
      </c>
      <c r="E163" s="460">
        <f t="shared" si="19"/>
        <v>0</v>
      </c>
      <c r="F163" s="460">
        <f t="shared" si="20"/>
        <v>0</v>
      </c>
      <c r="G163" s="460">
        <f t="shared" si="31"/>
        <v>0</v>
      </c>
      <c r="H163" s="460">
        <f>IF(L162&lt;0.01,0,IF($H$68="",0,L162*Adm!$V$3))</f>
        <v>0</v>
      </c>
      <c r="I163" s="460">
        <f>IF(L162&lt;0.01,0,IF($I$68="",0,($G$28*0.7*Adm!$W$3)))</f>
        <v>0</v>
      </c>
      <c r="J163" s="460">
        <f>IF(L162&lt;0.01,0,Adm!$AD$2*1.16)</f>
        <v>0</v>
      </c>
      <c r="K163" s="460">
        <f t="shared" si="21"/>
        <v>0</v>
      </c>
      <c r="L163" s="460">
        <f t="shared" si="22"/>
        <v>0</v>
      </c>
      <c r="M163" s="468"/>
      <c r="T163" s="469">
        <f t="shared" si="23"/>
        <v>10</v>
      </c>
      <c r="U163" s="470">
        <f>IF(T163=1,Adm!$O$2,0)</f>
        <v>0</v>
      </c>
      <c r="Z163" s="477">
        <f t="shared" si="24"/>
        <v>0</v>
      </c>
      <c r="AA163" s="478">
        <f>IF(M162&lt;=0,0,IF($AA$63=$AA$60,0,IF($Z$63=$Z$61,PMT(Adm!$J$2/12,B162,-L162),0)))</f>
        <v>0</v>
      </c>
      <c r="AB163" s="479">
        <f t="shared" si="25"/>
        <v>0</v>
      </c>
      <c r="AC163" s="479"/>
      <c r="AE163" s="473" t="e">
        <f t="shared" si="26"/>
        <v>#N/A</v>
      </c>
      <c r="AF163" s="480" t="e">
        <f t="shared" si="32"/>
        <v>#N/A</v>
      </c>
      <c r="AG163" s="475" t="e">
        <f t="shared" si="27"/>
        <v>#N/A</v>
      </c>
      <c r="AH163" s="476" t="e">
        <f t="shared" si="28"/>
        <v>#N/A</v>
      </c>
      <c r="AI163" s="475" t="e">
        <f t="shared" si="33"/>
        <v>#N/A</v>
      </c>
      <c r="AJ163" s="307" t="e">
        <f t="shared" si="29"/>
        <v>#N/A</v>
      </c>
    </row>
    <row r="164" spans="2:36">
      <c r="B164" s="277">
        <f t="shared" si="17"/>
        <v>0</v>
      </c>
      <c r="C164" s="466">
        <f t="shared" si="18"/>
        <v>0</v>
      </c>
      <c r="D164" s="467">
        <f t="shared" si="30"/>
        <v>0</v>
      </c>
      <c r="E164" s="460">
        <f t="shared" si="19"/>
        <v>0</v>
      </c>
      <c r="F164" s="460">
        <f t="shared" si="20"/>
        <v>0</v>
      </c>
      <c r="G164" s="460">
        <f t="shared" si="31"/>
        <v>0</v>
      </c>
      <c r="H164" s="460">
        <f>IF(L163&lt;0.01,0,IF($H$68="",0,L163*Adm!$V$3))</f>
        <v>0</v>
      </c>
      <c r="I164" s="460">
        <f>IF(L163&lt;0.01,0,IF($I$68="",0,($G$28*0.7*Adm!$W$3)))</f>
        <v>0</v>
      </c>
      <c r="J164" s="460">
        <f>IF(L163&lt;0.01,0,Adm!$AD$2*1.16)</f>
        <v>0</v>
      </c>
      <c r="K164" s="460">
        <f t="shared" si="21"/>
        <v>0</v>
      </c>
      <c r="L164" s="460">
        <f t="shared" si="22"/>
        <v>0</v>
      </c>
      <c r="M164" s="468"/>
      <c r="T164" s="469">
        <f t="shared" si="23"/>
        <v>11</v>
      </c>
      <c r="U164" s="470">
        <f>IF(T164=1,Adm!$O$2,0)</f>
        <v>0</v>
      </c>
      <c r="Z164" s="477">
        <f t="shared" si="24"/>
        <v>0</v>
      </c>
      <c r="AA164" s="478">
        <f>IF(M163&lt;=0,0,IF($AA$63=$AA$60,0,IF($Z$63=$Z$61,PMT(Adm!$J$2/12,B163,-L163),0)))</f>
        <v>0</v>
      </c>
      <c r="AB164" s="479">
        <f t="shared" si="25"/>
        <v>0</v>
      </c>
      <c r="AC164" s="479"/>
      <c r="AE164" s="473" t="e">
        <f t="shared" si="26"/>
        <v>#N/A</v>
      </c>
      <c r="AF164" s="480" t="e">
        <f t="shared" si="32"/>
        <v>#N/A</v>
      </c>
      <c r="AG164" s="475" t="e">
        <f t="shared" si="27"/>
        <v>#N/A</v>
      </c>
      <c r="AH164" s="476" t="e">
        <f t="shared" si="28"/>
        <v>#N/A</v>
      </c>
      <c r="AI164" s="475" t="e">
        <f t="shared" si="33"/>
        <v>#N/A</v>
      </c>
      <c r="AJ164" s="307" t="e">
        <f t="shared" si="29"/>
        <v>#N/A</v>
      </c>
    </row>
    <row r="165" spans="2:36">
      <c r="B165" s="277">
        <f t="shared" si="17"/>
        <v>0</v>
      </c>
      <c r="C165" s="466">
        <f t="shared" si="18"/>
        <v>0</v>
      </c>
      <c r="D165" s="467">
        <f t="shared" si="30"/>
        <v>0</v>
      </c>
      <c r="E165" s="460">
        <f t="shared" si="19"/>
        <v>0</v>
      </c>
      <c r="F165" s="460">
        <f t="shared" si="20"/>
        <v>0</v>
      </c>
      <c r="G165" s="460">
        <f t="shared" si="31"/>
        <v>0</v>
      </c>
      <c r="H165" s="460">
        <f>IF(L164&lt;0.01,0,IF($H$68="",0,L164*Adm!$V$3))</f>
        <v>0</v>
      </c>
      <c r="I165" s="460">
        <f>IF(L164&lt;0.01,0,IF($I$68="",0,($G$28*0.7*Adm!$W$3)))</f>
        <v>0</v>
      </c>
      <c r="J165" s="460">
        <f>IF(L164&lt;0.01,0,Adm!$AD$2*1.16)</f>
        <v>0</v>
      </c>
      <c r="K165" s="460">
        <f t="shared" si="21"/>
        <v>0</v>
      </c>
      <c r="L165" s="460">
        <f t="shared" si="22"/>
        <v>0</v>
      </c>
      <c r="M165" s="468"/>
      <c r="T165" s="469">
        <f t="shared" si="23"/>
        <v>12</v>
      </c>
      <c r="U165" s="470">
        <f>IF(T165=1,Adm!$O$2,0)</f>
        <v>0</v>
      </c>
      <c r="Z165" s="477">
        <f t="shared" si="24"/>
        <v>0</v>
      </c>
      <c r="AA165" s="478">
        <f>IF(M164&lt;=0,0,IF($AA$63=$AA$60,0,IF($Z$63=$Z$61,PMT(Adm!$J$2/12,B164,-L164),0)))</f>
        <v>0</v>
      </c>
      <c r="AB165" s="479">
        <f t="shared" si="25"/>
        <v>0</v>
      </c>
      <c r="AC165" s="479"/>
      <c r="AE165" s="473" t="e">
        <f t="shared" si="26"/>
        <v>#N/A</v>
      </c>
      <c r="AF165" s="480" t="e">
        <f t="shared" si="32"/>
        <v>#N/A</v>
      </c>
      <c r="AG165" s="475" t="e">
        <f t="shared" si="27"/>
        <v>#N/A</v>
      </c>
      <c r="AH165" s="476" t="e">
        <f t="shared" si="28"/>
        <v>#N/A</v>
      </c>
      <c r="AI165" s="475" t="e">
        <f t="shared" si="33"/>
        <v>#N/A</v>
      </c>
      <c r="AJ165" s="307" t="e">
        <f t="shared" si="29"/>
        <v>#N/A</v>
      </c>
    </row>
    <row r="166" spans="2:36">
      <c r="B166" s="277">
        <f t="shared" si="17"/>
        <v>0</v>
      </c>
      <c r="C166" s="466">
        <f t="shared" si="18"/>
        <v>0</v>
      </c>
      <c r="D166" s="467">
        <f t="shared" si="30"/>
        <v>0</v>
      </c>
      <c r="E166" s="460">
        <f t="shared" si="19"/>
        <v>0</v>
      </c>
      <c r="F166" s="460">
        <f t="shared" si="20"/>
        <v>0</v>
      </c>
      <c r="G166" s="460">
        <f t="shared" si="31"/>
        <v>0</v>
      </c>
      <c r="H166" s="460">
        <f>IF(L165&lt;0.01,0,IF($H$68="",0,L165*Adm!$V$3))</f>
        <v>0</v>
      </c>
      <c r="I166" s="460">
        <f>IF(L165&lt;0.01,0,IF($I$68="",0,($G$28*0.7*Adm!$W$3)))</f>
        <v>0</v>
      </c>
      <c r="J166" s="460">
        <f>IF(L165&lt;0.01,0,Adm!$AD$2*1.16)</f>
        <v>0</v>
      </c>
      <c r="K166" s="460">
        <f t="shared" si="21"/>
        <v>0</v>
      </c>
      <c r="L166" s="460">
        <f t="shared" si="22"/>
        <v>0</v>
      </c>
      <c r="M166" s="468"/>
      <c r="T166" s="469">
        <f t="shared" si="23"/>
        <v>1</v>
      </c>
      <c r="U166" s="470">
        <f>IF(T166=1,Adm!$O$2,0)</f>
        <v>0</v>
      </c>
      <c r="Z166" s="477">
        <f t="shared" si="24"/>
        <v>0</v>
      </c>
      <c r="AA166" s="478">
        <f>IF(M165&lt;=0,0,IF($AA$63=$AA$60,0,IF($Z$63=$Z$61,PMT(Adm!$J$2/12,B165,-L165),0)))</f>
        <v>0</v>
      </c>
      <c r="AB166" s="479">
        <f t="shared" si="25"/>
        <v>0</v>
      </c>
      <c r="AC166" s="479"/>
      <c r="AE166" s="473" t="e">
        <f t="shared" si="26"/>
        <v>#N/A</v>
      </c>
      <c r="AF166" s="480" t="e">
        <f t="shared" si="32"/>
        <v>#N/A</v>
      </c>
      <c r="AG166" s="475" t="e">
        <f t="shared" si="27"/>
        <v>#N/A</v>
      </c>
      <c r="AH166" s="476" t="e">
        <f t="shared" si="28"/>
        <v>#N/A</v>
      </c>
      <c r="AI166" s="481" t="e">
        <f>MIN(AJ165+AG166,AI165*(1+$AG$65))</f>
        <v>#N/A</v>
      </c>
      <c r="AJ166" s="307" t="e">
        <f t="shared" si="29"/>
        <v>#N/A</v>
      </c>
    </row>
    <row r="167" spans="2:36">
      <c r="B167" s="277">
        <f t="shared" si="17"/>
        <v>0</v>
      </c>
      <c r="C167" s="466">
        <f t="shared" si="18"/>
        <v>0</v>
      </c>
      <c r="D167" s="467">
        <f t="shared" si="30"/>
        <v>0</v>
      </c>
      <c r="E167" s="460">
        <f t="shared" si="19"/>
        <v>0</v>
      </c>
      <c r="F167" s="460">
        <f t="shared" si="20"/>
        <v>0</v>
      </c>
      <c r="G167" s="460">
        <f t="shared" si="31"/>
        <v>0</v>
      </c>
      <c r="H167" s="460">
        <f>IF(L166&lt;0.01,0,IF($H$68="",0,L166*Adm!$V$3))</f>
        <v>0</v>
      </c>
      <c r="I167" s="460">
        <f>IF(L166&lt;0.01,0,IF($I$68="",0,($G$28*0.7*Adm!$W$3)))</f>
        <v>0</v>
      </c>
      <c r="J167" s="460">
        <f>IF(L166&lt;0.01,0,Adm!$AD$2*1.16)</f>
        <v>0</v>
      </c>
      <c r="K167" s="460">
        <f t="shared" si="21"/>
        <v>0</v>
      </c>
      <c r="L167" s="460">
        <f t="shared" si="22"/>
        <v>0</v>
      </c>
      <c r="M167" s="468"/>
      <c r="T167" s="469">
        <f t="shared" si="23"/>
        <v>2</v>
      </c>
      <c r="U167" s="470">
        <f>IF(T167=1,Adm!$O$2,0)</f>
        <v>0</v>
      </c>
      <c r="Z167" s="477">
        <f t="shared" si="24"/>
        <v>0</v>
      </c>
      <c r="AA167" s="478">
        <f>IF(M166&lt;=0,0,IF($AA$63=$AA$60,0,IF($Z$63=$Z$61,PMT(Adm!$J$2/12,B166,-L166),0)))</f>
        <v>0</v>
      </c>
      <c r="AB167" s="479">
        <f t="shared" si="25"/>
        <v>0</v>
      </c>
      <c r="AC167" s="479"/>
      <c r="AE167" s="473" t="e">
        <f t="shared" si="26"/>
        <v>#N/A</v>
      </c>
      <c r="AF167" s="480" t="e">
        <f t="shared" si="32"/>
        <v>#N/A</v>
      </c>
      <c r="AG167" s="475" t="e">
        <f t="shared" si="27"/>
        <v>#N/A</v>
      </c>
      <c r="AH167" s="476" t="e">
        <f t="shared" si="28"/>
        <v>#N/A</v>
      </c>
      <c r="AI167" s="475" t="e">
        <f t="shared" si="33"/>
        <v>#N/A</v>
      </c>
      <c r="AJ167" s="307" t="e">
        <f t="shared" si="29"/>
        <v>#N/A</v>
      </c>
    </row>
    <row r="168" spans="2:36">
      <c r="B168" s="277">
        <f t="shared" si="17"/>
        <v>0</v>
      </c>
      <c r="C168" s="466">
        <f t="shared" si="18"/>
        <v>0</v>
      </c>
      <c r="D168" s="467">
        <f t="shared" si="30"/>
        <v>0</v>
      </c>
      <c r="E168" s="460">
        <f t="shared" si="19"/>
        <v>0</v>
      </c>
      <c r="F168" s="460">
        <f t="shared" si="20"/>
        <v>0</v>
      </c>
      <c r="G168" s="460">
        <f t="shared" si="31"/>
        <v>0</v>
      </c>
      <c r="H168" s="460">
        <f>IF(L167&lt;0.01,0,IF($H$68="",0,L167*Adm!$V$3))</f>
        <v>0</v>
      </c>
      <c r="I168" s="460">
        <f>IF(L167&lt;0.01,0,IF($I$68="",0,($G$28*0.7*Adm!$W$3)))</f>
        <v>0</v>
      </c>
      <c r="J168" s="460">
        <f>IF(L167&lt;0.01,0,Adm!$AD$2*1.16)</f>
        <v>0</v>
      </c>
      <c r="K168" s="460">
        <f t="shared" si="21"/>
        <v>0</v>
      </c>
      <c r="L168" s="460">
        <f t="shared" si="22"/>
        <v>0</v>
      </c>
      <c r="M168" s="468"/>
      <c r="T168" s="469">
        <f t="shared" si="23"/>
        <v>3</v>
      </c>
      <c r="U168" s="470">
        <f>IF(T168=1,Adm!$O$2,0)</f>
        <v>0</v>
      </c>
      <c r="Z168" s="477">
        <f t="shared" si="24"/>
        <v>0</v>
      </c>
      <c r="AA168" s="478">
        <f>IF(M167&lt;=0,0,IF($AA$63=$AA$60,0,IF($Z$63=$Z$61,PMT(Adm!$J$2/12,B167,-L167),0)))</f>
        <v>0</v>
      </c>
      <c r="AB168" s="479">
        <f t="shared" si="25"/>
        <v>0</v>
      </c>
      <c r="AC168" s="479"/>
      <c r="AE168" s="473" t="e">
        <f t="shared" si="26"/>
        <v>#N/A</v>
      </c>
      <c r="AF168" s="480" t="e">
        <f t="shared" si="32"/>
        <v>#N/A</v>
      </c>
      <c r="AG168" s="475" t="e">
        <f t="shared" si="27"/>
        <v>#N/A</v>
      </c>
      <c r="AH168" s="476" t="e">
        <f t="shared" si="28"/>
        <v>#N/A</v>
      </c>
      <c r="AI168" s="475" t="e">
        <f t="shared" si="33"/>
        <v>#N/A</v>
      </c>
      <c r="AJ168" s="307" t="e">
        <f t="shared" si="29"/>
        <v>#N/A</v>
      </c>
    </row>
    <row r="169" spans="2:36">
      <c r="B169" s="277">
        <f t="shared" si="17"/>
        <v>0</v>
      </c>
      <c r="C169" s="466">
        <f t="shared" si="18"/>
        <v>0</v>
      </c>
      <c r="D169" s="467">
        <f t="shared" si="30"/>
        <v>0</v>
      </c>
      <c r="E169" s="460">
        <f t="shared" si="19"/>
        <v>0</v>
      </c>
      <c r="F169" s="460">
        <f t="shared" si="20"/>
        <v>0</v>
      </c>
      <c r="G169" s="460">
        <f t="shared" si="31"/>
        <v>0</v>
      </c>
      <c r="H169" s="460">
        <f>IF(L168&lt;0.01,0,IF($H$68="",0,L168*Adm!$V$3))</f>
        <v>0</v>
      </c>
      <c r="I169" s="460">
        <f>IF(L168&lt;0.01,0,IF($I$68="",0,($G$28*0.7*Adm!$W$3)))</f>
        <v>0</v>
      </c>
      <c r="J169" s="460">
        <f>IF(L168&lt;0.01,0,Adm!$AD$2*1.16)</f>
        <v>0</v>
      </c>
      <c r="K169" s="460">
        <f t="shared" si="21"/>
        <v>0</v>
      </c>
      <c r="L169" s="460">
        <f t="shared" si="22"/>
        <v>0</v>
      </c>
      <c r="M169" s="468"/>
      <c r="T169" s="469">
        <f t="shared" si="23"/>
        <v>4</v>
      </c>
      <c r="U169" s="470">
        <f>IF(T169=1,Adm!$O$2,0)</f>
        <v>0</v>
      </c>
      <c r="Z169" s="477">
        <f t="shared" si="24"/>
        <v>0</v>
      </c>
      <c r="AA169" s="478">
        <f>IF(M168&lt;=0,0,IF($AA$63=$AA$60,0,IF($Z$63=$Z$61,PMT(Adm!$J$2/12,B168,-L168),0)))</f>
        <v>0</v>
      </c>
      <c r="AB169" s="479">
        <f t="shared" si="25"/>
        <v>0</v>
      </c>
      <c r="AC169" s="479"/>
      <c r="AE169" s="473" t="e">
        <f t="shared" si="26"/>
        <v>#N/A</v>
      </c>
      <c r="AF169" s="480" t="e">
        <f t="shared" si="32"/>
        <v>#N/A</v>
      </c>
      <c r="AG169" s="475" t="e">
        <f t="shared" si="27"/>
        <v>#N/A</v>
      </c>
      <c r="AH169" s="476" t="e">
        <f t="shared" si="28"/>
        <v>#N/A</v>
      </c>
      <c r="AI169" s="475" t="e">
        <f t="shared" si="33"/>
        <v>#N/A</v>
      </c>
      <c r="AJ169" s="307" t="e">
        <f t="shared" si="29"/>
        <v>#N/A</v>
      </c>
    </row>
    <row r="170" spans="2:36">
      <c r="B170" s="277">
        <f t="shared" si="17"/>
        <v>0</v>
      </c>
      <c r="C170" s="466">
        <f t="shared" si="18"/>
        <v>0</v>
      </c>
      <c r="D170" s="467">
        <f t="shared" si="30"/>
        <v>0</v>
      </c>
      <c r="E170" s="460">
        <f t="shared" si="19"/>
        <v>0</v>
      </c>
      <c r="F170" s="460">
        <f t="shared" si="20"/>
        <v>0</v>
      </c>
      <c r="G170" s="460">
        <f t="shared" si="31"/>
        <v>0</v>
      </c>
      <c r="H170" s="460">
        <f>IF(L169&lt;0.01,0,IF($H$68="",0,L169*Adm!$V$3))</f>
        <v>0</v>
      </c>
      <c r="I170" s="460">
        <f>IF(L169&lt;0.01,0,IF($I$68="",0,($G$28*0.7*Adm!$W$3)))</f>
        <v>0</v>
      </c>
      <c r="J170" s="460">
        <f>IF(L169&lt;0.01,0,Adm!$AD$2*1.16)</f>
        <v>0</v>
      </c>
      <c r="K170" s="460">
        <f t="shared" si="21"/>
        <v>0</v>
      </c>
      <c r="L170" s="460">
        <f t="shared" si="22"/>
        <v>0</v>
      </c>
      <c r="M170" s="468"/>
      <c r="T170" s="469">
        <f t="shared" si="23"/>
        <v>5</v>
      </c>
      <c r="U170" s="470">
        <f>IF(T170=1,Adm!$O$2,0)</f>
        <v>0</v>
      </c>
      <c r="Z170" s="477">
        <f t="shared" si="24"/>
        <v>0</v>
      </c>
      <c r="AA170" s="478">
        <f>IF(M169&lt;=0,0,IF($AA$63=$AA$60,0,IF($Z$63=$Z$61,PMT(Adm!$J$2/12,B169,-L169),0)))</f>
        <v>0</v>
      </c>
      <c r="AB170" s="479">
        <f t="shared" si="25"/>
        <v>0</v>
      </c>
      <c r="AC170" s="479"/>
      <c r="AE170" s="473" t="e">
        <f t="shared" si="26"/>
        <v>#N/A</v>
      </c>
      <c r="AF170" s="480" t="e">
        <f t="shared" si="32"/>
        <v>#N/A</v>
      </c>
      <c r="AG170" s="475" t="e">
        <f t="shared" si="27"/>
        <v>#N/A</v>
      </c>
      <c r="AH170" s="476" t="e">
        <f t="shared" si="28"/>
        <v>#N/A</v>
      </c>
      <c r="AI170" s="475" t="e">
        <f t="shared" si="33"/>
        <v>#N/A</v>
      </c>
      <c r="AJ170" s="307" t="e">
        <f t="shared" si="29"/>
        <v>#N/A</v>
      </c>
    </row>
    <row r="171" spans="2:36">
      <c r="B171" s="277">
        <f t="shared" si="17"/>
        <v>0</v>
      </c>
      <c r="C171" s="466">
        <f t="shared" si="18"/>
        <v>0</v>
      </c>
      <c r="D171" s="467">
        <f t="shared" si="30"/>
        <v>0</v>
      </c>
      <c r="E171" s="460">
        <f t="shared" si="19"/>
        <v>0</v>
      </c>
      <c r="F171" s="460">
        <f t="shared" si="20"/>
        <v>0</v>
      </c>
      <c r="G171" s="460">
        <f t="shared" si="31"/>
        <v>0</v>
      </c>
      <c r="H171" s="460">
        <f>IF(L170&lt;0.01,0,IF($H$68="",0,L170*Adm!$V$3))</f>
        <v>0</v>
      </c>
      <c r="I171" s="460">
        <f>IF(L170&lt;0.01,0,IF($I$68="",0,($G$28*0.7*Adm!$W$3)))</f>
        <v>0</v>
      </c>
      <c r="J171" s="460">
        <f>IF(L170&lt;0.01,0,Adm!$AD$2*1.16)</f>
        <v>0</v>
      </c>
      <c r="K171" s="460">
        <f t="shared" si="21"/>
        <v>0</v>
      </c>
      <c r="L171" s="460">
        <f t="shared" si="22"/>
        <v>0</v>
      </c>
      <c r="M171" s="468"/>
      <c r="T171" s="469">
        <f t="shared" si="23"/>
        <v>6</v>
      </c>
      <c r="U171" s="470">
        <f>IF(T171=1,Adm!$O$2,0)</f>
        <v>0</v>
      </c>
      <c r="Z171" s="477">
        <f t="shared" si="24"/>
        <v>0</v>
      </c>
      <c r="AA171" s="478">
        <f>IF(M170&lt;=0,0,IF($AA$63=$AA$60,0,IF($Z$63=$Z$61,PMT(Adm!$J$2/12,B170,-L170),0)))</f>
        <v>0</v>
      </c>
      <c r="AB171" s="479">
        <f t="shared" si="25"/>
        <v>0</v>
      </c>
      <c r="AC171" s="479"/>
      <c r="AE171" s="473" t="e">
        <f t="shared" si="26"/>
        <v>#N/A</v>
      </c>
      <c r="AF171" s="480" t="e">
        <f t="shared" si="32"/>
        <v>#N/A</v>
      </c>
      <c r="AG171" s="475" t="e">
        <f t="shared" si="27"/>
        <v>#N/A</v>
      </c>
      <c r="AH171" s="476" t="e">
        <f t="shared" si="28"/>
        <v>#N/A</v>
      </c>
      <c r="AI171" s="475" t="e">
        <f t="shared" si="33"/>
        <v>#N/A</v>
      </c>
      <c r="AJ171" s="307" t="e">
        <f t="shared" si="29"/>
        <v>#N/A</v>
      </c>
    </row>
    <row r="172" spans="2:36">
      <c r="B172" s="277">
        <f t="shared" si="17"/>
        <v>0</v>
      </c>
      <c r="C172" s="466">
        <f t="shared" si="18"/>
        <v>0</v>
      </c>
      <c r="D172" s="467">
        <f t="shared" si="30"/>
        <v>0</v>
      </c>
      <c r="E172" s="460">
        <f t="shared" si="19"/>
        <v>0</v>
      </c>
      <c r="F172" s="460">
        <f t="shared" si="20"/>
        <v>0</v>
      </c>
      <c r="G172" s="460">
        <f t="shared" si="31"/>
        <v>0</v>
      </c>
      <c r="H172" s="460">
        <f>IF(L171&lt;0.01,0,IF($H$68="",0,L171*Adm!$V$3))</f>
        <v>0</v>
      </c>
      <c r="I172" s="460">
        <f>IF(L171&lt;0.01,0,IF($I$68="",0,($G$28*0.7*Adm!$W$3)))</f>
        <v>0</v>
      </c>
      <c r="J172" s="460">
        <f>IF(L171&lt;0.01,0,Adm!$AD$2*1.16)</f>
        <v>0</v>
      </c>
      <c r="K172" s="460">
        <f t="shared" si="21"/>
        <v>0</v>
      </c>
      <c r="L172" s="460">
        <f t="shared" si="22"/>
        <v>0</v>
      </c>
      <c r="M172" s="468"/>
      <c r="T172" s="469">
        <f t="shared" si="23"/>
        <v>7</v>
      </c>
      <c r="U172" s="470">
        <f>IF(T172=1,Adm!$O$2,0)</f>
        <v>0</v>
      </c>
      <c r="Z172" s="477">
        <f t="shared" si="24"/>
        <v>0</v>
      </c>
      <c r="AA172" s="478">
        <f>IF(M171&lt;=0,0,IF($AA$63=$AA$60,0,IF($Z$63=$Z$61,PMT(Adm!$J$2/12,B171,-L171),0)))</f>
        <v>0</v>
      </c>
      <c r="AB172" s="479">
        <f t="shared" si="25"/>
        <v>0</v>
      </c>
      <c r="AC172" s="479"/>
      <c r="AE172" s="473" t="e">
        <f t="shared" si="26"/>
        <v>#N/A</v>
      </c>
      <c r="AF172" s="480" t="e">
        <f t="shared" si="32"/>
        <v>#N/A</v>
      </c>
      <c r="AG172" s="475" t="e">
        <f t="shared" si="27"/>
        <v>#N/A</v>
      </c>
      <c r="AH172" s="476" t="e">
        <f t="shared" si="28"/>
        <v>#N/A</v>
      </c>
      <c r="AI172" s="475" t="e">
        <f t="shared" si="33"/>
        <v>#N/A</v>
      </c>
      <c r="AJ172" s="307" t="e">
        <f t="shared" si="29"/>
        <v>#N/A</v>
      </c>
    </row>
    <row r="173" spans="2:36">
      <c r="B173" s="277">
        <f t="shared" si="17"/>
        <v>0</v>
      </c>
      <c r="C173" s="466">
        <f t="shared" si="18"/>
        <v>0</v>
      </c>
      <c r="D173" s="467">
        <f t="shared" si="30"/>
        <v>0</v>
      </c>
      <c r="E173" s="460">
        <f t="shared" si="19"/>
        <v>0</v>
      </c>
      <c r="F173" s="460">
        <f t="shared" si="20"/>
        <v>0</v>
      </c>
      <c r="G173" s="460">
        <f t="shared" si="31"/>
        <v>0</v>
      </c>
      <c r="H173" s="460">
        <f>IF(L172&lt;0.01,0,IF($H$68="",0,L172*Adm!$V$3))</f>
        <v>0</v>
      </c>
      <c r="I173" s="460">
        <f>IF(L172&lt;0.01,0,IF($I$68="",0,($G$28*0.7*Adm!$W$3)))</f>
        <v>0</v>
      </c>
      <c r="J173" s="460">
        <f>IF(L172&lt;0.01,0,Adm!$AD$2*1.16)</f>
        <v>0</v>
      </c>
      <c r="K173" s="460">
        <f t="shared" si="21"/>
        <v>0</v>
      </c>
      <c r="L173" s="460">
        <f t="shared" si="22"/>
        <v>0</v>
      </c>
      <c r="M173" s="468"/>
      <c r="T173" s="469">
        <f t="shared" si="23"/>
        <v>8</v>
      </c>
      <c r="U173" s="470">
        <f>IF(T173=1,Adm!$O$2,0)</f>
        <v>0</v>
      </c>
      <c r="Z173" s="477">
        <f t="shared" si="24"/>
        <v>0</v>
      </c>
      <c r="AA173" s="478">
        <f>IF(M172&lt;=0,0,IF($AA$63=$AA$60,0,IF($Z$63=$Z$61,PMT(Adm!$J$2/12,B172,-L172),0)))</f>
        <v>0</v>
      </c>
      <c r="AB173" s="479">
        <f t="shared" si="25"/>
        <v>0</v>
      </c>
      <c r="AC173" s="479"/>
      <c r="AE173" s="473" t="e">
        <f t="shared" si="26"/>
        <v>#N/A</v>
      </c>
      <c r="AF173" s="480" t="e">
        <f t="shared" si="32"/>
        <v>#N/A</v>
      </c>
      <c r="AG173" s="475" t="e">
        <f t="shared" si="27"/>
        <v>#N/A</v>
      </c>
      <c r="AH173" s="476" t="e">
        <f t="shared" si="28"/>
        <v>#N/A</v>
      </c>
      <c r="AI173" s="475" t="e">
        <f t="shared" si="33"/>
        <v>#N/A</v>
      </c>
      <c r="AJ173" s="307" t="e">
        <f t="shared" si="29"/>
        <v>#N/A</v>
      </c>
    </row>
    <row r="174" spans="2:36">
      <c r="B174" s="277">
        <f t="shared" si="17"/>
        <v>0</v>
      </c>
      <c r="C174" s="466">
        <f t="shared" si="18"/>
        <v>0</v>
      </c>
      <c r="D174" s="467">
        <f t="shared" si="30"/>
        <v>0</v>
      </c>
      <c r="E174" s="460">
        <f t="shared" si="19"/>
        <v>0</v>
      </c>
      <c r="F174" s="460">
        <f t="shared" si="20"/>
        <v>0</v>
      </c>
      <c r="G174" s="460">
        <f t="shared" si="31"/>
        <v>0</v>
      </c>
      <c r="H174" s="460">
        <f>IF(L173&lt;0.01,0,IF($H$68="",0,L173*Adm!$V$3))</f>
        <v>0</v>
      </c>
      <c r="I174" s="460">
        <f>IF(L173&lt;0.01,0,IF($I$68="",0,($G$28*0.7*Adm!$W$3)))</f>
        <v>0</v>
      </c>
      <c r="J174" s="460">
        <f>IF(L173&lt;0.01,0,Adm!$AD$2*1.16)</f>
        <v>0</v>
      </c>
      <c r="K174" s="460">
        <f t="shared" si="21"/>
        <v>0</v>
      </c>
      <c r="L174" s="460">
        <f t="shared" si="22"/>
        <v>0</v>
      </c>
      <c r="M174" s="468"/>
      <c r="T174" s="469">
        <f t="shared" si="23"/>
        <v>9</v>
      </c>
      <c r="U174" s="470">
        <f>IF(T174=1,Adm!$O$2,0)</f>
        <v>0</v>
      </c>
      <c r="Z174" s="477">
        <f t="shared" si="24"/>
        <v>0</v>
      </c>
      <c r="AA174" s="478">
        <f>IF(M173&lt;=0,0,IF($AA$63=$AA$60,0,IF($Z$63=$Z$61,PMT(Adm!$J$2/12,B173,-L173),0)))</f>
        <v>0</v>
      </c>
      <c r="AB174" s="479">
        <f t="shared" si="25"/>
        <v>0</v>
      </c>
      <c r="AC174" s="479"/>
      <c r="AE174" s="473" t="e">
        <f t="shared" si="26"/>
        <v>#N/A</v>
      </c>
      <c r="AF174" s="480" t="e">
        <f t="shared" si="32"/>
        <v>#N/A</v>
      </c>
      <c r="AG174" s="475" t="e">
        <f t="shared" si="27"/>
        <v>#N/A</v>
      </c>
      <c r="AH174" s="476" t="e">
        <f t="shared" si="28"/>
        <v>#N/A</v>
      </c>
      <c r="AI174" s="475" t="e">
        <f t="shared" si="33"/>
        <v>#N/A</v>
      </c>
      <c r="AJ174" s="307" t="e">
        <f t="shared" si="29"/>
        <v>#N/A</v>
      </c>
    </row>
    <row r="175" spans="2:36">
      <c r="B175" s="277">
        <f t="shared" si="17"/>
        <v>0</v>
      </c>
      <c r="C175" s="466">
        <f t="shared" si="18"/>
        <v>0</v>
      </c>
      <c r="D175" s="467">
        <f t="shared" si="30"/>
        <v>0</v>
      </c>
      <c r="E175" s="460">
        <f t="shared" si="19"/>
        <v>0</v>
      </c>
      <c r="F175" s="460">
        <f t="shared" si="20"/>
        <v>0</v>
      </c>
      <c r="G175" s="460">
        <f t="shared" si="31"/>
        <v>0</v>
      </c>
      <c r="H175" s="460">
        <f>IF(L174&lt;0.01,0,IF($H$68="",0,L174*Adm!$V$3))</f>
        <v>0</v>
      </c>
      <c r="I175" s="460">
        <f>IF(L174&lt;0.01,0,IF($I$68="",0,($G$28*0.7*Adm!$W$3)))</f>
        <v>0</v>
      </c>
      <c r="J175" s="460">
        <f>IF(L174&lt;0.01,0,Adm!$AD$2*1.16)</f>
        <v>0</v>
      </c>
      <c r="K175" s="460">
        <f t="shared" si="21"/>
        <v>0</v>
      </c>
      <c r="L175" s="460">
        <f t="shared" si="22"/>
        <v>0</v>
      </c>
      <c r="M175" s="468"/>
      <c r="T175" s="469">
        <f t="shared" si="23"/>
        <v>10</v>
      </c>
      <c r="U175" s="470">
        <f>IF(T175=1,Adm!$O$2,0)</f>
        <v>0</v>
      </c>
      <c r="Z175" s="477">
        <f t="shared" si="24"/>
        <v>0</v>
      </c>
      <c r="AA175" s="478">
        <f>IF(M174&lt;=0,0,IF($AA$63=$AA$60,0,IF($Z$63=$Z$61,PMT(Adm!$J$2/12,B174,-L174),0)))</f>
        <v>0</v>
      </c>
      <c r="AB175" s="479">
        <f t="shared" si="25"/>
        <v>0</v>
      </c>
      <c r="AC175" s="479"/>
      <c r="AE175" s="473" t="e">
        <f t="shared" si="26"/>
        <v>#N/A</v>
      </c>
      <c r="AF175" s="480" t="e">
        <f t="shared" si="32"/>
        <v>#N/A</v>
      </c>
      <c r="AG175" s="475" t="e">
        <f t="shared" si="27"/>
        <v>#N/A</v>
      </c>
      <c r="AH175" s="476" t="e">
        <f t="shared" si="28"/>
        <v>#N/A</v>
      </c>
      <c r="AI175" s="475" t="e">
        <f t="shared" si="33"/>
        <v>#N/A</v>
      </c>
      <c r="AJ175" s="307" t="e">
        <f t="shared" si="29"/>
        <v>#N/A</v>
      </c>
    </row>
    <row r="176" spans="2:36">
      <c r="B176" s="277">
        <f t="shared" si="17"/>
        <v>0</v>
      </c>
      <c r="C176" s="466">
        <f t="shared" si="18"/>
        <v>0</v>
      </c>
      <c r="D176" s="467">
        <f t="shared" si="30"/>
        <v>0</v>
      </c>
      <c r="E176" s="460">
        <f t="shared" si="19"/>
        <v>0</v>
      </c>
      <c r="F176" s="460">
        <f t="shared" si="20"/>
        <v>0</v>
      </c>
      <c r="G176" s="460">
        <f t="shared" si="31"/>
        <v>0</v>
      </c>
      <c r="H176" s="460">
        <f>IF(L175&lt;0.01,0,IF($H$68="",0,L175*Adm!$V$3))</f>
        <v>0</v>
      </c>
      <c r="I176" s="460">
        <f>IF(L175&lt;0.01,0,IF($I$68="",0,($G$28*0.7*Adm!$W$3)))</f>
        <v>0</v>
      </c>
      <c r="J176" s="460">
        <f>IF(L175&lt;0.01,0,Adm!$AD$2*1.16)</f>
        <v>0</v>
      </c>
      <c r="K176" s="460">
        <f t="shared" si="21"/>
        <v>0</v>
      </c>
      <c r="L176" s="460">
        <f t="shared" si="22"/>
        <v>0</v>
      </c>
      <c r="M176" s="468"/>
      <c r="T176" s="469">
        <f t="shared" si="23"/>
        <v>11</v>
      </c>
      <c r="U176" s="470">
        <f>IF(T176=1,Adm!$O$2,0)</f>
        <v>0</v>
      </c>
      <c r="Z176" s="477">
        <f t="shared" si="24"/>
        <v>0</v>
      </c>
      <c r="AA176" s="478">
        <f>IF(M175&lt;=0,0,IF($AA$63=$AA$60,0,IF($Z$63=$Z$61,PMT(Adm!$J$2/12,B175,-L175),0)))</f>
        <v>0</v>
      </c>
      <c r="AB176" s="479">
        <f t="shared" si="25"/>
        <v>0</v>
      </c>
      <c r="AC176" s="479"/>
      <c r="AE176" s="473" t="e">
        <f t="shared" si="26"/>
        <v>#N/A</v>
      </c>
      <c r="AF176" s="480" t="e">
        <f t="shared" si="32"/>
        <v>#N/A</v>
      </c>
      <c r="AG176" s="475" t="e">
        <f t="shared" si="27"/>
        <v>#N/A</v>
      </c>
      <c r="AH176" s="476" t="e">
        <f t="shared" si="28"/>
        <v>#N/A</v>
      </c>
      <c r="AI176" s="475" t="e">
        <f t="shared" si="33"/>
        <v>#N/A</v>
      </c>
      <c r="AJ176" s="307" t="e">
        <f t="shared" si="29"/>
        <v>#N/A</v>
      </c>
    </row>
    <row r="177" spans="2:36">
      <c r="B177" s="277">
        <f t="shared" si="17"/>
        <v>0</v>
      </c>
      <c r="C177" s="466">
        <f t="shared" si="18"/>
        <v>0</v>
      </c>
      <c r="D177" s="467">
        <f t="shared" si="30"/>
        <v>0</v>
      </c>
      <c r="E177" s="460">
        <f t="shared" si="19"/>
        <v>0</v>
      </c>
      <c r="F177" s="460">
        <f t="shared" si="20"/>
        <v>0</v>
      </c>
      <c r="G177" s="460">
        <f t="shared" si="31"/>
        <v>0</v>
      </c>
      <c r="H177" s="460">
        <f>IF(L176&lt;0.01,0,IF($H$68="",0,L176*Adm!$V$3))</f>
        <v>0</v>
      </c>
      <c r="I177" s="460">
        <f>IF(L176&lt;0.01,0,IF($I$68="",0,($G$28*0.7*Adm!$W$3)))</f>
        <v>0</v>
      </c>
      <c r="J177" s="460">
        <f>IF(L176&lt;0.01,0,Adm!$AD$2*1.16)</f>
        <v>0</v>
      </c>
      <c r="K177" s="460">
        <f t="shared" si="21"/>
        <v>0</v>
      </c>
      <c r="L177" s="460">
        <f t="shared" si="22"/>
        <v>0</v>
      </c>
      <c r="M177" s="468"/>
      <c r="T177" s="469">
        <f t="shared" si="23"/>
        <v>12</v>
      </c>
      <c r="U177" s="470">
        <f>IF(T177=1,Adm!$O$2,0)</f>
        <v>0</v>
      </c>
      <c r="Z177" s="477">
        <f t="shared" si="24"/>
        <v>0</v>
      </c>
      <c r="AA177" s="478">
        <f>IF(M176&lt;=0,0,IF($AA$63=$AA$60,0,IF($Z$63=$Z$61,PMT(Adm!$J$2/12,B176,-L176),0)))</f>
        <v>0</v>
      </c>
      <c r="AB177" s="479">
        <f t="shared" si="25"/>
        <v>0</v>
      </c>
      <c r="AC177" s="479"/>
      <c r="AE177" s="473" t="e">
        <f t="shared" si="26"/>
        <v>#N/A</v>
      </c>
      <c r="AF177" s="480" t="e">
        <f t="shared" si="32"/>
        <v>#N/A</v>
      </c>
      <c r="AG177" s="475" t="e">
        <f t="shared" si="27"/>
        <v>#N/A</v>
      </c>
      <c r="AH177" s="476" t="e">
        <f t="shared" si="28"/>
        <v>#N/A</v>
      </c>
      <c r="AI177" s="475" t="e">
        <f t="shared" si="33"/>
        <v>#N/A</v>
      </c>
      <c r="AJ177" s="307" t="e">
        <f t="shared" si="29"/>
        <v>#N/A</v>
      </c>
    </row>
    <row r="178" spans="2:36">
      <c r="B178" s="277">
        <f t="shared" si="17"/>
        <v>0</v>
      </c>
      <c r="C178" s="466">
        <f t="shared" si="18"/>
        <v>0</v>
      </c>
      <c r="D178" s="467">
        <f t="shared" si="30"/>
        <v>0</v>
      </c>
      <c r="E178" s="460">
        <f t="shared" si="19"/>
        <v>0</v>
      </c>
      <c r="F178" s="460">
        <f t="shared" si="20"/>
        <v>0</v>
      </c>
      <c r="G178" s="460">
        <f t="shared" si="31"/>
        <v>0</v>
      </c>
      <c r="H178" s="460">
        <f>IF(L177&lt;0.01,0,IF($H$68="",0,L177*Adm!$V$3))</f>
        <v>0</v>
      </c>
      <c r="I178" s="460">
        <f>IF(L177&lt;0.01,0,IF($I$68="",0,($G$28*0.7*Adm!$W$3)))</f>
        <v>0</v>
      </c>
      <c r="J178" s="460">
        <f>IF(L177&lt;0.01,0,Adm!$AD$2*1.16)</f>
        <v>0</v>
      </c>
      <c r="K178" s="460">
        <f t="shared" si="21"/>
        <v>0</v>
      </c>
      <c r="L178" s="460">
        <f t="shared" si="22"/>
        <v>0</v>
      </c>
      <c r="M178" s="468"/>
      <c r="T178" s="469">
        <f t="shared" si="23"/>
        <v>1</v>
      </c>
      <c r="U178" s="470">
        <f>IF(T178=1,Adm!$O$2,0)</f>
        <v>0</v>
      </c>
      <c r="Z178" s="477">
        <f t="shared" si="24"/>
        <v>0</v>
      </c>
      <c r="AA178" s="478">
        <f>IF(M177&lt;=0,0,IF($AA$63=$AA$60,0,IF($Z$63=$Z$61,PMT(Adm!$J$2/12,B177,-L177),0)))</f>
        <v>0</v>
      </c>
      <c r="AB178" s="479">
        <f t="shared" si="25"/>
        <v>0</v>
      </c>
      <c r="AC178" s="479"/>
      <c r="AE178" s="473" t="e">
        <f t="shared" si="26"/>
        <v>#N/A</v>
      </c>
      <c r="AF178" s="480" t="e">
        <f t="shared" si="32"/>
        <v>#N/A</v>
      </c>
      <c r="AG178" s="475" t="e">
        <f t="shared" si="27"/>
        <v>#N/A</v>
      </c>
      <c r="AH178" s="476" t="e">
        <f t="shared" si="28"/>
        <v>#N/A</v>
      </c>
      <c r="AI178" s="481" t="e">
        <f>MIN(AJ177+AG178,AI177*(1+$AG$65))</f>
        <v>#N/A</v>
      </c>
      <c r="AJ178" s="307" t="e">
        <f t="shared" si="29"/>
        <v>#N/A</v>
      </c>
    </row>
    <row r="179" spans="2:36">
      <c r="B179" s="277">
        <f t="shared" si="17"/>
        <v>0</v>
      </c>
      <c r="C179" s="466">
        <f t="shared" si="18"/>
        <v>0</v>
      </c>
      <c r="D179" s="467">
        <f t="shared" si="30"/>
        <v>0</v>
      </c>
      <c r="E179" s="460">
        <f t="shared" si="19"/>
        <v>0</v>
      </c>
      <c r="F179" s="460">
        <f t="shared" si="20"/>
        <v>0</v>
      </c>
      <c r="G179" s="460">
        <f t="shared" si="31"/>
        <v>0</v>
      </c>
      <c r="H179" s="460">
        <f>IF(L178&lt;0.01,0,IF($H$68="",0,L178*Adm!$V$3))</f>
        <v>0</v>
      </c>
      <c r="I179" s="460">
        <f>IF(L178&lt;0.01,0,IF($I$68="",0,($G$28*0.7*Adm!$W$3)))</f>
        <v>0</v>
      </c>
      <c r="J179" s="460">
        <f>IF(L178&lt;0.01,0,Adm!$AD$2*1.16)</f>
        <v>0</v>
      </c>
      <c r="K179" s="460">
        <f t="shared" si="21"/>
        <v>0</v>
      </c>
      <c r="L179" s="460">
        <f t="shared" si="22"/>
        <v>0</v>
      </c>
      <c r="M179" s="468"/>
      <c r="T179" s="469">
        <f t="shared" si="23"/>
        <v>2</v>
      </c>
      <c r="U179" s="470">
        <f>IF(T179=1,Adm!$O$2,0)</f>
        <v>0</v>
      </c>
      <c r="Z179" s="477">
        <f t="shared" si="24"/>
        <v>0</v>
      </c>
      <c r="AA179" s="478">
        <f>IF(M178&lt;=0,0,IF($AA$63=$AA$60,0,IF($Z$63=$Z$61,PMT(Adm!$J$2/12,B178,-L178),0)))</f>
        <v>0</v>
      </c>
      <c r="AB179" s="479">
        <f t="shared" si="25"/>
        <v>0</v>
      </c>
      <c r="AC179" s="479"/>
      <c r="AE179" s="473" t="e">
        <f t="shared" si="26"/>
        <v>#N/A</v>
      </c>
      <c r="AF179" s="480" t="e">
        <f t="shared" si="32"/>
        <v>#N/A</v>
      </c>
      <c r="AG179" s="475" t="e">
        <f t="shared" si="27"/>
        <v>#N/A</v>
      </c>
      <c r="AH179" s="476" t="e">
        <f t="shared" si="28"/>
        <v>#N/A</v>
      </c>
      <c r="AI179" s="475" t="e">
        <f t="shared" si="33"/>
        <v>#N/A</v>
      </c>
      <c r="AJ179" s="307" t="e">
        <f t="shared" si="29"/>
        <v>#N/A</v>
      </c>
    </row>
    <row r="180" spans="2:36">
      <c r="B180" s="277">
        <f t="shared" si="17"/>
        <v>0</v>
      </c>
      <c r="C180" s="466">
        <f t="shared" si="18"/>
        <v>0</v>
      </c>
      <c r="D180" s="467">
        <f t="shared" si="30"/>
        <v>0</v>
      </c>
      <c r="E180" s="460">
        <f t="shared" si="19"/>
        <v>0</v>
      </c>
      <c r="F180" s="460">
        <f t="shared" si="20"/>
        <v>0</v>
      </c>
      <c r="G180" s="460">
        <f t="shared" si="31"/>
        <v>0</v>
      </c>
      <c r="H180" s="460">
        <f>IF(L179&lt;0.01,0,IF($H$68="",0,L179*Adm!$V$3))</f>
        <v>0</v>
      </c>
      <c r="I180" s="460">
        <f>IF(L179&lt;0.01,0,IF($I$68="",0,($G$28*0.7*Adm!$W$3)))</f>
        <v>0</v>
      </c>
      <c r="J180" s="460">
        <f>IF(L179&lt;0.01,0,Adm!$AD$2*1.16)</f>
        <v>0</v>
      </c>
      <c r="K180" s="460">
        <f t="shared" si="21"/>
        <v>0</v>
      </c>
      <c r="L180" s="460">
        <f t="shared" si="22"/>
        <v>0</v>
      </c>
      <c r="M180" s="468"/>
      <c r="T180" s="469">
        <f t="shared" si="23"/>
        <v>3</v>
      </c>
      <c r="U180" s="470">
        <f>IF(T180=1,Adm!$O$2,0)</f>
        <v>0</v>
      </c>
      <c r="Z180" s="477">
        <f t="shared" si="24"/>
        <v>0</v>
      </c>
      <c r="AA180" s="478">
        <f>IF(M179&lt;=0,0,IF($AA$63=$AA$60,0,IF($Z$63=$Z$61,PMT(Adm!$J$2/12,B179,-L179),0)))</f>
        <v>0</v>
      </c>
      <c r="AB180" s="479">
        <f t="shared" si="25"/>
        <v>0</v>
      </c>
      <c r="AC180" s="479"/>
      <c r="AE180" s="473" t="e">
        <f t="shared" si="26"/>
        <v>#N/A</v>
      </c>
      <c r="AF180" s="480" t="e">
        <f t="shared" si="32"/>
        <v>#N/A</v>
      </c>
      <c r="AG180" s="475" t="e">
        <f t="shared" si="27"/>
        <v>#N/A</v>
      </c>
      <c r="AH180" s="476" t="e">
        <f t="shared" si="28"/>
        <v>#N/A</v>
      </c>
      <c r="AI180" s="475" t="e">
        <f t="shared" si="33"/>
        <v>#N/A</v>
      </c>
      <c r="AJ180" s="307" t="e">
        <f t="shared" si="29"/>
        <v>#N/A</v>
      </c>
    </row>
    <row r="181" spans="2:36">
      <c r="B181" s="277">
        <f t="shared" si="17"/>
        <v>0</v>
      </c>
      <c r="C181" s="466">
        <f t="shared" si="18"/>
        <v>0</v>
      </c>
      <c r="D181" s="467">
        <f t="shared" si="30"/>
        <v>0</v>
      </c>
      <c r="E181" s="460">
        <f t="shared" si="19"/>
        <v>0</v>
      </c>
      <c r="F181" s="460">
        <f t="shared" si="20"/>
        <v>0</v>
      </c>
      <c r="G181" s="460">
        <f t="shared" si="31"/>
        <v>0</v>
      </c>
      <c r="H181" s="460">
        <f>IF(L180&lt;0.01,0,IF($H$68="",0,L180*Adm!$V$3))</f>
        <v>0</v>
      </c>
      <c r="I181" s="460">
        <f>IF(L180&lt;0.01,0,IF($I$68="",0,($G$28*0.7*Adm!$W$3)))</f>
        <v>0</v>
      </c>
      <c r="J181" s="460">
        <f>IF(L180&lt;0.01,0,Adm!$AD$2*1.16)</f>
        <v>0</v>
      </c>
      <c r="K181" s="460">
        <f t="shared" si="21"/>
        <v>0</v>
      </c>
      <c r="L181" s="460">
        <f t="shared" si="22"/>
        <v>0</v>
      </c>
      <c r="M181" s="468"/>
      <c r="T181" s="469">
        <f t="shared" si="23"/>
        <v>4</v>
      </c>
      <c r="U181" s="470">
        <f>IF(T181=1,Adm!$O$2,0)</f>
        <v>0</v>
      </c>
      <c r="Z181" s="477">
        <f t="shared" si="24"/>
        <v>0</v>
      </c>
      <c r="AA181" s="478">
        <f>IF(M180&lt;=0,0,IF($AA$63=$AA$60,0,IF($Z$63=$Z$61,PMT(Adm!$J$2/12,B180,-L180),0)))</f>
        <v>0</v>
      </c>
      <c r="AB181" s="479">
        <f t="shared" si="25"/>
        <v>0</v>
      </c>
      <c r="AC181" s="479"/>
      <c r="AE181" s="473" t="e">
        <f t="shared" si="26"/>
        <v>#N/A</v>
      </c>
      <c r="AF181" s="480" t="e">
        <f t="shared" si="32"/>
        <v>#N/A</v>
      </c>
      <c r="AG181" s="475" t="e">
        <f t="shared" si="27"/>
        <v>#N/A</v>
      </c>
      <c r="AH181" s="476" t="e">
        <f t="shared" si="28"/>
        <v>#N/A</v>
      </c>
      <c r="AI181" s="475" t="e">
        <f t="shared" si="33"/>
        <v>#N/A</v>
      </c>
      <c r="AJ181" s="307" t="e">
        <f t="shared" si="29"/>
        <v>#N/A</v>
      </c>
    </row>
    <row r="182" spans="2:36">
      <c r="B182" s="277">
        <f t="shared" si="17"/>
        <v>0</v>
      </c>
      <c r="C182" s="466">
        <f t="shared" si="18"/>
        <v>0</v>
      </c>
      <c r="D182" s="467">
        <f t="shared" si="30"/>
        <v>0</v>
      </c>
      <c r="E182" s="460">
        <f t="shared" si="19"/>
        <v>0</v>
      </c>
      <c r="F182" s="460">
        <f t="shared" si="20"/>
        <v>0</v>
      </c>
      <c r="G182" s="460">
        <f t="shared" si="31"/>
        <v>0</v>
      </c>
      <c r="H182" s="460">
        <f>IF(L181&lt;0.01,0,IF($H$68="",0,L181*Adm!$V$3))</f>
        <v>0</v>
      </c>
      <c r="I182" s="460">
        <f>IF(L181&lt;0.01,0,IF($I$68="",0,($G$28*0.7*Adm!$W$3)))</f>
        <v>0</v>
      </c>
      <c r="J182" s="460">
        <f>IF(L181&lt;0.01,0,Adm!$AD$2*1.16)</f>
        <v>0</v>
      </c>
      <c r="K182" s="460">
        <f t="shared" si="21"/>
        <v>0</v>
      </c>
      <c r="L182" s="460">
        <f t="shared" si="22"/>
        <v>0</v>
      </c>
      <c r="M182" s="468"/>
      <c r="T182" s="469">
        <f t="shared" si="23"/>
        <v>5</v>
      </c>
      <c r="U182" s="470">
        <f>IF(T182=1,Adm!$O$2,0)</f>
        <v>0</v>
      </c>
      <c r="Z182" s="477">
        <f t="shared" si="24"/>
        <v>0</v>
      </c>
      <c r="AA182" s="478">
        <f>IF(M181&lt;=0,0,IF($AA$63=$AA$60,0,IF($Z$63=$Z$61,PMT(Adm!$J$2/12,B181,-L181),0)))</f>
        <v>0</v>
      </c>
      <c r="AB182" s="479">
        <f t="shared" si="25"/>
        <v>0</v>
      </c>
      <c r="AC182" s="479"/>
      <c r="AE182" s="473" t="e">
        <f t="shared" si="26"/>
        <v>#N/A</v>
      </c>
      <c r="AF182" s="480" t="e">
        <f t="shared" si="32"/>
        <v>#N/A</v>
      </c>
      <c r="AG182" s="475" t="e">
        <f t="shared" si="27"/>
        <v>#N/A</v>
      </c>
      <c r="AH182" s="476" t="e">
        <f t="shared" si="28"/>
        <v>#N/A</v>
      </c>
      <c r="AI182" s="475" t="e">
        <f t="shared" si="33"/>
        <v>#N/A</v>
      </c>
      <c r="AJ182" s="307" t="e">
        <f t="shared" si="29"/>
        <v>#N/A</v>
      </c>
    </row>
    <row r="183" spans="2:36">
      <c r="B183" s="277">
        <f t="shared" si="17"/>
        <v>0</v>
      </c>
      <c r="C183" s="466">
        <f t="shared" si="18"/>
        <v>0</v>
      </c>
      <c r="D183" s="467">
        <f t="shared" si="30"/>
        <v>0</v>
      </c>
      <c r="E183" s="460">
        <f t="shared" si="19"/>
        <v>0</v>
      </c>
      <c r="F183" s="460">
        <f t="shared" si="20"/>
        <v>0</v>
      </c>
      <c r="G183" s="460">
        <f t="shared" si="31"/>
        <v>0</v>
      </c>
      <c r="H183" s="460">
        <f>IF(L182&lt;0.01,0,IF($H$68="",0,L182*Adm!$V$3))</f>
        <v>0</v>
      </c>
      <c r="I183" s="460">
        <f>IF(L182&lt;0.01,0,IF($I$68="",0,($G$28*0.7*Adm!$W$3)))</f>
        <v>0</v>
      </c>
      <c r="J183" s="460">
        <f>IF(L182&lt;0.01,0,Adm!$AD$2*1.16)</f>
        <v>0</v>
      </c>
      <c r="K183" s="460">
        <f t="shared" si="21"/>
        <v>0</v>
      </c>
      <c r="L183" s="460">
        <f t="shared" si="22"/>
        <v>0</v>
      </c>
      <c r="M183" s="468"/>
      <c r="T183" s="469">
        <f t="shared" si="23"/>
        <v>6</v>
      </c>
      <c r="U183" s="470">
        <f>IF(T183=1,Adm!$O$2,0)</f>
        <v>0</v>
      </c>
      <c r="Z183" s="477">
        <f t="shared" si="24"/>
        <v>0</v>
      </c>
      <c r="AA183" s="478">
        <f>IF(M182&lt;=0,0,IF($AA$63=$AA$60,0,IF($Z$63=$Z$61,PMT(Adm!$J$2/12,B182,-L182),0)))</f>
        <v>0</v>
      </c>
      <c r="AB183" s="479">
        <f t="shared" si="25"/>
        <v>0</v>
      </c>
      <c r="AC183" s="479"/>
      <c r="AE183" s="473" t="e">
        <f t="shared" si="26"/>
        <v>#N/A</v>
      </c>
      <c r="AF183" s="480" t="e">
        <f t="shared" si="32"/>
        <v>#N/A</v>
      </c>
      <c r="AG183" s="475" t="e">
        <f t="shared" si="27"/>
        <v>#N/A</v>
      </c>
      <c r="AH183" s="476" t="e">
        <f t="shared" si="28"/>
        <v>#N/A</v>
      </c>
      <c r="AI183" s="475" t="e">
        <f t="shared" si="33"/>
        <v>#N/A</v>
      </c>
      <c r="AJ183" s="307" t="e">
        <f t="shared" si="29"/>
        <v>#N/A</v>
      </c>
    </row>
    <row r="184" spans="2:36">
      <c r="B184" s="277">
        <f t="shared" si="17"/>
        <v>0</v>
      </c>
      <c r="C184" s="466">
        <f t="shared" si="18"/>
        <v>0</v>
      </c>
      <c r="D184" s="467">
        <f t="shared" si="30"/>
        <v>0</v>
      </c>
      <c r="E184" s="460">
        <f t="shared" si="19"/>
        <v>0</v>
      </c>
      <c r="F184" s="460">
        <f t="shared" si="20"/>
        <v>0</v>
      </c>
      <c r="G184" s="460">
        <f t="shared" si="31"/>
        <v>0</v>
      </c>
      <c r="H184" s="460">
        <f>IF(L183&lt;0.01,0,IF($H$68="",0,L183*Adm!$V$3))</f>
        <v>0</v>
      </c>
      <c r="I184" s="460">
        <f>IF(L183&lt;0.01,0,IF($I$68="",0,($G$28*0.7*Adm!$W$3)))</f>
        <v>0</v>
      </c>
      <c r="J184" s="460">
        <f>IF(L183&lt;0.01,0,Adm!$AD$2*1.16)</f>
        <v>0</v>
      </c>
      <c r="K184" s="460">
        <f t="shared" si="21"/>
        <v>0</v>
      </c>
      <c r="L184" s="460">
        <f t="shared" si="22"/>
        <v>0</v>
      </c>
      <c r="M184" s="468"/>
      <c r="T184" s="469">
        <f t="shared" si="23"/>
        <v>7</v>
      </c>
      <c r="U184" s="470">
        <f>IF(T184=1,Adm!$O$2,0)</f>
        <v>0</v>
      </c>
      <c r="Z184" s="477">
        <f t="shared" si="24"/>
        <v>0</v>
      </c>
      <c r="AA184" s="478">
        <f>IF(M183&lt;=0,0,IF($AA$63=$AA$60,0,IF($Z$63=$Z$61,PMT(Adm!$J$2/12,B183,-L183),0)))</f>
        <v>0</v>
      </c>
      <c r="AB184" s="479">
        <f t="shared" si="25"/>
        <v>0</v>
      </c>
      <c r="AC184" s="479"/>
      <c r="AE184" s="473" t="e">
        <f t="shared" si="26"/>
        <v>#N/A</v>
      </c>
      <c r="AF184" s="480" t="e">
        <f t="shared" si="32"/>
        <v>#N/A</v>
      </c>
      <c r="AG184" s="475" t="e">
        <f t="shared" si="27"/>
        <v>#N/A</v>
      </c>
      <c r="AH184" s="476" t="e">
        <f t="shared" si="28"/>
        <v>#N/A</v>
      </c>
      <c r="AI184" s="475" t="e">
        <f t="shared" si="33"/>
        <v>#N/A</v>
      </c>
      <c r="AJ184" s="307" t="e">
        <f t="shared" si="29"/>
        <v>#N/A</v>
      </c>
    </row>
    <row r="185" spans="2:36">
      <c r="B185" s="277">
        <f t="shared" si="17"/>
        <v>0</v>
      </c>
      <c r="C185" s="466">
        <f t="shared" si="18"/>
        <v>0</v>
      </c>
      <c r="D185" s="467">
        <f t="shared" si="30"/>
        <v>0</v>
      </c>
      <c r="E185" s="460">
        <f t="shared" si="19"/>
        <v>0</v>
      </c>
      <c r="F185" s="460">
        <f t="shared" si="20"/>
        <v>0</v>
      </c>
      <c r="G185" s="460">
        <f t="shared" si="31"/>
        <v>0</v>
      </c>
      <c r="H185" s="460">
        <f>IF(L184&lt;0.01,0,IF($H$68="",0,L184*Adm!$V$3))</f>
        <v>0</v>
      </c>
      <c r="I185" s="460">
        <f>IF(L184&lt;0.01,0,IF($I$68="",0,($G$28*0.7*Adm!$W$3)))</f>
        <v>0</v>
      </c>
      <c r="J185" s="460">
        <f>IF(L184&lt;0.01,0,Adm!$AD$2*1.16)</f>
        <v>0</v>
      </c>
      <c r="K185" s="460">
        <f t="shared" si="21"/>
        <v>0</v>
      </c>
      <c r="L185" s="460">
        <f t="shared" si="22"/>
        <v>0</v>
      </c>
      <c r="M185" s="468"/>
      <c r="T185" s="469">
        <f t="shared" si="23"/>
        <v>8</v>
      </c>
      <c r="U185" s="470">
        <f>IF(T185=1,Adm!$O$2,0)</f>
        <v>0</v>
      </c>
      <c r="Z185" s="477">
        <f t="shared" si="24"/>
        <v>0</v>
      </c>
      <c r="AA185" s="478">
        <f>IF(M184&lt;=0,0,IF($AA$63=$AA$60,0,IF($Z$63=$Z$61,PMT(Adm!$J$2/12,B184,-L184),0)))</f>
        <v>0</v>
      </c>
      <c r="AB185" s="479">
        <f t="shared" si="25"/>
        <v>0</v>
      </c>
      <c r="AC185" s="479"/>
      <c r="AE185" s="473" t="e">
        <f t="shared" si="26"/>
        <v>#N/A</v>
      </c>
      <c r="AF185" s="480" t="e">
        <f t="shared" si="32"/>
        <v>#N/A</v>
      </c>
      <c r="AG185" s="475" t="e">
        <f t="shared" si="27"/>
        <v>#N/A</v>
      </c>
      <c r="AH185" s="476" t="e">
        <f t="shared" si="28"/>
        <v>#N/A</v>
      </c>
      <c r="AI185" s="475" t="e">
        <f t="shared" si="33"/>
        <v>#N/A</v>
      </c>
      <c r="AJ185" s="307" t="e">
        <f t="shared" si="29"/>
        <v>#N/A</v>
      </c>
    </row>
    <row r="186" spans="2:36">
      <c r="B186" s="277">
        <f t="shared" si="17"/>
        <v>0</v>
      </c>
      <c r="C186" s="466">
        <f t="shared" si="18"/>
        <v>0</v>
      </c>
      <c r="D186" s="467">
        <f t="shared" si="30"/>
        <v>0</v>
      </c>
      <c r="E186" s="460">
        <f t="shared" si="19"/>
        <v>0</v>
      </c>
      <c r="F186" s="460">
        <f t="shared" si="20"/>
        <v>0</v>
      </c>
      <c r="G186" s="460">
        <f t="shared" si="31"/>
        <v>0</v>
      </c>
      <c r="H186" s="460">
        <f>IF(L185&lt;0.01,0,IF($H$68="",0,L185*Adm!$V$3))</f>
        <v>0</v>
      </c>
      <c r="I186" s="460">
        <f>IF(L185&lt;0.01,0,IF($I$68="",0,($G$28*0.7*Adm!$W$3)))</f>
        <v>0</v>
      </c>
      <c r="J186" s="460">
        <f>IF(L185&lt;0.01,0,Adm!$AD$2*1.16)</f>
        <v>0</v>
      </c>
      <c r="K186" s="460">
        <f t="shared" si="21"/>
        <v>0</v>
      </c>
      <c r="L186" s="460">
        <f t="shared" si="22"/>
        <v>0</v>
      </c>
      <c r="M186" s="468"/>
      <c r="T186" s="469">
        <f t="shared" si="23"/>
        <v>9</v>
      </c>
      <c r="U186" s="470">
        <f>IF(T186=1,Adm!$O$2,0)</f>
        <v>0</v>
      </c>
      <c r="Z186" s="477">
        <f t="shared" si="24"/>
        <v>0</v>
      </c>
      <c r="AA186" s="478">
        <f>IF(M185&lt;=0,0,IF($AA$63=$AA$60,0,IF($Z$63=$Z$61,PMT(Adm!$J$2/12,B185,-L185),0)))</f>
        <v>0</v>
      </c>
      <c r="AB186" s="479">
        <f t="shared" si="25"/>
        <v>0</v>
      </c>
      <c r="AC186" s="479"/>
      <c r="AE186" s="473" t="e">
        <f t="shared" si="26"/>
        <v>#N/A</v>
      </c>
      <c r="AF186" s="480" t="e">
        <f t="shared" si="32"/>
        <v>#N/A</v>
      </c>
      <c r="AG186" s="475" t="e">
        <f t="shared" si="27"/>
        <v>#N/A</v>
      </c>
      <c r="AH186" s="476" t="e">
        <f t="shared" si="28"/>
        <v>#N/A</v>
      </c>
      <c r="AI186" s="475" t="e">
        <f t="shared" si="33"/>
        <v>#N/A</v>
      </c>
      <c r="AJ186" s="307" t="e">
        <f t="shared" si="29"/>
        <v>#N/A</v>
      </c>
    </row>
    <row r="187" spans="2:36">
      <c r="B187" s="277">
        <f t="shared" si="17"/>
        <v>0</v>
      </c>
      <c r="C187" s="466">
        <f t="shared" si="18"/>
        <v>0</v>
      </c>
      <c r="D187" s="467">
        <f t="shared" si="30"/>
        <v>0</v>
      </c>
      <c r="E187" s="460">
        <f t="shared" si="19"/>
        <v>0</v>
      </c>
      <c r="F187" s="460">
        <f t="shared" si="20"/>
        <v>0</v>
      </c>
      <c r="G187" s="460">
        <f t="shared" si="31"/>
        <v>0</v>
      </c>
      <c r="H187" s="460">
        <f>IF(L186&lt;0.01,0,IF($H$68="",0,L186*Adm!$V$3))</f>
        <v>0</v>
      </c>
      <c r="I187" s="460">
        <f>IF(L186&lt;0.01,0,IF($I$68="",0,($G$28*0.7*Adm!$W$3)))</f>
        <v>0</v>
      </c>
      <c r="J187" s="460">
        <f>IF(L186&lt;0.01,0,Adm!$AD$2*1.16)</f>
        <v>0</v>
      </c>
      <c r="K187" s="460">
        <f t="shared" si="21"/>
        <v>0</v>
      </c>
      <c r="L187" s="460">
        <f t="shared" si="22"/>
        <v>0</v>
      </c>
      <c r="M187" s="468"/>
      <c r="T187" s="469">
        <f t="shared" si="23"/>
        <v>10</v>
      </c>
      <c r="U187" s="470">
        <f>IF(T187=1,Adm!$O$2,0)</f>
        <v>0</v>
      </c>
      <c r="Z187" s="477">
        <f t="shared" si="24"/>
        <v>0</v>
      </c>
      <c r="AA187" s="478">
        <f>IF(M186&lt;=0,0,IF($AA$63=$AA$60,0,IF($Z$63=$Z$61,PMT(Adm!$J$2/12,B186,-L186),0)))</f>
        <v>0</v>
      </c>
      <c r="AB187" s="479">
        <f t="shared" si="25"/>
        <v>0</v>
      </c>
      <c r="AC187" s="479"/>
      <c r="AE187" s="473" t="e">
        <f t="shared" si="26"/>
        <v>#N/A</v>
      </c>
      <c r="AF187" s="480" t="e">
        <f t="shared" si="32"/>
        <v>#N/A</v>
      </c>
      <c r="AG187" s="475" t="e">
        <f t="shared" si="27"/>
        <v>#N/A</v>
      </c>
      <c r="AH187" s="476" t="e">
        <f t="shared" si="28"/>
        <v>#N/A</v>
      </c>
      <c r="AI187" s="475" t="e">
        <f t="shared" si="33"/>
        <v>#N/A</v>
      </c>
      <c r="AJ187" s="307" t="e">
        <f t="shared" si="29"/>
        <v>#N/A</v>
      </c>
    </row>
    <row r="188" spans="2:36">
      <c r="B188" s="277">
        <f t="shared" si="17"/>
        <v>0</v>
      </c>
      <c r="C188" s="466">
        <f t="shared" si="18"/>
        <v>0</v>
      </c>
      <c r="D188" s="467">
        <f t="shared" si="30"/>
        <v>0</v>
      </c>
      <c r="E188" s="460">
        <f t="shared" si="19"/>
        <v>0</v>
      </c>
      <c r="F188" s="460">
        <f t="shared" si="20"/>
        <v>0</v>
      </c>
      <c r="G188" s="460">
        <f t="shared" si="31"/>
        <v>0</v>
      </c>
      <c r="H188" s="460">
        <f>IF(L187&lt;0.01,0,IF($H$68="",0,L187*Adm!$V$3))</f>
        <v>0</v>
      </c>
      <c r="I188" s="460">
        <f>IF(L187&lt;0.01,0,IF($I$68="",0,($G$28*0.7*Adm!$W$3)))</f>
        <v>0</v>
      </c>
      <c r="J188" s="460">
        <f>IF(L187&lt;0.01,0,Adm!$AD$2*1.16)</f>
        <v>0</v>
      </c>
      <c r="K188" s="460">
        <f t="shared" si="21"/>
        <v>0</v>
      </c>
      <c r="L188" s="460">
        <f t="shared" si="22"/>
        <v>0</v>
      </c>
      <c r="M188" s="468"/>
      <c r="T188" s="469">
        <f t="shared" si="23"/>
        <v>11</v>
      </c>
      <c r="U188" s="470">
        <f>IF(T188=1,Adm!$O$2,0)</f>
        <v>0</v>
      </c>
      <c r="Z188" s="477">
        <f t="shared" si="24"/>
        <v>0</v>
      </c>
      <c r="AA188" s="478">
        <f>IF(M187&lt;=0,0,IF($AA$63=$AA$60,0,IF($Z$63=$Z$61,PMT(Adm!$J$2/12,B187,-L187),0)))</f>
        <v>0</v>
      </c>
      <c r="AB188" s="479">
        <f t="shared" si="25"/>
        <v>0</v>
      </c>
      <c r="AC188" s="479"/>
      <c r="AE188" s="473" t="e">
        <f t="shared" si="26"/>
        <v>#N/A</v>
      </c>
      <c r="AF188" s="480" t="e">
        <f t="shared" si="32"/>
        <v>#N/A</v>
      </c>
      <c r="AG188" s="475" t="e">
        <f t="shared" si="27"/>
        <v>#N/A</v>
      </c>
      <c r="AH188" s="476" t="e">
        <f t="shared" si="28"/>
        <v>#N/A</v>
      </c>
      <c r="AI188" s="475" t="e">
        <f t="shared" si="33"/>
        <v>#N/A</v>
      </c>
      <c r="AJ188" s="307" t="e">
        <f t="shared" si="29"/>
        <v>#N/A</v>
      </c>
    </row>
    <row r="189" spans="2:36">
      <c r="B189" s="277">
        <f t="shared" si="17"/>
        <v>0</v>
      </c>
      <c r="C189" s="466">
        <f t="shared" si="18"/>
        <v>0</v>
      </c>
      <c r="D189" s="467">
        <f t="shared" si="30"/>
        <v>0</v>
      </c>
      <c r="E189" s="460">
        <f t="shared" si="19"/>
        <v>0</v>
      </c>
      <c r="F189" s="460">
        <f t="shared" si="20"/>
        <v>0</v>
      </c>
      <c r="G189" s="460">
        <f t="shared" si="31"/>
        <v>0</v>
      </c>
      <c r="H189" s="460">
        <f>IF(L188&lt;0.01,0,IF($H$68="",0,L188*Adm!$V$3))</f>
        <v>0</v>
      </c>
      <c r="I189" s="460">
        <f>IF(L188&lt;0.01,0,IF($I$68="",0,($G$28*0.7*Adm!$W$3)))</f>
        <v>0</v>
      </c>
      <c r="J189" s="460">
        <f>IF(L188&lt;0.01,0,Adm!$AD$2*1.16)</f>
        <v>0</v>
      </c>
      <c r="K189" s="460">
        <f t="shared" si="21"/>
        <v>0</v>
      </c>
      <c r="L189" s="460">
        <f t="shared" si="22"/>
        <v>0</v>
      </c>
      <c r="M189" s="468"/>
      <c r="T189" s="469">
        <f t="shared" si="23"/>
        <v>12</v>
      </c>
      <c r="U189" s="470">
        <f>IF(T189=1,Adm!$O$2,0)</f>
        <v>0</v>
      </c>
      <c r="Z189" s="477">
        <f t="shared" si="24"/>
        <v>0</v>
      </c>
      <c r="AA189" s="478">
        <f>IF(M188&lt;=0,0,IF($AA$63=$AA$60,0,IF($Z$63=$Z$61,PMT(Adm!$J$2/12,B188,-L188),0)))</f>
        <v>0</v>
      </c>
      <c r="AB189" s="479">
        <f t="shared" si="25"/>
        <v>0</v>
      </c>
      <c r="AC189" s="479"/>
      <c r="AE189" s="473" t="e">
        <f t="shared" si="26"/>
        <v>#N/A</v>
      </c>
      <c r="AF189" s="480" t="e">
        <f t="shared" si="32"/>
        <v>#N/A</v>
      </c>
      <c r="AG189" s="475" t="e">
        <f t="shared" si="27"/>
        <v>#N/A</v>
      </c>
      <c r="AH189" s="476" t="e">
        <f t="shared" si="28"/>
        <v>#N/A</v>
      </c>
      <c r="AI189" s="475" t="e">
        <f t="shared" si="33"/>
        <v>#N/A</v>
      </c>
      <c r="AJ189" s="307" t="e">
        <f t="shared" si="29"/>
        <v>#N/A</v>
      </c>
    </row>
    <row r="190" spans="2:36">
      <c r="B190" s="277">
        <f t="shared" si="17"/>
        <v>0</v>
      </c>
      <c r="C190" s="466">
        <f t="shared" si="18"/>
        <v>0</v>
      </c>
      <c r="D190" s="467">
        <f t="shared" si="30"/>
        <v>0</v>
      </c>
      <c r="E190" s="460">
        <f t="shared" si="19"/>
        <v>0</v>
      </c>
      <c r="F190" s="460">
        <f t="shared" si="20"/>
        <v>0</v>
      </c>
      <c r="G190" s="460">
        <f t="shared" si="31"/>
        <v>0</v>
      </c>
      <c r="H190" s="460">
        <f>IF(L189&lt;0.01,0,IF($H$68="",0,L189*Adm!$V$3))</f>
        <v>0</v>
      </c>
      <c r="I190" s="460">
        <f>IF(L189&lt;0.01,0,IF($I$68="",0,($G$28*0.7*Adm!$W$3)))</f>
        <v>0</v>
      </c>
      <c r="J190" s="460">
        <f>IF(L189&lt;0.01,0,Adm!$AD$2*1.16)</f>
        <v>0</v>
      </c>
      <c r="K190" s="460">
        <f t="shared" si="21"/>
        <v>0</v>
      </c>
      <c r="L190" s="460">
        <f t="shared" si="22"/>
        <v>0</v>
      </c>
      <c r="M190" s="468"/>
      <c r="T190" s="469">
        <f t="shared" si="23"/>
        <v>1</v>
      </c>
      <c r="U190" s="470">
        <f>IF(T190=1,Adm!$O$2,0)</f>
        <v>0</v>
      </c>
      <c r="Z190" s="477">
        <f t="shared" si="24"/>
        <v>0</v>
      </c>
      <c r="AA190" s="478">
        <f>IF(M189&lt;=0,0,IF($AA$63=$AA$60,0,IF($Z$63=$Z$61,PMT(Adm!$J$2/12,B189,-L189),0)))</f>
        <v>0</v>
      </c>
      <c r="AB190" s="479">
        <f t="shared" si="25"/>
        <v>0</v>
      </c>
      <c r="AC190" s="479"/>
      <c r="AE190" s="473" t="e">
        <f t="shared" si="26"/>
        <v>#N/A</v>
      </c>
      <c r="AF190" s="480" t="e">
        <f t="shared" si="32"/>
        <v>#N/A</v>
      </c>
      <c r="AG190" s="475" t="e">
        <f t="shared" si="27"/>
        <v>#N/A</v>
      </c>
      <c r="AH190" s="476" t="e">
        <f t="shared" si="28"/>
        <v>#N/A</v>
      </c>
      <c r="AI190" s="481" t="e">
        <f>MIN(AJ189+AG190,AI189*(1+$AG$65))</f>
        <v>#N/A</v>
      </c>
      <c r="AJ190" s="307" t="e">
        <f t="shared" si="29"/>
        <v>#N/A</v>
      </c>
    </row>
    <row r="191" spans="2:36">
      <c r="B191" s="277">
        <f t="shared" si="17"/>
        <v>0</v>
      </c>
      <c r="C191" s="466">
        <f t="shared" si="18"/>
        <v>0</v>
      </c>
      <c r="D191" s="467">
        <f t="shared" si="30"/>
        <v>0</v>
      </c>
      <c r="E191" s="460">
        <f t="shared" si="19"/>
        <v>0</v>
      </c>
      <c r="F191" s="460">
        <f t="shared" si="20"/>
        <v>0</v>
      </c>
      <c r="G191" s="460">
        <f t="shared" si="31"/>
        <v>0</v>
      </c>
      <c r="H191" s="460">
        <f>IF(L190&lt;0.01,0,IF($H$68="",0,L190*Adm!$V$3))</f>
        <v>0</v>
      </c>
      <c r="I191" s="460">
        <f>IF(L190&lt;0.01,0,IF($I$68="",0,($G$28*0.7*Adm!$W$3)))</f>
        <v>0</v>
      </c>
      <c r="J191" s="460">
        <f>IF(L190&lt;0.01,0,Adm!$AD$2*1.16)</f>
        <v>0</v>
      </c>
      <c r="K191" s="460">
        <f t="shared" si="21"/>
        <v>0</v>
      </c>
      <c r="L191" s="460">
        <f t="shared" si="22"/>
        <v>0</v>
      </c>
      <c r="M191" s="468"/>
      <c r="T191" s="469">
        <f t="shared" si="23"/>
        <v>2</v>
      </c>
      <c r="U191" s="470">
        <f>IF(T191=1,Adm!$O$2,0)</f>
        <v>0</v>
      </c>
      <c r="Z191" s="477">
        <f t="shared" si="24"/>
        <v>0</v>
      </c>
      <c r="AA191" s="478">
        <f>IF(M190&lt;=0,0,IF($AA$63=$AA$60,0,IF($Z$63=$Z$61,PMT(Adm!$J$2/12,B190,-L190),0)))</f>
        <v>0</v>
      </c>
      <c r="AB191" s="479">
        <f t="shared" si="25"/>
        <v>0</v>
      </c>
      <c r="AC191" s="479"/>
      <c r="AE191" s="473" t="e">
        <f t="shared" si="26"/>
        <v>#N/A</v>
      </c>
      <c r="AF191" s="480" t="e">
        <f t="shared" si="32"/>
        <v>#N/A</v>
      </c>
      <c r="AG191" s="475" t="e">
        <f t="shared" si="27"/>
        <v>#N/A</v>
      </c>
      <c r="AH191" s="476" t="e">
        <f t="shared" si="28"/>
        <v>#N/A</v>
      </c>
      <c r="AI191" s="475" t="e">
        <f t="shared" si="33"/>
        <v>#N/A</v>
      </c>
      <c r="AJ191" s="307" t="e">
        <f t="shared" si="29"/>
        <v>#N/A</v>
      </c>
    </row>
    <row r="192" spans="2:36">
      <c r="B192" s="277">
        <f t="shared" si="17"/>
        <v>0</v>
      </c>
      <c r="C192" s="466">
        <f t="shared" si="18"/>
        <v>0</v>
      </c>
      <c r="D192" s="467">
        <f t="shared" si="30"/>
        <v>0</v>
      </c>
      <c r="E192" s="460">
        <f t="shared" si="19"/>
        <v>0</v>
      </c>
      <c r="F192" s="460">
        <f t="shared" si="20"/>
        <v>0</v>
      </c>
      <c r="G192" s="460">
        <f t="shared" si="31"/>
        <v>0</v>
      </c>
      <c r="H192" s="460">
        <f>IF(L191&lt;0.01,0,IF($H$68="",0,L191*Adm!$V$3))</f>
        <v>0</v>
      </c>
      <c r="I192" s="460">
        <f>IF(L191&lt;0.01,0,IF($I$68="",0,($G$28*0.7*Adm!$W$3)))</f>
        <v>0</v>
      </c>
      <c r="J192" s="460">
        <f>IF(L191&lt;0.01,0,Adm!$AD$2*1.16)</f>
        <v>0</v>
      </c>
      <c r="K192" s="460">
        <f t="shared" si="21"/>
        <v>0</v>
      </c>
      <c r="L192" s="460">
        <f t="shared" si="22"/>
        <v>0</v>
      </c>
      <c r="M192" s="468"/>
      <c r="T192" s="469">
        <f t="shared" si="23"/>
        <v>3</v>
      </c>
      <c r="U192" s="470">
        <f>IF(T192=1,Adm!$O$2,0)</f>
        <v>0</v>
      </c>
      <c r="Z192" s="477">
        <f t="shared" si="24"/>
        <v>0</v>
      </c>
      <c r="AA192" s="478">
        <f>IF(M191&lt;=0,0,IF($AA$63=$AA$60,0,IF($Z$63=$Z$61,PMT(Adm!$J$2/12,B191,-L191),0)))</f>
        <v>0</v>
      </c>
      <c r="AB192" s="479">
        <f t="shared" si="25"/>
        <v>0</v>
      </c>
      <c r="AC192" s="479"/>
      <c r="AE192" s="473" t="e">
        <f t="shared" si="26"/>
        <v>#N/A</v>
      </c>
      <c r="AF192" s="480" t="e">
        <f t="shared" si="32"/>
        <v>#N/A</v>
      </c>
      <c r="AG192" s="475" t="e">
        <f t="shared" si="27"/>
        <v>#N/A</v>
      </c>
      <c r="AH192" s="476" t="e">
        <f t="shared" si="28"/>
        <v>#N/A</v>
      </c>
      <c r="AI192" s="475" t="e">
        <f t="shared" si="33"/>
        <v>#N/A</v>
      </c>
      <c r="AJ192" s="307" t="e">
        <f t="shared" si="29"/>
        <v>#N/A</v>
      </c>
    </row>
    <row r="193" spans="2:36">
      <c r="B193" s="277">
        <f t="shared" si="17"/>
        <v>0</v>
      </c>
      <c r="C193" s="466">
        <f t="shared" si="18"/>
        <v>0</v>
      </c>
      <c r="D193" s="467">
        <f t="shared" si="30"/>
        <v>0</v>
      </c>
      <c r="E193" s="460">
        <f t="shared" si="19"/>
        <v>0</v>
      </c>
      <c r="F193" s="460">
        <f t="shared" si="20"/>
        <v>0</v>
      </c>
      <c r="G193" s="460">
        <f t="shared" si="31"/>
        <v>0</v>
      </c>
      <c r="H193" s="460">
        <f>IF(L192&lt;0.01,0,IF($H$68="",0,L192*Adm!$V$3))</f>
        <v>0</v>
      </c>
      <c r="I193" s="460">
        <f>IF(L192&lt;0.01,0,IF($I$68="",0,($G$28*0.7*Adm!$W$3)))</f>
        <v>0</v>
      </c>
      <c r="J193" s="460">
        <f>IF(L192&lt;0.01,0,Adm!$AD$2*1.16)</f>
        <v>0</v>
      </c>
      <c r="K193" s="460">
        <f t="shared" si="21"/>
        <v>0</v>
      </c>
      <c r="L193" s="460">
        <f t="shared" si="22"/>
        <v>0</v>
      </c>
      <c r="M193" s="468"/>
      <c r="T193" s="469">
        <f t="shared" si="23"/>
        <v>4</v>
      </c>
      <c r="U193" s="470">
        <f>IF(T193=1,Adm!$O$2,0)</f>
        <v>0</v>
      </c>
      <c r="Z193" s="477">
        <f t="shared" si="24"/>
        <v>0</v>
      </c>
      <c r="AA193" s="478">
        <f>IF(M192&lt;=0,0,IF($AA$63=$AA$60,0,IF($Z$63=$Z$61,PMT(Adm!$J$2/12,B192,-L192),0)))</f>
        <v>0</v>
      </c>
      <c r="AB193" s="479">
        <f t="shared" si="25"/>
        <v>0</v>
      </c>
      <c r="AC193" s="479"/>
      <c r="AE193" s="473" t="e">
        <f t="shared" si="26"/>
        <v>#N/A</v>
      </c>
      <c r="AF193" s="480" t="e">
        <f t="shared" si="32"/>
        <v>#N/A</v>
      </c>
      <c r="AG193" s="475" t="e">
        <f t="shared" si="27"/>
        <v>#N/A</v>
      </c>
      <c r="AH193" s="476" t="e">
        <f t="shared" si="28"/>
        <v>#N/A</v>
      </c>
      <c r="AI193" s="475" t="e">
        <f t="shared" si="33"/>
        <v>#N/A</v>
      </c>
      <c r="AJ193" s="307" t="e">
        <f t="shared" si="29"/>
        <v>#N/A</v>
      </c>
    </row>
    <row r="194" spans="2:36">
      <c r="B194" s="277">
        <f t="shared" si="17"/>
        <v>0</v>
      </c>
      <c r="C194" s="466">
        <f t="shared" si="18"/>
        <v>0</v>
      </c>
      <c r="D194" s="467">
        <f t="shared" si="30"/>
        <v>0</v>
      </c>
      <c r="E194" s="460">
        <f t="shared" si="19"/>
        <v>0</v>
      </c>
      <c r="F194" s="460">
        <f t="shared" si="20"/>
        <v>0</v>
      </c>
      <c r="G194" s="460">
        <f t="shared" si="31"/>
        <v>0</v>
      </c>
      <c r="H194" s="460">
        <f>IF(L193&lt;0.01,0,IF($H$68="",0,L193*Adm!$V$3))</f>
        <v>0</v>
      </c>
      <c r="I194" s="460">
        <f>IF(L193&lt;0.01,0,IF($I$68="",0,($G$28*0.7*Adm!$W$3)))</f>
        <v>0</v>
      </c>
      <c r="J194" s="460">
        <f>IF(L193&lt;0.01,0,Adm!$AD$2*1.16)</f>
        <v>0</v>
      </c>
      <c r="K194" s="460">
        <f t="shared" si="21"/>
        <v>0</v>
      </c>
      <c r="L194" s="460">
        <f t="shared" si="22"/>
        <v>0</v>
      </c>
      <c r="M194" s="468"/>
      <c r="T194" s="469">
        <f t="shared" si="23"/>
        <v>5</v>
      </c>
      <c r="U194" s="470">
        <f>IF(T194=1,Adm!$O$2,0)</f>
        <v>0</v>
      </c>
      <c r="Z194" s="477">
        <f t="shared" si="24"/>
        <v>0</v>
      </c>
      <c r="AA194" s="478">
        <f>IF(M193&lt;=0,0,IF($AA$63=$AA$60,0,IF($Z$63=$Z$61,PMT(Adm!$J$2/12,B193,-L193),0)))</f>
        <v>0</v>
      </c>
      <c r="AB194" s="479">
        <f t="shared" si="25"/>
        <v>0</v>
      </c>
      <c r="AC194" s="479"/>
      <c r="AE194" s="473" t="e">
        <f t="shared" si="26"/>
        <v>#N/A</v>
      </c>
      <c r="AF194" s="480" t="e">
        <f t="shared" si="32"/>
        <v>#N/A</v>
      </c>
      <c r="AG194" s="475" t="e">
        <f t="shared" si="27"/>
        <v>#N/A</v>
      </c>
      <c r="AH194" s="476" t="e">
        <f t="shared" si="28"/>
        <v>#N/A</v>
      </c>
      <c r="AI194" s="475" t="e">
        <f t="shared" si="33"/>
        <v>#N/A</v>
      </c>
      <c r="AJ194" s="307" t="e">
        <f t="shared" si="29"/>
        <v>#N/A</v>
      </c>
    </row>
    <row r="195" spans="2:36">
      <c r="B195" s="277">
        <f t="shared" si="17"/>
        <v>0</v>
      </c>
      <c r="C195" s="466">
        <f t="shared" si="18"/>
        <v>0</v>
      </c>
      <c r="D195" s="467">
        <f t="shared" si="30"/>
        <v>0</v>
      </c>
      <c r="E195" s="460">
        <f t="shared" si="19"/>
        <v>0</v>
      </c>
      <c r="F195" s="460">
        <f t="shared" si="20"/>
        <v>0</v>
      </c>
      <c r="G195" s="460">
        <f t="shared" si="31"/>
        <v>0</v>
      </c>
      <c r="H195" s="460">
        <f>IF(L194&lt;0.01,0,IF($H$68="",0,L194*Adm!$V$3))</f>
        <v>0</v>
      </c>
      <c r="I195" s="460">
        <f>IF(L194&lt;0.01,0,IF($I$68="",0,($G$28*0.7*Adm!$W$3)))</f>
        <v>0</v>
      </c>
      <c r="J195" s="460">
        <f>IF(L194&lt;0.01,0,Adm!$AD$2*1.16)</f>
        <v>0</v>
      </c>
      <c r="K195" s="460">
        <f t="shared" si="21"/>
        <v>0</v>
      </c>
      <c r="L195" s="460">
        <f t="shared" si="22"/>
        <v>0</v>
      </c>
      <c r="M195" s="468"/>
      <c r="T195" s="469">
        <f t="shared" si="23"/>
        <v>6</v>
      </c>
      <c r="U195" s="470">
        <f>IF(T195=1,Adm!$O$2,0)</f>
        <v>0</v>
      </c>
      <c r="Z195" s="477">
        <f t="shared" si="24"/>
        <v>0</v>
      </c>
      <c r="AA195" s="478">
        <f>IF(M194&lt;=0,0,IF($AA$63=$AA$60,0,IF($Z$63=$Z$61,PMT(Adm!$J$2/12,B194,-L194),0)))</f>
        <v>0</v>
      </c>
      <c r="AB195" s="479">
        <f t="shared" si="25"/>
        <v>0</v>
      </c>
      <c r="AC195" s="479"/>
      <c r="AE195" s="473" t="e">
        <f t="shared" si="26"/>
        <v>#N/A</v>
      </c>
      <c r="AF195" s="480" t="e">
        <f t="shared" si="32"/>
        <v>#N/A</v>
      </c>
      <c r="AG195" s="475" t="e">
        <f t="shared" si="27"/>
        <v>#N/A</v>
      </c>
      <c r="AH195" s="476" t="e">
        <f t="shared" si="28"/>
        <v>#N/A</v>
      </c>
      <c r="AI195" s="475" t="e">
        <f t="shared" si="33"/>
        <v>#N/A</v>
      </c>
      <c r="AJ195" s="307" t="e">
        <f t="shared" si="29"/>
        <v>#N/A</v>
      </c>
    </row>
    <row r="196" spans="2:36">
      <c r="B196" s="277">
        <f t="shared" si="17"/>
        <v>0</v>
      </c>
      <c r="C196" s="466">
        <f t="shared" si="18"/>
        <v>0</v>
      </c>
      <c r="D196" s="467">
        <f t="shared" si="30"/>
        <v>0</v>
      </c>
      <c r="E196" s="460">
        <f t="shared" si="19"/>
        <v>0</v>
      </c>
      <c r="F196" s="460">
        <f t="shared" si="20"/>
        <v>0</v>
      </c>
      <c r="G196" s="460">
        <f t="shared" si="31"/>
        <v>0</v>
      </c>
      <c r="H196" s="460">
        <f>IF(L195&lt;0.01,0,IF($H$68="",0,L195*Adm!$V$3))</f>
        <v>0</v>
      </c>
      <c r="I196" s="460">
        <f>IF(L195&lt;0.01,0,IF($I$68="",0,($G$28*0.7*Adm!$W$3)))</f>
        <v>0</v>
      </c>
      <c r="J196" s="460">
        <f>IF(L195&lt;0.01,0,Adm!$AD$2*1.16)</f>
        <v>0</v>
      </c>
      <c r="K196" s="460">
        <f t="shared" si="21"/>
        <v>0</v>
      </c>
      <c r="L196" s="460">
        <f t="shared" si="22"/>
        <v>0</v>
      </c>
      <c r="M196" s="468"/>
      <c r="T196" s="469">
        <f t="shared" si="23"/>
        <v>7</v>
      </c>
      <c r="U196" s="470">
        <f>IF(T196=1,Adm!$O$2,0)</f>
        <v>0</v>
      </c>
      <c r="Z196" s="477">
        <f t="shared" si="24"/>
        <v>0</v>
      </c>
      <c r="AA196" s="478">
        <f>IF(M195&lt;=0,0,IF($AA$63=$AA$60,0,IF($Z$63=$Z$61,PMT(Adm!$J$2/12,B195,-L195),0)))</f>
        <v>0</v>
      </c>
      <c r="AB196" s="479">
        <f t="shared" si="25"/>
        <v>0</v>
      </c>
      <c r="AC196" s="479"/>
      <c r="AE196" s="473" t="e">
        <f t="shared" si="26"/>
        <v>#N/A</v>
      </c>
      <c r="AF196" s="480" t="e">
        <f t="shared" si="32"/>
        <v>#N/A</v>
      </c>
      <c r="AG196" s="475" t="e">
        <f t="shared" si="27"/>
        <v>#N/A</v>
      </c>
      <c r="AH196" s="476" t="e">
        <f t="shared" si="28"/>
        <v>#N/A</v>
      </c>
      <c r="AI196" s="475" t="e">
        <f t="shared" si="33"/>
        <v>#N/A</v>
      </c>
      <c r="AJ196" s="307" t="e">
        <f t="shared" si="29"/>
        <v>#N/A</v>
      </c>
    </row>
    <row r="197" spans="2:36">
      <c r="B197" s="277">
        <f t="shared" si="17"/>
        <v>0</v>
      </c>
      <c r="C197" s="466">
        <f t="shared" si="18"/>
        <v>0</v>
      </c>
      <c r="D197" s="467">
        <f t="shared" si="30"/>
        <v>0</v>
      </c>
      <c r="E197" s="460">
        <f t="shared" si="19"/>
        <v>0</v>
      </c>
      <c r="F197" s="460">
        <f t="shared" si="20"/>
        <v>0</v>
      </c>
      <c r="G197" s="460">
        <f t="shared" si="31"/>
        <v>0</v>
      </c>
      <c r="H197" s="460">
        <f>IF(L196&lt;0.01,0,IF($H$68="",0,L196*Adm!$V$3))</f>
        <v>0</v>
      </c>
      <c r="I197" s="460">
        <f>IF(L196&lt;0.01,0,IF($I$68="",0,($G$28*0.7*Adm!$W$3)))</f>
        <v>0</v>
      </c>
      <c r="J197" s="460">
        <f>IF(L196&lt;0.01,0,Adm!$AD$2*1.16)</f>
        <v>0</v>
      </c>
      <c r="K197" s="460">
        <f t="shared" si="21"/>
        <v>0</v>
      </c>
      <c r="L197" s="460">
        <f t="shared" si="22"/>
        <v>0</v>
      </c>
      <c r="M197" s="468"/>
      <c r="T197" s="469">
        <f t="shared" si="23"/>
        <v>8</v>
      </c>
      <c r="U197" s="470">
        <f>IF(T197=1,Adm!$O$2,0)</f>
        <v>0</v>
      </c>
      <c r="Z197" s="477">
        <f t="shared" si="24"/>
        <v>0</v>
      </c>
      <c r="AA197" s="478">
        <f>IF(M196&lt;=0,0,IF($AA$63=$AA$60,0,IF($Z$63=$Z$61,PMT(Adm!$J$2/12,B196,-L196),0)))</f>
        <v>0</v>
      </c>
      <c r="AB197" s="479">
        <f t="shared" si="25"/>
        <v>0</v>
      </c>
      <c r="AC197" s="479"/>
      <c r="AE197" s="473" t="e">
        <f t="shared" si="26"/>
        <v>#N/A</v>
      </c>
      <c r="AF197" s="480" t="e">
        <f t="shared" si="32"/>
        <v>#N/A</v>
      </c>
      <c r="AG197" s="475" t="e">
        <f t="shared" si="27"/>
        <v>#N/A</v>
      </c>
      <c r="AH197" s="476" t="e">
        <f t="shared" si="28"/>
        <v>#N/A</v>
      </c>
      <c r="AI197" s="475" t="e">
        <f t="shared" si="33"/>
        <v>#N/A</v>
      </c>
      <c r="AJ197" s="307" t="e">
        <f t="shared" si="29"/>
        <v>#N/A</v>
      </c>
    </row>
    <row r="198" spans="2:36">
      <c r="B198" s="277">
        <f t="shared" si="17"/>
        <v>0</v>
      </c>
      <c r="C198" s="466">
        <f t="shared" si="18"/>
        <v>0</v>
      </c>
      <c r="D198" s="467">
        <f t="shared" si="30"/>
        <v>0</v>
      </c>
      <c r="E198" s="460">
        <f t="shared" si="19"/>
        <v>0</v>
      </c>
      <c r="F198" s="460">
        <f t="shared" si="20"/>
        <v>0</v>
      </c>
      <c r="G198" s="460">
        <f t="shared" si="31"/>
        <v>0</v>
      </c>
      <c r="H198" s="460">
        <f>IF(L197&lt;0.01,0,IF($H$68="",0,L197*Adm!$V$3))</f>
        <v>0</v>
      </c>
      <c r="I198" s="460">
        <f>IF(L197&lt;0.01,0,IF($I$68="",0,($G$28*0.7*Adm!$W$3)))</f>
        <v>0</v>
      </c>
      <c r="J198" s="460">
        <f>IF(L197&lt;0.01,0,Adm!$AD$2*1.16)</f>
        <v>0</v>
      </c>
      <c r="K198" s="460">
        <f t="shared" si="21"/>
        <v>0</v>
      </c>
      <c r="L198" s="460">
        <f t="shared" si="22"/>
        <v>0</v>
      </c>
      <c r="M198" s="468"/>
      <c r="T198" s="469">
        <f t="shared" si="23"/>
        <v>9</v>
      </c>
      <c r="U198" s="470">
        <f>IF(T198=1,Adm!$O$2,0)</f>
        <v>0</v>
      </c>
      <c r="Z198" s="477">
        <f t="shared" si="24"/>
        <v>0</v>
      </c>
      <c r="AA198" s="478">
        <f>IF(M197&lt;=0,0,IF($AA$63=$AA$60,0,IF($Z$63=$Z$61,PMT(Adm!$J$2/12,B197,-L197),0)))</f>
        <v>0</v>
      </c>
      <c r="AB198" s="479">
        <f t="shared" si="25"/>
        <v>0</v>
      </c>
      <c r="AC198" s="479"/>
      <c r="AE198" s="473" t="e">
        <f t="shared" si="26"/>
        <v>#N/A</v>
      </c>
      <c r="AF198" s="480" t="e">
        <f t="shared" si="32"/>
        <v>#N/A</v>
      </c>
      <c r="AG198" s="475" t="e">
        <f t="shared" si="27"/>
        <v>#N/A</v>
      </c>
      <c r="AH198" s="476" t="e">
        <f t="shared" si="28"/>
        <v>#N/A</v>
      </c>
      <c r="AI198" s="475" t="e">
        <f t="shared" si="33"/>
        <v>#N/A</v>
      </c>
      <c r="AJ198" s="307" t="e">
        <f t="shared" si="29"/>
        <v>#N/A</v>
      </c>
    </row>
    <row r="199" spans="2:36">
      <c r="B199" s="277">
        <f t="shared" ref="B199:B262" si="34">IF(L198&gt;0,B198-1,0)</f>
        <v>0</v>
      </c>
      <c r="C199" s="466">
        <f t="shared" ref="C199:C262" si="35">IF(L198&gt;0.01,C198+1,0)</f>
        <v>0</v>
      </c>
      <c r="D199" s="467">
        <f t="shared" si="30"/>
        <v>0</v>
      </c>
      <c r="E199" s="460">
        <f t="shared" ref="E199:E262" si="36">IF(L198&lt;0.001,0,L198*D199/360*30.4166)</f>
        <v>0</v>
      </c>
      <c r="F199" s="460">
        <f t="shared" ref="F199:F262" si="37">G199-E199</f>
        <v>0</v>
      </c>
      <c r="G199" s="460">
        <f t="shared" si="31"/>
        <v>0</v>
      </c>
      <c r="H199" s="460">
        <f>IF(L198&lt;0.01,0,IF($H$68="",0,L198*Adm!$V$3))</f>
        <v>0</v>
      </c>
      <c r="I199" s="460">
        <f>IF(L198&lt;0.01,0,IF($I$68="",0,($G$28*0.7*Adm!$W$3)))</f>
        <v>0</v>
      </c>
      <c r="J199" s="460">
        <f>IF(L198&lt;0.01,0,Adm!$AD$2*1.16)</f>
        <v>0</v>
      </c>
      <c r="K199" s="460">
        <f t="shared" ref="K199:K262" si="38">IF(L198&lt;0.01,0,(G199+H199+I199+J199))</f>
        <v>0</v>
      </c>
      <c r="L199" s="460">
        <f t="shared" ref="L199:L262" si="39">IF(L198&lt;0.01,0,(L198-F199-M199))</f>
        <v>0</v>
      </c>
      <c r="M199" s="468"/>
      <c r="T199" s="469">
        <f t="shared" ref="T199:T262" si="40">IF(T198=12,1,T198+1)</f>
        <v>10</v>
      </c>
      <c r="U199" s="470">
        <f>IF(T199=1,Adm!$O$2,0)</f>
        <v>0</v>
      </c>
      <c r="Z199" s="477">
        <f t="shared" ref="Z199:Z262" si="41">IF(AA199&gt;0,AA199,IF(AB199&gt;0,AB199,0))</f>
        <v>0</v>
      </c>
      <c r="AA199" s="478">
        <f>IF(M198&lt;=0,0,IF($AA$63=$AA$60,0,IF($Z$63=$Z$61,PMT(Adm!$J$2/12,B198,-L198),0)))</f>
        <v>0</v>
      </c>
      <c r="AB199" s="479">
        <f t="shared" ref="AB199:AB262" si="42">IF(M198&lt;=0,0,IF($AA$63=$AA$58,0,IF($Z$63=$Z$61,(L198*AE199)+E199,0)))</f>
        <v>0</v>
      </c>
      <c r="AC199" s="479"/>
      <c r="AE199" s="473" t="e">
        <f t="shared" ref="AE199:AE262" si="43">AH199/AJ198</f>
        <v>#N/A</v>
      </c>
      <c r="AF199" s="480" t="e">
        <f t="shared" si="32"/>
        <v>#N/A</v>
      </c>
      <c r="AG199" s="475" t="e">
        <f t="shared" ref="AG199:AG262" si="44">AJ198*$AG$63/12</f>
        <v>#N/A</v>
      </c>
      <c r="AH199" s="476" t="e">
        <f t="shared" ref="AH199:AH262" si="45">AI199-AG199</f>
        <v>#N/A</v>
      </c>
      <c r="AI199" s="475" t="e">
        <f t="shared" si="33"/>
        <v>#N/A</v>
      </c>
      <c r="AJ199" s="307" t="e">
        <f t="shared" ref="AJ199:AJ262" si="46">IF(AJ198&lt;0.001,0,AJ198-AH199)</f>
        <v>#N/A</v>
      </c>
    </row>
    <row r="200" spans="2:36">
      <c r="B200" s="277">
        <f t="shared" si="34"/>
        <v>0</v>
      </c>
      <c r="C200" s="466">
        <f t="shared" si="35"/>
        <v>0</v>
      </c>
      <c r="D200" s="467">
        <f t="shared" ref="D200:D263" si="47">IF(L199&gt;0.01,D199,0)</f>
        <v>0</v>
      </c>
      <c r="E200" s="460">
        <f t="shared" si="36"/>
        <v>0</v>
      </c>
      <c r="F200" s="460">
        <f t="shared" si="37"/>
        <v>0</v>
      </c>
      <c r="G200" s="460">
        <f t="shared" ref="G200:G263" si="48">IF(L199&lt;0.001,0,IF(Z200&gt;0,Z200,MIN(L199+E200,G199*(1+U200))))</f>
        <v>0</v>
      </c>
      <c r="H200" s="460">
        <f>IF(L199&lt;0.01,0,IF($H$68="",0,L199*Adm!$V$3))</f>
        <v>0</v>
      </c>
      <c r="I200" s="460">
        <f>IF(L199&lt;0.01,0,IF($I$68="",0,($G$28*0.7*Adm!$W$3)))</f>
        <v>0</v>
      </c>
      <c r="J200" s="460">
        <f>IF(L199&lt;0.01,0,Adm!$AD$2*1.16)</f>
        <v>0</v>
      </c>
      <c r="K200" s="460">
        <f t="shared" si="38"/>
        <v>0</v>
      </c>
      <c r="L200" s="460">
        <f t="shared" si="39"/>
        <v>0</v>
      </c>
      <c r="M200" s="468"/>
      <c r="T200" s="469">
        <f t="shared" si="40"/>
        <v>11</v>
      </c>
      <c r="U200" s="470">
        <f>IF(T200=1,Adm!$O$2,0)</f>
        <v>0</v>
      </c>
      <c r="Z200" s="477">
        <f t="shared" si="41"/>
        <v>0</v>
      </c>
      <c r="AA200" s="478">
        <f>IF(M199&lt;=0,0,IF($AA$63=$AA$60,0,IF($Z$63=$Z$61,PMT(Adm!$J$2/12,B199,-L199),0)))</f>
        <v>0</v>
      </c>
      <c r="AB200" s="479">
        <f t="shared" si="42"/>
        <v>0</v>
      </c>
      <c r="AC200" s="479"/>
      <c r="AE200" s="473" t="e">
        <f t="shared" si="43"/>
        <v>#N/A</v>
      </c>
      <c r="AF200" s="480" t="e">
        <f t="shared" ref="AF200:AF263" si="49">IF(AJ199&lt;=0,"",AF199+1)</f>
        <v>#N/A</v>
      </c>
      <c r="AG200" s="475" t="e">
        <f t="shared" si="44"/>
        <v>#N/A</v>
      </c>
      <c r="AH200" s="476" t="e">
        <f t="shared" si="45"/>
        <v>#N/A</v>
      </c>
      <c r="AI200" s="475" t="e">
        <f t="shared" ref="AI200:AI263" si="50">MIN(AJ199+AG200,AI199)</f>
        <v>#N/A</v>
      </c>
      <c r="AJ200" s="307" t="e">
        <f t="shared" si="46"/>
        <v>#N/A</v>
      </c>
    </row>
    <row r="201" spans="2:36">
      <c r="B201" s="277">
        <f t="shared" si="34"/>
        <v>0</v>
      </c>
      <c r="C201" s="466">
        <f t="shared" si="35"/>
        <v>0</v>
      </c>
      <c r="D201" s="467">
        <f t="shared" si="47"/>
        <v>0</v>
      </c>
      <c r="E201" s="460">
        <f t="shared" si="36"/>
        <v>0</v>
      </c>
      <c r="F201" s="460">
        <f t="shared" si="37"/>
        <v>0</v>
      </c>
      <c r="G201" s="460">
        <f t="shared" si="48"/>
        <v>0</v>
      </c>
      <c r="H201" s="460">
        <f>IF(L200&lt;0.01,0,IF($H$68="",0,L200*Adm!$V$3))</f>
        <v>0</v>
      </c>
      <c r="I201" s="460">
        <f>IF(L200&lt;0.01,0,IF($I$68="",0,($G$28*0.7*Adm!$W$3)))</f>
        <v>0</v>
      </c>
      <c r="J201" s="460">
        <f>IF(L200&lt;0.01,0,Adm!$AD$2*1.16)</f>
        <v>0</v>
      </c>
      <c r="K201" s="460">
        <f t="shared" si="38"/>
        <v>0</v>
      </c>
      <c r="L201" s="460">
        <f t="shared" si="39"/>
        <v>0</v>
      </c>
      <c r="M201" s="468"/>
      <c r="T201" s="469">
        <f t="shared" si="40"/>
        <v>12</v>
      </c>
      <c r="U201" s="470">
        <f>IF(T201=1,Adm!$O$2,0)</f>
        <v>0</v>
      </c>
      <c r="Z201" s="477">
        <f t="shared" si="41"/>
        <v>0</v>
      </c>
      <c r="AA201" s="478">
        <f>IF(M200&lt;=0,0,IF($AA$63=$AA$60,0,IF($Z$63=$Z$61,PMT(Adm!$J$2/12,B200,-L200),0)))</f>
        <v>0</v>
      </c>
      <c r="AB201" s="479">
        <f t="shared" si="42"/>
        <v>0</v>
      </c>
      <c r="AC201" s="479"/>
      <c r="AE201" s="473" t="e">
        <f t="shared" si="43"/>
        <v>#N/A</v>
      </c>
      <c r="AF201" s="480" t="e">
        <f t="shared" si="49"/>
        <v>#N/A</v>
      </c>
      <c r="AG201" s="475" t="e">
        <f t="shared" si="44"/>
        <v>#N/A</v>
      </c>
      <c r="AH201" s="476" t="e">
        <f t="shared" si="45"/>
        <v>#N/A</v>
      </c>
      <c r="AI201" s="475" t="e">
        <f t="shared" si="50"/>
        <v>#N/A</v>
      </c>
      <c r="AJ201" s="307" t="e">
        <f t="shared" si="46"/>
        <v>#N/A</v>
      </c>
    </row>
    <row r="202" spans="2:36">
      <c r="B202" s="277">
        <f t="shared" si="34"/>
        <v>0</v>
      </c>
      <c r="C202" s="466">
        <f t="shared" si="35"/>
        <v>0</v>
      </c>
      <c r="D202" s="467">
        <f t="shared" si="47"/>
        <v>0</v>
      </c>
      <c r="E202" s="460">
        <f t="shared" si="36"/>
        <v>0</v>
      </c>
      <c r="F202" s="460">
        <f t="shared" si="37"/>
        <v>0</v>
      </c>
      <c r="G202" s="460">
        <f t="shared" si="48"/>
        <v>0</v>
      </c>
      <c r="H202" s="460">
        <f>IF(L201&lt;0.01,0,IF($H$68="",0,L201*Adm!$V$3))</f>
        <v>0</v>
      </c>
      <c r="I202" s="460">
        <f>IF(L201&lt;0.01,0,IF($I$68="",0,($G$28*0.7*Adm!$W$3)))</f>
        <v>0</v>
      </c>
      <c r="J202" s="460">
        <f>IF(L201&lt;0.01,0,Adm!$AD$2*1.16)</f>
        <v>0</v>
      </c>
      <c r="K202" s="460">
        <f t="shared" si="38"/>
        <v>0</v>
      </c>
      <c r="L202" s="460">
        <f t="shared" si="39"/>
        <v>0</v>
      </c>
      <c r="M202" s="468"/>
      <c r="T202" s="469">
        <f t="shared" si="40"/>
        <v>1</v>
      </c>
      <c r="U202" s="470">
        <f>IF(T202=1,Adm!$O$2,0)</f>
        <v>0</v>
      </c>
      <c r="Z202" s="477">
        <f t="shared" si="41"/>
        <v>0</v>
      </c>
      <c r="AA202" s="478">
        <f>IF(M201&lt;=0,0,IF($AA$63=$AA$60,0,IF($Z$63=$Z$61,PMT(Adm!$J$2/12,B201,-L201),0)))</f>
        <v>0</v>
      </c>
      <c r="AB202" s="479">
        <f t="shared" si="42"/>
        <v>0</v>
      </c>
      <c r="AC202" s="479"/>
      <c r="AE202" s="473" t="e">
        <f t="shared" si="43"/>
        <v>#N/A</v>
      </c>
      <c r="AF202" s="480" t="e">
        <f t="shared" si="49"/>
        <v>#N/A</v>
      </c>
      <c r="AG202" s="475" t="e">
        <f t="shared" si="44"/>
        <v>#N/A</v>
      </c>
      <c r="AH202" s="476" t="e">
        <f t="shared" si="45"/>
        <v>#N/A</v>
      </c>
      <c r="AI202" s="481" t="e">
        <f>MIN(AJ201+AG202,AI201*(1+$AG$65))</f>
        <v>#N/A</v>
      </c>
      <c r="AJ202" s="307" t="e">
        <f t="shared" si="46"/>
        <v>#N/A</v>
      </c>
    </row>
    <row r="203" spans="2:36">
      <c r="B203" s="277">
        <f t="shared" si="34"/>
        <v>0</v>
      </c>
      <c r="C203" s="466">
        <f t="shared" si="35"/>
        <v>0</v>
      </c>
      <c r="D203" s="467">
        <f t="shared" si="47"/>
        <v>0</v>
      </c>
      <c r="E203" s="460">
        <f t="shared" si="36"/>
        <v>0</v>
      </c>
      <c r="F203" s="460">
        <f t="shared" si="37"/>
        <v>0</v>
      </c>
      <c r="G203" s="460">
        <f t="shared" si="48"/>
        <v>0</v>
      </c>
      <c r="H203" s="460">
        <f>IF(L202&lt;0.01,0,IF($H$68="",0,L202*Adm!$V$3))</f>
        <v>0</v>
      </c>
      <c r="I203" s="460">
        <f>IF(L202&lt;0.01,0,IF($I$68="",0,($G$28*0.7*Adm!$W$3)))</f>
        <v>0</v>
      </c>
      <c r="J203" s="460">
        <f>IF(L202&lt;0.01,0,Adm!$AD$2*1.16)</f>
        <v>0</v>
      </c>
      <c r="K203" s="460">
        <f t="shared" si="38"/>
        <v>0</v>
      </c>
      <c r="L203" s="460">
        <f t="shared" si="39"/>
        <v>0</v>
      </c>
      <c r="M203" s="468"/>
      <c r="T203" s="469">
        <f t="shared" si="40"/>
        <v>2</v>
      </c>
      <c r="U203" s="470">
        <f>IF(T203=1,Adm!$O$2,0)</f>
        <v>0</v>
      </c>
      <c r="Z203" s="477">
        <f t="shared" si="41"/>
        <v>0</v>
      </c>
      <c r="AA203" s="478">
        <f>IF(M202&lt;=0,0,IF($AA$63=$AA$60,0,IF($Z$63=$Z$61,PMT(Adm!$J$2/12,B202,-L202),0)))</f>
        <v>0</v>
      </c>
      <c r="AB203" s="479">
        <f t="shared" si="42"/>
        <v>0</v>
      </c>
      <c r="AC203" s="479"/>
      <c r="AE203" s="473" t="e">
        <f t="shared" si="43"/>
        <v>#N/A</v>
      </c>
      <c r="AF203" s="480" t="e">
        <f t="shared" si="49"/>
        <v>#N/A</v>
      </c>
      <c r="AG203" s="475" t="e">
        <f t="shared" si="44"/>
        <v>#N/A</v>
      </c>
      <c r="AH203" s="476" t="e">
        <f t="shared" si="45"/>
        <v>#N/A</v>
      </c>
      <c r="AI203" s="475" t="e">
        <f t="shared" si="50"/>
        <v>#N/A</v>
      </c>
      <c r="AJ203" s="307" t="e">
        <f t="shared" si="46"/>
        <v>#N/A</v>
      </c>
    </row>
    <row r="204" spans="2:36">
      <c r="B204" s="277">
        <f t="shared" si="34"/>
        <v>0</v>
      </c>
      <c r="C204" s="466">
        <f t="shared" si="35"/>
        <v>0</v>
      </c>
      <c r="D204" s="467">
        <f t="shared" si="47"/>
        <v>0</v>
      </c>
      <c r="E204" s="460">
        <f t="shared" si="36"/>
        <v>0</v>
      </c>
      <c r="F204" s="460">
        <f t="shared" si="37"/>
        <v>0</v>
      </c>
      <c r="G204" s="460">
        <f t="shared" si="48"/>
        <v>0</v>
      </c>
      <c r="H204" s="460">
        <f>IF(L203&lt;0.01,0,IF($H$68="",0,L203*Adm!$V$3))</f>
        <v>0</v>
      </c>
      <c r="I204" s="460">
        <f>IF(L203&lt;0.01,0,IF($I$68="",0,($G$28*0.7*Adm!$W$3)))</f>
        <v>0</v>
      </c>
      <c r="J204" s="460">
        <f>IF(L203&lt;0.01,0,Adm!$AD$2*1.16)</f>
        <v>0</v>
      </c>
      <c r="K204" s="460">
        <f t="shared" si="38"/>
        <v>0</v>
      </c>
      <c r="L204" s="460">
        <f t="shared" si="39"/>
        <v>0</v>
      </c>
      <c r="M204" s="468"/>
      <c r="T204" s="469">
        <f t="shared" si="40"/>
        <v>3</v>
      </c>
      <c r="U204" s="470">
        <f>IF(T204=1,Adm!$O$2,0)</f>
        <v>0</v>
      </c>
      <c r="Z204" s="477">
        <f t="shared" si="41"/>
        <v>0</v>
      </c>
      <c r="AA204" s="478">
        <f>IF(M203&lt;=0,0,IF($AA$63=$AA$60,0,IF($Z$63=$Z$61,PMT(Adm!$J$2/12,B203,-L203),0)))</f>
        <v>0</v>
      </c>
      <c r="AB204" s="479">
        <f t="shared" si="42"/>
        <v>0</v>
      </c>
      <c r="AC204" s="479"/>
      <c r="AE204" s="473" t="e">
        <f t="shared" si="43"/>
        <v>#N/A</v>
      </c>
      <c r="AF204" s="480" t="e">
        <f t="shared" si="49"/>
        <v>#N/A</v>
      </c>
      <c r="AG204" s="475" t="e">
        <f t="shared" si="44"/>
        <v>#N/A</v>
      </c>
      <c r="AH204" s="476" t="e">
        <f t="shared" si="45"/>
        <v>#N/A</v>
      </c>
      <c r="AI204" s="475" t="e">
        <f t="shared" si="50"/>
        <v>#N/A</v>
      </c>
      <c r="AJ204" s="307" t="e">
        <f t="shared" si="46"/>
        <v>#N/A</v>
      </c>
    </row>
    <row r="205" spans="2:36">
      <c r="B205" s="277">
        <f t="shared" si="34"/>
        <v>0</v>
      </c>
      <c r="C205" s="466">
        <f t="shared" si="35"/>
        <v>0</v>
      </c>
      <c r="D205" s="467">
        <f t="shared" si="47"/>
        <v>0</v>
      </c>
      <c r="E205" s="460">
        <f t="shared" si="36"/>
        <v>0</v>
      </c>
      <c r="F205" s="460">
        <f t="shared" si="37"/>
        <v>0</v>
      </c>
      <c r="G205" s="460">
        <f t="shared" si="48"/>
        <v>0</v>
      </c>
      <c r="H205" s="460">
        <f>IF(L204&lt;0.01,0,IF($H$68="",0,L204*Adm!$V$3))</f>
        <v>0</v>
      </c>
      <c r="I205" s="460">
        <f>IF(L204&lt;0.01,0,IF($I$68="",0,($G$28*0.7*Adm!$W$3)))</f>
        <v>0</v>
      </c>
      <c r="J205" s="460">
        <f>IF(L204&lt;0.01,0,Adm!$AD$2*1.16)</f>
        <v>0</v>
      </c>
      <c r="K205" s="460">
        <f t="shared" si="38"/>
        <v>0</v>
      </c>
      <c r="L205" s="460">
        <f t="shared" si="39"/>
        <v>0</v>
      </c>
      <c r="M205" s="468"/>
      <c r="T205" s="469">
        <f t="shared" si="40"/>
        <v>4</v>
      </c>
      <c r="U205" s="470">
        <f>IF(T205=1,Adm!$O$2,0)</f>
        <v>0</v>
      </c>
      <c r="Z205" s="477">
        <f t="shared" si="41"/>
        <v>0</v>
      </c>
      <c r="AA205" s="478">
        <f>IF(M204&lt;=0,0,IF($AA$63=$AA$60,0,IF($Z$63=$Z$61,PMT(Adm!$J$2/12,B204,-L204),0)))</f>
        <v>0</v>
      </c>
      <c r="AB205" s="479">
        <f t="shared" si="42"/>
        <v>0</v>
      </c>
      <c r="AC205" s="479"/>
      <c r="AE205" s="473" t="e">
        <f t="shared" si="43"/>
        <v>#N/A</v>
      </c>
      <c r="AF205" s="480" t="e">
        <f t="shared" si="49"/>
        <v>#N/A</v>
      </c>
      <c r="AG205" s="475" t="e">
        <f t="shared" si="44"/>
        <v>#N/A</v>
      </c>
      <c r="AH205" s="476" t="e">
        <f t="shared" si="45"/>
        <v>#N/A</v>
      </c>
      <c r="AI205" s="475" t="e">
        <f t="shared" si="50"/>
        <v>#N/A</v>
      </c>
      <c r="AJ205" s="307" t="e">
        <f t="shared" si="46"/>
        <v>#N/A</v>
      </c>
    </row>
    <row r="206" spans="2:36">
      <c r="B206" s="277">
        <f t="shared" si="34"/>
        <v>0</v>
      </c>
      <c r="C206" s="466">
        <f t="shared" si="35"/>
        <v>0</v>
      </c>
      <c r="D206" s="467">
        <f t="shared" si="47"/>
        <v>0</v>
      </c>
      <c r="E206" s="460">
        <f t="shared" si="36"/>
        <v>0</v>
      </c>
      <c r="F206" s="460">
        <f t="shared" si="37"/>
        <v>0</v>
      </c>
      <c r="G206" s="460">
        <f t="shared" si="48"/>
        <v>0</v>
      </c>
      <c r="H206" s="460">
        <f>IF(L205&lt;0.01,0,IF($H$68="",0,L205*Adm!$V$3))</f>
        <v>0</v>
      </c>
      <c r="I206" s="460">
        <f>IF(L205&lt;0.01,0,IF($I$68="",0,($G$28*0.7*Adm!$W$3)))</f>
        <v>0</v>
      </c>
      <c r="J206" s="460">
        <f>IF(L205&lt;0.01,0,Adm!$AD$2*1.16)</f>
        <v>0</v>
      </c>
      <c r="K206" s="460">
        <f t="shared" si="38"/>
        <v>0</v>
      </c>
      <c r="L206" s="460">
        <f t="shared" si="39"/>
        <v>0</v>
      </c>
      <c r="M206" s="468"/>
      <c r="T206" s="469">
        <f t="shared" si="40"/>
        <v>5</v>
      </c>
      <c r="U206" s="470">
        <f>IF(T206=1,Adm!$O$2,0)</f>
        <v>0</v>
      </c>
      <c r="Z206" s="477">
        <f t="shared" si="41"/>
        <v>0</v>
      </c>
      <c r="AA206" s="478">
        <f>IF(M205&lt;=0,0,IF($AA$63=$AA$60,0,IF($Z$63=$Z$61,PMT(Adm!$J$2/12,B205,-L205),0)))</f>
        <v>0</v>
      </c>
      <c r="AB206" s="479">
        <f t="shared" si="42"/>
        <v>0</v>
      </c>
      <c r="AC206" s="479"/>
      <c r="AE206" s="473" t="e">
        <f t="shared" si="43"/>
        <v>#N/A</v>
      </c>
      <c r="AF206" s="480" t="e">
        <f t="shared" si="49"/>
        <v>#N/A</v>
      </c>
      <c r="AG206" s="475" t="e">
        <f t="shared" si="44"/>
        <v>#N/A</v>
      </c>
      <c r="AH206" s="476" t="e">
        <f t="shared" si="45"/>
        <v>#N/A</v>
      </c>
      <c r="AI206" s="475" t="e">
        <f t="shared" si="50"/>
        <v>#N/A</v>
      </c>
      <c r="AJ206" s="307" t="e">
        <f t="shared" si="46"/>
        <v>#N/A</v>
      </c>
    </row>
    <row r="207" spans="2:36">
      <c r="B207" s="277">
        <f t="shared" si="34"/>
        <v>0</v>
      </c>
      <c r="C207" s="466">
        <f t="shared" si="35"/>
        <v>0</v>
      </c>
      <c r="D207" s="467">
        <f t="shared" si="47"/>
        <v>0</v>
      </c>
      <c r="E207" s="460">
        <f t="shared" si="36"/>
        <v>0</v>
      </c>
      <c r="F207" s="460">
        <f t="shared" si="37"/>
        <v>0</v>
      </c>
      <c r="G207" s="460">
        <f t="shared" si="48"/>
        <v>0</v>
      </c>
      <c r="H207" s="460">
        <f>IF(L206&lt;0.01,0,IF($H$68="",0,L206*Adm!$V$3))</f>
        <v>0</v>
      </c>
      <c r="I207" s="460">
        <f>IF(L206&lt;0.01,0,IF($I$68="",0,($G$28*0.7*Adm!$W$3)))</f>
        <v>0</v>
      </c>
      <c r="J207" s="460">
        <f>IF(L206&lt;0.01,0,Adm!$AD$2*1.16)</f>
        <v>0</v>
      </c>
      <c r="K207" s="460">
        <f t="shared" si="38"/>
        <v>0</v>
      </c>
      <c r="L207" s="460">
        <f t="shared" si="39"/>
        <v>0</v>
      </c>
      <c r="M207" s="468"/>
      <c r="T207" s="469">
        <f t="shared" si="40"/>
        <v>6</v>
      </c>
      <c r="U207" s="470">
        <f>IF(T207=1,Adm!$O$2,0)</f>
        <v>0</v>
      </c>
      <c r="Z207" s="477">
        <f t="shared" si="41"/>
        <v>0</v>
      </c>
      <c r="AA207" s="478">
        <f>IF(M206&lt;=0,0,IF($AA$63=$AA$60,0,IF($Z$63=$Z$61,PMT(Adm!$J$2/12,B206,-L206),0)))</f>
        <v>0</v>
      </c>
      <c r="AB207" s="479">
        <f t="shared" si="42"/>
        <v>0</v>
      </c>
      <c r="AC207" s="479"/>
      <c r="AE207" s="473" t="e">
        <f t="shared" si="43"/>
        <v>#N/A</v>
      </c>
      <c r="AF207" s="480" t="e">
        <f t="shared" si="49"/>
        <v>#N/A</v>
      </c>
      <c r="AG207" s="475" t="e">
        <f t="shared" si="44"/>
        <v>#N/A</v>
      </c>
      <c r="AH207" s="476" t="e">
        <f t="shared" si="45"/>
        <v>#N/A</v>
      </c>
      <c r="AI207" s="475" t="e">
        <f t="shared" si="50"/>
        <v>#N/A</v>
      </c>
      <c r="AJ207" s="307" t="e">
        <f t="shared" si="46"/>
        <v>#N/A</v>
      </c>
    </row>
    <row r="208" spans="2:36">
      <c r="B208" s="277">
        <f t="shared" si="34"/>
        <v>0</v>
      </c>
      <c r="C208" s="466">
        <f t="shared" si="35"/>
        <v>0</v>
      </c>
      <c r="D208" s="467">
        <f t="shared" si="47"/>
        <v>0</v>
      </c>
      <c r="E208" s="460">
        <f t="shared" si="36"/>
        <v>0</v>
      </c>
      <c r="F208" s="460">
        <f t="shared" si="37"/>
        <v>0</v>
      </c>
      <c r="G208" s="460">
        <f t="shared" si="48"/>
        <v>0</v>
      </c>
      <c r="H208" s="460">
        <f>IF(L207&lt;0.01,0,IF($H$68="",0,L207*Adm!$V$3))</f>
        <v>0</v>
      </c>
      <c r="I208" s="460">
        <f>IF(L207&lt;0.01,0,IF($I$68="",0,($G$28*0.7*Adm!$W$3)))</f>
        <v>0</v>
      </c>
      <c r="J208" s="460">
        <f>IF(L207&lt;0.01,0,Adm!$AD$2*1.16)</f>
        <v>0</v>
      </c>
      <c r="K208" s="460">
        <f t="shared" si="38"/>
        <v>0</v>
      </c>
      <c r="L208" s="460">
        <f t="shared" si="39"/>
        <v>0</v>
      </c>
      <c r="M208" s="468"/>
      <c r="T208" s="469">
        <f t="shared" si="40"/>
        <v>7</v>
      </c>
      <c r="U208" s="470">
        <f>IF(T208=1,Adm!$O$2,0)</f>
        <v>0</v>
      </c>
      <c r="Z208" s="477">
        <f t="shared" si="41"/>
        <v>0</v>
      </c>
      <c r="AA208" s="478">
        <f>IF(M207&lt;=0,0,IF($AA$63=$AA$60,0,IF($Z$63=$Z$61,PMT(Adm!$J$2/12,B207,-L207),0)))</f>
        <v>0</v>
      </c>
      <c r="AB208" s="479">
        <f t="shared" si="42"/>
        <v>0</v>
      </c>
      <c r="AC208" s="479"/>
      <c r="AE208" s="473" t="e">
        <f t="shared" si="43"/>
        <v>#N/A</v>
      </c>
      <c r="AF208" s="480" t="e">
        <f t="shared" si="49"/>
        <v>#N/A</v>
      </c>
      <c r="AG208" s="475" t="e">
        <f t="shared" si="44"/>
        <v>#N/A</v>
      </c>
      <c r="AH208" s="476" t="e">
        <f t="shared" si="45"/>
        <v>#N/A</v>
      </c>
      <c r="AI208" s="475" t="e">
        <f t="shared" si="50"/>
        <v>#N/A</v>
      </c>
      <c r="AJ208" s="307" t="e">
        <f t="shared" si="46"/>
        <v>#N/A</v>
      </c>
    </row>
    <row r="209" spans="2:36">
      <c r="B209" s="277">
        <f t="shared" si="34"/>
        <v>0</v>
      </c>
      <c r="C209" s="466">
        <f t="shared" si="35"/>
        <v>0</v>
      </c>
      <c r="D209" s="467">
        <f t="shared" si="47"/>
        <v>0</v>
      </c>
      <c r="E209" s="460">
        <f t="shared" si="36"/>
        <v>0</v>
      </c>
      <c r="F209" s="460">
        <f t="shared" si="37"/>
        <v>0</v>
      </c>
      <c r="G209" s="460">
        <f t="shared" si="48"/>
        <v>0</v>
      </c>
      <c r="H209" s="460">
        <f>IF(L208&lt;0.01,0,IF($H$68="",0,L208*Adm!$V$3))</f>
        <v>0</v>
      </c>
      <c r="I209" s="460">
        <f>IF(L208&lt;0.01,0,IF($I$68="",0,($G$28*0.7*Adm!$W$3)))</f>
        <v>0</v>
      </c>
      <c r="J209" s="460">
        <f>IF(L208&lt;0.01,0,Adm!$AD$2*1.16)</f>
        <v>0</v>
      </c>
      <c r="K209" s="460">
        <f t="shared" si="38"/>
        <v>0</v>
      </c>
      <c r="L209" s="460">
        <f t="shared" si="39"/>
        <v>0</v>
      </c>
      <c r="M209" s="468"/>
      <c r="T209" s="469">
        <f t="shared" si="40"/>
        <v>8</v>
      </c>
      <c r="U209" s="470">
        <f>IF(T209=1,Adm!$O$2,0)</f>
        <v>0</v>
      </c>
      <c r="Z209" s="477">
        <f t="shared" si="41"/>
        <v>0</v>
      </c>
      <c r="AA209" s="478">
        <f>IF(M208&lt;=0,0,IF($AA$63=$AA$60,0,IF($Z$63=$Z$61,PMT(Adm!$J$2/12,B208,-L208),0)))</f>
        <v>0</v>
      </c>
      <c r="AB209" s="479">
        <f t="shared" si="42"/>
        <v>0</v>
      </c>
      <c r="AC209" s="479"/>
      <c r="AE209" s="473" t="e">
        <f t="shared" si="43"/>
        <v>#N/A</v>
      </c>
      <c r="AF209" s="480" t="e">
        <f t="shared" si="49"/>
        <v>#N/A</v>
      </c>
      <c r="AG209" s="475" t="e">
        <f t="shared" si="44"/>
        <v>#N/A</v>
      </c>
      <c r="AH209" s="476" t="e">
        <f t="shared" si="45"/>
        <v>#N/A</v>
      </c>
      <c r="AI209" s="475" t="e">
        <f t="shared" si="50"/>
        <v>#N/A</v>
      </c>
      <c r="AJ209" s="307" t="e">
        <f t="shared" si="46"/>
        <v>#N/A</v>
      </c>
    </row>
    <row r="210" spans="2:36">
      <c r="B210" s="277">
        <f t="shared" si="34"/>
        <v>0</v>
      </c>
      <c r="C210" s="466">
        <f t="shared" si="35"/>
        <v>0</v>
      </c>
      <c r="D210" s="467">
        <f t="shared" si="47"/>
        <v>0</v>
      </c>
      <c r="E210" s="460">
        <f t="shared" si="36"/>
        <v>0</v>
      </c>
      <c r="F210" s="460">
        <f t="shared" si="37"/>
        <v>0</v>
      </c>
      <c r="G210" s="460">
        <f t="shared" si="48"/>
        <v>0</v>
      </c>
      <c r="H210" s="460">
        <f>IF(L209&lt;0.01,0,IF($H$68="",0,L209*Adm!$V$3))</f>
        <v>0</v>
      </c>
      <c r="I210" s="460">
        <f>IF(L209&lt;0.01,0,IF($I$68="",0,($G$28*0.7*Adm!$W$3)))</f>
        <v>0</v>
      </c>
      <c r="J210" s="460">
        <f>IF(L209&lt;0.01,0,Adm!$AD$2*1.16)</f>
        <v>0</v>
      </c>
      <c r="K210" s="460">
        <f t="shared" si="38"/>
        <v>0</v>
      </c>
      <c r="L210" s="460">
        <f t="shared" si="39"/>
        <v>0</v>
      </c>
      <c r="M210" s="468"/>
      <c r="T210" s="469">
        <f t="shared" si="40"/>
        <v>9</v>
      </c>
      <c r="U210" s="470">
        <f>IF(T210=1,Adm!$O$2,0)</f>
        <v>0</v>
      </c>
      <c r="Z210" s="477">
        <f t="shared" si="41"/>
        <v>0</v>
      </c>
      <c r="AA210" s="478">
        <f>IF(M209&lt;=0,0,IF($AA$63=$AA$60,0,IF($Z$63=$Z$61,PMT(Adm!$J$2/12,B209,-L209),0)))</f>
        <v>0</v>
      </c>
      <c r="AB210" s="479">
        <f t="shared" si="42"/>
        <v>0</v>
      </c>
      <c r="AC210" s="479"/>
      <c r="AE210" s="473" t="e">
        <f t="shared" si="43"/>
        <v>#N/A</v>
      </c>
      <c r="AF210" s="480" t="e">
        <f t="shared" si="49"/>
        <v>#N/A</v>
      </c>
      <c r="AG210" s="475" t="e">
        <f t="shared" si="44"/>
        <v>#N/A</v>
      </c>
      <c r="AH210" s="476" t="e">
        <f t="shared" si="45"/>
        <v>#N/A</v>
      </c>
      <c r="AI210" s="475" t="e">
        <f t="shared" si="50"/>
        <v>#N/A</v>
      </c>
      <c r="AJ210" s="307" t="e">
        <f t="shared" si="46"/>
        <v>#N/A</v>
      </c>
    </row>
    <row r="211" spans="2:36">
      <c r="B211" s="277">
        <f t="shared" si="34"/>
        <v>0</v>
      </c>
      <c r="C211" s="466">
        <f t="shared" si="35"/>
        <v>0</v>
      </c>
      <c r="D211" s="467">
        <f t="shared" si="47"/>
        <v>0</v>
      </c>
      <c r="E211" s="460">
        <f t="shared" si="36"/>
        <v>0</v>
      </c>
      <c r="F211" s="460">
        <f t="shared" si="37"/>
        <v>0</v>
      </c>
      <c r="G211" s="460">
        <f t="shared" si="48"/>
        <v>0</v>
      </c>
      <c r="H211" s="460">
        <f>IF(L210&lt;0.01,0,IF($H$68="",0,L210*Adm!$V$3))</f>
        <v>0</v>
      </c>
      <c r="I211" s="460">
        <f>IF(L210&lt;0.01,0,IF($I$68="",0,($G$28*0.7*Adm!$W$3)))</f>
        <v>0</v>
      </c>
      <c r="J211" s="460">
        <f>IF(L210&lt;0.01,0,Adm!$AD$2*1.16)</f>
        <v>0</v>
      </c>
      <c r="K211" s="460">
        <f t="shared" si="38"/>
        <v>0</v>
      </c>
      <c r="L211" s="460">
        <f t="shared" si="39"/>
        <v>0</v>
      </c>
      <c r="M211" s="468"/>
      <c r="T211" s="469">
        <f t="shared" si="40"/>
        <v>10</v>
      </c>
      <c r="U211" s="470">
        <f>IF(T211=1,Adm!$O$2,0)</f>
        <v>0</v>
      </c>
      <c r="Z211" s="477">
        <f t="shared" si="41"/>
        <v>0</v>
      </c>
      <c r="AA211" s="478">
        <f>IF(M210&lt;=0,0,IF($AA$63=$AA$60,0,IF($Z$63=$Z$61,PMT(Adm!$J$2/12,B210,-L210),0)))</f>
        <v>0</v>
      </c>
      <c r="AB211" s="479">
        <f t="shared" si="42"/>
        <v>0</v>
      </c>
      <c r="AC211" s="479"/>
      <c r="AE211" s="473" t="e">
        <f t="shared" si="43"/>
        <v>#N/A</v>
      </c>
      <c r="AF211" s="480" t="e">
        <f t="shared" si="49"/>
        <v>#N/A</v>
      </c>
      <c r="AG211" s="475" t="e">
        <f t="shared" si="44"/>
        <v>#N/A</v>
      </c>
      <c r="AH211" s="476" t="e">
        <f t="shared" si="45"/>
        <v>#N/A</v>
      </c>
      <c r="AI211" s="475" t="e">
        <f t="shared" si="50"/>
        <v>#N/A</v>
      </c>
      <c r="AJ211" s="307" t="e">
        <f t="shared" si="46"/>
        <v>#N/A</v>
      </c>
    </row>
    <row r="212" spans="2:36">
      <c r="B212" s="277">
        <f t="shared" si="34"/>
        <v>0</v>
      </c>
      <c r="C212" s="466">
        <f t="shared" si="35"/>
        <v>0</v>
      </c>
      <c r="D212" s="467">
        <f t="shared" si="47"/>
        <v>0</v>
      </c>
      <c r="E212" s="460">
        <f t="shared" si="36"/>
        <v>0</v>
      </c>
      <c r="F212" s="460">
        <f t="shared" si="37"/>
        <v>0</v>
      </c>
      <c r="G212" s="460">
        <f t="shared" si="48"/>
        <v>0</v>
      </c>
      <c r="H212" s="460">
        <f>IF(L211&lt;0.01,0,IF($H$68="",0,L211*Adm!$V$3))</f>
        <v>0</v>
      </c>
      <c r="I212" s="460">
        <f>IF(L211&lt;0.01,0,IF($I$68="",0,($G$28*0.7*Adm!$W$3)))</f>
        <v>0</v>
      </c>
      <c r="J212" s="460">
        <f>IF(L211&lt;0.01,0,Adm!$AD$2*1.16)</f>
        <v>0</v>
      </c>
      <c r="K212" s="460">
        <f t="shared" si="38"/>
        <v>0</v>
      </c>
      <c r="L212" s="460">
        <f t="shared" si="39"/>
        <v>0</v>
      </c>
      <c r="M212" s="468"/>
      <c r="T212" s="469">
        <f t="shared" si="40"/>
        <v>11</v>
      </c>
      <c r="U212" s="470">
        <f>IF(T212=1,Adm!$O$2,0)</f>
        <v>0</v>
      </c>
      <c r="Z212" s="477">
        <f t="shared" si="41"/>
        <v>0</v>
      </c>
      <c r="AA212" s="478">
        <f>IF(M211&lt;=0,0,IF($AA$63=$AA$60,0,IF($Z$63=$Z$61,PMT(Adm!$J$2/12,B211,-L211),0)))</f>
        <v>0</v>
      </c>
      <c r="AB212" s="479">
        <f t="shared" si="42"/>
        <v>0</v>
      </c>
      <c r="AC212" s="479"/>
      <c r="AE212" s="473" t="e">
        <f t="shared" si="43"/>
        <v>#N/A</v>
      </c>
      <c r="AF212" s="480" t="e">
        <f t="shared" si="49"/>
        <v>#N/A</v>
      </c>
      <c r="AG212" s="475" t="e">
        <f t="shared" si="44"/>
        <v>#N/A</v>
      </c>
      <c r="AH212" s="476" t="e">
        <f t="shared" si="45"/>
        <v>#N/A</v>
      </c>
      <c r="AI212" s="475" t="e">
        <f t="shared" si="50"/>
        <v>#N/A</v>
      </c>
      <c r="AJ212" s="307" t="e">
        <f t="shared" si="46"/>
        <v>#N/A</v>
      </c>
    </row>
    <row r="213" spans="2:36">
      <c r="B213" s="277">
        <f t="shared" si="34"/>
        <v>0</v>
      </c>
      <c r="C213" s="466">
        <f t="shared" si="35"/>
        <v>0</v>
      </c>
      <c r="D213" s="467">
        <f t="shared" si="47"/>
        <v>0</v>
      </c>
      <c r="E213" s="460">
        <f t="shared" si="36"/>
        <v>0</v>
      </c>
      <c r="F213" s="460">
        <f t="shared" si="37"/>
        <v>0</v>
      </c>
      <c r="G213" s="460">
        <f t="shared" si="48"/>
        <v>0</v>
      </c>
      <c r="H213" s="460">
        <f>IF(L212&lt;0.01,0,IF($H$68="",0,L212*Adm!$V$3))</f>
        <v>0</v>
      </c>
      <c r="I213" s="460">
        <f>IF(L212&lt;0.01,0,IF($I$68="",0,($G$28*0.7*Adm!$W$3)))</f>
        <v>0</v>
      </c>
      <c r="J213" s="460">
        <f>IF(L212&lt;0.01,0,Adm!$AD$2*1.16)</f>
        <v>0</v>
      </c>
      <c r="K213" s="460">
        <f t="shared" si="38"/>
        <v>0</v>
      </c>
      <c r="L213" s="460">
        <f t="shared" si="39"/>
        <v>0</v>
      </c>
      <c r="M213" s="468"/>
      <c r="T213" s="469">
        <f t="shared" si="40"/>
        <v>12</v>
      </c>
      <c r="U213" s="470">
        <f>IF(T213=1,Adm!$O$2,0)</f>
        <v>0</v>
      </c>
      <c r="Z213" s="477">
        <f t="shared" si="41"/>
        <v>0</v>
      </c>
      <c r="AA213" s="478">
        <f>IF(M212&lt;=0,0,IF($AA$63=$AA$60,0,IF($Z$63=$Z$61,PMT(Adm!$J$2/12,B212,-L212),0)))</f>
        <v>0</v>
      </c>
      <c r="AB213" s="479">
        <f t="shared" si="42"/>
        <v>0</v>
      </c>
      <c r="AC213" s="479"/>
      <c r="AE213" s="473" t="e">
        <f t="shared" si="43"/>
        <v>#N/A</v>
      </c>
      <c r="AF213" s="480" t="e">
        <f t="shared" si="49"/>
        <v>#N/A</v>
      </c>
      <c r="AG213" s="475" t="e">
        <f t="shared" si="44"/>
        <v>#N/A</v>
      </c>
      <c r="AH213" s="476" t="e">
        <f t="shared" si="45"/>
        <v>#N/A</v>
      </c>
      <c r="AI213" s="475" t="e">
        <f t="shared" si="50"/>
        <v>#N/A</v>
      </c>
      <c r="AJ213" s="307" t="e">
        <f t="shared" si="46"/>
        <v>#N/A</v>
      </c>
    </row>
    <row r="214" spans="2:36">
      <c r="B214" s="277">
        <f t="shared" si="34"/>
        <v>0</v>
      </c>
      <c r="C214" s="466">
        <f t="shared" si="35"/>
        <v>0</v>
      </c>
      <c r="D214" s="467">
        <f t="shared" si="47"/>
        <v>0</v>
      </c>
      <c r="E214" s="460">
        <f t="shared" si="36"/>
        <v>0</v>
      </c>
      <c r="F214" s="460">
        <f t="shared" si="37"/>
        <v>0</v>
      </c>
      <c r="G214" s="460">
        <f t="shared" si="48"/>
        <v>0</v>
      </c>
      <c r="H214" s="460">
        <f>IF(L213&lt;0.01,0,IF($H$68="",0,L213*Adm!$V$3))</f>
        <v>0</v>
      </c>
      <c r="I214" s="460">
        <f>IF(L213&lt;0.01,0,IF($I$68="",0,($G$28*0.7*Adm!$W$3)))</f>
        <v>0</v>
      </c>
      <c r="J214" s="460">
        <f>IF(L213&lt;0.01,0,Adm!$AD$2*1.16)</f>
        <v>0</v>
      </c>
      <c r="K214" s="460">
        <f t="shared" si="38"/>
        <v>0</v>
      </c>
      <c r="L214" s="460">
        <f t="shared" si="39"/>
        <v>0</v>
      </c>
      <c r="M214" s="468"/>
      <c r="T214" s="469">
        <f t="shared" si="40"/>
        <v>1</v>
      </c>
      <c r="U214" s="470">
        <f>IF(T214=1,Adm!$O$2,0)</f>
        <v>0</v>
      </c>
      <c r="Z214" s="477">
        <f t="shared" si="41"/>
        <v>0</v>
      </c>
      <c r="AA214" s="478">
        <f>IF(M213&lt;=0,0,IF($AA$63=$AA$60,0,IF($Z$63=$Z$61,PMT(Adm!$J$2/12,B213,-L213),0)))</f>
        <v>0</v>
      </c>
      <c r="AB214" s="479">
        <f t="shared" si="42"/>
        <v>0</v>
      </c>
      <c r="AC214" s="479"/>
      <c r="AE214" s="473" t="e">
        <f t="shared" si="43"/>
        <v>#N/A</v>
      </c>
      <c r="AF214" s="480" t="e">
        <f t="shared" si="49"/>
        <v>#N/A</v>
      </c>
      <c r="AG214" s="475" t="e">
        <f t="shared" si="44"/>
        <v>#N/A</v>
      </c>
      <c r="AH214" s="476" t="e">
        <f t="shared" si="45"/>
        <v>#N/A</v>
      </c>
      <c r="AI214" s="481" t="e">
        <f>MIN(AJ213+AG214,AI213*(1+$AG$65))</f>
        <v>#N/A</v>
      </c>
      <c r="AJ214" s="307" t="e">
        <f t="shared" si="46"/>
        <v>#N/A</v>
      </c>
    </row>
    <row r="215" spans="2:36">
      <c r="B215" s="277">
        <f t="shared" si="34"/>
        <v>0</v>
      </c>
      <c r="C215" s="466">
        <f t="shared" si="35"/>
        <v>0</v>
      </c>
      <c r="D215" s="467">
        <f t="shared" si="47"/>
        <v>0</v>
      </c>
      <c r="E215" s="460">
        <f t="shared" si="36"/>
        <v>0</v>
      </c>
      <c r="F215" s="460">
        <f t="shared" si="37"/>
        <v>0</v>
      </c>
      <c r="G215" s="460">
        <f t="shared" si="48"/>
        <v>0</v>
      </c>
      <c r="H215" s="460">
        <f>IF(L214&lt;0.01,0,IF($H$68="",0,L214*Adm!$V$3))</f>
        <v>0</v>
      </c>
      <c r="I215" s="460">
        <f>IF(L214&lt;0.01,0,IF($I$68="",0,($G$28*0.7*Adm!$W$3)))</f>
        <v>0</v>
      </c>
      <c r="J215" s="460">
        <f>IF(L214&lt;0.01,0,Adm!$AD$2*1.16)</f>
        <v>0</v>
      </c>
      <c r="K215" s="460">
        <f t="shared" si="38"/>
        <v>0</v>
      </c>
      <c r="L215" s="460">
        <f t="shared" si="39"/>
        <v>0</v>
      </c>
      <c r="M215" s="468"/>
      <c r="T215" s="469">
        <f t="shared" si="40"/>
        <v>2</v>
      </c>
      <c r="U215" s="470">
        <f>IF(T215=1,Adm!$O$2,0)</f>
        <v>0</v>
      </c>
      <c r="Z215" s="477">
        <f t="shared" si="41"/>
        <v>0</v>
      </c>
      <c r="AA215" s="478">
        <f>IF(M214&lt;=0,0,IF($AA$63=$AA$60,0,IF($Z$63=$Z$61,PMT(Adm!$J$2/12,B214,-L214),0)))</f>
        <v>0</v>
      </c>
      <c r="AB215" s="479">
        <f t="shared" si="42"/>
        <v>0</v>
      </c>
      <c r="AC215" s="479"/>
      <c r="AE215" s="473" t="e">
        <f t="shared" si="43"/>
        <v>#N/A</v>
      </c>
      <c r="AF215" s="480" t="e">
        <f t="shared" si="49"/>
        <v>#N/A</v>
      </c>
      <c r="AG215" s="475" t="e">
        <f t="shared" si="44"/>
        <v>#N/A</v>
      </c>
      <c r="AH215" s="476" t="e">
        <f t="shared" si="45"/>
        <v>#N/A</v>
      </c>
      <c r="AI215" s="475" t="e">
        <f t="shared" si="50"/>
        <v>#N/A</v>
      </c>
      <c r="AJ215" s="307" t="e">
        <f t="shared" si="46"/>
        <v>#N/A</v>
      </c>
    </row>
    <row r="216" spans="2:36">
      <c r="B216" s="277">
        <f t="shared" si="34"/>
        <v>0</v>
      </c>
      <c r="C216" s="466">
        <f t="shared" si="35"/>
        <v>0</v>
      </c>
      <c r="D216" s="467">
        <f t="shared" si="47"/>
        <v>0</v>
      </c>
      <c r="E216" s="460">
        <f t="shared" si="36"/>
        <v>0</v>
      </c>
      <c r="F216" s="460">
        <f t="shared" si="37"/>
        <v>0</v>
      </c>
      <c r="G216" s="460">
        <f t="shared" si="48"/>
        <v>0</v>
      </c>
      <c r="H216" s="460">
        <f>IF(L215&lt;0.01,0,IF($H$68="",0,L215*Adm!$V$3))</f>
        <v>0</v>
      </c>
      <c r="I216" s="460">
        <f>IF(L215&lt;0.01,0,IF($I$68="",0,($G$28*0.7*Adm!$W$3)))</f>
        <v>0</v>
      </c>
      <c r="J216" s="460">
        <f>IF(L215&lt;0.01,0,Adm!$AD$2*1.16)</f>
        <v>0</v>
      </c>
      <c r="K216" s="460">
        <f t="shared" si="38"/>
        <v>0</v>
      </c>
      <c r="L216" s="460">
        <f t="shared" si="39"/>
        <v>0</v>
      </c>
      <c r="M216" s="468"/>
      <c r="T216" s="469">
        <f t="shared" si="40"/>
        <v>3</v>
      </c>
      <c r="U216" s="470">
        <f>IF(T216=1,Adm!$O$2,0)</f>
        <v>0</v>
      </c>
      <c r="Z216" s="477">
        <f t="shared" si="41"/>
        <v>0</v>
      </c>
      <c r="AA216" s="478">
        <f>IF(M215&lt;=0,0,IF($AA$63=$AA$60,0,IF($Z$63=$Z$61,PMT(Adm!$J$2/12,B215,-L215),0)))</f>
        <v>0</v>
      </c>
      <c r="AB216" s="479">
        <f t="shared" si="42"/>
        <v>0</v>
      </c>
      <c r="AC216" s="479"/>
      <c r="AE216" s="473" t="e">
        <f t="shared" si="43"/>
        <v>#N/A</v>
      </c>
      <c r="AF216" s="480" t="e">
        <f t="shared" si="49"/>
        <v>#N/A</v>
      </c>
      <c r="AG216" s="475" t="e">
        <f t="shared" si="44"/>
        <v>#N/A</v>
      </c>
      <c r="AH216" s="476" t="e">
        <f t="shared" si="45"/>
        <v>#N/A</v>
      </c>
      <c r="AI216" s="475" t="e">
        <f t="shared" si="50"/>
        <v>#N/A</v>
      </c>
      <c r="AJ216" s="307" t="e">
        <f t="shared" si="46"/>
        <v>#N/A</v>
      </c>
    </row>
    <row r="217" spans="2:36">
      <c r="B217" s="277">
        <f t="shared" si="34"/>
        <v>0</v>
      </c>
      <c r="C217" s="466">
        <f t="shared" si="35"/>
        <v>0</v>
      </c>
      <c r="D217" s="467">
        <f t="shared" si="47"/>
        <v>0</v>
      </c>
      <c r="E217" s="460">
        <f t="shared" si="36"/>
        <v>0</v>
      </c>
      <c r="F217" s="460">
        <f t="shared" si="37"/>
        <v>0</v>
      </c>
      <c r="G217" s="460">
        <f t="shared" si="48"/>
        <v>0</v>
      </c>
      <c r="H217" s="460">
        <f>IF(L216&lt;0.01,0,IF($H$68="",0,L216*Adm!$V$3))</f>
        <v>0</v>
      </c>
      <c r="I217" s="460">
        <f>IF(L216&lt;0.01,0,IF($I$68="",0,($G$28*0.7*Adm!$W$3)))</f>
        <v>0</v>
      </c>
      <c r="J217" s="460">
        <f>IF(L216&lt;0.01,0,Adm!$AD$2*1.16)</f>
        <v>0</v>
      </c>
      <c r="K217" s="460">
        <f t="shared" si="38"/>
        <v>0</v>
      </c>
      <c r="L217" s="460">
        <f t="shared" si="39"/>
        <v>0</v>
      </c>
      <c r="M217" s="468"/>
      <c r="T217" s="469">
        <f t="shared" si="40"/>
        <v>4</v>
      </c>
      <c r="U217" s="470">
        <f>IF(T217=1,Adm!$O$2,0)</f>
        <v>0</v>
      </c>
      <c r="Z217" s="477">
        <f t="shared" si="41"/>
        <v>0</v>
      </c>
      <c r="AA217" s="478">
        <f>IF(M216&lt;=0,0,IF($AA$63=$AA$60,0,IF($Z$63=$Z$61,PMT(Adm!$J$2/12,B216,-L216),0)))</f>
        <v>0</v>
      </c>
      <c r="AB217" s="479">
        <f t="shared" si="42"/>
        <v>0</v>
      </c>
      <c r="AC217" s="479"/>
      <c r="AE217" s="473" t="e">
        <f t="shared" si="43"/>
        <v>#N/A</v>
      </c>
      <c r="AF217" s="480" t="e">
        <f t="shared" si="49"/>
        <v>#N/A</v>
      </c>
      <c r="AG217" s="475" t="e">
        <f t="shared" si="44"/>
        <v>#N/A</v>
      </c>
      <c r="AH217" s="476" t="e">
        <f t="shared" si="45"/>
        <v>#N/A</v>
      </c>
      <c r="AI217" s="475" t="e">
        <f t="shared" si="50"/>
        <v>#N/A</v>
      </c>
      <c r="AJ217" s="307" t="e">
        <f t="shared" si="46"/>
        <v>#N/A</v>
      </c>
    </row>
    <row r="218" spans="2:36">
      <c r="B218" s="277">
        <f t="shared" si="34"/>
        <v>0</v>
      </c>
      <c r="C218" s="466">
        <f t="shared" si="35"/>
        <v>0</v>
      </c>
      <c r="D218" s="467">
        <f t="shared" si="47"/>
        <v>0</v>
      </c>
      <c r="E218" s="460">
        <f t="shared" si="36"/>
        <v>0</v>
      </c>
      <c r="F218" s="460">
        <f t="shared" si="37"/>
        <v>0</v>
      </c>
      <c r="G218" s="460">
        <f t="shared" si="48"/>
        <v>0</v>
      </c>
      <c r="H218" s="460">
        <f>IF(L217&lt;0.01,0,IF($H$68="",0,L217*Adm!$V$3))</f>
        <v>0</v>
      </c>
      <c r="I218" s="460">
        <f>IF(L217&lt;0.01,0,IF($I$68="",0,($G$28*0.7*Adm!$W$3)))</f>
        <v>0</v>
      </c>
      <c r="J218" s="460">
        <f>IF(L217&lt;0.01,0,Adm!$AD$2*1.16)</f>
        <v>0</v>
      </c>
      <c r="K218" s="460">
        <f t="shared" si="38"/>
        <v>0</v>
      </c>
      <c r="L218" s="460">
        <f t="shared" si="39"/>
        <v>0</v>
      </c>
      <c r="M218" s="468"/>
      <c r="T218" s="469">
        <f t="shared" si="40"/>
        <v>5</v>
      </c>
      <c r="U218" s="470">
        <f>IF(T218=1,Adm!$O$2,0)</f>
        <v>0</v>
      </c>
      <c r="Z218" s="477">
        <f t="shared" si="41"/>
        <v>0</v>
      </c>
      <c r="AA218" s="478">
        <f>IF(M217&lt;=0,0,IF($AA$63=$AA$60,0,IF($Z$63=$Z$61,PMT(Adm!$J$2/12,B217,-L217),0)))</f>
        <v>0</v>
      </c>
      <c r="AB218" s="479">
        <f t="shared" si="42"/>
        <v>0</v>
      </c>
      <c r="AC218" s="479"/>
      <c r="AE218" s="473" t="e">
        <f t="shared" si="43"/>
        <v>#N/A</v>
      </c>
      <c r="AF218" s="480" t="e">
        <f t="shared" si="49"/>
        <v>#N/A</v>
      </c>
      <c r="AG218" s="475" t="e">
        <f t="shared" si="44"/>
        <v>#N/A</v>
      </c>
      <c r="AH218" s="476" t="e">
        <f t="shared" si="45"/>
        <v>#N/A</v>
      </c>
      <c r="AI218" s="475" t="e">
        <f t="shared" si="50"/>
        <v>#N/A</v>
      </c>
      <c r="AJ218" s="307" t="e">
        <f t="shared" si="46"/>
        <v>#N/A</v>
      </c>
    </row>
    <row r="219" spans="2:36">
      <c r="B219" s="277">
        <f t="shared" si="34"/>
        <v>0</v>
      </c>
      <c r="C219" s="466">
        <f t="shared" si="35"/>
        <v>0</v>
      </c>
      <c r="D219" s="467">
        <f t="shared" si="47"/>
        <v>0</v>
      </c>
      <c r="E219" s="460">
        <f t="shared" si="36"/>
        <v>0</v>
      </c>
      <c r="F219" s="460">
        <f t="shared" si="37"/>
        <v>0</v>
      </c>
      <c r="G219" s="460">
        <f t="shared" si="48"/>
        <v>0</v>
      </c>
      <c r="H219" s="460">
        <f>IF(L218&lt;0.01,0,IF($H$68="",0,L218*Adm!$V$3))</f>
        <v>0</v>
      </c>
      <c r="I219" s="460">
        <f>IF(L218&lt;0.01,0,IF($I$68="",0,($G$28*0.7*Adm!$W$3)))</f>
        <v>0</v>
      </c>
      <c r="J219" s="460">
        <f>IF(L218&lt;0.01,0,Adm!$AD$2*1.16)</f>
        <v>0</v>
      </c>
      <c r="K219" s="460">
        <f t="shared" si="38"/>
        <v>0</v>
      </c>
      <c r="L219" s="460">
        <f t="shared" si="39"/>
        <v>0</v>
      </c>
      <c r="M219" s="468"/>
      <c r="T219" s="469">
        <f t="shared" si="40"/>
        <v>6</v>
      </c>
      <c r="U219" s="470">
        <f>IF(T219=1,Adm!$O$2,0)</f>
        <v>0</v>
      </c>
      <c r="Z219" s="477">
        <f t="shared" si="41"/>
        <v>0</v>
      </c>
      <c r="AA219" s="478">
        <f>IF(M218&lt;=0,0,IF($AA$63=$AA$60,0,IF($Z$63=$Z$61,PMT(Adm!$J$2/12,B218,-L218),0)))</f>
        <v>0</v>
      </c>
      <c r="AB219" s="479">
        <f t="shared" si="42"/>
        <v>0</v>
      </c>
      <c r="AC219" s="479"/>
      <c r="AE219" s="473" t="e">
        <f t="shared" si="43"/>
        <v>#N/A</v>
      </c>
      <c r="AF219" s="480" t="e">
        <f t="shared" si="49"/>
        <v>#N/A</v>
      </c>
      <c r="AG219" s="475" t="e">
        <f t="shared" si="44"/>
        <v>#N/A</v>
      </c>
      <c r="AH219" s="476" t="e">
        <f t="shared" si="45"/>
        <v>#N/A</v>
      </c>
      <c r="AI219" s="475" t="e">
        <f t="shared" si="50"/>
        <v>#N/A</v>
      </c>
      <c r="AJ219" s="307" t="e">
        <f t="shared" si="46"/>
        <v>#N/A</v>
      </c>
    </row>
    <row r="220" spans="2:36">
      <c r="B220" s="277">
        <f t="shared" si="34"/>
        <v>0</v>
      </c>
      <c r="C220" s="466">
        <f t="shared" si="35"/>
        <v>0</v>
      </c>
      <c r="D220" s="467">
        <f t="shared" si="47"/>
        <v>0</v>
      </c>
      <c r="E220" s="460">
        <f t="shared" si="36"/>
        <v>0</v>
      </c>
      <c r="F220" s="460">
        <f t="shared" si="37"/>
        <v>0</v>
      </c>
      <c r="G220" s="460">
        <f t="shared" si="48"/>
        <v>0</v>
      </c>
      <c r="H220" s="460">
        <f>IF(L219&lt;0.01,0,IF($H$68="",0,L219*Adm!$V$3))</f>
        <v>0</v>
      </c>
      <c r="I220" s="460">
        <f>IF(L219&lt;0.01,0,IF($I$68="",0,($G$28*0.7*Adm!$W$3)))</f>
        <v>0</v>
      </c>
      <c r="J220" s="460">
        <f>IF(L219&lt;0.01,0,Adm!$AD$2*1.16)</f>
        <v>0</v>
      </c>
      <c r="K220" s="460">
        <f t="shared" si="38"/>
        <v>0</v>
      </c>
      <c r="L220" s="460">
        <f t="shared" si="39"/>
        <v>0</v>
      </c>
      <c r="M220" s="468"/>
      <c r="T220" s="469">
        <f t="shared" si="40"/>
        <v>7</v>
      </c>
      <c r="U220" s="470">
        <f>IF(T220=1,Adm!$O$2,0)</f>
        <v>0</v>
      </c>
      <c r="Z220" s="477">
        <f t="shared" si="41"/>
        <v>0</v>
      </c>
      <c r="AA220" s="478">
        <f>IF(M219&lt;=0,0,IF($AA$63=$AA$60,0,IF($Z$63=$Z$61,PMT(Adm!$J$2/12,B219,-L219),0)))</f>
        <v>0</v>
      </c>
      <c r="AB220" s="479">
        <f t="shared" si="42"/>
        <v>0</v>
      </c>
      <c r="AC220" s="479"/>
      <c r="AE220" s="473" t="e">
        <f t="shared" si="43"/>
        <v>#N/A</v>
      </c>
      <c r="AF220" s="480" t="e">
        <f t="shared" si="49"/>
        <v>#N/A</v>
      </c>
      <c r="AG220" s="475" t="e">
        <f t="shared" si="44"/>
        <v>#N/A</v>
      </c>
      <c r="AH220" s="476" t="e">
        <f t="shared" si="45"/>
        <v>#N/A</v>
      </c>
      <c r="AI220" s="475" t="e">
        <f t="shared" si="50"/>
        <v>#N/A</v>
      </c>
      <c r="AJ220" s="307" t="e">
        <f t="shared" si="46"/>
        <v>#N/A</v>
      </c>
    </row>
    <row r="221" spans="2:36">
      <c r="B221" s="277">
        <f t="shared" si="34"/>
        <v>0</v>
      </c>
      <c r="C221" s="466">
        <f t="shared" si="35"/>
        <v>0</v>
      </c>
      <c r="D221" s="467">
        <f t="shared" si="47"/>
        <v>0</v>
      </c>
      <c r="E221" s="460">
        <f t="shared" si="36"/>
        <v>0</v>
      </c>
      <c r="F221" s="460">
        <f t="shared" si="37"/>
        <v>0</v>
      </c>
      <c r="G221" s="460">
        <f t="shared" si="48"/>
        <v>0</v>
      </c>
      <c r="H221" s="460">
        <f>IF(L220&lt;0.01,0,IF($H$68="",0,L220*Adm!$V$3))</f>
        <v>0</v>
      </c>
      <c r="I221" s="460">
        <f>IF(L220&lt;0.01,0,IF($I$68="",0,($G$28*0.7*Adm!$W$3)))</f>
        <v>0</v>
      </c>
      <c r="J221" s="460">
        <f>IF(L220&lt;0.01,0,Adm!$AD$2*1.16)</f>
        <v>0</v>
      </c>
      <c r="K221" s="460">
        <f t="shared" si="38"/>
        <v>0</v>
      </c>
      <c r="L221" s="460">
        <f t="shared" si="39"/>
        <v>0</v>
      </c>
      <c r="M221" s="468"/>
      <c r="T221" s="469">
        <f t="shared" si="40"/>
        <v>8</v>
      </c>
      <c r="U221" s="470">
        <f>IF(T221=1,Adm!$O$2,0)</f>
        <v>0</v>
      </c>
      <c r="Z221" s="477">
        <f t="shared" si="41"/>
        <v>0</v>
      </c>
      <c r="AA221" s="478">
        <f>IF(M220&lt;=0,0,IF($AA$63=$AA$60,0,IF($Z$63=$Z$61,PMT(Adm!$J$2/12,B220,-L220),0)))</f>
        <v>0</v>
      </c>
      <c r="AB221" s="479">
        <f t="shared" si="42"/>
        <v>0</v>
      </c>
      <c r="AC221" s="479"/>
      <c r="AE221" s="473" t="e">
        <f t="shared" si="43"/>
        <v>#N/A</v>
      </c>
      <c r="AF221" s="480" t="e">
        <f t="shared" si="49"/>
        <v>#N/A</v>
      </c>
      <c r="AG221" s="475" t="e">
        <f t="shared" si="44"/>
        <v>#N/A</v>
      </c>
      <c r="AH221" s="476" t="e">
        <f t="shared" si="45"/>
        <v>#N/A</v>
      </c>
      <c r="AI221" s="475" t="e">
        <f t="shared" si="50"/>
        <v>#N/A</v>
      </c>
      <c r="AJ221" s="307" t="e">
        <f t="shared" si="46"/>
        <v>#N/A</v>
      </c>
    </row>
    <row r="222" spans="2:36">
      <c r="B222" s="277">
        <f t="shared" si="34"/>
        <v>0</v>
      </c>
      <c r="C222" s="466">
        <f t="shared" si="35"/>
        <v>0</v>
      </c>
      <c r="D222" s="467">
        <f t="shared" si="47"/>
        <v>0</v>
      </c>
      <c r="E222" s="460">
        <f t="shared" si="36"/>
        <v>0</v>
      </c>
      <c r="F222" s="460">
        <f t="shared" si="37"/>
        <v>0</v>
      </c>
      <c r="G222" s="460">
        <f t="shared" si="48"/>
        <v>0</v>
      </c>
      <c r="H222" s="460">
        <f>IF(L221&lt;0.01,0,IF($H$68="",0,L221*Adm!$V$3))</f>
        <v>0</v>
      </c>
      <c r="I222" s="460">
        <f>IF(L221&lt;0.01,0,IF($I$68="",0,($G$28*0.7*Adm!$W$3)))</f>
        <v>0</v>
      </c>
      <c r="J222" s="460">
        <f>IF(L221&lt;0.01,0,Adm!$AD$2*1.16)</f>
        <v>0</v>
      </c>
      <c r="K222" s="460">
        <f t="shared" si="38"/>
        <v>0</v>
      </c>
      <c r="L222" s="460">
        <f t="shared" si="39"/>
        <v>0</v>
      </c>
      <c r="M222" s="468"/>
      <c r="T222" s="469">
        <f t="shared" si="40"/>
        <v>9</v>
      </c>
      <c r="U222" s="470">
        <f>IF(T222=1,Adm!$O$2,0)</f>
        <v>0</v>
      </c>
      <c r="Z222" s="477">
        <f t="shared" si="41"/>
        <v>0</v>
      </c>
      <c r="AA222" s="478">
        <f>IF(M221&lt;=0,0,IF($AA$63=$AA$60,0,IF($Z$63=$Z$61,PMT(Adm!$J$2/12,B221,-L221),0)))</f>
        <v>0</v>
      </c>
      <c r="AB222" s="479">
        <f t="shared" si="42"/>
        <v>0</v>
      </c>
      <c r="AC222" s="479"/>
      <c r="AE222" s="473" t="e">
        <f t="shared" si="43"/>
        <v>#N/A</v>
      </c>
      <c r="AF222" s="480" t="e">
        <f t="shared" si="49"/>
        <v>#N/A</v>
      </c>
      <c r="AG222" s="475" t="e">
        <f t="shared" si="44"/>
        <v>#N/A</v>
      </c>
      <c r="AH222" s="476" t="e">
        <f t="shared" si="45"/>
        <v>#N/A</v>
      </c>
      <c r="AI222" s="475" t="e">
        <f t="shared" si="50"/>
        <v>#N/A</v>
      </c>
      <c r="AJ222" s="307" t="e">
        <f t="shared" si="46"/>
        <v>#N/A</v>
      </c>
    </row>
    <row r="223" spans="2:36">
      <c r="B223" s="277">
        <f t="shared" si="34"/>
        <v>0</v>
      </c>
      <c r="C223" s="466">
        <f t="shared" si="35"/>
        <v>0</v>
      </c>
      <c r="D223" s="467">
        <f t="shared" si="47"/>
        <v>0</v>
      </c>
      <c r="E223" s="460">
        <f t="shared" si="36"/>
        <v>0</v>
      </c>
      <c r="F223" s="460">
        <f t="shared" si="37"/>
        <v>0</v>
      </c>
      <c r="G223" s="460">
        <f t="shared" si="48"/>
        <v>0</v>
      </c>
      <c r="H223" s="460">
        <f>IF(L222&lt;0.01,0,IF($H$68="",0,L222*Adm!$V$3))</f>
        <v>0</v>
      </c>
      <c r="I223" s="460">
        <f>IF(L222&lt;0.01,0,IF($I$68="",0,($G$28*0.7*Adm!$W$3)))</f>
        <v>0</v>
      </c>
      <c r="J223" s="460">
        <f>IF(L222&lt;0.01,0,Adm!$AD$2*1.16)</f>
        <v>0</v>
      </c>
      <c r="K223" s="460">
        <f t="shared" si="38"/>
        <v>0</v>
      </c>
      <c r="L223" s="460">
        <f t="shared" si="39"/>
        <v>0</v>
      </c>
      <c r="M223" s="468"/>
      <c r="T223" s="469">
        <f t="shared" si="40"/>
        <v>10</v>
      </c>
      <c r="U223" s="470">
        <f>IF(T223=1,Adm!$O$2,0)</f>
        <v>0</v>
      </c>
      <c r="Z223" s="477">
        <f t="shared" si="41"/>
        <v>0</v>
      </c>
      <c r="AA223" s="478">
        <f>IF(M222&lt;=0,0,IF($AA$63=$AA$60,0,IF($Z$63=$Z$61,PMT(Adm!$J$2/12,B222,-L222),0)))</f>
        <v>0</v>
      </c>
      <c r="AB223" s="479">
        <f t="shared" si="42"/>
        <v>0</v>
      </c>
      <c r="AC223" s="479"/>
      <c r="AE223" s="473" t="e">
        <f t="shared" si="43"/>
        <v>#N/A</v>
      </c>
      <c r="AF223" s="480" t="e">
        <f t="shared" si="49"/>
        <v>#N/A</v>
      </c>
      <c r="AG223" s="475" t="e">
        <f t="shared" si="44"/>
        <v>#N/A</v>
      </c>
      <c r="AH223" s="476" t="e">
        <f t="shared" si="45"/>
        <v>#N/A</v>
      </c>
      <c r="AI223" s="475" t="e">
        <f t="shared" si="50"/>
        <v>#N/A</v>
      </c>
      <c r="AJ223" s="307" t="e">
        <f t="shared" si="46"/>
        <v>#N/A</v>
      </c>
    </row>
    <row r="224" spans="2:36">
      <c r="B224" s="277">
        <f t="shared" si="34"/>
        <v>0</v>
      </c>
      <c r="C224" s="466">
        <f t="shared" si="35"/>
        <v>0</v>
      </c>
      <c r="D224" s="467">
        <f t="shared" si="47"/>
        <v>0</v>
      </c>
      <c r="E224" s="460">
        <f t="shared" si="36"/>
        <v>0</v>
      </c>
      <c r="F224" s="460">
        <f t="shared" si="37"/>
        <v>0</v>
      </c>
      <c r="G224" s="460">
        <f t="shared" si="48"/>
        <v>0</v>
      </c>
      <c r="H224" s="460">
        <f>IF(L223&lt;0.01,0,IF($H$68="",0,L223*Adm!$V$3))</f>
        <v>0</v>
      </c>
      <c r="I224" s="460">
        <f>IF(L223&lt;0.01,0,IF($I$68="",0,($G$28*0.7*Adm!$W$3)))</f>
        <v>0</v>
      </c>
      <c r="J224" s="460">
        <f>IF(L223&lt;0.01,0,Adm!$AD$2*1.16)</f>
        <v>0</v>
      </c>
      <c r="K224" s="460">
        <f t="shared" si="38"/>
        <v>0</v>
      </c>
      <c r="L224" s="460">
        <f t="shared" si="39"/>
        <v>0</v>
      </c>
      <c r="M224" s="468"/>
      <c r="T224" s="469">
        <f t="shared" si="40"/>
        <v>11</v>
      </c>
      <c r="U224" s="470">
        <f>IF(T224=1,Adm!$O$2,0)</f>
        <v>0</v>
      </c>
      <c r="Z224" s="477">
        <f t="shared" si="41"/>
        <v>0</v>
      </c>
      <c r="AA224" s="478">
        <f>IF(M223&lt;=0,0,IF($AA$63=$AA$60,0,IF($Z$63=$Z$61,PMT(Adm!$J$2/12,B223,-L223),0)))</f>
        <v>0</v>
      </c>
      <c r="AB224" s="479">
        <f t="shared" si="42"/>
        <v>0</v>
      </c>
      <c r="AC224" s="479"/>
      <c r="AE224" s="473" t="e">
        <f t="shared" si="43"/>
        <v>#N/A</v>
      </c>
      <c r="AF224" s="480" t="e">
        <f t="shared" si="49"/>
        <v>#N/A</v>
      </c>
      <c r="AG224" s="475" t="e">
        <f t="shared" si="44"/>
        <v>#N/A</v>
      </c>
      <c r="AH224" s="476" t="e">
        <f t="shared" si="45"/>
        <v>#N/A</v>
      </c>
      <c r="AI224" s="475" t="e">
        <f t="shared" si="50"/>
        <v>#N/A</v>
      </c>
      <c r="AJ224" s="307" t="e">
        <f t="shared" si="46"/>
        <v>#N/A</v>
      </c>
    </row>
    <row r="225" spans="2:36">
      <c r="B225" s="277">
        <f t="shared" si="34"/>
        <v>0</v>
      </c>
      <c r="C225" s="466">
        <f t="shared" si="35"/>
        <v>0</v>
      </c>
      <c r="D225" s="467">
        <f t="shared" si="47"/>
        <v>0</v>
      </c>
      <c r="E225" s="460">
        <f t="shared" si="36"/>
        <v>0</v>
      </c>
      <c r="F225" s="460">
        <f t="shared" si="37"/>
        <v>0</v>
      </c>
      <c r="G225" s="460">
        <f t="shared" si="48"/>
        <v>0</v>
      </c>
      <c r="H225" s="460">
        <f>IF(L224&lt;0.01,0,IF($H$68="",0,L224*Adm!$V$3))</f>
        <v>0</v>
      </c>
      <c r="I225" s="460">
        <f>IF(L224&lt;0.01,0,IF($I$68="",0,($G$28*0.7*Adm!$W$3)))</f>
        <v>0</v>
      </c>
      <c r="J225" s="460">
        <f>IF(L224&lt;0.01,0,Adm!$AD$2*1.16)</f>
        <v>0</v>
      </c>
      <c r="K225" s="460">
        <f t="shared" si="38"/>
        <v>0</v>
      </c>
      <c r="L225" s="460">
        <f t="shared" si="39"/>
        <v>0</v>
      </c>
      <c r="M225" s="468"/>
      <c r="T225" s="469">
        <f t="shared" si="40"/>
        <v>12</v>
      </c>
      <c r="U225" s="470">
        <f>IF(T225=1,Adm!$O$2,0)</f>
        <v>0</v>
      </c>
      <c r="Z225" s="477">
        <f t="shared" si="41"/>
        <v>0</v>
      </c>
      <c r="AA225" s="478">
        <f>IF(M224&lt;=0,0,IF($AA$63=$AA$60,0,IF($Z$63=$Z$61,PMT(Adm!$J$2/12,B224,-L224),0)))</f>
        <v>0</v>
      </c>
      <c r="AB225" s="479">
        <f t="shared" si="42"/>
        <v>0</v>
      </c>
      <c r="AC225" s="479"/>
      <c r="AE225" s="473" t="e">
        <f t="shared" si="43"/>
        <v>#N/A</v>
      </c>
      <c r="AF225" s="480" t="e">
        <f t="shared" si="49"/>
        <v>#N/A</v>
      </c>
      <c r="AG225" s="475" t="e">
        <f t="shared" si="44"/>
        <v>#N/A</v>
      </c>
      <c r="AH225" s="476" t="e">
        <f t="shared" si="45"/>
        <v>#N/A</v>
      </c>
      <c r="AI225" s="475" t="e">
        <f t="shared" si="50"/>
        <v>#N/A</v>
      </c>
      <c r="AJ225" s="307" t="e">
        <f t="shared" si="46"/>
        <v>#N/A</v>
      </c>
    </row>
    <row r="226" spans="2:36">
      <c r="B226" s="277">
        <f t="shared" si="34"/>
        <v>0</v>
      </c>
      <c r="C226" s="466">
        <f t="shared" si="35"/>
        <v>0</v>
      </c>
      <c r="D226" s="467">
        <f t="shared" si="47"/>
        <v>0</v>
      </c>
      <c r="E226" s="460">
        <f t="shared" si="36"/>
        <v>0</v>
      </c>
      <c r="F226" s="460">
        <f t="shared" si="37"/>
        <v>0</v>
      </c>
      <c r="G226" s="460">
        <f t="shared" si="48"/>
        <v>0</v>
      </c>
      <c r="H226" s="460">
        <f>IF(L225&lt;0.01,0,IF($H$68="",0,L225*Adm!$V$3))</f>
        <v>0</v>
      </c>
      <c r="I226" s="460">
        <f>IF(L225&lt;0.01,0,IF($I$68="",0,($G$28*0.7*Adm!$W$3)))</f>
        <v>0</v>
      </c>
      <c r="J226" s="460">
        <f>IF(L225&lt;0.01,0,Adm!$AD$2*1.16)</f>
        <v>0</v>
      </c>
      <c r="K226" s="460">
        <f t="shared" si="38"/>
        <v>0</v>
      </c>
      <c r="L226" s="460">
        <f t="shared" si="39"/>
        <v>0</v>
      </c>
      <c r="M226" s="468"/>
      <c r="T226" s="469">
        <f t="shared" si="40"/>
        <v>1</v>
      </c>
      <c r="U226" s="470">
        <f>IF(T226=1,Adm!$O$2,0)</f>
        <v>0</v>
      </c>
      <c r="Z226" s="477">
        <f t="shared" si="41"/>
        <v>0</v>
      </c>
      <c r="AA226" s="478">
        <f>IF(M225&lt;=0,0,IF($AA$63=$AA$60,0,IF($Z$63=$Z$61,PMT(Adm!$J$2/12,B225,-L225),0)))</f>
        <v>0</v>
      </c>
      <c r="AB226" s="479">
        <f t="shared" si="42"/>
        <v>0</v>
      </c>
      <c r="AC226" s="479"/>
      <c r="AE226" s="473" t="e">
        <f t="shared" si="43"/>
        <v>#N/A</v>
      </c>
      <c r="AF226" s="480" t="e">
        <f t="shared" si="49"/>
        <v>#N/A</v>
      </c>
      <c r="AG226" s="475" t="e">
        <f t="shared" si="44"/>
        <v>#N/A</v>
      </c>
      <c r="AH226" s="476" t="e">
        <f t="shared" si="45"/>
        <v>#N/A</v>
      </c>
      <c r="AI226" s="481" t="e">
        <f>MIN(AJ225+AG226,AI225*(1+$AG$65))</f>
        <v>#N/A</v>
      </c>
      <c r="AJ226" s="307" t="e">
        <f t="shared" si="46"/>
        <v>#N/A</v>
      </c>
    </row>
    <row r="227" spans="2:36">
      <c r="B227" s="277">
        <f t="shared" si="34"/>
        <v>0</v>
      </c>
      <c r="C227" s="466">
        <f t="shared" si="35"/>
        <v>0</v>
      </c>
      <c r="D227" s="467">
        <f t="shared" si="47"/>
        <v>0</v>
      </c>
      <c r="E227" s="460">
        <f t="shared" si="36"/>
        <v>0</v>
      </c>
      <c r="F227" s="460">
        <f t="shared" si="37"/>
        <v>0</v>
      </c>
      <c r="G227" s="460">
        <f t="shared" si="48"/>
        <v>0</v>
      </c>
      <c r="H227" s="460">
        <f>IF(L226&lt;0.01,0,IF($H$68="",0,L226*Adm!$V$3))</f>
        <v>0</v>
      </c>
      <c r="I227" s="460">
        <f>IF(L226&lt;0.01,0,IF($I$68="",0,($G$28*0.7*Adm!$W$3)))</f>
        <v>0</v>
      </c>
      <c r="J227" s="460">
        <f>IF(L226&lt;0.01,0,Adm!$AD$2*1.16)</f>
        <v>0</v>
      </c>
      <c r="K227" s="460">
        <f t="shared" si="38"/>
        <v>0</v>
      </c>
      <c r="L227" s="460">
        <f t="shared" si="39"/>
        <v>0</v>
      </c>
      <c r="M227" s="468"/>
      <c r="T227" s="469">
        <f t="shared" si="40"/>
        <v>2</v>
      </c>
      <c r="U227" s="470">
        <f>IF(T227=1,Adm!$O$2,0)</f>
        <v>0</v>
      </c>
      <c r="Z227" s="477">
        <f t="shared" si="41"/>
        <v>0</v>
      </c>
      <c r="AA227" s="478">
        <f>IF(M226&lt;=0,0,IF($AA$63=$AA$60,0,IF($Z$63=$Z$61,PMT(Adm!$J$2/12,B226,-L226),0)))</f>
        <v>0</v>
      </c>
      <c r="AB227" s="479">
        <f t="shared" si="42"/>
        <v>0</v>
      </c>
      <c r="AC227" s="479"/>
      <c r="AE227" s="473" t="e">
        <f t="shared" si="43"/>
        <v>#N/A</v>
      </c>
      <c r="AF227" s="480" t="e">
        <f t="shared" si="49"/>
        <v>#N/A</v>
      </c>
      <c r="AG227" s="475" t="e">
        <f t="shared" si="44"/>
        <v>#N/A</v>
      </c>
      <c r="AH227" s="476" t="e">
        <f t="shared" si="45"/>
        <v>#N/A</v>
      </c>
      <c r="AI227" s="475" t="e">
        <f t="shared" si="50"/>
        <v>#N/A</v>
      </c>
      <c r="AJ227" s="307" t="e">
        <f t="shared" si="46"/>
        <v>#N/A</v>
      </c>
    </row>
    <row r="228" spans="2:36">
      <c r="B228" s="277">
        <f t="shared" si="34"/>
        <v>0</v>
      </c>
      <c r="C228" s="466">
        <f t="shared" si="35"/>
        <v>0</v>
      </c>
      <c r="D228" s="467">
        <f t="shared" si="47"/>
        <v>0</v>
      </c>
      <c r="E228" s="460">
        <f t="shared" si="36"/>
        <v>0</v>
      </c>
      <c r="F228" s="460">
        <f t="shared" si="37"/>
        <v>0</v>
      </c>
      <c r="G228" s="460">
        <f t="shared" si="48"/>
        <v>0</v>
      </c>
      <c r="H228" s="460">
        <f>IF(L227&lt;0.01,0,IF($H$68="",0,L227*Adm!$V$3))</f>
        <v>0</v>
      </c>
      <c r="I228" s="460">
        <f>IF(L227&lt;0.01,0,IF($I$68="",0,($G$28*0.7*Adm!$W$3)))</f>
        <v>0</v>
      </c>
      <c r="J228" s="460">
        <f>IF(L227&lt;0.01,0,Adm!$AD$2*1.16)</f>
        <v>0</v>
      </c>
      <c r="K228" s="460">
        <f t="shared" si="38"/>
        <v>0</v>
      </c>
      <c r="L228" s="460">
        <f t="shared" si="39"/>
        <v>0</v>
      </c>
      <c r="M228" s="468"/>
      <c r="T228" s="469">
        <f t="shared" si="40"/>
        <v>3</v>
      </c>
      <c r="U228" s="470">
        <f>IF(T228=1,Adm!$O$2,0)</f>
        <v>0</v>
      </c>
      <c r="Z228" s="477">
        <f t="shared" si="41"/>
        <v>0</v>
      </c>
      <c r="AA228" s="478">
        <f>IF(M227&lt;=0,0,IF($AA$63=$AA$60,0,IF($Z$63=$Z$61,PMT(Adm!$J$2/12,B227,-L227),0)))</f>
        <v>0</v>
      </c>
      <c r="AB228" s="479">
        <f t="shared" si="42"/>
        <v>0</v>
      </c>
      <c r="AC228" s="479"/>
      <c r="AE228" s="473" t="e">
        <f t="shared" si="43"/>
        <v>#N/A</v>
      </c>
      <c r="AF228" s="480" t="e">
        <f t="shared" si="49"/>
        <v>#N/A</v>
      </c>
      <c r="AG228" s="475" t="e">
        <f t="shared" si="44"/>
        <v>#N/A</v>
      </c>
      <c r="AH228" s="476" t="e">
        <f t="shared" si="45"/>
        <v>#N/A</v>
      </c>
      <c r="AI228" s="475" t="e">
        <f t="shared" si="50"/>
        <v>#N/A</v>
      </c>
      <c r="AJ228" s="307" t="e">
        <f t="shared" si="46"/>
        <v>#N/A</v>
      </c>
    </row>
    <row r="229" spans="2:36">
      <c r="B229" s="277">
        <f t="shared" si="34"/>
        <v>0</v>
      </c>
      <c r="C229" s="466">
        <f t="shared" si="35"/>
        <v>0</v>
      </c>
      <c r="D229" s="467">
        <f t="shared" si="47"/>
        <v>0</v>
      </c>
      <c r="E229" s="460">
        <f t="shared" si="36"/>
        <v>0</v>
      </c>
      <c r="F229" s="460">
        <f t="shared" si="37"/>
        <v>0</v>
      </c>
      <c r="G229" s="460">
        <f t="shared" si="48"/>
        <v>0</v>
      </c>
      <c r="H229" s="460">
        <f>IF(L228&lt;0.01,0,IF($H$68="",0,L228*Adm!$V$3))</f>
        <v>0</v>
      </c>
      <c r="I229" s="460">
        <f>IF(L228&lt;0.01,0,IF($I$68="",0,($G$28*0.7*Adm!$W$3)))</f>
        <v>0</v>
      </c>
      <c r="J229" s="460">
        <f>IF(L228&lt;0.01,0,Adm!$AD$2*1.16)</f>
        <v>0</v>
      </c>
      <c r="K229" s="460">
        <f t="shared" si="38"/>
        <v>0</v>
      </c>
      <c r="L229" s="460">
        <f t="shared" si="39"/>
        <v>0</v>
      </c>
      <c r="M229" s="468"/>
      <c r="T229" s="469">
        <f t="shared" si="40"/>
        <v>4</v>
      </c>
      <c r="U229" s="470">
        <f>IF(T229=1,Adm!$O$2,0)</f>
        <v>0</v>
      </c>
      <c r="Z229" s="477">
        <f t="shared" si="41"/>
        <v>0</v>
      </c>
      <c r="AA229" s="478">
        <f>IF(M228&lt;=0,0,IF($AA$63=$AA$60,0,IF($Z$63=$Z$61,PMT(Adm!$J$2/12,B228,-L228),0)))</f>
        <v>0</v>
      </c>
      <c r="AB229" s="479">
        <f t="shared" si="42"/>
        <v>0</v>
      </c>
      <c r="AC229" s="479"/>
      <c r="AE229" s="473" t="e">
        <f t="shared" si="43"/>
        <v>#N/A</v>
      </c>
      <c r="AF229" s="480" t="e">
        <f t="shared" si="49"/>
        <v>#N/A</v>
      </c>
      <c r="AG229" s="475" t="e">
        <f t="shared" si="44"/>
        <v>#N/A</v>
      </c>
      <c r="AH229" s="476" t="e">
        <f t="shared" si="45"/>
        <v>#N/A</v>
      </c>
      <c r="AI229" s="475" t="e">
        <f t="shared" si="50"/>
        <v>#N/A</v>
      </c>
      <c r="AJ229" s="307" t="e">
        <f t="shared" si="46"/>
        <v>#N/A</v>
      </c>
    </row>
    <row r="230" spans="2:36">
      <c r="B230" s="277">
        <f t="shared" si="34"/>
        <v>0</v>
      </c>
      <c r="C230" s="466">
        <f t="shared" si="35"/>
        <v>0</v>
      </c>
      <c r="D230" s="467">
        <f t="shared" si="47"/>
        <v>0</v>
      </c>
      <c r="E230" s="460">
        <f t="shared" si="36"/>
        <v>0</v>
      </c>
      <c r="F230" s="460">
        <f t="shared" si="37"/>
        <v>0</v>
      </c>
      <c r="G230" s="460">
        <f t="shared" si="48"/>
        <v>0</v>
      </c>
      <c r="H230" s="460">
        <f>IF(L229&lt;0.01,0,IF($H$68="",0,L229*Adm!$V$3))</f>
        <v>0</v>
      </c>
      <c r="I230" s="460">
        <f>IF(L229&lt;0.01,0,IF($I$68="",0,($G$28*0.7*Adm!$W$3)))</f>
        <v>0</v>
      </c>
      <c r="J230" s="460">
        <f>IF(L229&lt;0.01,0,Adm!$AD$2*1.16)</f>
        <v>0</v>
      </c>
      <c r="K230" s="460">
        <f t="shared" si="38"/>
        <v>0</v>
      </c>
      <c r="L230" s="460">
        <f t="shared" si="39"/>
        <v>0</v>
      </c>
      <c r="M230" s="468"/>
      <c r="T230" s="469">
        <f t="shared" si="40"/>
        <v>5</v>
      </c>
      <c r="U230" s="470">
        <f>IF(T230=1,Adm!$O$2,0)</f>
        <v>0</v>
      </c>
      <c r="Z230" s="477">
        <f t="shared" si="41"/>
        <v>0</v>
      </c>
      <c r="AA230" s="478">
        <f>IF(M229&lt;=0,0,IF($AA$63=$AA$60,0,IF($Z$63=$Z$61,PMT(Adm!$J$2/12,B229,-L229),0)))</f>
        <v>0</v>
      </c>
      <c r="AB230" s="479">
        <f t="shared" si="42"/>
        <v>0</v>
      </c>
      <c r="AC230" s="479"/>
      <c r="AE230" s="473" t="e">
        <f t="shared" si="43"/>
        <v>#N/A</v>
      </c>
      <c r="AF230" s="480" t="e">
        <f t="shared" si="49"/>
        <v>#N/A</v>
      </c>
      <c r="AG230" s="475" t="e">
        <f t="shared" si="44"/>
        <v>#N/A</v>
      </c>
      <c r="AH230" s="476" t="e">
        <f t="shared" si="45"/>
        <v>#N/A</v>
      </c>
      <c r="AI230" s="475" t="e">
        <f t="shared" si="50"/>
        <v>#N/A</v>
      </c>
      <c r="AJ230" s="307" t="e">
        <f t="shared" si="46"/>
        <v>#N/A</v>
      </c>
    </row>
    <row r="231" spans="2:36">
      <c r="B231" s="277">
        <f t="shared" si="34"/>
        <v>0</v>
      </c>
      <c r="C231" s="466">
        <f t="shared" si="35"/>
        <v>0</v>
      </c>
      <c r="D231" s="467">
        <f t="shared" si="47"/>
        <v>0</v>
      </c>
      <c r="E231" s="460">
        <f t="shared" si="36"/>
        <v>0</v>
      </c>
      <c r="F231" s="460">
        <f t="shared" si="37"/>
        <v>0</v>
      </c>
      <c r="G231" s="460">
        <f t="shared" si="48"/>
        <v>0</v>
      </c>
      <c r="H231" s="460">
        <f>IF(L230&lt;0.01,0,IF($H$68="",0,L230*Adm!$V$3))</f>
        <v>0</v>
      </c>
      <c r="I231" s="460">
        <f>IF(L230&lt;0.01,0,IF($I$68="",0,($G$28*0.7*Adm!$W$3)))</f>
        <v>0</v>
      </c>
      <c r="J231" s="460">
        <f>IF(L230&lt;0.01,0,Adm!$AD$2*1.16)</f>
        <v>0</v>
      </c>
      <c r="K231" s="460">
        <f t="shared" si="38"/>
        <v>0</v>
      </c>
      <c r="L231" s="460">
        <f t="shared" si="39"/>
        <v>0</v>
      </c>
      <c r="M231" s="468"/>
      <c r="T231" s="469">
        <f t="shared" si="40"/>
        <v>6</v>
      </c>
      <c r="U231" s="470">
        <f>IF(T231=1,Adm!$O$2,0)</f>
        <v>0</v>
      </c>
      <c r="Z231" s="477">
        <f t="shared" si="41"/>
        <v>0</v>
      </c>
      <c r="AA231" s="478">
        <f>IF(M230&lt;=0,0,IF($AA$63=$AA$60,0,IF($Z$63=$Z$61,PMT(Adm!$J$2/12,B230,-L230),0)))</f>
        <v>0</v>
      </c>
      <c r="AB231" s="479">
        <f t="shared" si="42"/>
        <v>0</v>
      </c>
      <c r="AC231" s="479"/>
      <c r="AE231" s="473" t="e">
        <f t="shared" si="43"/>
        <v>#N/A</v>
      </c>
      <c r="AF231" s="480" t="e">
        <f t="shared" si="49"/>
        <v>#N/A</v>
      </c>
      <c r="AG231" s="475" t="e">
        <f t="shared" si="44"/>
        <v>#N/A</v>
      </c>
      <c r="AH231" s="476" t="e">
        <f t="shared" si="45"/>
        <v>#N/A</v>
      </c>
      <c r="AI231" s="475" t="e">
        <f t="shared" si="50"/>
        <v>#N/A</v>
      </c>
      <c r="AJ231" s="307" t="e">
        <f t="shared" si="46"/>
        <v>#N/A</v>
      </c>
    </row>
    <row r="232" spans="2:36">
      <c r="B232" s="277">
        <f t="shared" si="34"/>
        <v>0</v>
      </c>
      <c r="C232" s="466">
        <f t="shared" si="35"/>
        <v>0</v>
      </c>
      <c r="D232" s="467">
        <f t="shared" si="47"/>
        <v>0</v>
      </c>
      <c r="E232" s="460">
        <f t="shared" si="36"/>
        <v>0</v>
      </c>
      <c r="F232" s="460">
        <f t="shared" si="37"/>
        <v>0</v>
      </c>
      <c r="G232" s="460">
        <f t="shared" si="48"/>
        <v>0</v>
      </c>
      <c r="H232" s="460">
        <f>IF(L231&lt;0.01,0,IF($H$68="",0,L231*Adm!$V$3))</f>
        <v>0</v>
      </c>
      <c r="I232" s="460">
        <f>IF(L231&lt;0.01,0,IF($I$68="",0,($G$28*0.7*Adm!$W$3)))</f>
        <v>0</v>
      </c>
      <c r="J232" s="460">
        <f>IF(L231&lt;0.01,0,Adm!$AD$2*1.16)</f>
        <v>0</v>
      </c>
      <c r="K232" s="460">
        <f t="shared" si="38"/>
        <v>0</v>
      </c>
      <c r="L232" s="460">
        <f t="shared" si="39"/>
        <v>0</v>
      </c>
      <c r="M232" s="468"/>
      <c r="T232" s="469">
        <f t="shared" si="40"/>
        <v>7</v>
      </c>
      <c r="U232" s="470">
        <f>IF(T232=1,Adm!$O$2,0)</f>
        <v>0</v>
      </c>
      <c r="Z232" s="477">
        <f t="shared" si="41"/>
        <v>0</v>
      </c>
      <c r="AA232" s="478">
        <f>IF(M231&lt;=0,0,IF($AA$63=$AA$60,0,IF($Z$63=$Z$61,PMT(Adm!$J$2/12,B231,-L231),0)))</f>
        <v>0</v>
      </c>
      <c r="AB232" s="479">
        <f t="shared" si="42"/>
        <v>0</v>
      </c>
      <c r="AC232" s="479"/>
      <c r="AE232" s="473" t="e">
        <f t="shared" si="43"/>
        <v>#N/A</v>
      </c>
      <c r="AF232" s="480" t="e">
        <f t="shared" si="49"/>
        <v>#N/A</v>
      </c>
      <c r="AG232" s="475" t="e">
        <f t="shared" si="44"/>
        <v>#N/A</v>
      </c>
      <c r="AH232" s="476" t="e">
        <f t="shared" si="45"/>
        <v>#N/A</v>
      </c>
      <c r="AI232" s="475" t="e">
        <f t="shared" si="50"/>
        <v>#N/A</v>
      </c>
      <c r="AJ232" s="307" t="e">
        <f t="shared" si="46"/>
        <v>#N/A</v>
      </c>
    </row>
    <row r="233" spans="2:36">
      <c r="B233" s="277">
        <f t="shared" si="34"/>
        <v>0</v>
      </c>
      <c r="C233" s="466">
        <f t="shared" si="35"/>
        <v>0</v>
      </c>
      <c r="D233" s="467">
        <f t="shared" si="47"/>
        <v>0</v>
      </c>
      <c r="E233" s="460">
        <f t="shared" si="36"/>
        <v>0</v>
      </c>
      <c r="F233" s="460">
        <f t="shared" si="37"/>
        <v>0</v>
      </c>
      <c r="G233" s="460">
        <f t="shared" si="48"/>
        <v>0</v>
      </c>
      <c r="H233" s="460">
        <f>IF(L232&lt;0.01,0,IF($H$68="",0,L232*Adm!$V$3))</f>
        <v>0</v>
      </c>
      <c r="I233" s="460">
        <f>IF(L232&lt;0.01,0,IF($I$68="",0,($G$28*0.7*Adm!$W$3)))</f>
        <v>0</v>
      </c>
      <c r="J233" s="460">
        <f>IF(L232&lt;0.01,0,Adm!$AD$2*1.16)</f>
        <v>0</v>
      </c>
      <c r="K233" s="460">
        <f t="shared" si="38"/>
        <v>0</v>
      </c>
      <c r="L233" s="460">
        <f t="shared" si="39"/>
        <v>0</v>
      </c>
      <c r="M233" s="468"/>
      <c r="T233" s="469">
        <f t="shared" si="40"/>
        <v>8</v>
      </c>
      <c r="U233" s="470">
        <f>IF(T233=1,Adm!$O$2,0)</f>
        <v>0</v>
      </c>
      <c r="Z233" s="477">
        <f t="shared" si="41"/>
        <v>0</v>
      </c>
      <c r="AA233" s="478">
        <f>IF(M232&lt;=0,0,IF($AA$63=$AA$60,0,IF($Z$63=$Z$61,PMT(Adm!$J$2/12,B232,-L232),0)))</f>
        <v>0</v>
      </c>
      <c r="AB233" s="479">
        <f t="shared" si="42"/>
        <v>0</v>
      </c>
      <c r="AC233" s="479"/>
      <c r="AE233" s="473" t="e">
        <f t="shared" si="43"/>
        <v>#N/A</v>
      </c>
      <c r="AF233" s="480" t="e">
        <f t="shared" si="49"/>
        <v>#N/A</v>
      </c>
      <c r="AG233" s="475" t="e">
        <f t="shared" si="44"/>
        <v>#N/A</v>
      </c>
      <c r="AH233" s="476" t="e">
        <f t="shared" si="45"/>
        <v>#N/A</v>
      </c>
      <c r="AI233" s="475" t="e">
        <f t="shared" si="50"/>
        <v>#N/A</v>
      </c>
      <c r="AJ233" s="307" t="e">
        <f t="shared" si="46"/>
        <v>#N/A</v>
      </c>
    </row>
    <row r="234" spans="2:36">
      <c r="B234" s="277">
        <f t="shared" si="34"/>
        <v>0</v>
      </c>
      <c r="C234" s="466">
        <f t="shared" si="35"/>
        <v>0</v>
      </c>
      <c r="D234" s="467">
        <f t="shared" si="47"/>
        <v>0</v>
      </c>
      <c r="E234" s="460">
        <f t="shared" si="36"/>
        <v>0</v>
      </c>
      <c r="F234" s="460">
        <f t="shared" si="37"/>
        <v>0</v>
      </c>
      <c r="G234" s="460">
        <f t="shared" si="48"/>
        <v>0</v>
      </c>
      <c r="H234" s="460">
        <f>IF(L233&lt;0.01,0,IF($H$68="",0,L233*Adm!$V$3))</f>
        <v>0</v>
      </c>
      <c r="I234" s="460">
        <f>IF(L233&lt;0.01,0,IF($I$68="",0,($G$28*0.7*Adm!$W$3)))</f>
        <v>0</v>
      </c>
      <c r="J234" s="460">
        <f>IF(L233&lt;0.01,0,Adm!$AD$2*1.16)</f>
        <v>0</v>
      </c>
      <c r="K234" s="460">
        <f t="shared" si="38"/>
        <v>0</v>
      </c>
      <c r="L234" s="460">
        <f t="shared" si="39"/>
        <v>0</v>
      </c>
      <c r="M234" s="468"/>
      <c r="T234" s="469">
        <f t="shared" si="40"/>
        <v>9</v>
      </c>
      <c r="U234" s="470">
        <f>IF(T234=1,Adm!$O$2,0)</f>
        <v>0</v>
      </c>
      <c r="Z234" s="477">
        <f t="shared" si="41"/>
        <v>0</v>
      </c>
      <c r="AA234" s="478">
        <f>IF(M233&lt;=0,0,IF($AA$63=$AA$60,0,IF($Z$63=$Z$61,PMT(Adm!$J$2/12,B233,-L233),0)))</f>
        <v>0</v>
      </c>
      <c r="AB234" s="479">
        <f t="shared" si="42"/>
        <v>0</v>
      </c>
      <c r="AC234" s="479"/>
      <c r="AE234" s="473" t="e">
        <f t="shared" si="43"/>
        <v>#N/A</v>
      </c>
      <c r="AF234" s="480" t="e">
        <f t="shared" si="49"/>
        <v>#N/A</v>
      </c>
      <c r="AG234" s="475" t="e">
        <f t="shared" si="44"/>
        <v>#N/A</v>
      </c>
      <c r="AH234" s="476" t="e">
        <f t="shared" si="45"/>
        <v>#N/A</v>
      </c>
      <c r="AI234" s="475" t="e">
        <f t="shared" si="50"/>
        <v>#N/A</v>
      </c>
      <c r="AJ234" s="307" t="e">
        <f t="shared" si="46"/>
        <v>#N/A</v>
      </c>
    </row>
    <row r="235" spans="2:36">
      <c r="B235" s="277">
        <f t="shared" si="34"/>
        <v>0</v>
      </c>
      <c r="C235" s="466">
        <f t="shared" si="35"/>
        <v>0</v>
      </c>
      <c r="D235" s="467">
        <f t="shared" si="47"/>
        <v>0</v>
      </c>
      <c r="E235" s="460">
        <f t="shared" si="36"/>
        <v>0</v>
      </c>
      <c r="F235" s="460">
        <f t="shared" si="37"/>
        <v>0</v>
      </c>
      <c r="G235" s="460">
        <f t="shared" si="48"/>
        <v>0</v>
      </c>
      <c r="H235" s="460">
        <f>IF(L234&lt;0.01,0,IF($H$68="",0,L234*Adm!$V$3))</f>
        <v>0</v>
      </c>
      <c r="I235" s="460">
        <f>IF(L234&lt;0.01,0,IF($I$68="",0,($G$28*0.7*Adm!$W$3)))</f>
        <v>0</v>
      </c>
      <c r="J235" s="460">
        <f>IF(L234&lt;0.01,0,Adm!$AD$2*1.16)</f>
        <v>0</v>
      </c>
      <c r="K235" s="460">
        <f t="shared" si="38"/>
        <v>0</v>
      </c>
      <c r="L235" s="460">
        <f t="shared" si="39"/>
        <v>0</v>
      </c>
      <c r="M235" s="468"/>
      <c r="T235" s="469">
        <f t="shared" si="40"/>
        <v>10</v>
      </c>
      <c r="U235" s="470">
        <f>IF(T235=1,Adm!$O$2,0)</f>
        <v>0</v>
      </c>
      <c r="Z235" s="477">
        <f t="shared" si="41"/>
        <v>0</v>
      </c>
      <c r="AA235" s="478">
        <f>IF(M234&lt;=0,0,IF($AA$63=$AA$60,0,IF($Z$63=$Z$61,PMT(Adm!$J$2/12,B234,-L234),0)))</f>
        <v>0</v>
      </c>
      <c r="AB235" s="479">
        <f t="shared" si="42"/>
        <v>0</v>
      </c>
      <c r="AC235" s="479"/>
      <c r="AE235" s="473" t="e">
        <f t="shared" si="43"/>
        <v>#N/A</v>
      </c>
      <c r="AF235" s="480" t="e">
        <f t="shared" si="49"/>
        <v>#N/A</v>
      </c>
      <c r="AG235" s="475" t="e">
        <f t="shared" si="44"/>
        <v>#N/A</v>
      </c>
      <c r="AH235" s="476" t="e">
        <f t="shared" si="45"/>
        <v>#N/A</v>
      </c>
      <c r="AI235" s="475" t="e">
        <f t="shared" si="50"/>
        <v>#N/A</v>
      </c>
      <c r="AJ235" s="307" t="e">
        <f t="shared" si="46"/>
        <v>#N/A</v>
      </c>
    </row>
    <row r="236" spans="2:36">
      <c r="B236" s="277">
        <f t="shared" si="34"/>
        <v>0</v>
      </c>
      <c r="C236" s="466">
        <f t="shared" si="35"/>
        <v>0</v>
      </c>
      <c r="D236" s="467">
        <f t="shared" si="47"/>
        <v>0</v>
      </c>
      <c r="E236" s="460">
        <f t="shared" si="36"/>
        <v>0</v>
      </c>
      <c r="F236" s="460">
        <f t="shared" si="37"/>
        <v>0</v>
      </c>
      <c r="G236" s="460">
        <f t="shared" si="48"/>
        <v>0</v>
      </c>
      <c r="H236" s="460">
        <f>IF(L235&lt;0.01,0,IF($H$68="",0,L235*Adm!$V$3))</f>
        <v>0</v>
      </c>
      <c r="I236" s="460">
        <f>IF(L235&lt;0.01,0,IF($I$68="",0,($G$28*0.7*Adm!$W$3)))</f>
        <v>0</v>
      </c>
      <c r="J236" s="460">
        <f>IF(L235&lt;0.01,0,Adm!$AD$2*1.16)</f>
        <v>0</v>
      </c>
      <c r="K236" s="460">
        <f t="shared" si="38"/>
        <v>0</v>
      </c>
      <c r="L236" s="460">
        <f t="shared" si="39"/>
        <v>0</v>
      </c>
      <c r="M236" s="468"/>
      <c r="T236" s="469">
        <f t="shared" si="40"/>
        <v>11</v>
      </c>
      <c r="U236" s="470">
        <f>IF(T236=1,Adm!$O$2,0)</f>
        <v>0</v>
      </c>
      <c r="Z236" s="477">
        <f t="shared" si="41"/>
        <v>0</v>
      </c>
      <c r="AA236" s="478">
        <f>IF(M235&lt;=0,0,IF($AA$63=$AA$60,0,IF($Z$63=$Z$61,PMT(Adm!$J$2/12,B235,-L235),0)))</f>
        <v>0</v>
      </c>
      <c r="AB236" s="479">
        <f t="shared" si="42"/>
        <v>0</v>
      </c>
      <c r="AC236" s="479"/>
      <c r="AE236" s="473" t="e">
        <f t="shared" si="43"/>
        <v>#N/A</v>
      </c>
      <c r="AF236" s="480" t="e">
        <f t="shared" si="49"/>
        <v>#N/A</v>
      </c>
      <c r="AG236" s="475" t="e">
        <f t="shared" si="44"/>
        <v>#N/A</v>
      </c>
      <c r="AH236" s="476" t="e">
        <f t="shared" si="45"/>
        <v>#N/A</v>
      </c>
      <c r="AI236" s="475" t="e">
        <f t="shared" si="50"/>
        <v>#N/A</v>
      </c>
      <c r="AJ236" s="307" t="e">
        <f t="shared" si="46"/>
        <v>#N/A</v>
      </c>
    </row>
    <row r="237" spans="2:36">
      <c r="B237" s="277">
        <f t="shared" si="34"/>
        <v>0</v>
      </c>
      <c r="C237" s="466">
        <f t="shared" si="35"/>
        <v>0</v>
      </c>
      <c r="D237" s="467">
        <f t="shared" si="47"/>
        <v>0</v>
      </c>
      <c r="E237" s="460">
        <f t="shared" si="36"/>
        <v>0</v>
      </c>
      <c r="F237" s="460">
        <f t="shared" si="37"/>
        <v>0</v>
      </c>
      <c r="G237" s="460">
        <f t="shared" si="48"/>
        <v>0</v>
      </c>
      <c r="H237" s="460">
        <f>IF(L236&lt;0.01,0,IF($H$68="",0,L236*Adm!$V$3))</f>
        <v>0</v>
      </c>
      <c r="I237" s="460">
        <f>IF(L236&lt;0.01,0,IF($I$68="",0,($G$28*0.7*Adm!$W$3)))</f>
        <v>0</v>
      </c>
      <c r="J237" s="460">
        <f>IF(L236&lt;0.01,0,Adm!$AD$2*1.16)</f>
        <v>0</v>
      </c>
      <c r="K237" s="460">
        <f t="shared" si="38"/>
        <v>0</v>
      </c>
      <c r="L237" s="460">
        <f t="shared" si="39"/>
        <v>0</v>
      </c>
      <c r="M237" s="468"/>
      <c r="T237" s="469">
        <f t="shared" si="40"/>
        <v>12</v>
      </c>
      <c r="U237" s="470">
        <f>IF(T237=1,Adm!$O$2,0)</f>
        <v>0</v>
      </c>
      <c r="Z237" s="477">
        <f t="shared" si="41"/>
        <v>0</v>
      </c>
      <c r="AA237" s="478">
        <f>IF(M236&lt;=0,0,IF($AA$63=$AA$60,0,IF($Z$63=$Z$61,PMT(Adm!$J$2/12,B236,-L236),0)))</f>
        <v>0</v>
      </c>
      <c r="AB237" s="479">
        <f t="shared" si="42"/>
        <v>0</v>
      </c>
      <c r="AC237" s="479"/>
      <c r="AE237" s="473" t="e">
        <f t="shared" si="43"/>
        <v>#N/A</v>
      </c>
      <c r="AF237" s="480" t="e">
        <f t="shared" si="49"/>
        <v>#N/A</v>
      </c>
      <c r="AG237" s="475" t="e">
        <f t="shared" si="44"/>
        <v>#N/A</v>
      </c>
      <c r="AH237" s="476" t="e">
        <f t="shared" si="45"/>
        <v>#N/A</v>
      </c>
      <c r="AI237" s="475" t="e">
        <f t="shared" si="50"/>
        <v>#N/A</v>
      </c>
      <c r="AJ237" s="307" t="e">
        <f t="shared" si="46"/>
        <v>#N/A</v>
      </c>
    </row>
    <row r="238" spans="2:36">
      <c r="B238" s="277">
        <f t="shared" si="34"/>
        <v>0</v>
      </c>
      <c r="C238" s="466">
        <f t="shared" si="35"/>
        <v>0</v>
      </c>
      <c r="D238" s="467">
        <f t="shared" si="47"/>
        <v>0</v>
      </c>
      <c r="E238" s="460">
        <f t="shared" si="36"/>
        <v>0</v>
      </c>
      <c r="F238" s="460">
        <f t="shared" si="37"/>
        <v>0</v>
      </c>
      <c r="G238" s="460">
        <f t="shared" si="48"/>
        <v>0</v>
      </c>
      <c r="H238" s="460">
        <f>IF(L237&lt;0.01,0,IF($H$68="",0,L237*Adm!$V$3))</f>
        <v>0</v>
      </c>
      <c r="I238" s="460">
        <f>IF(L237&lt;0.01,0,IF($I$68="",0,($G$28*0.7*Adm!$W$3)))</f>
        <v>0</v>
      </c>
      <c r="J238" s="460">
        <f>IF(L237&lt;0.01,0,Adm!$AD$2*1.16)</f>
        <v>0</v>
      </c>
      <c r="K238" s="460">
        <f t="shared" si="38"/>
        <v>0</v>
      </c>
      <c r="L238" s="460">
        <f t="shared" si="39"/>
        <v>0</v>
      </c>
      <c r="M238" s="468"/>
      <c r="T238" s="469">
        <f t="shared" si="40"/>
        <v>1</v>
      </c>
      <c r="U238" s="470">
        <f>IF(T238=1,Adm!$O$2,0)</f>
        <v>0</v>
      </c>
      <c r="Z238" s="477">
        <f t="shared" si="41"/>
        <v>0</v>
      </c>
      <c r="AA238" s="478">
        <f>IF(M237&lt;=0,0,IF($AA$63=$AA$60,0,IF($Z$63=$Z$61,PMT(Adm!$J$2/12,B237,-L237),0)))</f>
        <v>0</v>
      </c>
      <c r="AB238" s="479">
        <f t="shared" si="42"/>
        <v>0</v>
      </c>
      <c r="AC238" s="479"/>
      <c r="AE238" s="473" t="e">
        <f t="shared" si="43"/>
        <v>#N/A</v>
      </c>
      <c r="AF238" s="480" t="e">
        <f t="shared" si="49"/>
        <v>#N/A</v>
      </c>
      <c r="AG238" s="475" t="e">
        <f t="shared" si="44"/>
        <v>#N/A</v>
      </c>
      <c r="AH238" s="476" t="e">
        <f t="shared" si="45"/>
        <v>#N/A</v>
      </c>
      <c r="AI238" s="481" t="e">
        <f>MIN(AJ237+AG238,AI237*(1+$AG$65))</f>
        <v>#N/A</v>
      </c>
      <c r="AJ238" s="307" t="e">
        <f t="shared" si="46"/>
        <v>#N/A</v>
      </c>
    </row>
    <row r="239" spans="2:36">
      <c r="B239" s="277">
        <f t="shared" si="34"/>
        <v>0</v>
      </c>
      <c r="C239" s="466">
        <f t="shared" si="35"/>
        <v>0</v>
      </c>
      <c r="D239" s="467">
        <f t="shared" si="47"/>
        <v>0</v>
      </c>
      <c r="E239" s="460">
        <f t="shared" si="36"/>
        <v>0</v>
      </c>
      <c r="F239" s="460">
        <f t="shared" si="37"/>
        <v>0</v>
      </c>
      <c r="G239" s="460">
        <f t="shared" si="48"/>
        <v>0</v>
      </c>
      <c r="H239" s="460">
        <f>IF(L238&lt;0.01,0,IF($H$68="",0,L238*Adm!$V$3))</f>
        <v>0</v>
      </c>
      <c r="I239" s="460">
        <f>IF(L238&lt;0.01,0,IF($I$68="",0,($G$28*0.7*Adm!$W$3)))</f>
        <v>0</v>
      </c>
      <c r="J239" s="460">
        <f>IF(L238&lt;0.01,0,Adm!$AD$2*1.16)</f>
        <v>0</v>
      </c>
      <c r="K239" s="460">
        <f t="shared" si="38"/>
        <v>0</v>
      </c>
      <c r="L239" s="460">
        <f t="shared" si="39"/>
        <v>0</v>
      </c>
      <c r="M239" s="468"/>
      <c r="T239" s="469">
        <f t="shared" si="40"/>
        <v>2</v>
      </c>
      <c r="U239" s="470">
        <f>IF(T239=1,Adm!$O$2,0)</f>
        <v>0</v>
      </c>
      <c r="Z239" s="477">
        <f t="shared" si="41"/>
        <v>0</v>
      </c>
      <c r="AA239" s="478">
        <f>IF(M238&lt;=0,0,IF($AA$63=$AA$60,0,IF($Z$63=$Z$61,PMT(Adm!$J$2/12,B238,-L238),0)))</f>
        <v>0</v>
      </c>
      <c r="AB239" s="479">
        <f t="shared" si="42"/>
        <v>0</v>
      </c>
      <c r="AC239" s="479"/>
      <c r="AE239" s="473" t="e">
        <f t="shared" si="43"/>
        <v>#N/A</v>
      </c>
      <c r="AF239" s="480" t="e">
        <f t="shared" si="49"/>
        <v>#N/A</v>
      </c>
      <c r="AG239" s="475" t="e">
        <f t="shared" si="44"/>
        <v>#N/A</v>
      </c>
      <c r="AH239" s="476" t="e">
        <f t="shared" si="45"/>
        <v>#N/A</v>
      </c>
      <c r="AI239" s="475" t="e">
        <f t="shared" si="50"/>
        <v>#N/A</v>
      </c>
      <c r="AJ239" s="307" t="e">
        <f t="shared" si="46"/>
        <v>#N/A</v>
      </c>
    </row>
    <row r="240" spans="2:36">
      <c r="B240" s="277">
        <f t="shared" si="34"/>
        <v>0</v>
      </c>
      <c r="C240" s="466">
        <f t="shared" si="35"/>
        <v>0</v>
      </c>
      <c r="D240" s="467">
        <f t="shared" si="47"/>
        <v>0</v>
      </c>
      <c r="E240" s="460">
        <f t="shared" si="36"/>
        <v>0</v>
      </c>
      <c r="F240" s="460">
        <f t="shared" si="37"/>
        <v>0</v>
      </c>
      <c r="G240" s="460">
        <f t="shared" si="48"/>
        <v>0</v>
      </c>
      <c r="H240" s="460">
        <f>IF(L239&lt;0.01,0,IF($H$68="",0,L239*Adm!$V$3))</f>
        <v>0</v>
      </c>
      <c r="I240" s="460">
        <f>IF(L239&lt;0.01,0,IF($I$68="",0,($G$28*0.7*Adm!$W$3)))</f>
        <v>0</v>
      </c>
      <c r="J240" s="460">
        <f>IF(L239&lt;0.01,0,Adm!$AD$2*1.16)</f>
        <v>0</v>
      </c>
      <c r="K240" s="460">
        <f t="shared" si="38"/>
        <v>0</v>
      </c>
      <c r="L240" s="460">
        <f t="shared" si="39"/>
        <v>0</v>
      </c>
      <c r="M240" s="468"/>
      <c r="T240" s="469">
        <f t="shared" si="40"/>
        <v>3</v>
      </c>
      <c r="U240" s="470">
        <f>IF(T240=1,Adm!$O$2,0)</f>
        <v>0</v>
      </c>
      <c r="Z240" s="477">
        <f t="shared" si="41"/>
        <v>0</v>
      </c>
      <c r="AA240" s="478">
        <f>IF(M239&lt;=0,0,IF($AA$63=$AA$60,0,IF($Z$63=$Z$61,PMT(Adm!$J$2/12,B239,-L239),0)))</f>
        <v>0</v>
      </c>
      <c r="AB240" s="479">
        <f t="shared" si="42"/>
        <v>0</v>
      </c>
      <c r="AC240" s="479"/>
      <c r="AE240" s="473" t="e">
        <f t="shared" si="43"/>
        <v>#N/A</v>
      </c>
      <c r="AF240" s="480" t="e">
        <f t="shared" si="49"/>
        <v>#N/A</v>
      </c>
      <c r="AG240" s="475" t="e">
        <f t="shared" si="44"/>
        <v>#N/A</v>
      </c>
      <c r="AH240" s="476" t="e">
        <f t="shared" si="45"/>
        <v>#N/A</v>
      </c>
      <c r="AI240" s="475" t="e">
        <f t="shared" si="50"/>
        <v>#N/A</v>
      </c>
      <c r="AJ240" s="307" t="e">
        <f t="shared" si="46"/>
        <v>#N/A</v>
      </c>
    </row>
    <row r="241" spans="2:36">
      <c r="B241" s="277">
        <f t="shared" si="34"/>
        <v>0</v>
      </c>
      <c r="C241" s="466">
        <f t="shared" si="35"/>
        <v>0</v>
      </c>
      <c r="D241" s="467">
        <f t="shared" si="47"/>
        <v>0</v>
      </c>
      <c r="E241" s="460">
        <f t="shared" si="36"/>
        <v>0</v>
      </c>
      <c r="F241" s="460">
        <f t="shared" si="37"/>
        <v>0</v>
      </c>
      <c r="G241" s="460">
        <f t="shared" si="48"/>
        <v>0</v>
      </c>
      <c r="H241" s="460">
        <f>IF(L240&lt;0.01,0,IF($H$68="",0,L240*Adm!$V$3))</f>
        <v>0</v>
      </c>
      <c r="I241" s="460">
        <f>IF(L240&lt;0.01,0,IF($I$68="",0,($G$28*0.7*Adm!$W$3)))</f>
        <v>0</v>
      </c>
      <c r="J241" s="460">
        <f>IF(L240&lt;0.01,0,Adm!$AD$2*1.16)</f>
        <v>0</v>
      </c>
      <c r="K241" s="460">
        <f t="shared" si="38"/>
        <v>0</v>
      </c>
      <c r="L241" s="460">
        <f t="shared" si="39"/>
        <v>0</v>
      </c>
      <c r="M241" s="468"/>
      <c r="T241" s="469">
        <f t="shared" si="40"/>
        <v>4</v>
      </c>
      <c r="U241" s="470">
        <f>IF(T241=1,Adm!$O$2,0)</f>
        <v>0</v>
      </c>
      <c r="Z241" s="477">
        <f t="shared" si="41"/>
        <v>0</v>
      </c>
      <c r="AA241" s="478">
        <f>IF(M240&lt;=0,0,IF($AA$63=$AA$60,0,IF($Z$63=$Z$61,PMT(Adm!$J$2/12,B240,-L240),0)))</f>
        <v>0</v>
      </c>
      <c r="AB241" s="479">
        <f t="shared" si="42"/>
        <v>0</v>
      </c>
      <c r="AC241" s="479"/>
      <c r="AE241" s="473" t="e">
        <f t="shared" si="43"/>
        <v>#N/A</v>
      </c>
      <c r="AF241" s="480" t="e">
        <f t="shared" si="49"/>
        <v>#N/A</v>
      </c>
      <c r="AG241" s="475" t="e">
        <f t="shared" si="44"/>
        <v>#N/A</v>
      </c>
      <c r="AH241" s="476" t="e">
        <f t="shared" si="45"/>
        <v>#N/A</v>
      </c>
      <c r="AI241" s="475" t="e">
        <f t="shared" si="50"/>
        <v>#N/A</v>
      </c>
      <c r="AJ241" s="307" t="e">
        <f t="shared" si="46"/>
        <v>#N/A</v>
      </c>
    </row>
    <row r="242" spans="2:36">
      <c r="B242" s="277">
        <f t="shared" si="34"/>
        <v>0</v>
      </c>
      <c r="C242" s="466">
        <f t="shared" si="35"/>
        <v>0</v>
      </c>
      <c r="D242" s="467">
        <f t="shared" si="47"/>
        <v>0</v>
      </c>
      <c r="E242" s="460">
        <f t="shared" si="36"/>
        <v>0</v>
      </c>
      <c r="F242" s="460">
        <f t="shared" si="37"/>
        <v>0</v>
      </c>
      <c r="G242" s="460">
        <f t="shared" si="48"/>
        <v>0</v>
      </c>
      <c r="H242" s="460">
        <f>IF(L241&lt;0.01,0,IF($H$68="",0,L241*Adm!$V$3))</f>
        <v>0</v>
      </c>
      <c r="I242" s="460">
        <f>IF(L241&lt;0.01,0,IF($I$68="",0,($G$28*0.7*Adm!$W$3)))</f>
        <v>0</v>
      </c>
      <c r="J242" s="460">
        <f>IF(L241&lt;0.01,0,Adm!$AD$2*1.16)</f>
        <v>0</v>
      </c>
      <c r="K242" s="460">
        <f t="shared" si="38"/>
        <v>0</v>
      </c>
      <c r="L242" s="460">
        <f t="shared" si="39"/>
        <v>0</v>
      </c>
      <c r="M242" s="468"/>
      <c r="T242" s="469">
        <f t="shared" si="40"/>
        <v>5</v>
      </c>
      <c r="U242" s="470">
        <f>IF(T242=1,Adm!$O$2,0)</f>
        <v>0</v>
      </c>
      <c r="Z242" s="477">
        <f t="shared" si="41"/>
        <v>0</v>
      </c>
      <c r="AA242" s="478">
        <f>IF(M241&lt;=0,0,IF($AA$63=$AA$60,0,IF($Z$63=$Z$61,PMT(Adm!$J$2/12,B241,-L241),0)))</f>
        <v>0</v>
      </c>
      <c r="AB242" s="479">
        <f t="shared" si="42"/>
        <v>0</v>
      </c>
      <c r="AC242" s="479"/>
      <c r="AE242" s="473" t="e">
        <f t="shared" si="43"/>
        <v>#N/A</v>
      </c>
      <c r="AF242" s="480" t="e">
        <f t="shared" si="49"/>
        <v>#N/A</v>
      </c>
      <c r="AG242" s="475" t="e">
        <f t="shared" si="44"/>
        <v>#N/A</v>
      </c>
      <c r="AH242" s="476" t="e">
        <f t="shared" si="45"/>
        <v>#N/A</v>
      </c>
      <c r="AI242" s="475" t="e">
        <f t="shared" si="50"/>
        <v>#N/A</v>
      </c>
      <c r="AJ242" s="307" t="e">
        <f t="shared" si="46"/>
        <v>#N/A</v>
      </c>
    </row>
    <row r="243" spans="2:36">
      <c r="B243" s="277">
        <f t="shared" si="34"/>
        <v>0</v>
      </c>
      <c r="C243" s="466">
        <f t="shared" si="35"/>
        <v>0</v>
      </c>
      <c r="D243" s="467">
        <f t="shared" si="47"/>
        <v>0</v>
      </c>
      <c r="E243" s="460">
        <f t="shared" si="36"/>
        <v>0</v>
      </c>
      <c r="F243" s="460">
        <f t="shared" si="37"/>
        <v>0</v>
      </c>
      <c r="G243" s="460">
        <f t="shared" si="48"/>
        <v>0</v>
      </c>
      <c r="H243" s="460">
        <f>IF(L242&lt;0.01,0,IF($H$68="",0,L242*Adm!$V$3))</f>
        <v>0</v>
      </c>
      <c r="I243" s="460">
        <f>IF(L242&lt;0.01,0,IF($I$68="",0,($G$28*0.7*Adm!$W$3)))</f>
        <v>0</v>
      </c>
      <c r="J243" s="460">
        <f>IF(L242&lt;0.01,0,Adm!$AD$2*1.16)</f>
        <v>0</v>
      </c>
      <c r="K243" s="460">
        <f t="shared" si="38"/>
        <v>0</v>
      </c>
      <c r="L243" s="460">
        <f t="shared" si="39"/>
        <v>0</v>
      </c>
      <c r="M243" s="468"/>
      <c r="T243" s="469">
        <f t="shared" si="40"/>
        <v>6</v>
      </c>
      <c r="U243" s="470">
        <f>IF(T243=1,Adm!$O$2,0)</f>
        <v>0</v>
      </c>
      <c r="Z243" s="477">
        <f t="shared" si="41"/>
        <v>0</v>
      </c>
      <c r="AA243" s="478">
        <f>IF(M242&lt;=0,0,IF($AA$63=$AA$60,0,IF($Z$63=$Z$61,PMT(Adm!$J$2/12,B242,-L242),0)))</f>
        <v>0</v>
      </c>
      <c r="AB243" s="479">
        <f t="shared" si="42"/>
        <v>0</v>
      </c>
      <c r="AC243" s="479"/>
      <c r="AE243" s="473" t="e">
        <f t="shared" si="43"/>
        <v>#N/A</v>
      </c>
      <c r="AF243" s="480" t="e">
        <f t="shared" si="49"/>
        <v>#N/A</v>
      </c>
      <c r="AG243" s="475" t="e">
        <f t="shared" si="44"/>
        <v>#N/A</v>
      </c>
      <c r="AH243" s="476" t="e">
        <f t="shared" si="45"/>
        <v>#N/A</v>
      </c>
      <c r="AI243" s="475" t="e">
        <f t="shared" si="50"/>
        <v>#N/A</v>
      </c>
      <c r="AJ243" s="307" t="e">
        <f t="shared" si="46"/>
        <v>#N/A</v>
      </c>
    </row>
    <row r="244" spans="2:36">
      <c r="B244" s="277">
        <f t="shared" si="34"/>
        <v>0</v>
      </c>
      <c r="C244" s="466">
        <f t="shared" si="35"/>
        <v>0</v>
      </c>
      <c r="D244" s="467">
        <f t="shared" si="47"/>
        <v>0</v>
      </c>
      <c r="E244" s="460">
        <f t="shared" si="36"/>
        <v>0</v>
      </c>
      <c r="F244" s="460">
        <f t="shared" si="37"/>
        <v>0</v>
      </c>
      <c r="G244" s="460">
        <f t="shared" si="48"/>
        <v>0</v>
      </c>
      <c r="H244" s="460">
        <f>IF(L243&lt;0.01,0,IF($H$68="",0,L243*Adm!$V$3))</f>
        <v>0</v>
      </c>
      <c r="I244" s="460">
        <f>IF(L243&lt;0.01,0,IF($I$68="",0,($G$28*0.7*Adm!$W$3)))</f>
        <v>0</v>
      </c>
      <c r="J244" s="460">
        <f>IF(L243&lt;0.01,0,Adm!$AD$2*1.16)</f>
        <v>0</v>
      </c>
      <c r="K244" s="460">
        <f t="shared" si="38"/>
        <v>0</v>
      </c>
      <c r="L244" s="460">
        <f t="shared" si="39"/>
        <v>0</v>
      </c>
      <c r="M244" s="468"/>
      <c r="T244" s="469">
        <f t="shared" si="40"/>
        <v>7</v>
      </c>
      <c r="U244" s="470">
        <f>IF(T244=1,Adm!$O$2,0)</f>
        <v>0</v>
      </c>
      <c r="Z244" s="477">
        <f t="shared" si="41"/>
        <v>0</v>
      </c>
      <c r="AA244" s="478">
        <f>IF(M243&lt;=0,0,IF($AA$63=$AA$60,0,IF($Z$63=$Z$61,PMT(Adm!$J$2/12,B243,-L243),0)))</f>
        <v>0</v>
      </c>
      <c r="AB244" s="479">
        <f t="shared" si="42"/>
        <v>0</v>
      </c>
      <c r="AC244" s="479"/>
      <c r="AE244" s="473" t="e">
        <f t="shared" si="43"/>
        <v>#N/A</v>
      </c>
      <c r="AF244" s="480" t="e">
        <f t="shared" si="49"/>
        <v>#N/A</v>
      </c>
      <c r="AG244" s="475" t="e">
        <f t="shared" si="44"/>
        <v>#N/A</v>
      </c>
      <c r="AH244" s="476" t="e">
        <f t="shared" si="45"/>
        <v>#N/A</v>
      </c>
      <c r="AI244" s="475" t="e">
        <f t="shared" si="50"/>
        <v>#N/A</v>
      </c>
      <c r="AJ244" s="307" t="e">
        <f t="shared" si="46"/>
        <v>#N/A</v>
      </c>
    </row>
    <row r="245" spans="2:36">
      <c r="B245" s="277">
        <f t="shared" si="34"/>
        <v>0</v>
      </c>
      <c r="C245" s="466">
        <f t="shared" si="35"/>
        <v>0</v>
      </c>
      <c r="D245" s="467">
        <f t="shared" si="47"/>
        <v>0</v>
      </c>
      <c r="E245" s="460">
        <f t="shared" si="36"/>
        <v>0</v>
      </c>
      <c r="F245" s="460">
        <f t="shared" si="37"/>
        <v>0</v>
      </c>
      <c r="G245" s="460">
        <f t="shared" si="48"/>
        <v>0</v>
      </c>
      <c r="H245" s="460">
        <f>IF(L244&lt;0.01,0,IF($H$68="",0,L244*Adm!$V$3))</f>
        <v>0</v>
      </c>
      <c r="I245" s="460">
        <f>IF(L244&lt;0.01,0,IF($I$68="",0,($G$28*0.7*Adm!$W$3)))</f>
        <v>0</v>
      </c>
      <c r="J245" s="460">
        <f>IF(L244&lt;0.01,0,Adm!$AD$2*1.16)</f>
        <v>0</v>
      </c>
      <c r="K245" s="460">
        <f t="shared" si="38"/>
        <v>0</v>
      </c>
      <c r="L245" s="460">
        <f t="shared" si="39"/>
        <v>0</v>
      </c>
      <c r="M245" s="468"/>
      <c r="T245" s="469">
        <f t="shared" si="40"/>
        <v>8</v>
      </c>
      <c r="U245" s="470">
        <f>IF(T245=1,Adm!$O$2,0)</f>
        <v>0</v>
      </c>
      <c r="Z245" s="477">
        <f t="shared" si="41"/>
        <v>0</v>
      </c>
      <c r="AA245" s="478">
        <f>IF(M244&lt;=0,0,IF($AA$63=$AA$60,0,IF($Z$63=$Z$61,PMT(Adm!$J$2/12,B244,-L244),0)))</f>
        <v>0</v>
      </c>
      <c r="AB245" s="479">
        <f t="shared" si="42"/>
        <v>0</v>
      </c>
      <c r="AC245" s="479"/>
      <c r="AE245" s="473" t="e">
        <f t="shared" si="43"/>
        <v>#N/A</v>
      </c>
      <c r="AF245" s="480" t="e">
        <f t="shared" si="49"/>
        <v>#N/A</v>
      </c>
      <c r="AG245" s="475" t="e">
        <f t="shared" si="44"/>
        <v>#N/A</v>
      </c>
      <c r="AH245" s="476" t="e">
        <f t="shared" si="45"/>
        <v>#N/A</v>
      </c>
      <c r="AI245" s="475" t="e">
        <f t="shared" si="50"/>
        <v>#N/A</v>
      </c>
      <c r="AJ245" s="307" t="e">
        <f t="shared" si="46"/>
        <v>#N/A</v>
      </c>
    </row>
    <row r="246" spans="2:36">
      <c r="B246" s="277">
        <f t="shared" si="34"/>
        <v>0</v>
      </c>
      <c r="C246" s="466">
        <f t="shared" si="35"/>
        <v>0</v>
      </c>
      <c r="D246" s="467">
        <f t="shared" si="47"/>
        <v>0</v>
      </c>
      <c r="E246" s="460">
        <f t="shared" si="36"/>
        <v>0</v>
      </c>
      <c r="F246" s="460">
        <f t="shared" si="37"/>
        <v>0</v>
      </c>
      <c r="G246" s="460">
        <f t="shared" si="48"/>
        <v>0</v>
      </c>
      <c r="H246" s="460">
        <f>IF(L245&lt;0.01,0,IF($H$68="",0,L245*Adm!$V$3))</f>
        <v>0</v>
      </c>
      <c r="I246" s="460">
        <f>IF(L245&lt;0.01,0,IF($I$68="",0,($G$28*0.7*Adm!$W$3)))</f>
        <v>0</v>
      </c>
      <c r="J246" s="460">
        <f>IF(L245&lt;0.01,0,Adm!$AD$2*1.16)</f>
        <v>0</v>
      </c>
      <c r="K246" s="460">
        <f t="shared" si="38"/>
        <v>0</v>
      </c>
      <c r="L246" s="460">
        <f t="shared" si="39"/>
        <v>0</v>
      </c>
      <c r="M246" s="468"/>
      <c r="T246" s="469">
        <f t="shared" si="40"/>
        <v>9</v>
      </c>
      <c r="U246" s="470">
        <f>IF(T246=1,Adm!$O$2,0)</f>
        <v>0</v>
      </c>
      <c r="Z246" s="477">
        <f t="shared" si="41"/>
        <v>0</v>
      </c>
      <c r="AA246" s="478">
        <f>IF(M245&lt;=0,0,IF($AA$63=$AA$60,0,IF($Z$63=$Z$61,PMT(Adm!$J$2/12,B245,-L245),0)))</f>
        <v>0</v>
      </c>
      <c r="AB246" s="479">
        <f t="shared" si="42"/>
        <v>0</v>
      </c>
      <c r="AC246" s="479"/>
      <c r="AE246" s="473" t="e">
        <f t="shared" si="43"/>
        <v>#N/A</v>
      </c>
      <c r="AF246" s="480" t="e">
        <f t="shared" si="49"/>
        <v>#N/A</v>
      </c>
      <c r="AG246" s="475" t="e">
        <f t="shared" si="44"/>
        <v>#N/A</v>
      </c>
      <c r="AH246" s="476" t="e">
        <f t="shared" si="45"/>
        <v>#N/A</v>
      </c>
      <c r="AI246" s="475" t="e">
        <f t="shared" si="50"/>
        <v>#N/A</v>
      </c>
      <c r="AJ246" s="307" t="e">
        <f t="shared" si="46"/>
        <v>#N/A</v>
      </c>
    </row>
    <row r="247" spans="2:36">
      <c r="B247" s="277">
        <f t="shared" si="34"/>
        <v>0</v>
      </c>
      <c r="C247" s="466">
        <f t="shared" si="35"/>
        <v>0</v>
      </c>
      <c r="D247" s="467">
        <f t="shared" si="47"/>
        <v>0</v>
      </c>
      <c r="E247" s="460">
        <f t="shared" si="36"/>
        <v>0</v>
      </c>
      <c r="F247" s="460">
        <f t="shared" si="37"/>
        <v>0</v>
      </c>
      <c r="G247" s="460">
        <f t="shared" si="48"/>
        <v>0</v>
      </c>
      <c r="H247" s="460">
        <f>IF(L246&lt;0.01,0,IF($H$68="",0,L246*Adm!$V$3))</f>
        <v>0</v>
      </c>
      <c r="I247" s="460">
        <f>IF(L246&lt;0.01,0,IF($I$68="",0,($G$28*0.7*Adm!$W$3)))</f>
        <v>0</v>
      </c>
      <c r="J247" s="460">
        <f>IF(L246&lt;0.01,0,Adm!$AD$2*1.16)</f>
        <v>0</v>
      </c>
      <c r="K247" s="460">
        <f t="shared" si="38"/>
        <v>0</v>
      </c>
      <c r="L247" s="460">
        <f t="shared" si="39"/>
        <v>0</v>
      </c>
      <c r="M247" s="468"/>
      <c r="T247" s="469">
        <f t="shared" si="40"/>
        <v>10</v>
      </c>
      <c r="U247" s="470">
        <f>IF(T247=1,Adm!$O$2,0)</f>
        <v>0</v>
      </c>
      <c r="Z247" s="477">
        <f t="shared" si="41"/>
        <v>0</v>
      </c>
      <c r="AA247" s="478">
        <f>IF(M246&lt;=0,0,IF($AA$63=$AA$60,0,IF($Z$63=$Z$61,PMT(Adm!$J$2/12,B246,-L246),0)))</f>
        <v>0</v>
      </c>
      <c r="AB247" s="479">
        <f t="shared" si="42"/>
        <v>0</v>
      </c>
      <c r="AC247" s="479"/>
      <c r="AE247" s="473" t="e">
        <f t="shared" si="43"/>
        <v>#N/A</v>
      </c>
      <c r="AF247" s="480" t="e">
        <f t="shared" si="49"/>
        <v>#N/A</v>
      </c>
      <c r="AG247" s="475" t="e">
        <f t="shared" si="44"/>
        <v>#N/A</v>
      </c>
      <c r="AH247" s="476" t="e">
        <f t="shared" si="45"/>
        <v>#N/A</v>
      </c>
      <c r="AI247" s="475" t="e">
        <f t="shared" si="50"/>
        <v>#N/A</v>
      </c>
      <c r="AJ247" s="307" t="e">
        <f t="shared" si="46"/>
        <v>#N/A</v>
      </c>
    </row>
    <row r="248" spans="2:36">
      <c r="B248" s="277">
        <f t="shared" si="34"/>
        <v>0</v>
      </c>
      <c r="C248" s="466">
        <f t="shared" si="35"/>
        <v>0</v>
      </c>
      <c r="D248" s="467">
        <f t="shared" si="47"/>
        <v>0</v>
      </c>
      <c r="E248" s="460">
        <f t="shared" si="36"/>
        <v>0</v>
      </c>
      <c r="F248" s="460">
        <f t="shared" si="37"/>
        <v>0</v>
      </c>
      <c r="G248" s="460">
        <f t="shared" si="48"/>
        <v>0</v>
      </c>
      <c r="H248" s="460">
        <f>IF(L247&lt;0.01,0,IF($H$68="",0,L247*Adm!$V$3))</f>
        <v>0</v>
      </c>
      <c r="I248" s="460">
        <f>IF(L247&lt;0.01,0,IF($I$68="",0,($G$28*0.7*Adm!$W$3)))</f>
        <v>0</v>
      </c>
      <c r="J248" s="460">
        <f>IF(L247&lt;0.01,0,Adm!$AD$2*1.16)</f>
        <v>0</v>
      </c>
      <c r="K248" s="460">
        <f t="shared" si="38"/>
        <v>0</v>
      </c>
      <c r="L248" s="460">
        <f t="shared" si="39"/>
        <v>0</v>
      </c>
      <c r="M248" s="468"/>
      <c r="T248" s="469">
        <f t="shared" si="40"/>
        <v>11</v>
      </c>
      <c r="U248" s="470">
        <f>IF(T248=1,Adm!$O$2,0)</f>
        <v>0</v>
      </c>
      <c r="Z248" s="477">
        <f t="shared" si="41"/>
        <v>0</v>
      </c>
      <c r="AA248" s="478">
        <f>IF(M247&lt;=0,0,IF($AA$63=$AA$60,0,IF($Z$63=$Z$61,PMT(Adm!$J$2/12,B247,-L247),0)))</f>
        <v>0</v>
      </c>
      <c r="AB248" s="479">
        <f t="shared" si="42"/>
        <v>0</v>
      </c>
      <c r="AC248" s="479"/>
      <c r="AE248" s="473" t="e">
        <f t="shared" si="43"/>
        <v>#N/A</v>
      </c>
      <c r="AF248" s="480" t="e">
        <f t="shared" si="49"/>
        <v>#N/A</v>
      </c>
      <c r="AG248" s="475" t="e">
        <f t="shared" si="44"/>
        <v>#N/A</v>
      </c>
      <c r="AH248" s="476" t="e">
        <f t="shared" si="45"/>
        <v>#N/A</v>
      </c>
      <c r="AI248" s="475" t="e">
        <f t="shared" si="50"/>
        <v>#N/A</v>
      </c>
      <c r="AJ248" s="307" t="e">
        <f t="shared" si="46"/>
        <v>#N/A</v>
      </c>
    </row>
    <row r="249" spans="2:36">
      <c r="B249" s="277">
        <f t="shared" si="34"/>
        <v>0</v>
      </c>
      <c r="C249" s="466">
        <f t="shared" si="35"/>
        <v>0</v>
      </c>
      <c r="D249" s="467">
        <f t="shared" si="47"/>
        <v>0</v>
      </c>
      <c r="E249" s="460">
        <f t="shared" si="36"/>
        <v>0</v>
      </c>
      <c r="F249" s="460">
        <f t="shared" si="37"/>
        <v>0</v>
      </c>
      <c r="G249" s="460">
        <f t="shared" si="48"/>
        <v>0</v>
      </c>
      <c r="H249" s="460">
        <f>IF(L248&lt;0.01,0,IF($H$68="",0,L248*Adm!$V$3))</f>
        <v>0</v>
      </c>
      <c r="I249" s="460">
        <f>IF(L248&lt;0.01,0,IF($I$68="",0,($G$28*0.7*Adm!$W$3)))</f>
        <v>0</v>
      </c>
      <c r="J249" s="460">
        <f>IF(L248&lt;0.01,0,Adm!$AD$2*1.16)</f>
        <v>0</v>
      </c>
      <c r="K249" s="460">
        <f t="shared" si="38"/>
        <v>0</v>
      </c>
      <c r="L249" s="460">
        <f t="shared" si="39"/>
        <v>0</v>
      </c>
      <c r="M249" s="468"/>
      <c r="T249" s="469">
        <f t="shared" si="40"/>
        <v>12</v>
      </c>
      <c r="U249" s="470">
        <f>IF(T249=1,Adm!$O$2,0)</f>
        <v>0</v>
      </c>
      <c r="Z249" s="477">
        <f t="shared" si="41"/>
        <v>0</v>
      </c>
      <c r="AA249" s="478">
        <f>IF(M248&lt;=0,0,IF($AA$63=$AA$60,0,IF($Z$63=$Z$61,PMT(Adm!$J$2/12,B248,-L248),0)))</f>
        <v>0</v>
      </c>
      <c r="AB249" s="479">
        <f t="shared" si="42"/>
        <v>0</v>
      </c>
      <c r="AC249" s="479"/>
      <c r="AE249" s="473" t="e">
        <f t="shared" si="43"/>
        <v>#N/A</v>
      </c>
      <c r="AF249" s="480" t="e">
        <f t="shared" si="49"/>
        <v>#N/A</v>
      </c>
      <c r="AG249" s="475" t="e">
        <f t="shared" si="44"/>
        <v>#N/A</v>
      </c>
      <c r="AH249" s="476" t="e">
        <f t="shared" si="45"/>
        <v>#N/A</v>
      </c>
      <c r="AI249" s="475" t="e">
        <f t="shared" si="50"/>
        <v>#N/A</v>
      </c>
      <c r="AJ249" s="307" t="e">
        <f t="shared" si="46"/>
        <v>#N/A</v>
      </c>
    </row>
    <row r="250" spans="2:36">
      <c r="B250" s="277">
        <f t="shared" si="34"/>
        <v>0</v>
      </c>
      <c r="C250" s="466">
        <f t="shared" si="35"/>
        <v>0</v>
      </c>
      <c r="D250" s="467">
        <f t="shared" si="47"/>
        <v>0</v>
      </c>
      <c r="E250" s="460">
        <f t="shared" si="36"/>
        <v>0</v>
      </c>
      <c r="F250" s="460">
        <f t="shared" si="37"/>
        <v>0</v>
      </c>
      <c r="G250" s="460">
        <f t="shared" si="48"/>
        <v>0</v>
      </c>
      <c r="H250" s="460">
        <f>IF(L249&lt;0.01,0,IF($H$68="",0,L249*Adm!$V$3))</f>
        <v>0</v>
      </c>
      <c r="I250" s="460">
        <f>IF(L249&lt;0.01,0,IF($I$68="",0,($G$28*0.7*Adm!$W$3)))</f>
        <v>0</v>
      </c>
      <c r="J250" s="460">
        <f>IF(L249&lt;0.01,0,Adm!$AD$2*1.16)</f>
        <v>0</v>
      </c>
      <c r="K250" s="460">
        <f t="shared" si="38"/>
        <v>0</v>
      </c>
      <c r="L250" s="460">
        <f t="shared" si="39"/>
        <v>0</v>
      </c>
      <c r="M250" s="468"/>
      <c r="T250" s="469">
        <f t="shared" si="40"/>
        <v>1</v>
      </c>
      <c r="U250" s="470">
        <f>IF(T250=1,Adm!$O$2,0)</f>
        <v>0</v>
      </c>
      <c r="Z250" s="477">
        <f t="shared" si="41"/>
        <v>0</v>
      </c>
      <c r="AA250" s="478">
        <f>IF(M249&lt;=0,0,IF($AA$63=$AA$60,0,IF($Z$63=$Z$61,PMT(Adm!$J$2/12,B249,-L249),0)))</f>
        <v>0</v>
      </c>
      <c r="AB250" s="479">
        <f t="shared" si="42"/>
        <v>0</v>
      </c>
      <c r="AC250" s="479"/>
      <c r="AE250" s="473" t="e">
        <f t="shared" si="43"/>
        <v>#N/A</v>
      </c>
      <c r="AF250" s="480" t="e">
        <f t="shared" si="49"/>
        <v>#N/A</v>
      </c>
      <c r="AG250" s="475" t="e">
        <f t="shared" si="44"/>
        <v>#N/A</v>
      </c>
      <c r="AH250" s="476" t="e">
        <f t="shared" si="45"/>
        <v>#N/A</v>
      </c>
      <c r="AI250" s="481" t="e">
        <f>MIN(AJ249+AG250,AI249*(1+$AG$65))</f>
        <v>#N/A</v>
      </c>
      <c r="AJ250" s="307" t="e">
        <f t="shared" si="46"/>
        <v>#N/A</v>
      </c>
    </row>
    <row r="251" spans="2:36">
      <c r="B251" s="277">
        <f t="shared" si="34"/>
        <v>0</v>
      </c>
      <c r="C251" s="466">
        <f t="shared" si="35"/>
        <v>0</v>
      </c>
      <c r="D251" s="467">
        <f t="shared" si="47"/>
        <v>0</v>
      </c>
      <c r="E251" s="460">
        <f t="shared" si="36"/>
        <v>0</v>
      </c>
      <c r="F251" s="460">
        <f t="shared" si="37"/>
        <v>0</v>
      </c>
      <c r="G251" s="460">
        <f t="shared" si="48"/>
        <v>0</v>
      </c>
      <c r="H251" s="460">
        <f>IF(L250&lt;0.01,0,IF($H$68="",0,L250*Adm!$V$3))</f>
        <v>0</v>
      </c>
      <c r="I251" s="460">
        <f>IF(L250&lt;0.01,0,IF($I$68="",0,($G$28*0.7*Adm!$W$3)))</f>
        <v>0</v>
      </c>
      <c r="J251" s="460">
        <f>IF(L250&lt;0.01,0,Adm!$AD$2*1.16)</f>
        <v>0</v>
      </c>
      <c r="K251" s="460">
        <f t="shared" si="38"/>
        <v>0</v>
      </c>
      <c r="L251" s="460">
        <f t="shared" si="39"/>
        <v>0</v>
      </c>
      <c r="M251" s="468"/>
      <c r="T251" s="469">
        <f t="shared" si="40"/>
        <v>2</v>
      </c>
      <c r="U251" s="470">
        <f>IF(T251=1,Adm!$O$2,0)</f>
        <v>0</v>
      </c>
      <c r="Z251" s="477">
        <f t="shared" si="41"/>
        <v>0</v>
      </c>
      <c r="AA251" s="478">
        <f>IF(M250&lt;=0,0,IF($AA$63=$AA$60,0,IF($Z$63=$Z$61,PMT(Adm!$J$2/12,B250,-L250),0)))</f>
        <v>0</v>
      </c>
      <c r="AB251" s="479">
        <f t="shared" si="42"/>
        <v>0</v>
      </c>
      <c r="AC251" s="479"/>
      <c r="AE251" s="473" t="e">
        <f t="shared" si="43"/>
        <v>#N/A</v>
      </c>
      <c r="AF251" s="480" t="e">
        <f t="shared" si="49"/>
        <v>#N/A</v>
      </c>
      <c r="AG251" s="475" t="e">
        <f t="shared" si="44"/>
        <v>#N/A</v>
      </c>
      <c r="AH251" s="476" t="e">
        <f t="shared" si="45"/>
        <v>#N/A</v>
      </c>
      <c r="AI251" s="475" t="e">
        <f t="shared" si="50"/>
        <v>#N/A</v>
      </c>
      <c r="AJ251" s="307" t="e">
        <f t="shared" si="46"/>
        <v>#N/A</v>
      </c>
    </row>
    <row r="252" spans="2:36">
      <c r="B252" s="277">
        <f t="shared" si="34"/>
        <v>0</v>
      </c>
      <c r="C252" s="466">
        <f t="shared" si="35"/>
        <v>0</v>
      </c>
      <c r="D252" s="467">
        <f t="shared" si="47"/>
        <v>0</v>
      </c>
      <c r="E252" s="460">
        <f t="shared" si="36"/>
        <v>0</v>
      </c>
      <c r="F252" s="460">
        <f t="shared" si="37"/>
        <v>0</v>
      </c>
      <c r="G252" s="460">
        <f t="shared" si="48"/>
        <v>0</v>
      </c>
      <c r="H252" s="460">
        <f>IF(L251&lt;0.01,0,IF($H$68="",0,L251*Adm!$V$3))</f>
        <v>0</v>
      </c>
      <c r="I252" s="460">
        <f>IF(L251&lt;0.01,0,IF($I$68="",0,($G$28*0.7*Adm!$W$3)))</f>
        <v>0</v>
      </c>
      <c r="J252" s="460">
        <f>IF(L251&lt;0.01,0,Adm!$AD$2*1.16)</f>
        <v>0</v>
      </c>
      <c r="K252" s="460">
        <f t="shared" si="38"/>
        <v>0</v>
      </c>
      <c r="L252" s="460">
        <f t="shared" si="39"/>
        <v>0</v>
      </c>
      <c r="M252" s="468"/>
      <c r="T252" s="469">
        <f t="shared" si="40"/>
        <v>3</v>
      </c>
      <c r="U252" s="470">
        <f>IF(T252=1,Adm!$O$2,0)</f>
        <v>0</v>
      </c>
      <c r="Z252" s="477">
        <f t="shared" si="41"/>
        <v>0</v>
      </c>
      <c r="AA252" s="478">
        <f>IF(M251&lt;=0,0,IF($AA$63=$AA$60,0,IF($Z$63=$Z$61,PMT(Adm!$J$2/12,B251,-L251),0)))</f>
        <v>0</v>
      </c>
      <c r="AB252" s="479">
        <f t="shared" si="42"/>
        <v>0</v>
      </c>
      <c r="AC252" s="479"/>
      <c r="AE252" s="473" t="e">
        <f t="shared" si="43"/>
        <v>#N/A</v>
      </c>
      <c r="AF252" s="480" t="e">
        <f t="shared" si="49"/>
        <v>#N/A</v>
      </c>
      <c r="AG252" s="475" t="e">
        <f t="shared" si="44"/>
        <v>#N/A</v>
      </c>
      <c r="AH252" s="476" t="e">
        <f t="shared" si="45"/>
        <v>#N/A</v>
      </c>
      <c r="AI252" s="475" t="e">
        <f t="shared" si="50"/>
        <v>#N/A</v>
      </c>
      <c r="AJ252" s="307" t="e">
        <f t="shared" si="46"/>
        <v>#N/A</v>
      </c>
    </row>
    <row r="253" spans="2:36">
      <c r="B253" s="277">
        <f t="shared" si="34"/>
        <v>0</v>
      </c>
      <c r="C253" s="466">
        <f t="shared" si="35"/>
        <v>0</v>
      </c>
      <c r="D253" s="467">
        <f t="shared" si="47"/>
        <v>0</v>
      </c>
      <c r="E253" s="460">
        <f t="shared" si="36"/>
        <v>0</v>
      </c>
      <c r="F253" s="460">
        <f t="shared" si="37"/>
        <v>0</v>
      </c>
      <c r="G253" s="460">
        <f t="shared" si="48"/>
        <v>0</v>
      </c>
      <c r="H253" s="460">
        <f>IF(L252&lt;0.01,0,IF($H$68="",0,L252*Adm!$V$3))</f>
        <v>0</v>
      </c>
      <c r="I253" s="460">
        <f>IF(L252&lt;0.01,0,IF($I$68="",0,($G$28*0.7*Adm!$W$3)))</f>
        <v>0</v>
      </c>
      <c r="J253" s="460">
        <f>IF(L252&lt;0.01,0,Adm!$AD$2*1.16)</f>
        <v>0</v>
      </c>
      <c r="K253" s="460">
        <f t="shared" si="38"/>
        <v>0</v>
      </c>
      <c r="L253" s="460">
        <f t="shared" si="39"/>
        <v>0</v>
      </c>
      <c r="M253" s="468"/>
      <c r="T253" s="469">
        <f t="shared" si="40"/>
        <v>4</v>
      </c>
      <c r="U253" s="470">
        <f>IF(T253=1,Adm!$O$2,0)</f>
        <v>0</v>
      </c>
      <c r="Z253" s="477">
        <f t="shared" si="41"/>
        <v>0</v>
      </c>
      <c r="AA253" s="478">
        <f>IF(M252&lt;=0,0,IF($AA$63=$AA$60,0,IF($Z$63=$Z$61,PMT(Adm!$J$2/12,B252,-L252),0)))</f>
        <v>0</v>
      </c>
      <c r="AB253" s="479">
        <f t="shared" si="42"/>
        <v>0</v>
      </c>
      <c r="AC253" s="479"/>
      <c r="AE253" s="473" t="e">
        <f t="shared" si="43"/>
        <v>#N/A</v>
      </c>
      <c r="AF253" s="480" t="e">
        <f t="shared" si="49"/>
        <v>#N/A</v>
      </c>
      <c r="AG253" s="475" t="e">
        <f t="shared" si="44"/>
        <v>#N/A</v>
      </c>
      <c r="AH253" s="476" t="e">
        <f t="shared" si="45"/>
        <v>#N/A</v>
      </c>
      <c r="AI253" s="475" t="e">
        <f t="shared" si="50"/>
        <v>#N/A</v>
      </c>
      <c r="AJ253" s="307" t="e">
        <f t="shared" si="46"/>
        <v>#N/A</v>
      </c>
    </row>
    <row r="254" spans="2:36">
      <c r="B254" s="277">
        <f t="shared" si="34"/>
        <v>0</v>
      </c>
      <c r="C254" s="466">
        <f t="shared" si="35"/>
        <v>0</v>
      </c>
      <c r="D254" s="467">
        <f t="shared" si="47"/>
        <v>0</v>
      </c>
      <c r="E254" s="460">
        <f t="shared" si="36"/>
        <v>0</v>
      </c>
      <c r="F254" s="460">
        <f t="shared" si="37"/>
        <v>0</v>
      </c>
      <c r="G254" s="460">
        <f t="shared" si="48"/>
        <v>0</v>
      </c>
      <c r="H254" s="460">
        <f>IF(L253&lt;0.01,0,IF($H$68="",0,L253*Adm!$V$3))</f>
        <v>0</v>
      </c>
      <c r="I254" s="460">
        <f>IF(L253&lt;0.01,0,IF($I$68="",0,($G$28*0.7*Adm!$W$3)))</f>
        <v>0</v>
      </c>
      <c r="J254" s="460">
        <f>IF(L253&lt;0.01,0,Adm!$AD$2*1.16)</f>
        <v>0</v>
      </c>
      <c r="K254" s="460">
        <f t="shared" si="38"/>
        <v>0</v>
      </c>
      <c r="L254" s="460">
        <f t="shared" si="39"/>
        <v>0</v>
      </c>
      <c r="M254" s="468"/>
      <c r="T254" s="469">
        <f t="shared" si="40"/>
        <v>5</v>
      </c>
      <c r="U254" s="470">
        <f>IF(T254=1,Adm!$O$2,0)</f>
        <v>0</v>
      </c>
      <c r="Z254" s="477">
        <f t="shared" si="41"/>
        <v>0</v>
      </c>
      <c r="AA254" s="478">
        <f>IF(M253&lt;=0,0,IF($AA$63=$AA$60,0,IF($Z$63=$Z$61,PMT(Adm!$J$2/12,B253,-L253),0)))</f>
        <v>0</v>
      </c>
      <c r="AB254" s="479">
        <f t="shared" si="42"/>
        <v>0</v>
      </c>
      <c r="AC254" s="479"/>
      <c r="AE254" s="473" t="e">
        <f t="shared" si="43"/>
        <v>#N/A</v>
      </c>
      <c r="AF254" s="480" t="e">
        <f t="shared" si="49"/>
        <v>#N/A</v>
      </c>
      <c r="AG254" s="475" t="e">
        <f t="shared" si="44"/>
        <v>#N/A</v>
      </c>
      <c r="AH254" s="476" t="e">
        <f t="shared" si="45"/>
        <v>#N/A</v>
      </c>
      <c r="AI254" s="475" t="e">
        <f t="shared" si="50"/>
        <v>#N/A</v>
      </c>
      <c r="AJ254" s="307" t="e">
        <f t="shared" si="46"/>
        <v>#N/A</v>
      </c>
    </row>
    <row r="255" spans="2:36">
      <c r="B255" s="277">
        <f t="shared" si="34"/>
        <v>0</v>
      </c>
      <c r="C255" s="466">
        <f t="shared" si="35"/>
        <v>0</v>
      </c>
      <c r="D255" s="467">
        <f t="shared" si="47"/>
        <v>0</v>
      </c>
      <c r="E255" s="460">
        <f t="shared" si="36"/>
        <v>0</v>
      </c>
      <c r="F255" s="460">
        <f t="shared" si="37"/>
        <v>0</v>
      </c>
      <c r="G255" s="460">
        <f t="shared" si="48"/>
        <v>0</v>
      </c>
      <c r="H255" s="460">
        <f>IF(L254&lt;0.01,0,IF($H$68="",0,L254*Adm!$V$3))</f>
        <v>0</v>
      </c>
      <c r="I255" s="460">
        <f>IF(L254&lt;0.01,0,IF($I$68="",0,($G$28*0.7*Adm!$W$3)))</f>
        <v>0</v>
      </c>
      <c r="J255" s="460">
        <f>IF(L254&lt;0.01,0,Adm!$AD$2*1.16)</f>
        <v>0</v>
      </c>
      <c r="K255" s="460">
        <f t="shared" si="38"/>
        <v>0</v>
      </c>
      <c r="L255" s="460">
        <f t="shared" si="39"/>
        <v>0</v>
      </c>
      <c r="M255" s="468"/>
      <c r="T255" s="469">
        <f t="shared" si="40"/>
        <v>6</v>
      </c>
      <c r="U255" s="470">
        <f>IF(T255=1,Adm!$O$2,0)</f>
        <v>0</v>
      </c>
      <c r="Z255" s="477">
        <f t="shared" si="41"/>
        <v>0</v>
      </c>
      <c r="AA255" s="478">
        <f>IF(M254&lt;=0,0,IF($AA$63=$AA$60,0,IF($Z$63=$Z$61,PMT(Adm!$J$2/12,B254,-L254),0)))</f>
        <v>0</v>
      </c>
      <c r="AB255" s="479">
        <f t="shared" si="42"/>
        <v>0</v>
      </c>
      <c r="AC255" s="479"/>
      <c r="AE255" s="473" t="e">
        <f t="shared" si="43"/>
        <v>#N/A</v>
      </c>
      <c r="AF255" s="480" t="e">
        <f t="shared" si="49"/>
        <v>#N/A</v>
      </c>
      <c r="AG255" s="475" t="e">
        <f t="shared" si="44"/>
        <v>#N/A</v>
      </c>
      <c r="AH255" s="476" t="e">
        <f t="shared" si="45"/>
        <v>#N/A</v>
      </c>
      <c r="AI255" s="475" t="e">
        <f t="shared" si="50"/>
        <v>#N/A</v>
      </c>
      <c r="AJ255" s="307" t="e">
        <f t="shared" si="46"/>
        <v>#N/A</v>
      </c>
    </row>
    <row r="256" spans="2:36">
      <c r="B256" s="277">
        <f t="shared" si="34"/>
        <v>0</v>
      </c>
      <c r="C256" s="466">
        <f t="shared" si="35"/>
        <v>0</v>
      </c>
      <c r="D256" s="467">
        <f t="shared" si="47"/>
        <v>0</v>
      </c>
      <c r="E256" s="460">
        <f t="shared" si="36"/>
        <v>0</v>
      </c>
      <c r="F256" s="460">
        <f t="shared" si="37"/>
        <v>0</v>
      </c>
      <c r="G256" s="460">
        <f t="shared" si="48"/>
        <v>0</v>
      </c>
      <c r="H256" s="460">
        <f>IF(L255&lt;0.01,0,IF($H$68="",0,L255*Adm!$V$3))</f>
        <v>0</v>
      </c>
      <c r="I256" s="460">
        <f>IF(L255&lt;0.01,0,IF($I$68="",0,($G$28*0.7*Adm!$W$3)))</f>
        <v>0</v>
      </c>
      <c r="J256" s="460">
        <f>IF(L255&lt;0.01,0,Adm!$AD$2*1.16)</f>
        <v>0</v>
      </c>
      <c r="K256" s="460">
        <f t="shared" si="38"/>
        <v>0</v>
      </c>
      <c r="L256" s="460">
        <f t="shared" si="39"/>
        <v>0</v>
      </c>
      <c r="M256" s="468"/>
      <c r="T256" s="469">
        <f t="shared" si="40"/>
        <v>7</v>
      </c>
      <c r="U256" s="470">
        <f>IF(T256=1,Adm!$O$2,0)</f>
        <v>0</v>
      </c>
      <c r="Z256" s="477">
        <f t="shared" si="41"/>
        <v>0</v>
      </c>
      <c r="AA256" s="478">
        <f>IF(M255&lt;=0,0,IF($AA$63=$AA$60,0,IF($Z$63=$Z$61,PMT(Adm!$J$2/12,B255,-L255),0)))</f>
        <v>0</v>
      </c>
      <c r="AB256" s="479">
        <f t="shared" si="42"/>
        <v>0</v>
      </c>
      <c r="AC256" s="479"/>
      <c r="AE256" s="473" t="e">
        <f t="shared" si="43"/>
        <v>#N/A</v>
      </c>
      <c r="AF256" s="480" t="e">
        <f t="shared" si="49"/>
        <v>#N/A</v>
      </c>
      <c r="AG256" s="475" t="e">
        <f t="shared" si="44"/>
        <v>#N/A</v>
      </c>
      <c r="AH256" s="476" t="e">
        <f t="shared" si="45"/>
        <v>#N/A</v>
      </c>
      <c r="AI256" s="475" t="e">
        <f t="shared" si="50"/>
        <v>#N/A</v>
      </c>
      <c r="AJ256" s="307" t="e">
        <f t="shared" si="46"/>
        <v>#N/A</v>
      </c>
    </row>
    <row r="257" spans="2:36">
      <c r="B257" s="277">
        <f t="shared" si="34"/>
        <v>0</v>
      </c>
      <c r="C257" s="466">
        <f t="shared" si="35"/>
        <v>0</v>
      </c>
      <c r="D257" s="467">
        <f t="shared" si="47"/>
        <v>0</v>
      </c>
      <c r="E257" s="460">
        <f t="shared" si="36"/>
        <v>0</v>
      </c>
      <c r="F257" s="460">
        <f t="shared" si="37"/>
        <v>0</v>
      </c>
      <c r="G257" s="460">
        <f t="shared" si="48"/>
        <v>0</v>
      </c>
      <c r="H257" s="460">
        <f>IF(L256&lt;0.01,0,IF($H$68="",0,L256*Adm!$V$3))</f>
        <v>0</v>
      </c>
      <c r="I257" s="460">
        <f>IF(L256&lt;0.01,0,IF($I$68="",0,($G$28*0.7*Adm!$W$3)))</f>
        <v>0</v>
      </c>
      <c r="J257" s="460">
        <f>IF(L256&lt;0.01,0,Adm!$AD$2*1.16)</f>
        <v>0</v>
      </c>
      <c r="K257" s="460">
        <f t="shared" si="38"/>
        <v>0</v>
      </c>
      <c r="L257" s="460">
        <f t="shared" si="39"/>
        <v>0</v>
      </c>
      <c r="M257" s="468"/>
      <c r="T257" s="469">
        <f t="shared" si="40"/>
        <v>8</v>
      </c>
      <c r="U257" s="470">
        <f>IF(T257=1,Adm!$O$2,0)</f>
        <v>0</v>
      </c>
      <c r="Z257" s="477">
        <f t="shared" si="41"/>
        <v>0</v>
      </c>
      <c r="AA257" s="478">
        <f>IF(M256&lt;=0,0,IF($AA$63=$AA$60,0,IF($Z$63=$Z$61,PMT(Adm!$J$2/12,B256,-L256),0)))</f>
        <v>0</v>
      </c>
      <c r="AB257" s="479">
        <f t="shared" si="42"/>
        <v>0</v>
      </c>
      <c r="AC257" s="479"/>
      <c r="AE257" s="473" t="e">
        <f t="shared" si="43"/>
        <v>#N/A</v>
      </c>
      <c r="AF257" s="480" t="e">
        <f t="shared" si="49"/>
        <v>#N/A</v>
      </c>
      <c r="AG257" s="475" t="e">
        <f t="shared" si="44"/>
        <v>#N/A</v>
      </c>
      <c r="AH257" s="476" t="e">
        <f t="shared" si="45"/>
        <v>#N/A</v>
      </c>
      <c r="AI257" s="475" t="e">
        <f t="shared" si="50"/>
        <v>#N/A</v>
      </c>
      <c r="AJ257" s="307" t="e">
        <f t="shared" si="46"/>
        <v>#N/A</v>
      </c>
    </row>
    <row r="258" spans="2:36">
      <c r="B258" s="277">
        <f t="shared" si="34"/>
        <v>0</v>
      </c>
      <c r="C258" s="466">
        <f t="shared" si="35"/>
        <v>0</v>
      </c>
      <c r="D258" s="467">
        <f t="shared" si="47"/>
        <v>0</v>
      </c>
      <c r="E258" s="460">
        <f t="shared" si="36"/>
        <v>0</v>
      </c>
      <c r="F258" s="460">
        <f t="shared" si="37"/>
        <v>0</v>
      </c>
      <c r="G258" s="460">
        <f t="shared" si="48"/>
        <v>0</v>
      </c>
      <c r="H258" s="460">
        <f>IF(L257&lt;0.01,0,IF($H$68="",0,L257*Adm!$V$3))</f>
        <v>0</v>
      </c>
      <c r="I258" s="460">
        <f>IF(L257&lt;0.01,0,IF($I$68="",0,($G$28*0.7*Adm!$W$3)))</f>
        <v>0</v>
      </c>
      <c r="J258" s="460">
        <f>IF(L257&lt;0.01,0,Adm!$AD$2*1.16)</f>
        <v>0</v>
      </c>
      <c r="K258" s="460">
        <f t="shared" si="38"/>
        <v>0</v>
      </c>
      <c r="L258" s="460">
        <f t="shared" si="39"/>
        <v>0</v>
      </c>
      <c r="M258" s="468"/>
      <c r="T258" s="469">
        <f t="shared" si="40"/>
        <v>9</v>
      </c>
      <c r="U258" s="470">
        <f>IF(T258=1,Adm!$O$2,0)</f>
        <v>0</v>
      </c>
      <c r="Z258" s="477">
        <f t="shared" si="41"/>
        <v>0</v>
      </c>
      <c r="AA258" s="478">
        <f>IF(M257&lt;=0,0,IF($AA$63=$AA$60,0,IF($Z$63=$Z$61,PMT(Adm!$J$2/12,B257,-L257),0)))</f>
        <v>0</v>
      </c>
      <c r="AB258" s="479">
        <f t="shared" si="42"/>
        <v>0</v>
      </c>
      <c r="AC258" s="479"/>
      <c r="AE258" s="473" t="e">
        <f t="shared" si="43"/>
        <v>#N/A</v>
      </c>
      <c r="AF258" s="480" t="e">
        <f t="shared" si="49"/>
        <v>#N/A</v>
      </c>
      <c r="AG258" s="475" t="e">
        <f t="shared" si="44"/>
        <v>#N/A</v>
      </c>
      <c r="AH258" s="476" t="e">
        <f t="shared" si="45"/>
        <v>#N/A</v>
      </c>
      <c r="AI258" s="475" t="e">
        <f t="shared" si="50"/>
        <v>#N/A</v>
      </c>
      <c r="AJ258" s="307" t="e">
        <f t="shared" si="46"/>
        <v>#N/A</v>
      </c>
    </row>
    <row r="259" spans="2:36">
      <c r="B259" s="277">
        <f t="shared" si="34"/>
        <v>0</v>
      </c>
      <c r="C259" s="466">
        <f t="shared" si="35"/>
        <v>0</v>
      </c>
      <c r="D259" s="467">
        <f t="shared" si="47"/>
        <v>0</v>
      </c>
      <c r="E259" s="460">
        <f t="shared" si="36"/>
        <v>0</v>
      </c>
      <c r="F259" s="460">
        <f t="shared" si="37"/>
        <v>0</v>
      </c>
      <c r="G259" s="460">
        <f t="shared" si="48"/>
        <v>0</v>
      </c>
      <c r="H259" s="460">
        <f>IF(L258&lt;0.01,0,IF($H$68="",0,L258*Adm!$V$3))</f>
        <v>0</v>
      </c>
      <c r="I259" s="460">
        <f>IF(L258&lt;0.01,0,IF($I$68="",0,($G$28*0.7*Adm!$W$3)))</f>
        <v>0</v>
      </c>
      <c r="J259" s="460">
        <f>IF(L258&lt;0.01,0,Adm!$AD$2*1.16)</f>
        <v>0</v>
      </c>
      <c r="K259" s="460">
        <f t="shared" si="38"/>
        <v>0</v>
      </c>
      <c r="L259" s="460">
        <f t="shared" si="39"/>
        <v>0</v>
      </c>
      <c r="M259" s="468"/>
      <c r="T259" s="469">
        <f t="shared" si="40"/>
        <v>10</v>
      </c>
      <c r="U259" s="470">
        <f>IF(T259=1,Adm!$O$2,0)</f>
        <v>0</v>
      </c>
      <c r="Z259" s="477">
        <f t="shared" si="41"/>
        <v>0</v>
      </c>
      <c r="AA259" s="478">
        <f>IF(M258&lt;=0,0,IF($AA$63=$AA$60,0,IF($Z$63=$Z$61,PMT(Adm!$J$2/12,B258,-L258),0)))</f>
        <v>0</v>
      </c>
      <c r="AB259" s="479">
        <f t="shared" si="42"/>
        <v>0</v>
      </c>
      <c r="AC259" s="479"/>
      <c r="AE259" s="473" t="e">
        <f t="shared" si="43"/>
        <v>#N/A</v>
      </c>
      <c r="AF259" s="480" t="e">
        <f t="shared" si="49"/>
        <v>#N/A</v>
      </c>
      <c r="AG259" s="475" t="e">
        <f t="shared" si="44"/>
        <v>#N/A</v>
      </c>
      <c r="AH259" s="476" t="e">
        <f t="shared" si="45"/>
        <v>#N/A</v>
      </c>
      <c r="AI259" s="475" t="e">
        <f t="shared" si="50"/>
        <v>#N/A</v>
      </c>
      <c r="AJ259" s="307" t="e">
        <f t="shared" si="46"/>
        <v>#N/A</v>
      </c>
    </row>
    <row r="260" spans="2:36">
      <c r="B260" s="277">
        <f t="shared" si="34"/>
        <v>0</v>
      </c>
      <c r="C260" s="466">
        <f t="shared" si="35"/>
        <v>0</v>
      </c>
      <c r="D260" s="467">
        <f t="shared" si="47"/>
        <v>0</v>
      </c>
      <c r="E260" s="460">
        <f t="shared" si="36"/>
        <v>0</v>
      </c>
      <c r="F260" s="460">
        <f t="shared" si="37"/>
        <v>0</v>
      </c>
      <c r="G260" s="460">
        <f t="shared" si="48"/>
        <v>0</v>
      </c>
      <c r="H260" s="460">
        <f>IF(L259&lt;0.01,0,IF($H$68="",0,L259*Adm!$V$3))</f>
        <v>0</v>
      </c>
      <c r="I260" s="460">
        <f>IF(L259&lt;0.01,0,IF($I$68="",0,($G$28*0.7*Adm!$W$3)))</f>
        <v>0</v>
      </c>
      <c r="J260" s="460">
        <f>IF(L259&lt;0.01,0,Adm!$AD$2*1.16)</f>
        <v>0</v>
      </c>
      <c r="K260" s="460">
        <f t="shared" si="38"/>
        <v>0</v>
      </c>
      <c r="L260" s="460">
        <f t="shared" si="39"/>
        <v>0</v>
      </c>
      <c r="M260" s="468"/>
      <c r="T260" s="469">
        <f t="shared" si="40"/>
        <v>11</v>
      </c>
      <c r="U260" s="470">
        <f>IF(T260=1,Adm!$O$2,0)</f>
        <v>0</v>
      </c>
      <c r="Z260" s="477">
        <f t="shared" si="41"/>
        <v>0</v>
      </c>
      <c r="AA260" s="478">
        <f>IF(M259&lt;=0,0,IF($AA$63=$AA$60,0,IF($Z$63=$Z$61,PMT(Adm!$J$2/12,B259,-L259),0)))</f>
        <v>0</v>
      </c>
      <c r="AB260" s="479">
        <f t="shared" si="42"/>
        <v>0</v>
      </c>
      <c r="AC260" s="479"/>
      <c r="AE260" s="473" t="e">
        <f t="shared" si="43"/>
        <v>#N/A</v>
      </c>
      <c r="AF260" s="480" t="e">
        <f t="shared" si="49"/>
        <v>#N/A</v>
      </c>
      <c r="AG260" s="475" t="e">
        <f t="shared" si="44"/>
        <v>#N/A</v>
      </c>
      <c r="AH260" s="476" t="e">
        <f t="shared" si="45"/>
        <v>#N/A</v>
      </c>
      <c r="AI260" s="475" t="e">
        <f t="shared" si="50"/>
        <v>#N/A</v>
      </c>
      <c r="AJ260" s="307" t="e">
        <f t="shared" si="46"/>
        <v>#N/A</v>
      </c>
    </row>
    <row r="261" spans="2:36">
      <c r="B261" s="277">
        <f t="shared" si="34"/>
        <v>0</v>
      </c>
      <c r="C261" s="466">
        <f t="shared" si="35"/>
        <v>0</v>
      </c>
      <c r="D261" s="467">
        <f t="shared" si="47"/>
        <v>0</v>
      </c>
      <c r="E261" s="460">
        <f t="shared" si="36"/>
        <v>0</v>
      </c>
      <c r="F261" s="460">
        <f t="shared" si="37"/>
        <v>0</v>
      </c>
      <c r="G261" s="460">
        <f t="shared" si="48"/>
        <v>0</v>
      </c>
      <c r="H261" s="460">
        <f>IF(L260&lt;0.01,0,IF($H$68="",0,L260*Adm!$V$3))</f>
        <v>0</v>
      </c>
      <c r="I261" s="460">
        <f>IF(L260&lt;0.01,0,IF($I$68="",0,($G$28*0.7*Adm!$W$3)))</f>
        <v>0</v>
      </c>
      <c r="J261" s="460">
        <f>IF(L260&lt;0.01,0,Adm!$AD$2*1.16)</f>
        <v>0</v>
      </c>
      <c r="K261" s="460">
        <f t="shared" si="38"/>
        <v>0</v>
      </c>
      <c r="L261" s="460">
        <f t="shared" si="39"/>
        <v>0</v>
      </c>
      <c r="M261" s="468"/>
      <c r="T261" s="469">
        <f t="shared" si="40"/>
        <v>12</v>
      </c>
      <c r="U261" s="470">
        <f>IF(T261=1,Adm!$O$2,0)</f>
        <v>0</v>
      </c>
      <c r="Z261" s="477">
        <f t="shared" si="41"/>
        <v>0</v>
      </c>
      <c r="AA261" s="478">
        <f>IF(M260&lt;=0,0,IF($AA$63=$AA$60,0,IF($Z$63=$Z$61,PMT(Adm!$J$2/12,B260,-L260),0)))</f>
        <v>0</v>
      </c>
      <c r="AB261" s="479">
        <f t="shared" si="42"/>
        <v>0</v>
      </c>
      <c r="AC261" s="479"/>
      <c r="AE261" s="473" t="e">
        <f t="shared" si="43"/>
        <v>#N/A</v>
      </c>
      <c r="AF261" s="480" t="e">
        <f t="shared" si="49"/>
        <v>#N/A</v>
      </c>
      <c r="AG261" s="475" t="e">
        <f t="shared" si="44"/>
        <v>#N/A</v>
      </c>
      <c r="AH261" s="476" t="e">
        <f t="shared" si="45"/>
        <v>#N/A</v>
      </c>
      <c r="AI261" s="475" t="e">
        <f t="shared" si="50"/>
        <v>#N/A</v>
      </c>
      <c r="AJ261" s="307" t="e">
        <f t="shared" si="46"/>
        <v>#N/A</v>
      </c>
    </row>
    <row r="262" spans="2:36">
      <c r="B262" s="277">
        <f t="shared" si="34"/>
        <v>0</v>
      </c>
      <c r="C262" s="466">
        <f t="shared" si="35"/>
        <v>0</v>
      </c>
      <c r="D262" s="467">
        <f t="shared" si="47"/>
        <v>0</v>
      </c>
      <c r="E262" s="460">
        <f t="shared" si="36"/>
        <v>0</v>
      </c>
      <c r="F262" s="460">
        <f t="shared" si="37"/>
        <v>0</v>
      </c>
      <c r="G262" s="460">
        <f t="shared" si="48"/>
        <v>0</v>
      </c>
      <c r="H262" s="460">
        <f>IF(L261&lt;0.01,0,IF($H$68="",0,L261*Adm!$V$3))</f>
        <v>0</v>
      </c>
      <c r="I262" s="460">
        <f>IF(L261&lt;0.01,0,IF($I$68="",0,($G$28*0.7*Adm!$W$3)))</f>
        <v>0</v>
      </c>
      <c r="J262" s="460">
        <f>IF(L261&lt;0.01,0,Adm!$AD$2*1.16)</f>
        <v>0</v>
      </c>
      <c r="K262" s="460">
        <f t="shared" si="38"/>
        <v>0</v>
      </c>
      <c r="L262" s="460">
        <f t="shared" si="39"/>
        <v>0</v>
      </c>
      <c r="M262" s="468"/>
      <c r="T262" s="469">
        <f t="shared" si="40"/>
        <v>1</v>
      </c>
      <c r="U262" s="470">
        <f>IF(T262=1,Adm!$O$2,0)</f>
        <v>0</v>
      </c>
      <c r="Z262" s="477">
        <f t="shared" si="41"/>
        <v>0</v>
      </c>
      <c r="AA262" s="478">
        <f>IF(M261&lt;=0,0,IF($AA$63=$AA$60,0,IF($Z$63=$Z$61,PMT(Adm!$J$2/12,B261,-L261),0)))</f>
        <v>0</v>
      </c>
      <c r="AB262" s="479">
        <f t="shared" si="42"/>
        <v>0</v>
      </c>
      <c r="AC262" s="479"/>
      <c r="AE262" s="473" t="e">
        <f t="shared" si="43"/>
        <v>#N/A</v>
      </c>
      <c r="AF262" s="480" t="e">
        <f t="shared" si="49"/>
        <v>#N/A</v>
      </c>
      <c r="AG262" s="475" t="e">
        <f t="shared" si="44"/>
        <v>#N/A</v>
      </c>
      <c r="AH262" s="476" t="e">
        <f t="shared" si="45"/>
        <v>#N/A</v>
      </c>
      <c r="AI262" s="481" t="e">
        <f>MIN(AJ261+AG262,AI261*(1+$AG$65))</f>
        <v>#N/A</v>
      </c>
      <c r="AJ262" s="307" t="e">
        <f t="shared" si="46"/>
        <v>#N/A</v>
      </c>
    </row>
    <row r="263" spans="2:36">
      <c r="B263" s="277">
        <f t="shared" ref="B263:B298" si="51">IF(L262&gt;0,B262-1,0)</f>
        <v>0</v>
      </c>
      <c r="C263" s="466">
        <f t="shared" ref="C263:C326" si="52">IF(L262&gt;0.01,C262+1,0)</f>
        <v>0</v>
      </c>
      <c r="D263" s="467">
        <f t="shared" si="47"/>
        <v>0</v>
      </c>
      <c r="E263" s="460">
        <f t="shared" ref="E263:E326" si="53">IF(L262&lt;0.001,0,L262*D263/360*30.4166)</f>
        <v>0</v>
      </c>
      <c r="F263" s="460">
        <f t="shared" ref="F263:F326" si="54">G263-E263</f>
        <v>0</v>
      </c>
      <c r="G263" s="460">
        <f t="shared" si="48"/>
        <v>0</v>
      </c>
      <c r="H263" s="460">
        <f>IF(L262&lt;0.01,0,IF($H$68="",0,L262*Adm!$V$3))</f>
        <v>0</v>
      </c>
      <c r="I263" s="460">
        <f>IF(L262&lt;0.01,0,IF($I$68="",0,($G$28*0.7*Adm!$W$3)))</f>
        <v>0</v>
      </c>
      <c r="J263" s="460">
        <f>IF(L262&lt;0.01,0,Adm!$AD$2*1.16)</f>
        <v>0</v>
      </c>
      <c r="K263" s="460">
        <f t="shared" ref="K263:K298" si="55">IF(L262&lt;0.01,0,(G263+H263+I263+J263))</f>
        <v>0</v>
      </c>
      <c r="L263" s="460">
        <f t="shared" ref="L263:L298" si="56">IF(L262&lt;0.01,0,(L262-F263-M263))</f>
        <v>0</v>
      </c>
      <c r="M263" s="468"/>
      <c r="T263" s="469">
        <f t="shared" ref="T263:T326" si="57">IF(T262=12,1,T262+1)</f>
        <v>2</v>
      </c>
      <c r="U263" s="470">
        <f>IF(T263=1,Adm!$O$2,0)</f>
        <v>0</v>
      </c>
      <c r="Z263" s="477">
        <f t="shared" ref="Z263:Z326" si="58">IF(AA263&gt;0,AA263,IF(AB263&gt;0,AB263,0))</f>
        <v>0</v>
      </c>
      <c r="AA263" s="478">
        <f>IF(M262&lt;=0,0,IF($AA$63=$AA$60,0,IF($Z$63=$Z$61,PMT(Adm!$J$2/12,B262,-L262),0)))</f>
        <v>0</v>
      </c>
      <c r="AB263" s="479">
        <f t="shared" ref="AB263:AB326" si="59">IF(M262&lt;=0,0,IF($AA$63=$AA$58,0,IF($Z$63=$Z$61,(L262*AE263)+E263,0)))</f>
        <v>0</v>
      </c>
      <c r="AC263" s="479"/>
      <c r="AE263" s="473" t="e">
        <f t="shared" ref="AE263:AE326" si="60">AH263/AJ262</f>
        <v>#N/A</v>
      </c>
      <c r="AF263" s="480" t="e">
        <f t="shared" si="49"/>
        <v>#N/A</v>
      </c>
      <c r="AG263" s="475" t="e">
        <f t="shared" ref="AG263:AG326" si="61">AJ262*$AG$63/12</f>
        <v>#N/A</v>
      </c>
      <c r="AH263" s="476" t="e">
        <f t="shared" ref="AH263:AH326" si="62">AI263-AG263</f>
        <v>#N/A</v>
      </c>
      <c r="AI263" s="475" t="e">
        <f t="shared" si="50"/>
        <v>#N/A</v>
      </c>
      <c r="AJ263" s="307" t="e">
        <f t="shared" ref="AJ263:AJ326" si="63">IF(AJ262&lt;0.001,0,AJ262-AH263)</f>
        <v>#N/A</v>
      </c>
    </row>
    <row r="264" spans="2:36">
      <c r="B264" s="277">
        <f t="shared" si="51"/>
        <v>0</v>
      </c>
      <c r="C264" s="466">
        <f t="shared" si="52"/>
        <v>0</v>
      </c>
      <c r="D264" s="467">
        <f t="shared" ref="D264:D327" si="64">IF(L263&gt;0.01,D263,0)</f>
        <v>0</v>
      </c>
      <c r="E264" s="460">
        <f t="shared" si="53"/>
        <v>0</v>
      </c>
      <c r="F264" s="460">
        <f t="shared" si="54"/>
        <v>0</v>
      </c>
      <c r="G264" s="460">
        <f t="shared" ref="G264:G327" si="65">IF(L263&lt;0.001,0,IF(Z264&gt;0,Z264,MIN(L263+E264,G263*(1+U264))))</f>
        <v>0</v>
      </c>
      <c r="H264" s="460">
        <f>IF(L263&lt;0.01,0,IF($H$68="",0,L263*Adm!$V$3))</f>
        <v>0</v>
      </c>
      <c r="I264" s="460">
        <f>IF(L263&lt;0.01,0,IF($I$68="",0,($G$28*0.7*Adm!$W$3)))</f>
        <v>0</v>
      </c>
      <c r="J264" s="460">
        <f>IF(L263&lt;0.01,0,Adm!$AD$2*1.16)</f>
        <v>0</v>
      </c>
      <c r="K264" s="460">
        <f t="shared" si="55"/>
        <v>0</v>
      </c>
      <c r="L264" s="460">
        <f t="shared" si="56"/>
        <v>0</v>
      </c>
      <c r="M264" s="468"/>
      <c r="T264" s="469">
        <f t="shared" si="57"/>
        <v>3</v>
      </c>
      <c r="U264" s="470">
        <f>IF(T264=1,Adm!$O$2,0)</f>
        <v>0</v>
      </c>
      <c r="Z264" s="477">
        <f t="shared" si="58"/>
        <v>0</v>
      </c>
      <c r="AA264" s="478">
        <f>IF(M263&lt;=0,0,IF($AA$63=$AA$60,0,IF($Z$63=$Z$61,PMT(Adm!$J$2/12,B263,-L263),0)))</f>
        <v>0</v>
      </c>
      <c r="AB264" s="479">
        <f t="shared" si="59"/>
        <v>0</v>
      </c>
      <c r="AC264" s="479"/>
      <c r="AE264" s="473" t="e">
        <f t="shared" si="60"/>
        <v>#N/A</v>
      </c>
      <c r="AF264" s="480" t="e">
        <f t="shared" ref="AF264:AF327" si="66">IF(AJ263&lt;=0,"",AF263+1)</f>
        <v>#N/A</v>
      </c>
      <c r="AG264" s="475" t="e">
        <f t="shared" si="61"/>
        <v>#N/A</v>
      </c>
      <c r="AH264" s="476" t="e">
        <f t="shared" si="62"/>
        <v>#N/A</v>
      </c>
      <c r="AI264" s="475" t="e">
        <f t="shared" ref="AI264:AI327" si="67">MIN(AJ263+AG264,AI263)</f>
        <v>#N/A</v>
      </c>
      <c r="AJ264" s="307" t="e">
        <f t="shared" si="63"/>
        <v>#N/A</v>
      </c>
    </row>
    <row r="265" spans="2:36">
      <c r="B265" s="277">
        <f t="shared" si="51"/>
        <v>0</v>
      </c>
      <c r="C265" s="466">
        <f t="shared" si="52"/>
        <v>0</v>
      </c>
      <c r="D265" s="467">
        <f t="shared" si="64"/>
        <v>0</v>
      </c>
      <c r="E265" s="460">
        <f t="shared" si="53"/>
        <v>0</v>
      </c>
      <c r="F265" s="460">
        <f t="shared" si="54"/>
        <v>0</v>
      </c>
      <c r="G265" s="460">
        <f t="shared" si="65"/>
        <v>0</v>
      </c>
      <c r="H265" s="460">
        <f>IF(L264&lt;0.01,0,IF($H$68="",0,L264*Adm!$V$3))</f>
        <v>0</v>
      </c>
      <c r="I265" s="460">
        <f>IF(L264&lt;0.01,0,IF($I$68="",0,($G$28*0.7*Adm!$W$3)))</f>
        <v>0</v>
      </c>
      <c r="J265" s="460">
        <f>IF(L264&lt;0.01,0,Adm!$AD$2*1.16)</f>
        <v>0</v>
      </c>
      <c r="K265" s="460">
        <f t="shared" si="55"/>
        <v>0</v>
      </c>
      <c r="L265" s="460">
        <f t="shared" si="56"/>
        <v>0</v>
      </c>
      <c r="M265" s="468"/>
      <c r="T265" s="469">
        <f t="shared" si="57"/>
        <v>4</v>
      </c>
      <c r="U265" s="470">
        <f>IF(T265=1,Adm!$O$2,0)</f>
        <v>0</v>
      </c>
      <c r="Z265" s="477">
        <f t="shared" si="58"/>
        <v>0</v>
      </c>
      <c r="AA265" s="478">
        <f>IF(M264&lt;=0,0,IF($AA$63=$AA$60,0,IF($Z$63=$Z$61,PMT(Adm!$J$2/12,B264,-L264),0)))</f>
        <v>0</v>
      </c>
      <c r="AB265" s="479">
        <f t="shared" si="59"/>
        <v>0</v>
      </c>
      <c r="AC265" s="479"/>
      <c r="AE265" s="473" t="e">
        <f t="shared" si="60"/>
        <v>#N/A</v>
      </c>
      <c r="AF265" s="480" t="e">
        <f t="shared" si="66"/>
        <v>#N/A</v>
      </c>
      <c r="AG265" s="475" t="e">
        <f t="shared" si="61"/>
        <v>#N/A</v>
      </c>
      <c r="AH265" s="476" t="e">
        <f t="shared" si="62"/>
        <v>#N/A</v>
      </c>
      <c r="AI265" s="475" t="e">
        <f t="shared" si="67"/>
        <v>#N/A</v>
      </c>
      <c r="AJ265" s="307" t="e">
        <f t="shared" si="63"/>
        <v>#N/A</v>
      </c>
    </row>
    <row r="266" spans="2:36">
      <c r="B266" s="277">
        <f t="shared" si="51"/>
        <v>0</v>
      </c>
      <c r="C266" s="466">
        <f t="shared" si="52"/>
        <v>0</v>
      </c>
      <c r="D266" s="467">
        <f t="shared" si="64"/>
        <v>0</v>
      </c>
      <c r="E266" s="460">
        <f t="shared" si="53"/>
        <v>0</v>
      </c>
      <c r="F266" s="460">
        <f t="shared" si="54"/>
        <v>0</v>
      </c>
      <c r="G266" s="460">
        <f t="shared" si="65"/>
        <v>0</v>
      </c>
      <c r="H266" s="460">
        <f>IF(L265&lt;0.01,0,IF($H$68="",0,L265*Adm!$V$3))</f>
        <v>0</v>
      </c>
      <c r="I266" s="460">
        <f>IF(L265&lt;0.01,0,IF($I$68="",0,($G$28*0.7*Adm!$W$3)))</f>
        <v>0</v>
      </c>
      <c r="J266" s="460">
        <f>IF(L265&lt;0.01,0,Adm!$AD$2*1.16)</f>
        <v>0</v>
      </c>
      <c r="K266" s="460">
        <f t="shared" si="55"/>
        <v>0</v>
      </c>
      <c r="L266" s="460">
        <f t="shared" si="56"/>
        <v>0</v>
      </c>
      <c r="M266" s="468"/>
      <c r="T266" s="469">
        <f t="shared" si="57"/>
        <v>5</v>
      </c>
      <c r="U266" s="470">
        <f>IF(T266=1,Adm!$O$2,0)</f>
        <v>0</v>
      </c>
      <c r="Z266" s="477">
        <f t="shared" si="58"/>
        <v>0</v>
      </c>
      <c r="AA266" s="478">
        <f>IF(M265&lt;=0,0,IF($AA$63=$AA$60,0,IF($Z$63=$Z$61,PMT(Adm!$J$2/12,B265,-L265),0)))</f>
        <v>0</v>
      </c>
      <c r="AB266" s="479">
        <f t="shared" si="59"/>
        <v>0</v>
      </c>
      <c r="AC266" s="479"/>
      <c r="AE266" s="473" t="e">
        <f t="shared" si="60"/>
        <v>#N/A</v>
      </c>
      <c r="AF266" s="480" t="e">
        <f t="shared" si="66"/>
        <v>#N/A</v>
      </c>
      <c r="AG266" s="475" t="e">
        <f t="shared" si="61"/>
        <v>#N/A</v>
      </c>
      <c r="AH266" s="476" t="e">
        <f t="shared" si="62"/>
        <v>#N/A</v>
      </c>
      <c r="AI266" s="475" t="e">
        <f t="shared" si="67"/>
        <v>#N/A</v>
      </c>
      <c r="AJ266" s="307" t="e">
        <f t="shared" si="63"/>
        <v>#N/A</v>
      </c>
    </row>
    <row r="267" spans="2:36">
      <c r="B267" s="277">
        <f t="shared" si="51"/>
        <v>0</v>
      </c>
      <c r="C267" s="466">
        <f t="shared" si="52"/>
        <v>0</v>
      </c>
      <c r="D267" s="467">
        <f t="shared" si="64"/>
        <v>0</v>
      </c>
      <c r="E267" s="460">
        <f t="shared" si="53"/>
        <v>0</v>
      </c>
      <c r="F267" s="460">
        <f t="shared" si="54"/>
        <v>0</v>
      </c>
      <c r="G267" s="460">
        <f t="shared" si="65"/>
        <v>0</v>
      </c>
      <c r="H267" s="460">
        <f>IF(L266&lt;0.01,0,IF($H$68="",0,L266*Adm!$V$3))</f>
        <v>0</v>
      </c>
      <c r="I267" s="460">
        <f>IF(L266&lt;0.01,0,IF($I$68="",0,($G$28*0.7*Adm!$W$3)))</f>
        <v>0</v>
      </c>
      <c r="J267" s="460">
        <f>IF(L266&lt;0.01,0,Adm!$AD$2*1.16)</f>
        <v>0</v>
      </c>
      <c r="K267" s="460">
        <f t="shared" si="55"/>
        <v>0</v>
      </c>
      <c r="L267" s="460">
        <f t="shared" si="56"/>
        <v>0</v>
      </c>
      <c r="M267" s="468"/>
      <c r="T267" s="469">
        <f t="shared" si="57"/>
        <v>6</v>
      </c>
      <c r="U267" s="470">
        <f>IF(T267=1,Adm!$O$2,0)</f>
        <v>0</v>
      </c>
      <c r="Z267" s="477">
        <f t="shared" si="58"/>
        <v>0</v>
      </c>
      <c r="AA267" s="478">
        <f>IF(M266&lt;=0,0,IF($AA$63=$AA$60,0,IF($Z$63=$Z$61,PMT(Adm!$J$2/12,B266,-L266),0)))</f>
        <v>0</v>
      </c>
      <c r="AB267" s="479">
        <f t="shared" si="59"/>
        <v>0</v>
      </c>
      <c r="AC267" s="479"/>
      <c r="AE267" s="473" t="e">
        <f t="shared" si="60"/>
        <v>#N/A</v>
      </c>
      <c r="AF267" s="480" t="e">
        <f t="shared" si="66"/>
        <v>#N/A</v>
      </c>
      <c r="AG267" s="475" t="e">
        <f t="shared" si="61"/>
        <v>#N/A</v>
      </c>
      <c r="AH267" s="476" t="e">
        <f t="shared" si="62"/>
        <v>#N/A</v>
      </c>
      <c r="AI267" s="475" t="e">
        <f t="shared" si="67"/>
        <v>#N/A</v>
      </c>
      <c r="AJ267" s="307" t="e">
        <f t="shared" si="63"/>
        <v>#N/A</v>
      </c>
    </row>
    <row r="268" spans="2:36">
      <c r="B268" s="277">
        <f t="shared" si="51"/>
        <v>0</v>
      </c>
      <c r="C268" s="466">
        <f t="shared" si="52"/>
        <v>0</v>
      </c>
      <c r="D268" s="467">
        <f t="shared" si="64"/>
        <v>0</v>
      </c>
      <c r="E268" s="460">
        <f t="shared" si="53"/>
        <v>0</v>
      </c>
      <c r="F268" s="460">
        <f t="shared" si="54"/>
        <v>0</v>
      </c>
      <c r="G268" s="460">
        <f t="shared" si="65"/>
        <v>0</v>
      </c>
      <c r="H268" s="460">
        <f>IF(L267&lt;0.01,0,IF($H$68="",0,L267*Adm!$V$3))</f>
        <v>0</v>
      </c>
      <c r="I268" s="460">
        <f>IF(L267&lt;0.01,0,IF($I$68="",0,($G$28*0.7*Adm!$W$3)))</f>
        <v>0</v>
      </c>
      <c r="J268" s="460">
        <f>IF(L267&lt;0.01,0,Adm!$AD$2*1.16)</f>
        <v>0</v>
      </c>
      <c r="K268" s="460">
        <f t="shared" si="55"/>
        <v>0</v>
      </c>
      <c r="L268" s="460">
        <f t="shared" si="56"/>
        <v>0</v>
      </c>
      <c r="M268" s="468"/>
      <c r="T268" s="469">
        <f t="shared" si="57"/>
        <v>7</v>
      </c>
      <c r="U268" s="470">
        <f>IF(T268=1,Adm!$O$2,0)</f>
        <v>0</v>
      </c>
      <c r="Z268" s="477">
        <f t="shared" si="58"/>
        <v>0</v>
      </c>
      <c r="AA268" s="478">
        <f>IF(M267&lt;=0,0,IF($AA$63=$AA$60,0,IF($Z$63=$Z$61,PMT(Adm!$J$2/12,B267,-L267),0)))</f>
        <v>0</v>
      </c>
      <c r="AB268" s="479">
        <f t="shared" si="59"/>
        <v>0</v>
      </c>
      <c r="AC268" s="479"/>
      <c r="AE268" s="473" t="e">
        <f t="shared" si="60"/>
        <v>#N/A</v>
      </c>
      <c r="AF268" s="480" t="e">
        <f t="shared" si="66"/>
        <v>#N/A</v>
      </c>
      <c r="AG268" s="475" t="e">
        <f t="shared" si="61"/>
        <v>#N/A</v>
      </c>
      <c r="AH268" s="476" t="e">
        <f t="shared" si="62"/>
        <v>#N/A</v>
      </c>
      <c r="AI268" s="475" t="e">
        <f t="shared" si="67"/>
        <v>#N/A</v>
      </c>
      <c r="AJ268" s="307" t="e">
        <f t="shared" si="63"/>
        <v>#N/A</v>
      </c>
    </row>
    <row r="269" spans="2:36">
      <c r="B269" s="277">
        <f t="shared" si="51"/>
        <v>0</v>
      </c>
      <c r="C269" s="466">
        <f t="shared" si="52"/>
        <v>0</v>
      </c>
      <c r="D269" s="467">
        <f t="shared" si="64"/>
        <v>0</v>
      </c>
      <c r="E269" s="460">
        <f t="shared" si="53"/>
        <v>0</v>
      </c>
      <c r="F269" s="460">
        <f t="shared" si="54"/>
        <v>0</v>
      </c>
      <c r="G269" s="460">
        <f t="shared" si="65"/>
        <v>0</v>
      </c>
      <c r="H269" s="460">
        <f>IF(L268&lt;0.01,0,IF($H$68="",0,L268*Adm!$V$3))</f>
        <v>0</v>
      </c>
      <c r="I269" s="460">
        <f>IF(L268&lt;0.01,0,IF($I$68="",0,($G$28*0.7*Adm!$W$3)))</f>
        <v>0</v>
      </c>
      <c r="J269" s="460">
        <f>IF(L268&lt;0.01,0,Adm!$AD$2*1.16)</f>
        <v>0</v>
      </c>
      <c r="K269" s="460">
        <f t="shared" si="55"/>
        <v>0</v>
      </c>
      <c r="L269" s="460">
        <f t="shared" si="56"/>
        <v>0</v>
      </c>
      <c r="M269" s="468"/>
      <c r="T269" s="469">
        <f t="shared" si="57"/>
        <v>8</v>
      </c>
      <c r="U269" s="470">
        <f>IF(T269=1,Adm!$O$2,0)</f>
        <v>0</v>
      </c>
      <c r="Z269" s="477">
        <f t="shared" si="58"/>
        <v>0</v>
      </c>
      <c r="AA269" s="478">
        <f>IF(M268&lt;=0,0,IF($AA$63=$AA$60,0,IF($Z$63=$Z$61,PMT(Adm!$J$2/12,B268,-L268),0)))</f>
        <v>0</v>
      </c>
      <c r="AB269" s="479">
        <f t="shared" si="59"/>
        <v>0</v>
      </c>
      <c r="AC269" s="479"/>
      <c r="AE269" s="473" t="e">
        <f t="shared" si="60"/>
        <v>#N/A</v>
      </c>
      <c r="AF269" s="480" t="e">
        <f t="shared" si="66"/>
        <v>#N/A</v>
      </c>
      <c r="AG269" s="475" t="e">
        <f t="shared" si="61"/>
        <v>#N/A</v>
      </c>
      <c r="AH269" s="476" t="e">
        <f t="shared" si="62"/>
        <v>#N/A</v>
      </c>
      <c r="AI269" s="475" t="e">
        <f t="shared" si="67"/>
        <v>#N/A</v>
      </c>
      <c r="AJ269" s="307" t="e">
        <f t="shared" si="63"/>
        <v>#N/A</v>
      </c>
    </row>
    <row r="270" spans="2:36">
      <c r="B270" s="277">
        <f t="shared" si="51"/>
        <v>0</v>
      </c>
      <c r="C270" s="466">
        <f t="shared" si="52"/>
        <v>0</v>
      </c>
      <c r="D270" s="467">
        <f t="shared" si="64"/>
        <v>0</v>
      </c>
      <c r="E270" s="460">
        <f t="shared" si="53"/>
        <v>0</v>
      </c>
      <c r="F270" s="460">
        <f t="shared" si="54"/>
        <v>0</v>
      </c>
      <c r="G270" s="460">
        <f t="shared" si="65"/>
        <v>0</v>
      </c>
      <c r="H270" s="460">
        <f>IF(L269&lt;0.01,0,IF($H$68="",0,L269*Adm!$V$3))</f>
        <v>0</v>
      </c>
      <c r="I270" s="460">
        <f>IF(L269&lt;0.01,0,IF($I$68="",0,($G$28*0.7*Adm!$W$3)))</f>
        <v>0</v>
      </c>
      <c r="J270" s="460">
        <f>IF(L269&lt;0.01,0,Adm!$AD$2*1.16)</f>
        <v>0</v>
      </c>
      <c r="K270" s="460">
        <f t="shared" si="55"/>
        <v>0</v>
      </c>
      <c r="L270" s="460">
        <f t="shared" si="56"/>
        <v>0</v>
      </c>
      <c r="M270" s="468"/>
      <c r="T270" s="469">
        <f t="shared" si="57"/>
        <v>9</v>
      </c>
      <c r="U270" s="470">
        <f>IF(T270=1,Adm!$O$2,0)</f>
        <v>0</v>
      </c>
      <c r="Z270" s="477">
        <f t="shared" si="58"/>
        <v>0</v>
      </c>
      <c r="AA270" s="478">
        <f>IF(M269&lt;=0,0,IF($AA$63=$AA$60,0,IF($Z$63=$Z$61,PMT(Adm!$J$2/12,B269,-L269),0)))</f>
        <v>0</v>
      </c>
      <c r="AB270" s="479">
        <f t="shared" si="59"/>
        <v>0</v>
      </c>
      <c r="AC270" s="479"/>
      <c r="AE270" s="473" t="e">
        <f t="shared" si="60"/>
        <v>#N/A</v>
      </c>
      <c r="AF270" s="480" t="e">
        <f t="shared" si="66"/>
        <v>#N/A</v>
      </c>
      <c r="AG270" s="475" t="e">
        <f t="shared" si="61"/>
        <v>#N/A</v>
      </c>
      <c r="AH270" s="476" t="e">
        <f t="shared" si="62"/>
        <v>#N/A</v>
      </c>
      <c r="AI270" s="475" t="e">
        <f t="shared" si="67"/>
        <v>#N/A</v>
      </c>
      <c r="AJ270" s="307" t="e">
        <f t="shared" si="63"/>
        <v>#N/A</v>
      </c>
    </row>
    <row r="271" spans="2:36">
      <c r="B271" s="277">
        <f t="shared" si="51"/>
        <v>0</v>
      </c>
      <c r="C271" s="466">
        <f t="shared" si="52"/>
        <v>0</v>
      </c>
      <c r="D271" s="467">
        <f t="shared" si="64"/>
        <v>0</v>
      </c>
      <c r="E271" s="460">
        <f t="shared" si="53"/>
        <v>0</v>
      </c>
      <c r="F271" s="460">
        <f t="shared" si="54"/>
        <v>0</v>
      </c>
      <c r="G271" s="460">
        <f t="shared" si="65"/>
        <v>0</v>
      </c>
      <c r="H271" s="460">
        <f>IF(L270&lt;0.01,0,IF($H$68="",0,L270*Adm!$V$3))</f>
        <v>0</v>
      </c>
      <c r="I271" s="460">
        <f>IF(L270&lt;0.01,0,IF($I$68="",0,($G$28*0.7*Adm!$W$3)))</f>
        <v>0</v>
      </c>
      <c r="J271" s="460">
        <f>IF(L270&lt;0.01,0,Adm!$AD$2*1.16)</f>
        <v>0</v>
      </c>
      <c r="K271" s="460">
        <f t="shared" si="55"/>
        <v>0</v>
      </c>
      <c r="L271" s="460">
        <f t="shared" si="56"/>
        <v>0</v>
      </c>
      <c r="M271" s="468"/>
      <c r="T271" s="469">
        <f t="shared" si="57"/>
        <v>10</v>
      </c>
      <c r="U271" s="470">
        <f>IF(T271=1,Adm!$O$2,0)</f>
        <v>0</v>
      </c>
      <c r="Z271" s="477">
        <f t="shared" si="58"/>
        <v>0</v>
      </c>
      <c r="AA271" s="478">
        <f>IF(M270&lt;=0,0,IF($AA$63=$AA$60,0,IF($Z$63=$Z$61,PMT(Adm!$J$2/12,B270,-L270),0)))</f>
        <v>0</v>
      </c>
      <c r="AB271" s="479">
        <f t="shared" si="59"/>
        <v>0</v>
      </c>
      <c r="AC271" s="479"/>
      <c r="AE271" s="473" t="e">
        <f t="shared" si="60"/>
        <v>#N/A</v>
      </c>
      <c r="AF271" s="480" t="e">
        <f t="shared" si="66"/>
        <v>#N/A</v>
      </c>
      <c r="AG271" s="475" t="e">
        <f t="shared" si="61"/>
        <v>#N/A</v>
      </c>
      <c r="AH271" s="476" t="e">
        <f t="shared" si="62"/>
        <v>#N/A</v>
      </c>
      <c r="AI271" s="475" t="e">
        <f t="shared" si="67"/>
        <v>#N/A</v>
      </c>
      <c r="AJ271" s="307" t="e">
        <f t="shared" si="63"/>
        <v>#N/A</v>
      </c>
    </row>
    <row r="272" spans="2:36">
      <c r="B272" s="277">
        <f t="shared" si="51"/>
        <v>0</v>
      </c>
      <c r="C272" s="466">
        <f t="shared" si="52"/>
        <v>0</v>
      </c>
      <c r="D272" s="467">
        <f t="shared" si="64"/>
        <v>0</v>
      </c>
      <c r="E272" s="460">
        <f t="shared" si="53"/>
        <v>0</v>
      </c>
      <c r="F272" s="460">
        <f t="shared" si="54"/>
        <v>0</v>
      </c>
      <c r="G272" s="460">
        <f t="shared" si="65"/>
        <v>0</v>
      </c>
      <c r="H272" s="460">
        <f>IF(L271&lt;0.01,0,IF($H$68="",0,L271*Adm!$V$3))</f>
        <v>0</v>
      </c>
      <c r="I272" s="460">
        <f>IF(L271&lt;0.01,0,IF($I$68="",0,($G$28*0.7*Adm!$W$3)))</f>
        <v>0</v>
      </c>
      <c r="J272" s="460">
        <f>IF(L271&lt;0.01,0,Adm!$AD$2*1.16)</f>
        <v>0</v>
      </c>
      <c r="K272" s="460">
        <f t="shared" si="55"/>
        <v>0</v>
      </c>
      <c r="L272" s="460">
        <f t="shared" si="56"/>
        <v>0</v>
      </c>
      <c r="M272" s="468"/>
      <c r="T272" s="469">
        <f t="shared" si="57"/>
        <v>11</v>
      </c>
      <c r="U272" s="470">
        <f>IF(T272=1,Adm!$O$2,0)</f>
        <v>0</v>
      </c>
      <c r="Z272" s="477">
        <f t="shared" si="58"/>
        <v>0</v>
      </c>
      <c r="AA272" s="478">
        <f>IF(M271&lt;=0,0,IF($AA$63=$AA$60,0,IF($Z$63=$Z$61,PMT(Adm!$J$2/12,B271,-L271),0)))</f>
        <v>0</v>
      </c>
      <c r="AB272" s="479">
        <f t="shared" si="59"/>
        <v>0</v>
      </c>
      <c r="AC272" s="479"/>
      <c r="AE272" s="473" t="e">
        <f t="shared" si="60"/>
        <v>#N/A</v>
      </c>
      <c r="AF272" s="480" t="e">
        <f t="shared" si="66"/>
        <v>#N/A</v>
      </c>
      <c r="AG272" s="475" t="e">
        <f t="shared" si="61"/>
        <v>#N/A</v>
      </c>
      <c r="AH272" s="476" t="e">
        <f t="shared" si="62"/>
        <v>#N/A</v>
      </c>
      <c r="AI272" s="475" t="e">
        <f t="shared" si="67"/>
        <v>#N/A</v>
      </c>
      <c r="AJ272" s="307" t="e">
        <f t="shared" si="63"/>
        <v>#N/A</v>
      </c>
    </row>
    <row r="273" spans="2:36">
      <c r="B273" s="277">
        <f t="shared" si="51"/>
        <v>0</v>
      </c>
      <c r="C273" s="466">
        <f t="shared" si="52"/>
        <v>0</v>
      </c>
      <c r="D273" s="467">
        <f t="shared" si="64"/>
        <v>0</v>
      </c>
      <c r="E273" s="460">
        <f t="shared" si="53"/>
        <v>0</v>
      </c>
      <c r="F273" s="460">
        <f t="shared" si="54"/>
        <v>0</v>
      </c>
      <c r="G273" s="460">
        <f t="shared" si="65"/>
        <v>0</v>
      </c>
      <c r="H273" s="460">
        <f>IF(L272&lt;0.01,0,IF($H$68="",0,L272*Adm!$V$3))</f>
        <v>0</v>
      </c>
      <c r="I273" s="460">
        <f>IF(L272&lt;0.01,0,IF($I$68="",0,($G$28*0.7*Adm!$W$3)))</f>
        <v>0</v>
      </c>
      <c r="J273" s="460">
        <f>IF(L272&lt;0.01,0,Adm!$AD$2*1.16)</f>
        <v>0</v>
      </c>
      <c r="K273" s="460">
        <f t="shared" si="55"/>
        <v>0</v>
      </c>
      <c r="L273" s="460">
        <f t="shared" si="56"/>
        <v>0</v>
      </c>
      <c r="M273" s="468"/>
      <c r="T273" s="469">
        <f t="shared" si="57"/>
        <v>12</v>
      </c>
      <c r="U273" s="470">
        <f>IF(T273=1,Adm!$O$2,0)</f>
        <v>0</v>
      </c>
      <c r="Z273" s="477">
        <f t="shared" si="58"/>
        <v>0</v>
      </c>
      <c r="AA273" s="478">
        <f>IF(M272&lt;=0,0,IF($AA$63=$AA$60,0,IF($Z$63=$Z$61,PMT(Adm!$J$2/12,B272,-L272),0)))</f>
        <v>0</v>
      </c>
      <c r="AB273" s="479">
        <f t="shared" si="59"/>
        <v>0</v>
      </c>
      <c r="AC273" s="479"/>
      <c r="AE273" s="473" t="e">
        <f t="shared" si="60"/>
        <v>#N/A</v>
      </c>
      <c r="AF273" s="480" t="e">
        <f t="shared" si="66"/>
        <v>#N/A</v>
      </c>
      <c r="AG273" s="475" t="e">
        <f t="shared" si="61"/>
        <v>#N/A</v>
      </c>
      <c r="AH273" s="476" t="e">
        <f t="shared" si="62"/>
        <v>#N/A</v>
      </c>
      <c r="AI273" s="475" t="e">
        <f t="shared" si="67"/>
        <v>#N/A</v>
      </c>
      <c r="AJ273" s="307" t="e">
        <f t="shared" si="63"/>
        <v>#N/A</v>
      </c>
    </row>
    <row r="274" spans="2:36">
      <c r="B274" s="277">
        <f t="shared" si="51"/>
        <v>0</v>
      </c>
      <c r="C274" s="466">
        <f t="shared" si="52"/>
        <v>0</v>
      </c>
      <c r="D274" s="467">
        <f t="shared" si="64"/>
        <v>0</v>
      </c>
      <c r="E274" s="460">
        <f t="shared" si="53"/>
        <v>0</v>
      </c>
      <c r="F274" s="460">
        <f t="shared" si="54"/>
        <v>0</v>
      </c>
      <c r="G274" s="460">
        <f t="shared" si="65"/>
        <v>0</v>
      </c>
      <c r="H274" s="460">
        <f>IF(L273&lt;0.01,0,IF($H$68="",0,L273*Adm!$V$3))</f>
        <v>0</v>
      </c>
      <c r="I274" s="460">
        <f>IF(L273&lt;0.01,0,IF($I$68="",0,($G$28*0.7*Adm!$W$3)))</f>
        <v>0</v>
      </c>
      <c r="J274" s="460">
        <f>IF(L273&lt;0.01,0,Adm!$AD$2*1.16)</f>
        <v>0</v>
      </c>
      <c r="K274" s="460">
        <f t="shared" si="55"/>
        <v>0</v>
      </c>
      <c r="L274" s="460">
        <f t="shared" si="56"/>
        <v>0</v>
      </c>
      <c r="M274" s="468"/>
      <c r="T274" s="469">
        <f t="shared" si="57"/>
        <v>1</v>
      </c>
      <c r="U274" s="470">
        <f>IF(T274=1,Adm!$O$2,0)</f>
        <v>0</v>
      </c>
      <c r="Z274" s="477">
        <f t="shared" si="58"/>
        <v>0</v>
      </c>
      <c r="AA274" s="478">
        <f>IF(M273&lt;=0,0,IF($AA$63=$AA$60,0,IF($Z$63=$Z$61,PMT(Adm!$J$2/12,B273,-L273),0)))</f>
        <v>0</v>
      </c>
      <c r="AB274" s="479">
        <f t="shared" si="59"/>
        <v>0</v>
      </c>
      <c r="AC274" s="479"/>
      <c r="AE274" s="473" t="e">
        <f t="shared" si="60"/>
        <v>#N/A</v>
      </c>
      <c r="AF274" s="480" t="e">
        <f t="shared" si="66"/>
        <v>#N/A</v>
      </c>
      <c r="AG274" s="475" t="e">
        <f t="shared" si="61"/>
        <v>#N/A</v>
      </c>
      <c r="AH274" s="476" t="e">
        <f t="shared" si="62"/>
        <v>#N/A</v>
      </c>
      <c r="AI274" s="481" t="e">
        <f>MIN(AJ273+AG274,AI273*(1+$AG$65))</f>
        <v>#N/A</v>
      </c>
      <c r="AJ274" s="307" t="e">
        <f t="shared" si="63"/>
        <v>#N/A</v>
      </c>
    </row>
    <row r="275" spans="2:36">
      <c r="B275" s="277">
        <f t="shared" si="51"/>
        <v>0</v>
      </c>
      <c r="C275" s="466">
        <f t="shared" si="52"/>
        <v>0</v>
      </c>
      <c r="D275" s="467">
        <f t="shared" si="64"/>
        <v>0</v>
      </c>
      <c r="E275" s="460">
        <f t="shared" si="53"/>
        <v>0</v>
      </c>
      <c r="F275" s="460">
        <f t="shared" si="54"/>
        <v>0</v>
      </c>
      <c r="G275" s="460">
        <f t="shared" si="65"/>
        <v>0</v>
      </c>
      <c r="H275" s="460">
        <f>IF(L274&lt;0.01,0,IF($H$68="",0,L274*Adm!$V$3))</f>
        <v>0</v>
      </c>
      <c r="I275" s="460">
        <f>IF(L274&lt;0.01,0,IF($I$68="",0,($G$28*0.7*Adm!$W$3)))</f>
        <v>0</v>
      </c>
      <c r="J275" s="460">
        <f>IF(L274&lt;0.01,0,Adm!$AD$2*1.16)</f>
        <v>0</v>
      </c>
      <c r="K275" s="460">
        <f t="shared" si="55"/>
        <v>0</v>
      </c>
      <c r="L275" s="460">
        <f t="shared" si="56"/>
        <v>0</v>
      </c>
      <c r="M275" s="468"/>
      <c r="T275" s="469">
        <f t="shared" si="57"/>
        <v>2</v>
      </c>
      <c r="U275" s="470">
        <f>IF(T275=1,Adm!$O$2,0)</f>
        <v>0</v>
      </c>
      <c r="Z275" s="477">
        <f t="shared" si="58"/>
        <v>0</v>
      </c>
      <c r="AA275" s="478">
        <f>IF(M274&lt;=0,0,IF($AA$63=$AA$60,0,IF($Z$63=$Z$61,PMT(Adm!$J$2/12,B274,-L274),0)))</f>
        <v>0</v>
      </c>
      <c r="AB275" s="479">
        <f t="shared" si="59"/>
        <v>0</v>
      </c>
      <c r="AC275" s="479"/>
      <c r="AE275" s="473" t="e">
        <f t="shared" si="60"/>
        <v>#N/A</v>
      </c>
      <c r="AF275" s="480" t="e">
        <f t="shared" si="66"/>
        <v>#N/A</v>
      </c>
      <c r="AG275" s="475" t="e">
        <f t="shared" si="61"/>
        <v>#N/A</v>
      </c>
      <c r="AH275" s="476" t="e">
        <f t="shared" si="62"/>
        <v>#N/A</v>
      </c>
      <c r="AI275" s="475" t="e">
        <f t="shared" si="67"/>
        <v>#N/A</v>
      </c>
      <c r="AJ275" s="307" t="e">
        <f t="shared" si="63"/>
        <v>#N/A</v>
      </c>
    </row>
    <row r="276" spans="2:36">
      <c r="B276" s="277">
        <f t="shared" si="51"/>
        <v>0</v>
      </c>
      <c r="C276" s="466">
        <f t="shared" si="52"/>
        <v>0</v>
      </c>
      <c r="D276" s="467">
        <f t="shared" si="64"/>
        <v>0</v>
      </c>
      <c r="E276" s="460">
        <f t="shared" si="53"/>
        <v>0</v>
      </c>
      <c r="F276" s="460">
        <f t="shared" si="54"/>
        <v>0</v>
      </c>
      <c r="G276" s="460">
        <f t="shared" si="65"/>
        <v>0</v>
      </c>
      <c r="H276" s="460">
        <f>IF(L275&lt;0.01,0,IF($H$68="",0,L275*Adm!$V$3))</f>
        <v>0</v>
      </c>
      <c r="I276" s="460">
        <f>IF(L275&lt;0.01,0,IF($I$68="",0,($G$28*0.7*Adm!$W$3)))</f>
        <v>0</v>
      </c>
      <c r="J276" s="460">
        <f>IF(L275&lt;0.01,0,Adm!$AD$2*1.16)</f>
        <v>0</v>
      </c>
      <c r="K276" s="460">
        <f t="shared" si="55"/>
        <v>0</v>
      </c>
      <c r="L276" s="460">
        <f t="shared" si="56"/>
        <v>0</v>
      </c>
      <c r="M276" s="468"/>
      <c r="T276" s="469">
        <f t="shared" si="57"/>
        <v>3</v>
      </c>
      <c r="U276" s="470">
        <f>IF(T276=1,Adm!$O$2,0)</f>
        <v>0</v>
      </c>
      <c r="Z276" s="477">
        <f t="shared" si="58"/>
        <v>0</v>
      </c>
      <c r="AA276" s="478">
        <f>IF(M275&lt;=0,0,IF($AA$63=$AA$60,0,IF($Z$63=$Z$61,PMT(Adm!$J$2/12,B275,-L275),0)))</f>
        <v>0</v>
      </c>
      <c r="AB276" s="479">
        <f t="shared" si="59"/>
        <v>0</v>
      </c>
      <c r="AC276" s="479"/>
      <c r="AE276" s="473" t="e">
        <f t="shared" si="60"/>
        <v>#N/A</v>
      </c>
      <c r="AF276" s="480" t="e">
        <f t="shared" si="66"/>
        <v>#N/A</v>
      </c>
      <c r="AG276" s="475" t="e">
        <f t="shared" si="61"/>
        <v>#N/A</v>
      </c>
      <c r="AH276" s="476" t="e">
        <f t="shared" si="62"/>
        <v>#N/A</v>
      </c>
      <c r="AI276" s="475" t="e">
        <f t="shared" si="67"/>
        <v>#N/A</v>
      </c>
      <c r="AJ276" s="307" t="e">
        <f t="shared" si="63"/>
        <v>#N/A</v>
      </c>
    </row>
    <row r="277" spans="2:36">
      <c r="B277" s="277">
        <f t="shared" si="51"/>
        <v>0</v>
      </c>
      <c r="C277" s="466">
        <f t="shared" si="52"/>
        <v>0</v>
      </c>
      <c r="D277" s="467">
        <f t="shared" si="64"/>
        <v>0</v>
      </c>
      <c r="E277" s="460">
        <f t="shared" si="53"/>
        <v>0</v>
      </c>
      <c r="F277" s="460">
        <f t="shared" si="54"/>
        <v>0</v>
      </c>
      <c r="G277" s="460">
        <f t="shared" si="65"/>
        <v>0</v>
      </c>
      <c r="H277" s="460">
        <f>IF(L276&lt;0.01,0,IF($H$68="",0,L276*Adm!$V$3))</f>
        <v>0</v>
      </c>
      <c r="I277" s="460">
        <f>IF(L276&lt;0.01,0,IF($I$68="",0,($G$28*0.7*Adm!$W$3)))</f>
        <v>0</v>
      </c>
      <c r="J277" s="460">
        <f>IF(L276&lt;0.01,0,Adm!$AD$2*1.16)</f>
        <v>0</v>
      </c>
      <c r="K277" s="460">
        <f t="shared" si="55"/>
        <v>0</v>
      </c>
      <c r="L277" s="460">
        <f t="shared" si="56"/>
        <v>0</v>
      </c>
      <c r="M277" s="468"/>
      <c r="T277" s="469">
        <f t="shared" si="57"/>
        <v>4</v>
      </c>
      <c r="U277" s="470">
        <f>IF(T277=1,Adm!$O$2,0)</f>
        <v>0</v>
      </c>
      <c r="Z277" s="477">
        <f t="shared" si="58"/>
        <v>0</v>
      </c>
      <c r="AA277" s="478">
        <f>IF(M276&lt;=0,0,IF($AA$63=$AA$60,0,IF($Z$63=$Z$61,PMT(Adm!$J$2/12,B276,-L276),0)))</f>
        <v>0</v>
      </c>
      <c r="AB277" s="479">
        <f t="shared" si="59"/>
        <v>0</v>
      </c>
      <c r="AC277" s="479"/>
      <c r="AE277" s="473" t="e">
        <f t="shared" si="60"/>
        <v>#N/A</v>
      </c>
      <c r="AF277" s="480" t="e">
        <f t="shared" si="66"/>
        <v>#N/A</v>
      </c>
      <c r="AG277" s="475" t="e">
        <f t="shared" si="61"/>
        <v>#N/A</v>
      </c>
      <c r="AH277" s="476" t="e">
        <f t="shared" si="62"/>
        <v>#N/A</v>
      </c>
      <c r="AI277" s="475" t="e">
        <f t="shared" si="67"/>
        <v>#N/A</v>
      </c>
      <c r="AJ277" s="307" t="e">
        <f t="shared" si="63"/>
        <v>#N/A</v>
      </c>
    </row>
    <row r="278" spans="2:36">
      <c r="B278" s="277">
        <f t="shared" si="51"/>
        <v>0</v>
      </c>
      <c r="C278" s="466">
        <f t="shared" si="52"/>
        <v>0</v>
      </c>
      <c r="D278" s="467">
        <f t="shared" si="64"/>
        <v>0</v>
      </c>
      <c r="E278" s="460">
        <f t="shared" si="53"/>
        <v>0</v>
      </c>
      <c r="F278" s="460">
        <f t="shared" si="54"/>
        <v>0</v>
      </c>
      <c r="G278" s="460">
        <f t="shared" si="65"/>
        <v>0</v>
      </c>
      <c r="H278" s="460">
        <f>IF(L277&lt;0.01,0,IF($H$68="",0,L277*Adm!$V$3))</f>
        <v>0</v>
      </c>
      <c r="I278" s="460">
        <f>IF(L277&lt;0.01,0,IF($I$68="",0,($G$28*0.7*Adm!$W$3)))</f>
        <v>0</v>
      </c>
      <c r="J278" s="460">
        <f>IF(L277&lt;0.01,0,Adm!$AD$2*1.16)</f>
        <v>0</v>
      </c>
      <c r="K278" s="460">
        <f t="shared" si="55"/>
        <v>0</v>
      </c>
      <c r="L278" s="460">
        <f t="shared" si="56"/>
        <v>0</v>
      </c>
      <c r="M278" s="468"/>
      <c r="T278" s="469">
        <f t="shared" si="57"/>
        <v>5</v>
      </c>
      <c r="U278" s="470">
        <f>IF(T278=1,Adm!$O$2,0)</f>
        <v>0</v>
      </c>
      <c r="Z278" s="477">
        <f t="shared" si="58"/>
        <v>0</v>
      </c>
      <c r="AA278" s="478">
        <f>IF(M277&lt;=0,0,IF($AA$63=$AA$60,0,IF($Z$63=$Z$61,PMT(Adm!$J$2/12,B277,-L277),0)))</f>
        <v>0</v>
      </c>
      <c r="AB278" s="479">
        <f t="shared" si="59"/>
        <v>0</v>
      </c>
      <c r="AC278" s="479"/>
      <c r="AE278" s="473" t="e">
        <f t="shared" si="60"/>
        <v>#N/A</v>
      </c>
      <c r="AF278" s="480" t="e">
        <f t="shared" si="66"/>
        <v>#N/A</v>
      </c>
      <c r="AG278" s="475" t="e">
        <f t="shared" si="61"/>
        <v>#N/A</v>
      </c>
      <c r="AH278" s="476" t="e">
        <f t="shared" si="62"/>
        <v>#N/A</v>
      </c>
      <c r="AI278" s="475" t="e">
        <f t="shared" si="67"/>
        <v>#N/A</v>
      </c>
      <c r="AJ278" s="307" t="e">
        <f t="shared" si="63"/>
        <v>#N/A</v>
      </c>
    </row>
    <row r="279" spans="2:36">
      <c r="B279" s="277">
        <f t="shared" si="51"/>
        <v>0</v>
      </c>
      <c r="C279" s="466">
        <f t="shared" si="52"/>
        <v>0</v>
      </c>
      <c r="D279" s="467">
        <f t="shared" si="64"/>
        <v>0</v>
      </c>
      <c r="E279" s="460">
        <f t="shared" si="53"/>
        <v>0</v>
      </c>
      <c r="F279" s="460">
        <f t="shared" si="54"/>
        <v>0</v>
      </c>
      <c r="G279" s="460">
        <f t="shared" si="65"/>
        <v>0</v>
      </c>
      <c r="H279" s="460">
        <f>IF(L278&lt;0.01,0,IF($H$68="",0,L278*Adm!$V$3))</f>
        <v>0</v>
      </c>
      <c r="I279" s="460">
        <f>IF(L278&lt;0.01,0,IF($I$68="",0,($G$28*0.7*Adm!$W$3)))</f>
        <v>0</v>
      </c>
      <c r="J279" s="460">
        <f>IF(L278&lt;0.01,0,Adm!$AD$2*1.16)</f>
        <v>0</v>
      </c>
      <c r="K279" s="460">
        <f t="shared" si="55"/>
        <v>0</v>
      </c>
      <c r="L279" s="460">
        <f t="shared" si="56"/>
        <v>0</v>
      </c>
      <c r="M279" s="468"/>
      <c r="T279" s="469">
        <f t="shared" si="57"/>
        <v>6</v>
      </c>
      <c r="U279" s="470">
        <f>IF(T279=1,Adm!$O$2,0)</f>
        <v>0</v>
      </c>
      <c r="Z279" s="477">
        <f t="shared" si="58"/>
        <v>0</v>
      </c>
      <c r="AA279" s="478">
        <f>IF(M278&lt;=0,0,IF($AA$63=$AA$60,0,IF($Z$63=$Z$61,PMT(Adm!$J$2/12,B278,-L278),0)))</f>
        <v>0</v>
      </c>
      <c r="AB279" s="479">
        <f t="shared" si="59"/>
        <v>0</v>
      </c>
      <c r="AC279" s="479"/>
      <c r="AE279" s="473" t="e">
        <f t="shared" si="60"/>
        <v>#N/A</v>
      </c>
      <c r="AF279" s="480" t="e">
        <f t="shared" si="66"/>
        <v>#N/A</v>
      </c>
      <c r="AG279" s="475" t="e">
        <f t="shared" si="61"/>
        <v>#N/A</v>
      </c>
      <c r="AH279" s="476" t="e">
        <f t="shared" si="62"/>
        <v>#N/A</v>
      </c>
      <c r="AI279" s="475" t="e">
        <f t="shared" si="67"/>
        <v>#N/A</v>
      </c>
      <c r="AJ279" s="307" t="e">
        <f t="shared" si="63"/>
        <v>#N/A</v>
      </c>
    </row>
    <row r="280" spans="2:36">
      <c r="B280" s="277">
        <f t="shared" si="51"/>
        <v>0</v>
      </c>
      <c r="C280" s="466">
        <f t="shared" si="52"/>
        <v>0</v>
      </c>
      <c r="D280" s="467">
        <f t="shared" si="64"/>
        <v>0</v>
      </c>
      <c r="E280" s="460">
        <f t="shared" si="53"/>
        <v>0</v>
      </c>
      <c r="F280" s="460">
        <f t="shared" si="54"/>
        <v>0</v>
      </c>
      <c r="G280" s="460">
        <f t="shared" si="65"/>
        <v>0</v>
      </c>
      <c r="H280" s="460">
        <f>IF(L279&lt;0.01,0,IF($H$68="",0,L279*Adm!$V$3))</f>
        <v>0</v>
      </c>
      <c r="I280" s="460">
        <f>IF(L279&lt;0.01,0,IF($I$68="",0,($G$28*0.7*Adm!$W$3)))</f>
        <v>0</v>
      </c>
      <c r="J280" s="460">
        <f>IF(L279&lt;0.01,0,Adm!$AD$2*1.16)</f>
        <v>0</v>
      </c>
      <c r="K280" s="460">
        <f t="shared" si="55"/>
        <v>0</v>
      </c>
      <c r="L280" s="460">
        <f t="shared" si="56"/>
        <v>0</v>
      </c>
      <c r="M280" s="468"/>
      <c r="T280" s="469">
        <f t="shared" si="57"/>
        <v>7</v>
      </c>
      <c r="U280" s="470">
        <f>IF(T280=1,Adm!$O$2,0)</f>
        <v>0</v>
      </c>
      <c r="Z280" s="477">
        <f t="shared" si="58"/>
        <v>0</v>
      </c>
      <c r="AA280" s="478">
        <f>IF(M279&lt;=0,0,IF($AA$63=$AA$60,0,IF($Z$63=$Z$61,PMT(Adm!$J$2/12,B279,-L279),0)))</f>
        <v>0</v>
      </c>
      <c r="AB280" s="479">
        <f t="shared" si="59"/>
        <v>0</v>
      </c>
      <c r="AC280" s="479"/>
      <c r="AE280" s="473" t="e">
        <f t="shared" si="60"/>
        <v>#N/A</v>
      </c>
      <c r="AF280" s="480" t="e">
        <f t="shared" si="66"/>
        <v>#N/A</v>
      </c>
      <c r="AG280" s="475" t="e">
        <f t="shared" si="61"/>
        <v>#N/A</v>
      </c>
      <c r="AH280" s="476" t="e">
        <f t="shared" si="62"/>
        <v>#N/A</v>
      </c>
      <c r="AI280" s="475" t="e">
        <f t="shared" si="67"/>
        <v>#N/A</v>
      </c>
      <c r="AJ280" s="307" t="e">
        <f t="shared" si="63"/>
        <v>#N/A</v>
      </c>
    </row>
    <row r="281" spans="2:36">
      <c r="B281" s="277">
        <f t="shared" si="51"/>
        <v>0</v>
      </c>
      <c r="C281" s="466">
        <f t="shared" si="52"/>
        <v>0</v>
      </c>
      <c r="D281" s="467">
        <f t="shared" si="64"/>
        <v>0</v>
      </c>
      <c r="E281" s="460">
        <f t="shared" si="53"/>
        <v>0</v>
      </c>
      <c r="F281" s="460">
        <f t="shared" si="54"/>
        <v>0</v>
      </c>
      <c r="G281" s="460">
        <f t="shared" si="65"/>
        <v>0</v>
      </c>
      <c r="H281" s="460">
        <f>IF(L280&lt;0.01,0,IF($H$68="",0,L280*Adm!$V$3))</f>
        <v>0</v>
      </c>
      <c r="I281" s="460">
        <f>IF(L280&lt;0.01,0,IF($I$68="",0,($G$28*0.7*Adm!$W$3)))</f>
        <v>0</v>
      </c>
      <c r="J281" s="460">
        <f>IF(L280&lt;0.01,0,Adm!$AD$2*1.16)</f>
        <v>0</v>
      </c>
      <c r="K281" s="460">
        <f t="shared" si="55"/>
        <v>0</v>
      </c>
      <c r="L281" s="460">
        <f t="shared" si="56"/>
        <v>0</v>
      </c>
      <c r="M281" s="468"/>
      <c r="T281" s="469">
        <f t="shared" si="57"/>
        <v>8</v>
      </c>
      <c r="U281" s="470">
        <f>IF(T281=1,Adm!$O$2,0)</f>
        <v>0</v>
      </c>
      <c r="Z281" s="477">
        <f t="shared" si="58"/>
        <v>0</v>
      </c>
      <c r="AA281" s="478">
        <f>IF(M280&lt;=0,0,IF($AA$63=$AA$60,0,IF($Z$63=$Z$61,PMT(Adm!$J$2/12,B280,-L280),0)))</f>
        <v>0</v>
      </c>
      <c r="AB281" s="479">
        <f t="shared" si="59"/>
        <v>0</v>
      </c>
      <c r="AC281" s="479"/>
      <c r="AE281" s="473" t="e">
        <f t="shared" si="60"/>
        <v>#N/A</v>
      </c>
      <c r="AF281" s="480" t="e">
        <f t="shared" si="66"/>
        <v>#N/A</v>
      </c>
      <c r="AG281" s="475" t="e">
        <f t="shared" si="61"/>
        <v>#N/A</v>
      </c>
      <c r="AH281" s="476" t="e">
        <f t="shared" si="62"/>
        <v>#N/A</v>
      </c>
      <c r="AI281" s="475" t="e">
        <f t="shared" si="67"/>
        <v>#N/A</v>
      </c>
      <c r="AJ281" s="307" t="e">
        <f t="shared" si="63"/>
        <v>#N/A</v>
      </c>
    </row>
    <row r="282" spans="2:36">
      <c r="B282" s="277">
        <f t="shared" si="51"/>
        <v>0</v>
      </c>
      <c r="C282" s="466">
        <f t="shared" si="52"/>
        <v>0</v>
      </c>
      <c r="D282" s="467">
        <f t="shared" si="64"/>
        <v>0</v>
      </c>
      <c r="E282" s="460">
        <f t="shared" si="53"/>
        <v>0</v>
      </c>
      <c r="F282" s="460">
        <f t="shared" si="54"/>
        <v>0</v>
      </c>
      <c r="G282" s="460">
        <f t="shared" si="65"/>
        <v>0</v>
      </c>
      <c r="H282" s="460">
        <f>IF(L281&lt;0.01,0,IF($H$68="",0,L281*Adm!$V$3))</f>
        <v>0</v>
      </c>
      <c r="I282" s="460">
        <f>IF(L281&lt;0.01,0,IF($I$68="",0,($G$28*0.7*Adm!$W$3)))</f>
        <v>0</v>
      </c>
      <c r="J282" s="460">
        <f>IF(L281&lt;0.01,0,Adm!$AD$2*1.16)</f>
        <v>0</v>
      </c>
      <c r="K282" s="460">
        <f t="shared" si="55"/>
        <v>0</v>
      </c>
      <c r="L282" s="460">
        <f t="shared" si="56"/>
        <v>0</v>
      </c>
      <c r="M282" s="468"/>
      <c r="T282" s="469">
        <f t="shared" si="57"/>
        <v>9</v>
      </c>
      <c r="U282" s="470">
        <f>IF(T282=1,Adm!$O$2,0)</f>
        <v>0</v>
      </c>
      <c r="Z282" s="477">
        <f t="shared" si="58"/>
        <v>0</v>
      </c>
      <c r="AA282" s="478">
        <f>IF(M281&lt;=0,0,IF($AA$63=$AA$60,0,IF($Z$63=$Z$61,PMT(Adm!$J$2/12,B281,-L281),0)))</f>
        <v>0</v>
      </c>
      <c r="AB282" s="479">
        <f t="shared" si="59"/>
        <v>0</v>
      </c>
      <c r="AC282" s="479"/>
      <c r="AE282" s="473" t="e">
        <f t="shared" si="60"/>
        <v>#N/A</v>
      </c>
      <c r="AF282" s="480" t="e">
        <f t="shared" si="66"/>
        <v>#N/A</v>
      </c>
      <c r="AG282" s="475" t="e">
        <f t="shared" si="61"/>
        <v>#N/A</v>
      </c>
      <c r="AH282" s="476" t="e">
        <f t="shared" si="62"/>
        <v>#N/A</v>
      </c>
      <c r="AI282" s="475" t="e">
        <f t="shared" si="67"/>
        <v>#N/A</v>
      </c>
      <c r="AJ282" s="307" t="e">
        <f t="shared" si="63"/>
        <v>#N/A</v>
      </c>
    </row>
    <row r="283" spans="2:36">
      <c r="B283" s="277">
        <f t="shared" si="51"/>
        <v>0</v>
      </c>
      <c r="C283" s="466">
        <f t="shared" si="52"/>
        <v>0</v>
      </c>
      <c r="D283" s="467">
        <f t="shared" si="64"/>
        <v>0</v>
      </c>
      <c r="E283" s="460">
        <f t="shared" si="53"/>
        <v>0</v>
      </c>
      <c r="F283" s="460">
        <f t="shared" si="54"/>
        <v>0</v>
      </c>
      <c r="G283" s="460">
        <f t="shared" si="65"/>
        <v>0</v>
      </c>
      <c r="H283" s="460">
        <f>IF(L282&lt;0.01,0,IF($H$68="",0,L282*Adm!$V$3))</f>
        <v>0</v>
      </c>
      <c r="I283" s="460">
        <f>IF(L282&lt;0.01,0,IF($I$68="",0,($G$28*0.7*Adm!$W$3)))</f>
        <v>0</v>
      </c>
      <c r="J283" s="460">
        <f>IF(L282&lt;0.01,0,Adm!$AD$2*1.16)</f>
        <v>0</v>
      </c>
      <c r="K283" s="460">
        <f t="shared" si="55"/>
        <v>0</v>
      </c>
      <c r="L283" s="460">
        <f t="shared" si="56"/>
        <v>0</v>
      </c>
      <c r="M283" s="468"/>
      <c r="T283" s="469">
        <f t="shared" si="57"/>
        <v>10</v>
      </c>
      <c r="U283" s="470">
        <f>IF(T283=1,Adm!$O$2,0)</f>
        <v>0</v>
      </c>
      <c r="Z283" s="477">
        <f t="shared" si="58"/>
        <v>0</v>
      </c>
      <c r="AA283" s="478">
        <f>IF(M282&lt;=0,0,IF($AA$63=$AA$60,0,IF($Z$63=$Z$61,PMT(Adm!$J$2/12,B282,-L282),0)))</f>
        <v>0</v>
      </c>
      <c r="AB283" s="479">
        <f t="shared" si="59"/>
        <v>0</v>
      </c>
      <c r="AC283" s="479"/>
      <c r="AE283" s="473" t="e">
        <f t="shared" si="60"/>
        <v>#N/A</v>
      </c>
      <c r="AF283" s="480" t="e">
        <f t="shared" si="66"/>
        <v>#N/A</v>
      </c>
      <c r="AG283" s="475" t="e">
        <f t="shared" si="61"/>
        <v>#N/A</v>
      </c>
      <c r="AH283" s="476" t="e">
        <f t="shared" si="62"/>
        <v>#N/A</v>
      </c>
      <c r="AI283" s="475" t="e">
        <f t="shared" si="67"/>
        <v>#N/A</v>
      </c>
      <c r="AJ283" s="307" t="e">
        <f t="shared" si="63"/>
        <v>#N/A</v>
      </c>
    </row>
    <row r="284" spans="2:36">
      <c r="B284" s="277">
        <f t="shared" si="51"/>
        <v>0</v>
      </c>
      <c r="C284" s="466">
        <f t="shared" si="52"/>
        <v>0</v>
      </c>
      <c r="D284" s="467">
        <f t="shared" si="64"/>
        <v>0</v>
      </c>
      <c r="E284" s="460">
        <f t="shared" si="53"/>
        <v>0</v>
      </c>
      <c r="F284" s="460">
        <f t="shared" si="54"/>
        <v>0</v>
      </c>
      <c r="G284" s="460">
        <f t="shared" si="65"/>
        <v>0</v>
      </c>
      <c r="H284" s="460">
        <f>IF(L283&lt;0.01,0,IF($H$68="",0,L283*Adm!$V$3))</f>
        <v>0</v>
      </c>
      <c r="I284" s="460">
        <f>IF(L283&lt;0.01,0,IF($I$68="",0,($G$28*0.7*Adm!$W$3)))</f>
        <v>0</v>
      </c>
      <c r="J284" s="460">
        <f>IF(L283&lt;0.01,0,Adm!$AD$2*1.16)</f>
        <v>0</v>
      </c>
      <c r="K284" s="460">
        <f t="shared" si="55"/>
        <v>0</v>
      </c>
      <c r="L284" s="460">
        <f t="shared" si="56"/>
        <v>0</v>
      </c>
      <c r="M284" s="468"/>
      <c r="T284" s="469">
        <f t="shared" si="57"/>
        <v>11</v>
      </c>
      <c r="U284" s="470">
        <f>IF(T284=1,Adm!$O$2,0)</f>
        <v>0</v>
      </c>
      <c r="Z284" s="477">
        <f t="shared" si="58"/>
        <v>0</v>
      </c>
      <c r="AA284" s="478">
        <f>IF(M283&lt;=0,0,IF($AA$63=$AA$60,0,IF($Z$63=$Z$61,PMT(Adm!$J$2/12,B283,-L283),0)))</f>
        <v>0</v>
      </c>
      <c r="AB284" s="479">
        <f t="shared" si="59"/>
        <v>0</v>
      </c>
      <c r="AC284" s="479"/>
      <c r="AE284" s="473" t="e">
        <f t="shared" si="60"/>
        <v>#N/A</v>
      </c>
      <c r="AF284" s="480" t="e">
        <f t="shared" si="66"/>
        <v>#N/A</v>
      </c>
      <c r="AG284" s="475" t="e">
        <f t="shared" si="61"/>
        <v>#N/A</v>
      </c>
      <c r="AH284" s="476" t="e">
        <f t="shared" si="62"/>
        <v>#N/A</v>
      </c>
      <c r="AI284" s="475" t="e">
        <f t="shared" si="67"/>
        <v>#N/A</v>
      </c>
      <c r="AJ284" s="307" t="e">
        <f t="shared" si="63"/>
        <v>#N/A</v>
      </c>
    </row>
    <row r="285" spans="2:36">
      <c r="B285" s="277">
        <f t="shared" si="51"/>
        <v>0</v>
      </c>
      <c r="C285" s="466">
        <f t="shared" si="52"/>
        <v>0</v>
      </c>
      <c r="D285" s="467">
        <f t="shared" si="64"/>
        <v>0</v>
      </c>
      <c r="E285" s="460">
        <f t="shared" si="53"/>
        <v>0</v>
      </c>
      <c r="F285" s="460">
        <f t="shared" si="54"/>
        <v>0</v>
      </c>
      <c r="G285" s="460">
        <f t="shared" si="65"/>
        <v>0</v>
      </c>
      <c r="H285" s="460">
        <f>IF(L284&lt;0.01,0,IF($H$68="",0,L284*Adm!$V$3))</f>
        <v>0</v>
      </c>
      <c r="I285" s="460">
        <f>IF(L284&lt;0.01,0,IF($I$68="",0,($G$28*0.7*Adm!$W$3)))</f>
        <v>0</v>
      </c>
      <c r="J285" s="460">
        <f>IF(L284&lt;0.01,0,Adm!$AD$2*1.16)</f>
        <v>0</v>
      </c>
      <c r="K285" s="460">
        <f t="shared" si="55"/>
        <v>0</v>
      </c>
      <c r="L285" s="460">
        <f t="shared" si="56"/>
        <v>0</v>
      </c>
      <c r="M285" s="468"/>
      <c r="T285" s="469">
        <f t="shared" si="57"/>
        <v>12</v>
      </c>
      <c r="U285" s="470">
        <f>IF(T285=1,Adm!$O$2,0)</f>
        <v>0</v>
      </c>
      <c r="Z285" s="477">
        <f t="shared" si="58"/>
        <v>0</v>
      </c>
      <c r="AA285" s="478">
        <f>IF(M284&lt;=0,0,IF($AA$63=$AA$60,0,IF($Z$63=$Z$61,PMT(Adm!$J$2/12,B284,-L284),0)))</f>
        <v>0</v>
      </c>
      <c r="AB285" s="479">
        <f t="shared" si="59"/>
        <v>0</v>
      </c>
      <c r="AC285" s="479"/>
      <c r="AE285" s="473" t="e">
        <f t="shared" si="60"/>
        <v>#N/A</v>
      </c>
      <c r="AF285" s="480" t="e">
        <f t="shared" si="66"/>
        <v>#N/A</v>
      </c>
      <c r="AG285" s="475" t="e">
        <f t="shared" si="61"/>
        <v>#N/A</v>
      </c>
      <c r="AH285" s="476" t="e">
        <f t="shared" si="62"/>
        <v>#N/A</v>
      </c>
      <c r="AI285" s="475" t="e">
        <f t="shared" si="67"/>
        <v>#N/A</v>
      </c>
      <c r="AJ285" s="307" t="e">
        <f t="shared" si="63"/>
        <v>#N/A</v>
      </c>
    </row>
    <row r="286" spans="2:36">
      <c r="B286" s="277">
        <f t="shared" si="51"/>
        <v>0</v>
      </c>
      <c r="C286" s="466">
        <f t="shared" si="52"/>
        <v>0</v>
      </c>
      <c r="D286" s="467">
        <f t="shared" si="64"/>
        <v>0</v>
      </c>
      <c r="E286" s="460">
        <f t="shared" si="53"/>
        <v>0</v>
      </c>
      <c r="F286" s="460">
        <f t="shared" si="54"/>
        <v>0</v>
      </c>
      <c r="G286" s="460">
        <f t="shared" si="65"/>
        <v>0</v>
      </c>
      <c r="H286" s="460">
        <f>IF(L285&lt;0.01,0,IF($H$68="",0,L285*Adm!$V$3))</f>
        <v>0</v>
      </c>
      <c r="I286" s="460">
        <f>IF(L285&lt;0.01,0,IF($I$68="",0,($G$28*0.7*Adm!$W$3)))</f>
        <v>0</v>
      </c>
      <c r="J286" s="460">
        <f>IF(L285&lt;0.01,0,Adm!$AD$2*1.16)</f>
        <v>0</v>
      </c>
      <c r="K286" s="460">
        <f t="shared" si="55"/>
        <v>0</v>
      </c>
      <c r="L286" s="460">
        <f t="shared" si="56"/>
        <v>0</v>
      </c>
      <c r="M286" s="468"/>
      <c r="T286" s="469">
        <f t="shared" si="57"/>
        <v>1</v>
      </c>
      <c r="U286" s="470">
        <f>IF(T286=1,Adm!$O$2,0)</f>
        <v>0</v>
      </c>
      <c r="Z286" s="477">
        <f t="shared" si="58"/>
        <v>0</v>
      </c>
      <c r="AA286" s="478">
        <f>IF(M285&lt;=0,0,IF($AA$63=$AA$60,0,IF($Z$63=$Z$61,PMT(Adm!$J$2/12,B285,-L285),0)))</f>
        <v>0</v>
      </c>
      <c r="AB286" s="479">
        <f t="shared" si="59"/>
        <v>0</v>
      </c>
      <c r="AC286" s="479"/>
      <c r="AE286" s="473" t="e">
        <f t="shared" si="60"/>
        <v>#N/A</v>
      </c>
      <c r="AF286" s="480" t="e">
        <f t="shared" si="66"/>
        <v>#N/A</v>
      </c>
      <c r="AG286" s="475" t="e">
        <f t="shared" si="61"/>
        <v>#N/A</v>
      </c>
      <c r="AH286" s="476" t="e">
        <f t="shared" si="62"/>
        <v>#N/A</v>
      </c>
      <c r="AI286" s="481" t="e">
        <f>MIN(AJ285+AG286,AI285*(1+$AG$65))</f>
        <v>#N/A</v>
      </c>
      <c r="AJ286" s="307" t="e">
        <f t="shared" si="63"/>
        <v>#N/A</v>
      </c>
    </row>
    <row r="287" spans="2:36">
      <c r="B287" s="277">
        <f t="shared" si="51"/>
        <v>0</v>
      </c>
      <c r="C287" s="466">
        <f t="shared" si="52"/>
        <v>0</v>
      </c>
      <c r="D287" s="467">
        <f t="shared" si="64"/>
        <v>0</v>
      </c>
      <c r="E287" s="460">
        <f t="shared" si="53"/>
        <v>0</v>
      </c>
      <c r="F287" s="460">
        <f t="shared" si="54"/>
        <v>0</v>
      </c>
      <c r="G287" s="460">
        <f t="shared" si="65"/>
        <v>0</v>
      </c>
      <c r="H287" s="460">
        <f>IF(L286&lt;0.01,0,IF($H$68="",0,L286*Adm!$V$3))</f>
        <v>0</v>
      </c>
      <c r="I287" s="460">
        <f>IF(L286&lt;0.01,0,IF($I$68="",0,($G$28*0.7*Adm!$W$3)))</f>
        <v>0</v>
      </c>
      <c r="J287" s="460">
        <f>IF(L286&lt;0.01,0,Adm!$AD$2*1.16)</f>
        <v>0</v>
      </c>
      <c r="K287" s="460">
        <f t="shared" si="55"/>
        <v>0</v>
      </c>
      <c r="L287" s="460">
        <f t="shared" si="56"/>
        <v>0</v>
      </c>
      <c r="M287" s="468"/>
      <c r="T287" s="469">
        <f t="shared" si="57"/>
        <v>2</v>
      </c>
      <c r="U287" s="470">
        <f>IF(T287=1,Adm!$O$2,0)</f>
        <v>0</v>
      </c>
      <c r="Z287" s="477">
        <f t="shared" si="58"/>
        <v>0</v>
      </c>
      <c r="AA287" s="478">
        <f>IF(M286&lt;=0,0,IF($AA$63=$AA$60,0,IF($Z$63=$Z$61,PMT(Adm!$J$2/12,B286,-L286),0)))</f>
        <v>0</v>
      </c>
      <c r="AB287" s="479">
        <f t="shared" si="59"/>
        <v>0</v>
      </c>
      <c r="AC287" s="479"/>
      <c r="AE287" s="473" t="e">
        <f t="shared" si="60"/>
        <v>#N/A</v>
      </c>
      <c r="AF287" s="480" t="e">
        <f t="shared" si="66"/>
        <v>#N/A</v>
      </c>
      <c r="AG287" s="475" t="e">
        <f t="shared" si="61"/>
        <v>#N/A</v>
      </c>
      <c r="AH287" s="476" t="e">
        <f t="shared" si="62"/>
        <v>#N/A</v>
      </c>
      <c r="AI287" s="475" t="e">
        <f t="shared" si="67"/>
        <v>#N/A</v>
      </c>
      <c r="AJ287" s="307" t="e">
        <f t="shared" si="63"/>
        <v>#N/A</v>
      </c>
    </row>
    <row r="288" spans="2:36">
      <c r="B288" s="277">
        <f t="shared" si="51"/>
        <v>0</v>
      </c>
      <c r="C288" s="466">
        <f t="shared" si="52"/>
        <v>0</v>
      </c>
      <c r="D288" s="467">
        <f t="shared" si="64"/>
        <v>0</v>
      </c>
      <c r="E288" s="460">
        <f t="shared" si="53"/>
        <v>0</v>
      </c>
      <c r="F288" s="460">
        <f t="shared" si="54"/>
        <v>0</v>
      </c>
      <c r="G288" s="460">
        <f t="shared" si="65"/>
        <v>0</v>
      </c>
      <c r="H288" s="460">
        <f>IF(L287&lt;0.01,0,IF($H$68="",0,L287*Adm!$V$3))</f>
        <v>0</v>
      </c>
      <c r="I288" s="460">
        <f>IF(L287&lt;0.01,0,IF($I$68="",0,($G$28*0.7*Adm!$W$3)))</f>
        <v>0</v>
      </c>
      <c r="J288" s="460">
        <f>IF(L287&lt;0.01,0,Adm!$AD$2*1.16)</f>
        <v>0</v>
      </c>
      <c r="K288" s="460">
        <f t="shared" si="55"/>
        <v>0</v>
      </c>
      <c r="L288" s="460">
        <f t="shared" si="56"/>
        <v>0</v>
      </c>
      <c r="M288" s="468"/>
      <c r="T288" s="469">
        <f t="shared" si="57"/>
        <v>3</v>
      </c>
      <c r="U288" s="470">
        <f>IF(T288=1,Adm!$O$2,0)</f>
        <v>0</v>
      </c>
      <c r="Z288" s="477">
        <f t="shared" si="58"/>
        <v>0</v>
      </c>
      <c r="AA288" s="478">
        <f>IF(M287&lt;=0,0,IF($AA$63=$AA$60,0,IF($Z$63=$Z$61,PMT(Adm!$J$2/12,B287,-L287),0)))</f>
        <v>0</v>
      </c>
      <c r="AB288" s="479">
        <f t="shared" si="59"/>
        <v>0</v>
      </c>
      <c r="AC288" s="479"/>
      <c r="AE288" s="473" t="e">
        <f t="shared" si="60"/>
        <v>#N/A</v>
      </c>
      <c r="AF288" s="480" t="e">
        <f t="shared" si="66"/>
        <v>#N/A</v>
      </c>
      <c r="AG288" s="475" t="e">
        <f t="shared" si="61"/>
        <v>#N/A</v>
      </c>
      <c r="AH288" s="476" t="e">
        <f t="shared" si="62"/>
        <v>#N/A</v>
      </c>
      <c r="AI288" s="475" t="e">
        <f t="shared" si="67"/>
        <v>#N/A</v>
      </c>
      <c r="AJ288" s="307" t="e">
        <f t="shared" si="63"/>
        <v>#N/A</v>
      </c>
    </row>
    <row r="289" spans="2:36">
      <c r="B289" s="277">
        <f t="shared" si="51"/>
        <v>0</v>
      </c>
      <c r="C289" s="466">
        <f t="shared" si="52"/>
        <v>0</v>
      </c>
      <c r="D289" s="467">
        <f t="shared" si="64"/>
        <v>0</v>
      </c>
      <c r="E289" s="460">
        <f t="shared" si="53"/>
        <v>0</v>
      </c>
      <c r="F289" s="460">
        <f t="shared" si="54"/>
        <v>0</v>
      </c>
      <c r="G289" s="460">
        <f t="shared" si="65"/>
        <v>0</v>
      </c>
      <c r="H289" s="460">
        <f>IF(L288&lt;0.01,0,IF($H$68="",0,L288*Adm!$V$3))</f>
        <v>0</v>
      </c>
      <c r="I289" s="460">
        <f>IF(L288&lt;0.01,0,IF($I$68="",0,($G$28*0.7*Adm!$W$3)))</f>
        <v>0</v>
      </c>
      <c r="J289" s="460">
        <f>IF(L288&lt;0.01,0,Adm!$AD$2*1.16)</f>
        <v>0</v>
      </c>
      <c r="K289" s="460">
        <f t="shared" si="55"/>
        <v>0</v>
      </c>
      <c r="L289" s="460">
        <f t="shared" si="56"/>
        <v>0</v>
      </c>
      <c r="M289" s="468"/>
      <c r="T289" s="469">
        <f t="shared" si="57"/>
        <v>4</v>
      </c>
      <c r="U289" s="470">
        <f>IF(T289=1,Adm!$O$2,0)</f>
        <v>0</v>
      </c>
      <c r="Z289" s="477">
        <f t="shared" si="58"/>
        <v>0</v>
      </c>
      <c r="AA289" s="478">
        <f>IF(M288&lt;=0,0,IF($AA$63=$AA$60,0,IF($Z$63=$Z$61,PMT(Adm!$J$2/12,B288,-L288),0)))</f>
        <v>0</v>
      </c>
      <c r="AB289" s="479">
        <f t="shared" si="59"/>
        <v>0</v>
      </c>
      <c r="AC289" s="479"/>
      <c r="AE289" s="473" t="e">
        <f t="shared" si="60"/>
        <v>#N/A</v>
      </c>
      <c r="AF289" s="480" t="e">
        <f t="shared" si="66"/>
        <v>#N/A</v>
      </c>
      <c r="AG289" s="475" t="e">
        <f t="shared" si="61"/>
        <v>#N/A</v>
      </c>
      <c r="AH289" s="476" t="e">
        <f t="shared" si="62"/>
        <v>#N/A</v>
      </c>
      <c r="AI289" s="475" t="e">
        <f t="shared" si="67"/>
        <v>#N/A</v>
      </c>
      <c r="AJ289" s="307" t="e">
        <f t="shared" si="63"/>
        <v>#N/A</v>
      </c>
    </row>
    <row r="290" spans="2:36">
      <c r="B290" s="277">
        <f t="shared" si="51"/>
        <v>0</v>
      </c>
      <c r="C290" s="466">
        <f t="shared" si="52"/>
        <v>0</v>
      </c>
      <c r="D290" s="467">
        <f t="shared" si="64"/>
        <v>0</v>
      </c>
      <c r="E290" s="460">
        <f t="shared" si="53"/>
        <v>0</v>
      </c>
      <c r="F290" s="460">
        <f t="shared" si="54"/>
        <v>0</v>
      </c>
      <c r="G290" s="460">
        <f t="shared" si="65"/>
        <v>0</v>
      </c>
      <c r="H290" s="460">
        <f>IF(L289&lt;0.01,0,IF($H$68="",0,L289*Adm!$V$3))</f>
        <v>0</v>
      </c>
      <c r="I290" s="460">
        <f>IF(L289&lt;0.01,0,IF($I$68="",0,($G$28*0.7*Adm!$W$3)))</f>
        <v>0</v>
      </c>
      <c r="J290" s="460">
        <f>IF(L289&lt;0.01,0,Adm!$AD$2*1.16)</f>
        <v>0</v>
      </c>
      <c r="K290" s="460">
        <f t="shared" si="55"/>
        <v>0</v>
      </c>
      <c r="L290" s="460">
        <f t="shared" si="56"/>
        <v>0</v>
      </c>
      <c r="M290" s="468"/>
      <c r="T290" s="469">
        <f t="shared" si="57"/>
        <v>5</v>
      </c>
      <c r="U290" s="470">
        <f>IF(T290=1,Adm!$O$2,0)</f>
        <v>0</v>
      </c>
      <c r="Z290" s="477">
        <f t="shared" si="58"/>
        <v>0</v>
      </c>
      <c r="AA290" s="478">
        <f>IF(M289&lt;=0,0,IF($AA$63=$AA$60,0,IF($Z$63=$Z$61,PMT(Adm!$J$2/12,B289,-L289),0)))</f>
        <v>0</v>
      </c>
      <c r="AB290" s="479">
        <f t="shared" si="59"/>
        <v>0</v>
      </c>
      <c r="AC290" s="479"/>
      <c r="AE290" s="473" t="e">
        <f t="shared" si="60"/>
        <v>#N/A</v>
      </c>
      <c r="AF290" s="480" t="e">
        <f t="shared" si="66"/>
        <v>#N/A</v>
      </c>
      <c r="AG290" s="475" t="e">
        <f t="shared" si="61"/>
        <v>#N/A</v>
      </c>
      <c r="AH290" s="476" t="e">
        <f t="shared" si="62"/>
        <v>#N/A</v>
      </c>
      <c r="AI290" s="475" t="e">
        <f t="shared" si="67"/>
        <v>#N/A</v>
      </c>
      <c r="AJ290" s="307" t="e">
        <f t="shared" si="63"/>
        <v>#N/A</v>
      </c>
    </row>
    <row r="291" spans="2:36">
      <c r="B291" s="277">
        <f t="shared" si="51"/>
        <v>0</v>
      </c>
      <c r="C291" s="466">
        <f t="shared" si="52"/>
        <v>0</v>
      </c>
      <c r="D291" s="467">
        <f t="shared" si="64"/>
        <v>0</v>
      </c>
      <c r="E291" s="460">
        <f t="shared" si="53"/>
        <v>0</v>
      </c>
      <c r="F291" s="460">
        <f t="shared" si="54"/>
        <v>0</v>
      </c>
      <c r="G291" s="460">
        <f t="shared" si="65"/>
        <v>0</v>
      </c>
      <c r="H291" s="460">
        <f>IF(L290&lt;0.01,0,IF($H$68="",0,L290*Adm!$V$3))</f>
        <v>0</v>
      </c>
      <c r="I291" s="460">
        <f>IF(L290&lt;0.01,0,IF($I$68="",0,($G$28*0.7*Adm!$W$3)))</f>
        <v>0</v>
      </c>
      <c r="J291" s="460">
        <f>IF(L290&lt;0.01,0,Adm!$AD$2*1.16)</f>
        <v>0</v>
      </c>
      <c r="K291" s="460">
        <f t="shared" si="55"/>
        <v>0</v>
      </c>
      <c r="L291" s="460">
        <f t="shared" si="56"/>
        <v>0</v>
      </c>
      <c r="M291" s="468"/>
      <c r="T291" s="469">
        <f t="shared" si="57"/>
        <v>6</v>
      </c>
      <c r="U291" s="470">
        <f>IF(T291=1,Adm!$O$2,0)</f>
        <v>0</v>
      </c>
      <c r="Z291" s="477">
        <f t="shared" si="58"/>
        <v>0</v>
      </c>
      <c r="AA291" s="478">
        <f>IF(M290&lt;=0,0,IF($AA$63=$AA$60,0,IF($Z$63=$Z$61,PMT(Adm!$J$2/12,B290,-L290),0)))</f>
        <v>0</v>
      </c>
      <c r="AB291" s="479">
        <f t="shared" si="59"/>
        <v>0</v>
      </c>
      <c r="AC291" s="479"/>
      <c r="AE291" s="473" t="e">
        <f t="shared" si="60"/>
        <v>#N/A</v>
      </c>
      <c r="AF291" s="480" t="e">
        <f t="shared" si="66"/>
        <v>#N/A</v>
      </c>
      <c r="AG291" s="475" t="e">
        <f t="shared" si="61"/>
        <v>#N/A</v>
      </c>
      <c r="AH291" s="476" t="e">
        <f t="shared" si="62"/>
        <v>#N/A</v>
      </c>
      <c r="AI291" s="475" t="e">
        <f t="shared" si="67"/>
        <v>#N/A</v>
      </c>
      <c r="AJ291" s="307" t="e">
        <f t="shared" si="63"/>
        <v>#N/A</v>
      </c>
    </row>
    <row r="292" spans="2:36">
      <c r="B292" s="277">
        <f t="shared" si="51"/>
        <v>0</v>
      </c>
      <c r="C292" s="466">
        <f t="shared" si="52"/>
        <v>0</v>
      </c>
      <c r="D292" s="467">
        <f t="shared" si="64"/>
        <v>0</v>
      </c>
      <c r="E292" s="460">
        <f t="shared" si="53"/>
        <v>0</v>
      </c>
      <c r="F292" s="460">
        <f t="shared" si="54"/>
        <v>0</v>
      </c>
      <c r="G292" s="460">
        <f t="shared" si="65"/>
        <v>0</v>
      </c>
      <c r="H292" s="460">
        <f>IF(L291&lt;0.01,0,IF($H$68="",0,L291*Adm!$V$3))</f>
        <v>0</v>
      </c>
      <c r="I292" s="460">
        <f>IF(L291&lt;0.01,0,IF($I$68="",0,($G$28*0.7*Adm!$W$3)))</f>
        <v>0</v>
      </c>
      <c r="J292" s="460">
        <f>IF(L291&lt;0.01,0,Adm!$AD$2*1.16)</f>
        <v>0</v>
      </c>
      <c r="K292" s="460">
        <f t="shared" si="55"/>
        <v>0</v>
      </c>
      <c r="L292" s="460">
        <f t="shared" si="56"/>
        <v>0</v>
      </c>
      <c r="M292" s="468"/>
      <c r="T292" s="469">
        <f t="shared" si="57"/>
        <v>7</v>
      </c>
      <c r="U292" s="470">
        <f>IF(T292=1,Adm!$O$2,0)</f>
        <v>0</v>
      </c>
      <c r="Z292" s="477">
        <f t="shared" si="58"/>
        <v>0</v>
      </c>
      <c r="AA292" s="478">
        <f>IF(M291&lt;=0,0,IF($AA$63=$AA$60,0,IF($Z$63=$Z$61,PMT(Adm!$J$2/12,B291,-L291),0)))</f>
        <v>0</v>
      </c>
      <c r="AB292" s="479">
        <f t="shared" si="59"/>
        <v>0</v>
      </c>
      <c r="AC292" s="479"/>
      <c r="AE292" s="473" t="e">
        <f t="shared" si="60"/>
        <v>#N/A</v>
      </c>
      <c r="AF292" s="480" t="e">
        <f t="shared" si="66"/>
        <v>#N/A</v>
      </c>
      <c r="AG292" s="475" t="e">
        <f t="shared" si="61"/>
        <v>#N/A</v>
      </c>
      <c r="AH292" s="476" t="e">
        <f t="shared" si="62"/>
        <v>#N/A</v>
      </c>
      <c r="AI292" s="475" t="e">
        <f t="shared" si="67"/>
        <v>#N/A</v>
      </c>
      <c r="AJ292" s="307" t="e">
        <f t="shared" si="63"/>
        <v>#N/A</v>
      </c>
    </row>
    <row r="293" spans="2:36">
      <c r="B293" s="277">
        <f t="shared" si="51"/>
        <v>0</v>
      </c>
      <c r="C293" s="466">
        <f t="shared" si="52"/>
        <v>0</v>
      </c>
      <c r="D293" s="467">
        <f t="shared" si="64"/>
        <v>0</v>
      </c>
      <c r="E293" s="460">
        <f t="shared" si="53"/>
        <v>0</v>
      </c>
      <c r="F293" s="460">
        <f t="shared" si="54"/>
        <v>0</v>
      </c>
      <c r="G293" s="460">
        <f t="shared" si="65"/>
        <v>0</v>
      </c>
      <c r="H293" s="460">
        <f>IF(L292&lt;0.01,0,IF($H$68="",0,L292*Adm!$V$3))</f>
        <v>0</v>
      </c>
      <c r="I293" s="460">
        <f>IF(L292&lt;0.01,0,IF($I$68="",0,($G$28*0.7*Adm!$W$3)))</f>
        <v>0</v>
      </c>
      <c r="J293" s="460">
        <f>IF(L292&lt;0.01,0,Adm!$AD$2*1.16)</f>
        <v>0</v>
      </c>
      <c r="K293" s="460">
        <f t="shared" si="55"/>
        <v>0</v>
      </c>
      <c r="L293" s="460">
        <f t="shared" si="56"/>
        <v>0</v>
      </c>
      <c r="M293" s="468"/>
      <c r="T293" s="469">
        <f t="shared" si="57"/>
        <v>8</v>
      </c>
      <c r="U293" s="470">
        <f>IF(T293=1,Adm!$O$2,0)</f>
        <v>0</v>
      </c>
      <c r="Z293" s="477">
        <f t="shared" si="58"/>
        <v>0</v>
      </c>
      <c r="AA293" s="478">
        <f>IF(M292&lt;=0,0,IF($AA$63=$AA$60,0,IF($Z$63=$Z$61,PMT(Adm!$J$2/12,B292,-L292),0)))</f>
        <v>0</v>
      </c>
      <c r="AB293" s="479">
        <f t="shared" si="59"/>
        <v>0</v>
      </c>
      <c r="AC293" s="479"/>
      <c r="AE293" s="473" t="e">
        <f t="shared" si="60"/>
        <v>#N/A</v>
      </c>
      <c r="AF293" s="480" t="e">
        <f t="shared" si="66"/>
        <v>#N/A</v>
      </c>
      <c r="AG293" s="475" t="e">
        <f t="shared" si="61"/>
        <v>#N/A</v>
      </c>
      <c r="AH293" s="476" t="e">
        <f t="shared" si="62"/>
        <v>#N/A</v>
      </c>
      <c r="AI293" s="475" t="e">
        <f t="shared" si="67"/>
        <v>#N/A</v>
      </c>
      <c r="AJ293" s="307" t="e">
        <f t="shared" si="63"/>
        <v>#N/A</v>
      </c>
    </row>
    <row r="294" spans="2:36">
      <c r="B294" s="277">
        <f t="shared" si="51"/>
        <v>0</v>
      </c>
      <c r="C294" s="466">
        <f t="shared" si="52"/>
        <v>0</v>
      </c>
      <c r="D294" s="467">
        <f t="shared" si="64"/>
        <v>0</v>
      </c>
      <c r="E294" s="460">
        <f t="shared" si="53"/>
        <v>0</v>
      </c>
      <c r="F294" s="460">
        <f t="shared" si="54"/>
        <v>0</v>
      </c>
      <c r="G294" s="460">
        <f t="shared" si="65"/>
        <v>0</v>
      </c>
      <c r="H294" s="460">
        <f>IF(L293&lt;0.01,0,IF($H$68="",0,L293*Adm!$V$3))</f>
        <v>0</v>
      </c>
      <c r="I294" s="460">
        <f>IF(L293&lt;0.01,0,IF($I$68="",0,($G$28*0.7*Adm!$W$3)))</f>
        <v>0</v>
      </c>
      <c r="J294" s="460">
        <f>IF(L293&lt;0.01,0,Adm!$AD$2*1.16)</f>
        <v>0</v>
      </c>
      <c r="K294" s="460">
        <f t="shared" si="55"/>
        <v>0</v>
      </c>
      <c r="L294" s="460">
        <f t="shared" si="56"/>
        <v>0</v>
      </c>
      <c r="M294" s="468"/>
      <c r="T294" s="469">
        <f t="shared" si="57"/>
        <v>9</v>
      </c>
      <c r="U294" s="470">
        <f>IF(T294=1,Adm!$O$2,0)</f>
        <v>0</v>
      </c>
      <c r="Z294" s="477">
        <f t="shared" si="58"/>
        <v>0</v>
      </c>
      <c r="AA294" s="478">
        <f>IF(M293&lt;=0,0,IF($AA$63=$AA$60,0,IF($Z$63=$Z$61,PMT(Adm!$J$2/12,B293,-L293),0)))</f>
        <v>0</v>
      </c>
      <c r="AB294" s="479">
        <f t="shared" si="59"/>
        <v>0</v>
      </c>
      <c r="AC294" s="479"/>
      <c r="AE294" s="473" t="e">
        <f t="shared" si="60"/>
        <v>#N/A</v>
      </c>
      <c r="AF294" s="480" t="e">
        <f t="shared" si="66"/>
        <v>#N/A</v>
      </c>
      <c r="AG294" s="475" t="e">
        <f t="shared" si="61"/>
        <v>#N/A</v>
      </c>
      <c r="AH294" s="476" t="e">
        <f t="shared" si="62"/>
        <v>#N/A</v>
      </c>
      <c r="AI294" s="475" t="e">
        <f t="shared" si="67"/>
        <v>#N/A</v>
      </c>
      <c r="AJ294" s="307" t="e">
        <f t="shared" si="63"/>
        <v>#N/A</v>
      </c>
    </row>
    <row r="295" spans="2:36">
      <c r="B295" s="277">
        <f t="shared" si="51"/>
        <v>0</v>
      </c>
      <c r="C295" s="466">
        <f t="shared" si="52"/>
        <v>0</v>
      </c>
      <c r="D295" s="467">
        <f t="shared" si="64"/>
        <v>0</v>
      </c>
      <c r="E295" s="460">
        <f t="shared" si="53"/>
        <v>0</v>
      </c>
      <c r="F295" s="460">
        <f t="shared" si="54"/>
        <v>0</v>
      </c>
      <c r="G295" s="460">
        <f t="shared" si="65"/>
        <v>0</v>
      </c>
      <c r="H295" s="460">
        <f>IF(L294&lt;0.01,0,IF($H$68="",0,L294*Adm!$V$3))</f>
        <v>0</v>
      </c>
      <c r="I295" s="460">
        <f>IF(L294&lt;0.01,0,IF($I$68="",0,($G$28*0.7*Adm!$W$3)))</f>
        <v>0</v>
      </c>
      <c r="J295" s="460">
        <f>IF(L294&lt;0.01,0,Adm!$AD$2*1.16)</f>
        <v>0</v>
      </c>
      <c r="K295" s="460">
        <f t="shared" si="55"/>
        <v>0</v>
      </c>
      <c r="L295" s="460">
        <f t="shared" si="56"/>
        <v>0</v>
      </c>
      <c r="M295" s="468"/>
      <c r="T295" s="469">
        <f t="shared" si="57"/>
        <v>10</v>
      </c>
      <c r="U295" s="470">
        <f>IF(T295=1,Adm!$O$2,0)</f>
        <v>0</v>
      </c>
      <c r="Z295" s="477">
        <f t="shared" si="58"/>
        <v>0</v>
      </c>
      <c r="AA295" s="478">
        <f>IF(M294&lt;=0,0,IF($AA$63=$AA$60,0,IF($Z$63=$Z$61,PMT(Adm!$J$2/12,B294,-L294),0)))</f>
        <v>0</v>
      </c>
      <c r="AB295" s="479">
        <f t="shared" si="59"/>
        <v>0</v>
      </c>
      <c r="AC295" s="479"/>
      <c r="AE295" s="473" t="e">
        <f t="shared" si="60"/>
        <v>#N/A</v>
      </c>
      <c r="AF295" s="480" t="e">
        <f t="shared" si="66"/>
        <v>#N/A</v>
      </c>
      <c r="AG295" s="475" t="e">
        <f t="shared" si="61"/>
        <v>#N/A</v>
      </c>
      <c r="AH295" s="476" t="e">
        <f t="shared" si="62"/>
        <v>#N/A</v>
      </c>
      <c r="AI295" s="475" t="e">
        <f t="shared" si="67"/>
        <v>#N/A</v>
      </c>
      <c r="AJ295" s="307" t="e">
        <f t="shared" si="63"/>
        <v>#N/A</v>
      </c>
    </row>
    <row r="296" spans="2:36">
      <c r="B296" s="277">
        <f t="shared" si="51"/>
        <v>0</v>
      </c>
      <c r="C296" s="466">
        <f t="shared" si="52"/>
        <v>0</v>
      </c>
      <c r="D296" s="467">
        <f t="shared" si="64"/>
        <v>0</v>
      </c>
      <c r="E296" s="460">
        <f t="shared" si="53"/>
        <v>0</v>
      </c>
      <c r="F296" s="460">
        <f t="shared" si="54"/>
        <v>0</v>
      </c>
      <c r="G296" s="460">
        <f t="shared" si="65"/>
        <v>0</v>
      </c>
      <c r="H296" s="460">
        <f>IF(L295&lt;0.01,0,IF($H$68="",0,L295*Adm!$V$3))</f>
        <v>0</v>
      </c>
      <c r="I296" s="460">
        <f>IF(L295&lt;0.01,0,IF($I$68="",0,($G$28*0.7*Adm!$W$3)))</f>
        <v>0</v>
      </c>
      <c r="J296" s="460">
        <f>IF(L295&lt;0.01,0,Adm!$AD$2*1.16)</f>
        <v>0</v>
      </c>
      <c r="K296" s="460">
        <f t="shared" si="55"/>
        <v>0</v>
      </c>
      <c r="L296" s="460">
        <f t="shared" si="56"/>
        <v>0</v>
      </c>
      <c r="M296" s="468"/>
      <c r="T296" s="469">
        <f t="shared" si="57"/>
        <v>11</v>
      </c>
      <c r="U296" s="470">
        <f>IF(T296=1,Adm!$O$2,0)</f>
        <v>0</v>
      </c>
      <c r="Z296" s="477">
        <f t="shared" si="58"/>
        <v>0</v>
      </c>
      <c r="AA296" s="478">
        <f>IF(M295&lt;=0,0,IF($AA$63=$AA$60,0,IF($Z$63=$Z$61,PMT(Adm!$J$2/12,B295,-L295),0)))</f>
        <v>0</v>
      </c>
      <c r="AB296" s="479">
        <f t="shared" si="59"/>
        <v>0</v>
      </c>
      <c r="AC296" s="479"/>
      <c r="AE296" s="473" t="e">
        <f t="shared" si="60"/>
        <v>#N/A</v>
      </c>
      <c r="AF296" s="480" t="e">
        <f t="shared" si="66"/>
        <v>#N/A</v>
      </c>
      <c r="AG296" s="475" t="e">
        <f t="shared" si="61"/>
        <v>#N/A</v>
      </c>
      <c r="AH296" s="476" t="e">
        <f t="shared" si="62"/>
        <v>#N/A</v>
      </c>
      <c r="AI296" s="475" t="e">
        <f t="shared" si="67"/>
        <v>#N/A</v>
      </c>
      <c r="AJ296" s="307" t="e">
        <f t="shared" si="63"/>
        <v>#N/A</v>
      </c>
    </row>
    <row r="297" spans="2:36">
      <c r="B297" s="277">
        <f t="shared" si="51"/>
        <v>0</v>
      </c>
      <c r="C297" s="466">
        <f t="shared" si="52"/>
        <v>0</v>
      </c>
      <c r="D297" s="467">
        <f t="shared" si="64"/>
        <v>0</v>
      </c>
      <c r="E297" s="460">
        <f t="shared" si="53"/>
        <v>0</v>
      </c>
      <c r="F297" s="460">
        <f t="shared" si="54"/>
        <v>0</v>
      </c>
      <c r="G297" s="460">
        <f t="shared" si="65"/>
        <v>0</v>
      </c>
      <c r="H297" s="460">
        <f>IF(L296&lt;0.01,0,IF($H$68="",0,L296*Adm!$V$3))</f>
        <v>0</v>
      </c>
      <c r="I297" s="460">
        <f>IF(L296&lt;0.01,0,IF($I$68="",0,($G$28*0.7*Adm!$W$3)))</f>
        <v>0</v>
      </c>
      <c r="J297" s="460">
        <f>IF(L296&lt;0.01,0,Adm!$AD$2*1.16)</f>
        <v>0</v>
      </c>
      <c r="K297" s="460">
        <f t="shared" si="55"/>
        <v>0</v>
      </c>
      <c r="L297" s="460">
        <f t="shared" si="56"/>
        <v>0</v>
      </c>
      <c r="M297" s="468"/>
      <c r="T297" s="469">
        <f t="shared" si="57"/>
        <v>12</v>
      </c>
      <c r="U297" s="470">
        <f>IF(T297=1,Adm!$O$2,0)</f>
        <v>0</v>
      </c>
      <c r="Z297" s="477">
        <f t="shared" si="58"/>
        <v>0</v>
      </c>
      <c r="AA297" s="478">
        <f>IF(M296&lt;=0,0,IF($AA$63=$AA$60,0,IF($Z$63=$Z$61,PMT(Adm!$J$2/12,B296,-L296),0)))</f>
        <v>0</v>
      </c>
      <c r="AB297" s="479">
        <f t="shared" si="59"/>
        <v>0</v>
      </c>
      <c r="AC297" s="479"/>
      <c r="AE297" s="473" t="e">
        <f t="shared" si="60"/>
        <v>#N/A</v>
      </c>
      <c r="AF297" s="480" t="e">
        <f t="shared" si="66"/>
        <v>#N/A</v>
      </c>
      <c r="AG297" s="475" t="e">
        <f t="shared" si="61"/>
        <v>#N/A</v>
      </c>
      <c r="AH297" s="476" t="e">
        <f t="shared" si="62"/>
        <v>#N/A</v>
      </c>
      <c r="AI297" s="475" t="e">
        <f t="shared" si="67"/>
        <v>#N/A</v>
      </c>
      <c r="AJ297" s="307" t="e">
        <f t="shared" si="63"/>
        <v>#N/A</v>
      </c>
    </row>
    <row r="298" spans="2:36">
      <c r="B298" s="277">
        <f t="shared" si="51"/>
        <v>0</v>
      </c>
      <c r="C298" s="466">
        <f t="shared" si="52"/>
        <v>0</v>
      </c>
      <c r="D298" s="467">
        <f t="shared" si="64"/>
        <v>0</v>
      </c>
      <c r="E298" s="460">
        <f t="shared" si="53"/>
        <v>0</v>
      </c>
      <c r="F298" s="460">
        <f t="shared" si="54"/>
        <v>0</v>
      </c>
      <c r="G298" s="460">
        <f t="shared" si="65"/>
        <v>0</v>
      </c>
      <c r="H298" s="460">
        <f>IF(L297&lt;0.01,0,IF($H$68="",0,L297*Adm!$V$3))</f>
        <v>0</v>
      </c>
      <c r="I298" s="460">
        <f>IF(L297&lt;0.01,0,IF($I$68="",0,($G$28*0.7*Adm!$W$3)))</f>
        <v>0</v>
      </c>
      <c r="J298" s="460">
        <f>IF(L297&lt;0.01,0,Adm!$AD$2*1.16)</f>
        <v>0</v>
      </c>
      <c r="K298" s="460">
        <f t="shared" si="55"/>
        <v>0</v>
      </c>
      <c r="L298" s="460">
        <f t="shared" si="56"/>
        <v>0</v>
      </c>
      <c r="M298" s="468"/>
      <c r="T298" s="469">
        <f t="shared" si="57"/>
        <v>1</v>
      </c>
      <c r="U298" s="470">
        <f>IF(T298=1,Adm!$O$2,0)</f>
        <v>0</v>
      </c>
      <c r="Z298" s="477">
        <f t="shared" si="58"/>
        <v>0</v>
      </c>
      <c r="AA298" s="478">
        <f>IF(M297&lt;=0,0,IF($AA$63=$AA$60,0,IF($Z$63=$Z$61,PMT(Adm!$J$2/12,B297,-L297),0)))</f>
        <v>0</v>
      </c>
      <c r="AB298" s="479">
        <f t="shared" si="59"/>
        <v>0</v>
      </c>
      <c r="AC298" s="479"/>
      <c r="AE298" s="473" t="e">
        <f t="shared" si="60"/>
        <v>#N/A</v>
      </c>
      <c r="AF298" s="480" t="e">
        <f t="shared" si="66"/>
        <v>#N/A</v>
      </c>
      <c r="AG298" s="475" t="e">
        <f t="shared" si="61"/>
        <v>#N/A</v>
      </c>
      <c r="AH298" s="476" t="e">
        <f t="shared" si="62"/>
        <v>#N/A</v>
      </c>
      <c r="AI298" s="481" t="e">
        <f>MIN(AJ297+AG298,AI297*(1+$AG$65))</f>
        <v>#N/A</v>
      </c>
      <c r="AJ298" s="307" t="e">
        <f t="shared" si="63"/>
        <v>#N/A</v>
      </c>
    </row>
    <row r="299" spans="2:36">
      <c r="B299" s="277">
        <f t="shared" ref="B299:B322" si="68">IF(L298&gt;0,B298-1,0)</f>
        <v>0</v>
      </c>
      <c r="C299" s="466">
        <f t="shared" si="52"/>
        <v>0</v>
      </c>
      <c r="D299" s="467">
        <f t="shared" si="64"/>
        <v>0</v>
      </c>
      <c r="E299" s="460">
        <f t="shared" si="53"/>
        <v>0</v>
      </c>
      <c r="F299" s="460">
        <f t="shared" si="54"/>
        <v>0</v>
      </c>
      <c r="G299" s="460">
        <f t="shared" si="65"/>
        <v>0</v>
      </c>
      <c r="H299" s="460">
        <f>IF(L298&lt;0.01,0,IF($H$68="",0,L298*Adm!$V$3))</f>
        <v>0</v>
      </c>
      <c r="I299" s="460">
        <f>IF(L298&lt;0.01,0,IF($I$68="",0,($G$28*0.7*Adm!$W$3)))</f>
        <v>0</v>
      </c>
      <c r="J299" s="460">
        <f>IF(L298&lt;0.01,0,Adm!$AD$2*1.16)</f>
        <v>0</v>
      </c>
      <c r="K299" s="460">
        <f t="shared" ref="K299:K322" si="69">IF(L298&lt;0.01,0,(G299+H299+I299+J299))</f>
        <v>0</v>
      </c>
      <c r="L299" s="460">
        <f t="shared" ref="L299:L322" si="70">IF(L298&lt;0.01,0,(L298-F299-M299))</f>
        <v>0</v>
      </c>
      <c r="M299" s="468"/>
      <c r="T299" s="469">
        <f t="shared" si="57"/>
        <v>2</v>
      </c>
      <c r="U299" s="470">
        <f>IF(T299=1,Adm!$O$2,0)</f>
        <v>0</v>
      </c>
      <c r="Z299" s="477">
        <f t="shared" si="58"/>
        <v>0</v>
      </c>
      <c r="AA299" s="478">
        <f>IF(M298&lt;=0,0,IF($AA$63=$AA$60,0,IF($Z$63=$Z$61,PMT(Adm!$J$2/12,B298,-L298),0)))</f>
        <v>0</v>
      </c>
      <c r="AB299" s="479">
        <f t="shared" si="59"/>
        <v>0</v>
      </c>
      <c r="AC299" s="479"/>
      <c r="AE299" s="473" t="e">
        <f t="shared" si="60"/>
        <v>#N/A</v>
      </c>
      <c r="AF299" s="480" t="e">
        <f t="shared" si="66"/>
        <v>#N/A</v>
      </c>
      <c r="AG299" s="475" t="e">
        <f t="shared" si="61"/>
        <v>#N/A</v>
      </c>
      <c r="AH299" s="476" t="e">
        <f t="shared" si="62"/>
        <v>#N/A</v>
      </c>
      <c r="AI299" s="475" t="e">
        <f t="shared" si="67"/>
        <v>#N/A</v>
      </c>
      <c r="AJ299" s="307" t="e">
        <f t="shared" si="63"/>
        <v>#N/A</v>
      </c>
    </row>
    <row r="300" spans="2:36">
      <c r="B300" s="277">
        <f t="shared" si="68"/>
        <v>0</v>
      </c>
      <c r="C300" s="466">
        <f t="shared" si="52"/>
        <v>0</v>
      </c>
      <c r="D300" s="467">
        <f t="shared" si="64"/>
        <v>0</v>
      </c>
      <c r="E300" s="460">
        <f t="shared" si="53"/>
        <v>0</v>
      </c>
      <c r="F300" s="460">
        <f t="shared" si="54"/>
        <v>0</v>
      </c>
      <c r="G300" s="460">
        <f t="shared" si="65"/>
        <v>0</v>
      </c>
      <c r="H300" s="460">
        <f>IF(L299&lt;0.01,0,IF($H$68="",0,L299*Adm!$V$3))</f>
        <v>0</v>
      </c>
      <c r="I300" s="460">
        <f>IF(L299&lt;0.01,0,IF($I$68="",0,($G$28*0.7*Adm!$W$3)))</f>
        <v>0</v>
      </c>
      <c r="J300" s="460">
        <f>IF(L299&lt;0.01,0,Adm!$AD$2*1.16)</f>
        <v>0</v>
      </c>
      <c r="K300" s="460">
        <f t="shared" si="69"/>
        <v>0</v>
      </c>
      <c r="L300" s="460">
        <f t="shared" si="70"/>
        <v>0</v>
      </c>
      <c r="M300" s="468"/>
      <c r="T300" s="469">
        <f t="shared" si="57"/>
        <v>3</v>
      </c>
      <c r="U300" s="470">
        <f>IF(T300=1,Adm!$O$2,0)</f>
        <v>0</v>
      </c>
      <c r="Z300" s="477">
        <f t="shared" si="58"/>
        <v>0</v>
      </c>
      <c r="AA300" s="478">
        <f>IF(M299&lt;=0,0,IF($AA$63=$AA$60,0,IF($Z$63=$Z$61,PMT(Adm!$J$2/12,B299,-L299),0)))</f>
        <v>0</v>
      </c>
      <c r="AB300" s="479">
        <f t="shared" si="59"/>
        <v>0</v>
      </c>
      <c r="AC300" s="479"/>
      <c r="AE300" s="473" t="e">
        <f t="shared" si="60"/>
        <v>#N/A</v>
      </c>
      <c r="AF300" s="480" t="e">
        <f t="shared" si="66"/>
        <v>#N/A</v>
      </c>
      <c r="AG300" s="475" t="e">
        <f t="shared" si="61"/>
        <v>#N/A</v>
      </c>
      <c r="AH300" s="476" t="e">
        <f t="shared" si="62"/>
        <v>#N/A</v>
      </c>
      <c r="AI300" s="475" t="e">
        <f t="shared" si="67"/>
        <v>#N/A</v>
      </c>
      <c r="AJ300" s="307" t="e">
        <f t="shared" si="63"/>
        <v>#N/A</v>
      </c>
    </row>
    <row r="301" spans="2:36">
      <c r="B301" s="277">
        <f t="shared" si="68"/>
        <v>0</v>
      </c>
      <c r="C301" s="466">
        <f t="shared" si="52"/>
        <v>0</v>
      </c>
      <c r="D301" s="467">
        <f t="shared" si="64"/>
        <v>0</v>
      </c>
      <c r="E301" s="460">
        <f t="shared" si="53"/>
        <v>0</v>
      </c>
      <c r="F301" s="460">
        <f t="shared" si="54"/>
        <v>0</v>
      </c>
      <c r="G301" s="460">
        <f t="shared" si="65"/>
        <v>0</v>
      </c>
      <c r="H301" s="460">
        <f>IF(L300&lt;0.01,0,IF($H$68="",0,L300*Adm!$V$3))</f>
        <v>0</v>
      </c>
      <c r="I301" s="460">
        <f>IF(L300&lt;0.01,0,IF($I$68="",0,($G$28*0.7*Adm!$W$3)))</f>
        <v>0</v>
      </c>
      <c r="J301" s="460">
        <f>IF(L300&lt;0.01,0,Adm!$AD$2*1.16)</f>
        <v>0</v>
      </c>
      <c r="K301" s="460">
        <f t="shared" si="69"/>
        <v>0</v>
      </c>
      <c r="L301" s="460">
        <f t="shared" si="70"/>
        <v>0</v>
      </c>
      <c r="M301" s="468"/>
      <c r="T301" s="469">
        <f t="shared" si="57"/>
        <v>4</v>
      </c>
      <c r="U301" s="470">
        <f>IF(T301=1,Adm!$O$2,0)</f>
        <v>0</v>
      </c>
      <c r="Z301" s="477">
        <f t="shared" si="58"/>
        <v>0</v>
      </c>
      <c r="AA301" s="478">
        <f>IF(M300&lt;=0,0,IF($AA$63=$AA$60,0,IF($Z$63=$Z$61,PMT(Adm!$J$2/12,B300,-L300),0)))</f>
        <v>0</v>
      </c>
      <c r="AB301" s="479">
        <f t="shared" si="59"/>
        <v>0</v>
      </c>
      <c r="AC301" s="479"/>
      <c r="AE301" s="473" t="e">
        <f t="shared" si="60"/>
        <v>#N/A</v>
      </c>
      <c r="AF301" s="480" t="e">
        <f t="shared" si="66"/>
        <v>#N/A</v>
      </c>
      <c r="AG301" s="475" t="e">
        <f t="shared" si="61"/>
        <v>#N/A</v>
      </c>
      <c r="AH301" s="476" t="e">
        <f t="shared" si="62"/>
        <v>#N/A</v>
      </c>
      <c r="AI301" s="475" t="e">
        <f t="shared" si="67"/>
        <v>#N/A</v>
      </c>
      <c r="AJ301" s="307" t="e">
        <f t="shared" si="63"/>
        <v>#N/A</v>
      </c>
    </row>
    <row r="302" spans="2:36">
      <c r="B302" s="277">
        <f t="shared" si="68"/>
        <v>0</v>
      </c>
      <c r="C302" s="466">
        <f t="shared" si="52"/>
        <v>0</v>
      </c>
      <c r="D302" s="467">
        <f t="shared" si="64"/>
        <v>0</v>
      </c>
      <c r="E302" s="460">
        <f t="shared" si="53"/>
        <v>0</v>
      </c>
      <c r="F302" s="460">
        <f t="shared" si="54"/>
        <v>0</v>
      </c>
      <c r="G302" s="460">
        <f t="shared" si="65"/>
        <v>0</v>
      </c>
      <c r="H302" s="460">
        <f>IF(L301&lt;0.01,0,IF($H$68="",0,L301*Adm!$V$3))</f>
        <v>0</v>
      </c>
      <c r="I302" s="460">
        <f>IF(L301&lt;0.01,0,IF($I$68="",0,($G$28*0.7*Adm!$W$3)))</f>
        <v>0</v>
      </c>
      <c r="J302" s="460">
        <f>IF(L301&lt;0.01,0,Adm!$AD$2*1.16)</f>
        <v>0</v>
      </c>
      <c r="K302" s="460">
        <f t="shared" si="69"/>
        <v>0</v>
      </c>
      <c r="L302" s="460">
        <f t="shared" si="70"/>
        <v>0</v>
      </c>
      <c r="M302" s="468"/>
      <c r="T302" s="469">
        <f t="shared" si="57"/>
        <v>5</v>
      </c>
      <c r="U302" s="470">
        <f>IF(T302=1,Adm!$O$2,0)</f>
        <v>0</v>
      </c>
      <c r="Z302" s="477">
        <f t="shared" si="58"/>
        <v>0</v>
      </c>
      <c r="AA302" s="478">
        <f>IF(M301&lt;=0,0,IF($AA$63=$AA$60,0,IF($Z$63=$Z$61,PMT(Adm!$J$2/12,B301,-L301),0)))</f>
        <v>0</v>
      </c>
      <c r="AB302" s="479">
        <f t="shared" si="59"/>
        <v>0</v>
      </c>
      <c r="AC302" s="479"/>
      <c r="AE302" s="473" t="e">
        <f t="shared" si="60"/>
        <v>#N/A</v>
      </c>
      <c r="AF302" s="480" t="e">
        <f t="shared" si="66"/>
        <v>#N/A</v>
      </c>
      <c r="AG302" s="475" t="e">
        <f t="shared" si="61"/>
        <v>#N/A</v>
      </c>
      <c r="AH302" s="476" t="e">
        <f t="shared" si="62"/>
        <v>#N/A</v>
      </c>
      <c r="AI302" s="475" t="e">
        <f t="shared" si="67"/>
        <v>#N/A</v>
      </c>
      <c r="AJ302" s="307" t="e">
        <f t="shared" si="63"/>
        <v>#N/A</v>
      </c>
    </row>
    <row r="303" spans="2:36">
      <c r="B303" s="277">
        <f t="shared" si="68"/>
        <v>0</v>
      </c>
      <c r="C303" s="466">
        <f t="shared" si="52"/>
        <v>0</v>
      </c>
      <c r="D303" s="467">
        <f t="shared" si="64"/>
        <v>0</v>
      </c>
      <c r="E303" s="460">
        <f t="shared" si="53"/>
        <v>0</v>
      </c>
      <c r="F303" s="460">
        <f t="shared" si="54"/>
        <v>0</v>
      </c>
      <c r="G303" s="460">
        <f t="shared" si="65"/>
        <v>0</v>
      </c>
      <c r="H303" s="460">
        <f>IF(L302&lt;0.01,0,IF($H$68="",0,L302*Adm!$V$3))</f>
        <v>0</v>
      </c>
      <c r="I303" s="460">
        <f>IF(L302&lt;0.01,0,IF($I$68="",0,($G$28*0.7*Adm!$W$3)))</f>
        <v>0</v>
      </c>
      <c r="J303" s="460">
        <f>IF(L302&lt;0.01,0,Adm!$AD$2*1.16)</f>
        <v>0</v>
      </c>
      <c r="K303" s="460">
        <f t="shared" si="69"/>
        <v>0</v>
      </c>
      <c r="L303" s="460">
        <f t="shared" si="70"/>
        <v>0</v>
      </c>
      <c r="M303" s="468"/>
      <c r="T303" s="469">
        <f t="shared" si="57"/>
        <v>6</v>
      </c>
      <c r="U303" s="470">
        <f>IF(T303=1,Adm!$O$2,0)</f>
        <v>0</v>
      </c>
      <c r="Z303" s="477">
        <f t="shared" si="58"/>
        <v>0</v>
      </c>
      <c r="AA303" s="478">
        <f>IF(M302&lt;=0,0,IF($AA$63=$AA$60,0,IF($Z$63=$Z$61,PMT(Adm!$J$2/12,B302,-L302),0)))</f>
        <v>0</v>
      </c>
      <c r="AB303" s="479">
        <f t="shared" si="59"/>
        <v>0</v>
      </c>
      <c r="AC303" s="479"/>
      <c r="AE303" s="473" t="e">
        <f t="shared" si="60"/>
        <v>#N/A</v>
      </c>
      <c r="AF303" s="480" t="e">
        <f t="shared" si="66"/>
        <v>#N/A</v>
      </c>
      <c r="AG303" s="475" t="e">
        <f t="shared" si="61"/>
        <v>#N/A</v>
      </c>
      <c r="AH303" s="476" t="e">
        <f t="shared" si="62"/>
        <v>#N/A</v>
      </c>
      <c r="AI303" s="475" t="e">
        <f t="shared" si="67"/>
        <v>#N/A</v>
      </c>
      <c r="AJ303" s="307" t="e">
        <f t="shared" si="63"/>
        <v>#N/A</v>
      </c>
    </row>
    <row r="304" spans="2:36">
      <c r="B304" s="277">
        <f t="shared" si="68"/>
        <v>0</v>
      </c>
      <c r="C304" s="466">
        <f t="shared" si="52"/>
        <v>0</v>
      </c>
      <c r="D304" s="467">
        <f t="shared" si="64"/>
        <v>0</v>
      </c>
      <c r="E304" s="460">
        <f t="shared" si="53"/>
        <v>0</v>
      </c>
      <c r="F304" s="460">
        <f t="shared" si="54"/>
        <v>0</v>
      </c>
      <c r="G304" s="460">
        <f t="shared" si="65"/>
        <v>0</v>
      </c>
      <c r="H304" s="460">
        <f>IF(L303&lt;0.01,0,IF($H$68="",0,L303*Adm!$V$3))</f>
        <v>0</v>
      </c>
      <c r="I304" s="460">
        <f>IF(L303&lt;0.01,0,IF($I$68="",0,($G$28*0.7*Adm!$W$3)))</f>
        <v>0</v>
      </c>
      <c r="J304" s="460">
        <f>IF(L303&lt;0.01,0,Adm!$AD$2*1.16)</f>
        <v>0</v>
      </c>
      <c r="K304" s="460">
        <f t="shared" si="69"/>
        <v>0</v>
      </c>
      <c r="L304" s="460">
        <f t="shared" si="70"/>
        <v>0</v>
      </c>
      <c r="M304" s="468"/>
      <c r="T304" s="469">
        <f t="shared" si="57"/>
        <v>7</v>
      </c>
      <c r="U304" s="470">
        <f>IF(T304=1,Adm!$O$2,0)</f>
        <v>0</v>
      </c>
      <c r="Z304" s="477">
        <f t="shared" si="58"/>
        <v>0</v>
      </c>
      <c r="AA304" s="478">
        <f>IF(M303&lt;=0,0,IF($AA$63=$AA$60,0,IF($Z$63=$Z$61,PMT(Adm!$J$2/12,B303,-L303),0)))</f>
        <v>0</v>
      </c>
      <c r="AB304" s="479">
        <f t="shared" si="59"/>
        <v>0</v>
      </c>
      <c r="AC304" s="479"/>
      <c r="AE304" s="473" t="e">
        <f t="shared" si="60"/>
        <v>#N/A</v>
      </c>
      <c r="AF304" s="480" t="e">
        <f t="shared" si="66"/>
        <v>#N/A</v>
      </c>
      <c r="AG304" s="475" t="e">
        <f t="shared" si="61"/>
        <v>#N/A</v>
      </c>
      <c r="AH304" s="476" t="e">
        <f t="shared" si="62"/>
        <v>#N/A</v>
      </c>
      <c r="AI304" s="475" t="e">
        <f t="shared" si="67"/>
        <v>#N/A</v>
      </c>
      <c r="AJ304" s="307" t="e">
        <f t="shared" si="63"/>
        <v>#N/A</v>
      </c>
    </row>
    <row r="305" spans="2:36">
      <c r="B305" s="277">
        <f t="shared" si="68"/>
        <v>0</v>
      </c>
      <c r="C305" s="466">
        <f t="shared" si="52"/>
        <v>0</v>
      </c>
      <c r="D305" s="467">
        <f t="shared" si="64"/>
        <v>0</v>
      </c>
      <c r="E305" s="460">
        <f t="shared" si="53"/>
        <v>0</v>
      </c>
      <c r="F305" s="460">
        <f t="shared" si="54"/>
        <v>0</v>
      </c>
      <c r="G305" s="460">
        <f t="shared" si="65"/>
        <v>0</v>
      </c>
      <c r="H305" s="460">
        <f>IF(L304&lt;0.01,0,IF($H$68="",0,L304*Adm!$V$3))</f>
        <v>0</v>
      </c>
      <c r="I305" s="460">
        <f>IF(L304&lt;0.01,0,IF($I$68="",0,($G$28*0.7*Adm!$W$3)))</f>
        <v>0</v>
      </c>
      <c r="J305" s="460">
        <f>IF(L304&lt;0.01,0,Adm!$AD$2*1.16)</f>
        <v>0</v>
      </c>
      <c r="K305" s="460">
        <f t="shared" si="69"/>
        <v>0</v>
      </c>
      <c r="L305" s="460">
        <f t="shared" si="70"/>
        <v>0</v>
      </c>
      <c r="M305" s="468"/>
      <c r="T305" s="469">
        <f t="shared" si="57"/>
        <v>8</v>
      </c>
      <c r="U305" s="470">
        <f>IF(T305=1,Adm!$O$2,0)</f>
        <v>0</v>
      </c>
      <c r="Z305" s="477">
        <f t="shared" si="58"/>
        <v>0</v>
      </c>
      <c r="AA305" s="478">
        <f>IF(M304&lt;=0,0,IF($AA$63=$AA$60,0,IF($Z$63=$Z$61,PMT(Adm!$J$2/12,B304,-L304),0)))</f>
        <v>0</v>
      </c>
      <c r="AB305" s="479">
        <f t="shared" si="59"/>
        <v>0</v>
      </c>
      <c r="AC305" s="479"/>
      <c r="AE305" s="473" t="e">
        <f t="shared" si="60"/>
        <v>#N/A</v>
      </c>
      <c r="AF305" s="480" t="e">
        <f t="shared" si="66"/>
        <v>#N/A</v>
      </c>
      <c r="AG305" s="475" t="e">
        <f t="shared" si="61"/>
        <v>#N/A</v>
      </c>
      <c r="AH305" s="476" t="e">
        <f t="shared" si="62"/>
        <v>#N/A</v>
      </c>
      <c r="AI305" s="475" t="e">
        <f t="shared" si="67"/>
        <v>#N/A</v>
      </c>
      <c r="AJ305" s="307" t="e">
        <f t="shared" si="63"/>
        <v>#N/A</v>
      </c>
    </row>
    <row r="306" spans="2:36">
      <c r="B306" s="277">
        <f t="shared" si="68"/>
        <v>0</v>
      </c>
      <c r="C306" s="466">
        <f t="shared" si="52"/>
        <v>0</v>
      </c>
      <c r="D306" s="467">
        <f t="shared" si="64"/>
        <v>0</v>
      </c>
      <c r="E306" s="460">
        <f t="shared" si="53"/>
        <v>0</v>
      </c>
      <c r="F306" s="460">
        <f t="shared" si="54"/>
        <v>0</v>
      </c>
      <c r="G306" s="460">
        <f t="shared" si="65"/>
        <v>0</v>
      </c>
      <c r="H306" s="460">
        <f>IF(L305&lt;0.01,0,IF($H$68="",0,L305*Adm!$V$3))</f>
        <v>0</v>
      </c>
      <c r="I306" s="460">
        <f>IF(L305&lt;0.01,0,IF($I$68="",0,($G$28*0.7*Adm!$W$3)))</f>
        <v>0</v>
      </c>
      <c r="J306" s="460">
        <f>IF(L305&lt;0.01,0,Adm!$AD$2*1.16)</f>
        <v>0</v>
      </c>
      <c r="K306" s="460">
        <f t="shared" si="69"/>
        <v>0</v>
      </c>
      <c r="L306" s="460">
        <f t="shared" si="70"/>
        <v>0</v>
      </c>
      <c r="M306" s="468"/>
      <c r="T306" s="469">
        <f t="shared" si="57"/>
        <v>9</v>
      </c>
      <c r="U306" s="470">
        <f>IF(T306=1,Adm!$O$2,0)</f>
        <v>0</v>
      </c>
      <c r="Z306" s="477">
        <f t="shared" si="58"/>
        <v>0</v>
      </c>
      <c r="AA306" s="478">
        <f>IF(M305&lt;=0,0,IF($AA$63=$AA$60,0,IF($Z$63=$Z$61,PMT(Adm!$J$2/12,B305,-L305),0)))</f>
        <v>0</v>
      </c>
      <c r="AB306" s="479">
        <f t="shared" si="59"/>
        <v>0</v>
      </c>
      <c r="AC306" s="479"/>
      <c r="AE306" s="473" t="e">
        <f t="shared" si="60"/>
        <v>#N/A</v>
      </c>
      <c r="AF306" s="480" t="e">
        <f t="shared" si="66"/>
        <v>#N/A</v>
      </c>
      <c r="AG306" s="475" t="e">
        <f t="shared" si="61"/>
        <v>#N/A</v>
      </c>
      <c r="AH306" s="476" t="e">
        <f t="shared" si="62"/>
        <v>#N/A</v>
      </c>
      <c r="AI306" s="475" t="e">
        <f t="shared" si="67"/>
        <v>#N/A</v>
      </c>
      <c r="AJ306" s="307" t="e">
        <f t="shared" si="63"/>
        <v>#N/A</v>
      </c>
    </row>
    <row r="307" spans="2:36">
      <c r="B307" s="277">
        <f t="shared" si="68"/>
        <v>0</v>
      </c>
      <c r="C307" s="466">
        <f t="shared" si="52"/>
        <v>0</v>
      </c>
      <c r="D307" s="467">
        <f t="shared" si="64"/>
        <v>0</v>
      </c>
      <c r="E307" s="460">
        <f t="shared" si="53"/>
        <v>0</v>
      </c>
      <c r="F307" s="460">
        <f t="shared" si="54"/>
        <v>0</v>
      </c>
      <c r="G307" s="460">
        <f t="shared" si="65"/>
        <v>0</v>
      </c>
      <c r="H307" s="460">
        <f>IF(L306&lt;0.01,0,IF($H$68="",0,L306*Adm!$V$3))</f>
        <v>0</v>
      </c>
      <c r="I307" s="460">
        <f>IF(L306&lt;0.01,0,IF($I$68="",0,($G$28*0.7*Adm!$W$3)))</f>
        <v>0</v>
      </c>
      <c r="J307" s="460">
        <f>IF(L306&lt;0.01,0,Adm!$AD$2*1.16)</f>
        <v>0</v>
      </c>
      <c r="K307" s="460">
        <f t="shared" si="69"/>
        <v>0</v>
      </c>
      <c r="L307" s="460">
        <f t="shared" si="70"/>
        <v>0</v>
      </c>
      <c r="M307" s="468"/>
      <c r="T307" s="469">
        <f t="shared" si="57"/>
        <v>10</v>
      </c>
      <c r="U307" s="470">
        <f>IF(T307=1,Adm!$O$2,0)</f>
        <v>0</v>
      </c>
      <c r="Z307" s="477">
        <f t="shared" si="58"/>
        <v>0</v>
      </c>
      <c r="AA307" s="478">
        <f>IF(M306&lt;=0,0,IF($AA$63=$AA$60,0,IF($Z$63=$Z$61,PMT(Adm!$J$2/12,B306,-L306),0)))</f>
        <v>0</v>
      </c>
      <c r="AB307" s="479">
        <f t="shared" si="59"/>
        <v>0</v>
      </c>
      <c r="AC307" s="479"/>
      <c r="AE307" s="473" t="e">
        <f t="shared" si="60"/>
        <v>#N/A</v>
      </c>
      <c r="AF307" s="480" t="e">
        <f t="shared" si="66"/>
        <v>#N/A</v>
      </c>
      <c r="AG307" s="475" t="e">
        <f t="shared" si="61"/>
        <v>#N/A</v>
      </c>
      <c r="AH307" s="476" t="e">
        <f t="shared" si="62"/>
        <v>#N/A</v>
      </c>
      <c r="AI307" s="475" t="e">
        <f t="shared" si="67"/>
        <v>#N/A</v>
      </c>
      <c r="AJ307" s="307" t="e">
        <f t="shared" si="63"/>
        <v>#N/A</v>
      </c>
    </row>
    <row r="308" spans="2:36">
      <c r="B308" s="277">
        <f t="shared" si="68"/>
        <v>0</v>
      </c>
      <c r="C308" s="466">
        <f t="shared" si="52"/>
        <v>0</v>
      </c>
      <c r="D308" s="467">
        <f t="shared" si="64"/>
        <v>0</v>
      </c>
      <c r="E308" s="460">
        <f t="shared" si="53"/>
        <v>0</v>
      </c>
      <c r="F308" s="460">
        <f t="shared" si="54"/>
        <v>0</v>
      </c>
      <c r="G308" s="460">
        <f t="shared" si="65"/>
        <v>0</v>
      </c>
      <c r="H308" s="460">
        <f>IF(L307&lt;0.01,0,IF($H$68="",0,L307*Adm!$V$3))</f>
        <v>0</v>
      </c>
      <c r="I308" s="460">
        <f>IF(L307&lt;0.01,0,IF($I$68="",0,($G$28*0.7*Adm!$W$3)))</f>
        <v>0</v>
      </c>
      <c r="J308" s="460">
        <f>IF(L307&lt;0.01,0,Adm!$AD$2*1.16)</f>
        <v>0</v>
      </c>
      <c r="K308" s="460">
        <f t="shared" si="69"/>
        <v>0</v>
      </c>
      <c r="L308" s="460">
        <f t="shared" si="70"/>
        <v>0</v>
      </c>
      <c r="M308" s="482"/>
      <c r="T308" s="469">
        <f t="shared" si="57"/>
        <v>11</v>
      </c>
      <c r="U308" s="470">
        <f>IF(T308=1,Adm!$O$2,0)</f>
        <v>0</v>
      </c>
      <c r="Z308" s="477">
        <f t="shared" si="58"/>
        <v>0</v>
      </c>
      <c r="AA308" s="478">
        <f>IF(M307&lt;=0,0,IF($AA$63=$AA$60,0,IF($Z$63=$Z$61,PMT(Adm!$J$2/12,B307,-L307),0)))</f>
        <v>0</v>
      </c>
      <c r="AB308" s="479">
        <f t="shared" si="59"/>
        <v>0</v>
      </c>
      <c r="AC308" s="479"/>
      <c r="AE308" s="473" t="e">
        <f t="shared" si="60"/>
        <v>#N/A</v>
      </c>
      <c r="AF308" s="480" t="e">
        <f t="shared" si="66"/>
        <v>#N/A</v>
      </c>
      <c r="AG308" s="475" t="e">
        <f t="shared" si="61"/>
        <v>#N/A</v>
      </c>
      <c r="AH308" s="476" t="e">
        <f t="shared" si="62"/>
        <v>#N/A</v>
      </c>
      <c r="AI308" s="475" t="e">
        <f t="shared" si="67"/>
        <v>#N/A</v>
      </c>
      <c r="AJ308" s="307" t="e">
        <f t="shared" si="63"/>
        <v>#N/A</v>
      </c>
    </row>
    <row r="309" spans="2:36">
      <c r="B309" s="277">
        <f t="shared" si="68"/>
        <v>0</v>
      </c>
      <c r="C309" s="466">
        <f t="shared" si="52"/>
        <v>0</v>
      </c>
      <c r="D309" s="467">
        <f t="shared" si="64"/>
        <v>0</v>
      </c>
      <c r="E309" s="460">
        <f t="shared" si="53"/>
        <v>0</v>
      </c>
      <c r="F309" s="460">
        <f t="shared" si="54"/>
        <v>0</v>
      </c>
      <c r="G309" s="460">
        <f t="shared" si="65"/>
        <v>0</v>
      </c>
      <c r="H309" s="460">
        <f>IF(L308&lt;0.01,0,IF($H$68="",0,L308*Adm!$V$3))</f>
        <v>0</v>
      </c>
      <c r="I309" s="460">
        <f>IF(L308&lt;0.01,0,IF($I$68="",0,($G$28*0.7*Adm!$W$3)))</f>
        <v>0</v>
      </c>
      <c r="J309" s="460">
        <f>IF(L308&lt;0.01,0,Adm!$AD$2*1.16)</f>
        <v>0</v>
      </c>
      <c r="K309" s="460">
        <f t="shared" si="69"/>
        <v>0</v>
      </c>
      <c r="L309" s="460">
        <f t="shared" si="70"/>
        <v>0</v>
      </c>
      <c r="M309" s="482"/>
      <c r="T309" s="469">
        <f t="shared" si="57"/>
        <v>12</v>
      </c>
      <c r="U309" s="470">
        <f>IF(T309=1,Adm!$O$2,0)</f>
        <v>0</v>
      </c>
      <c r="Z309" s="477">
        <f t="shared" si="58"/>
        <v>0</v>
      </c>
      <c r="AA309" s="478">
        <f>IF(M308&lt;=0,0,IF($AA$63=$AA$60,0,IF($Z$63=$Z$61,PMT(Adm!$J$2/12,B308,-L308),0)))</f>
        <v>0</v>
      </c>
      <c r="AB309" s="479">
        <f t="shared" si="59"/>
        <v>0</v>
      </c>
      <c r="AC309" s="479"/>
      <c r="AE309" s="473" t="e">
        <f t="shared" si="60"/>
        <v>#N/A</v>
      </c>
      <c r="AF309" s="480" t="e">
        <f t="shared" si="66"/>
        <v>#N/A</v>
      </c>
      <c r="AG309" s="475" t="e">
        <f t="shared" si="61"/>
        <v>#N/A</v>
      </c>
      <c r="AH309" s="476" t="e">
        <f t="shared" si="62"/>
        <v>#N/A</v>
      </c>
      <c r="AI309" s="475" t="e">
        <f t="shared" si="67"/>
        <v>#N/A</v>
      </c>
      <c r="AJ309" s="307" t="e">
        <f t="shared" si="63"/>
        <v>#N/A</v>
      </c>
    </row>
    <row r="310" spans="2:36">
      <c r="B310" s="277">
        <f t="shared" si="68"/>
        <v>0</v>
      </c>
      <c r="C310" s="466">
        <f t="shared" si="52"/>
        <v>0</v>
      </c>
      <c r="D310" s="467">
        <f t="shared" si="64"/>
        <v>0</v>
      </c>
      <c r="E310" s="460">
        <f t="shared" si="53"/>
        <v>0</v>
      </c>
      <c r="F310" s="460">
        <f t="shared" si="54"/>
        <v>0</v>
      </c>
      <c r="G310" s="460">
        <f t="shared" si="65"/>
        <v>0</v>
      </c>
      <c r="H310" s="460">
        <f>IF(L309&lt;0.01,0,IF($H$68="",0,L309*Adm!$V$3))</f>
        <v>0</v>
      </c>
      <c r="I310" s="460">
        <f>IF(L309&lt;0.01,0,IF($I$68="",0,($G$28*0.7*Adm!$W$3)))</f>
        <v>0</v>
      </c>
      <c r="J310" s="460">
        <f>IF(L309&lt;0.01,0,Adm!$AD$2*1.16)</f>
        <v>0</v>
      </c>
      <c r="K310" s="460">
        <f t="shared" si="69"/>
        <v>0</v>
      </c>
      <c r="L310" s="460">
        <f t="shared" si="70"/>
        <v>0</v>
      </c>
      <c r="M310" s="482"/>
      <c r="T310" s="469">
        <f t="shared" si="57"/>
        <v>1</v>
      </c>
      <c r="U310" s="470">
        <f>IF(T310=1,Adm!$O$2,0)</f>
        <v>0</v>
      </c>
      <c r="Z310" s="477">
        <f t="shared" si="58"/>
        <v>0</v>
      </c>
      <c r="AA310" s="478">
        <f>IF(M309&lt;=0,0,IF($AA$63=$AA$60,0,IF($Z$63=$Z$61,PMT(Adm!$J$2/12,B309,-L309),0)))</f>
        <v>0</v>
      </c>
      <c r="AB310" s="479">
        <f t="shared" si="59"/>
        <v>0</v>
      </c>
      <c r="AC310" s="479"/>
      <c r="AE310" s="473" t="e">
        <f t="shared" si="60"/>
        <v>#N/A</v>
      </c>
      <c r="AF310" s="480" t="e">
        <f t="shared" si="66"/>
        <v>#N/A</v>
      </c>
      <c r="AG310" s="475" t="e">
        <f t="shared" si="61"/>
        <v>#N/A</v>
      </c>
      <c r="AH310" s="476" t="e">
        <f t="shared" si="62"/>
        <v>#N/A</v>
      </c>
      <c r="AI310" s="481" t="e">
        <f>MIN(AJ309+AG310,AI309*(1+$AG$65))</f>
        <v>#N/A</v>
      </c>
      <c r="AJ310" s="307" t="e">
        <f t="shared" si="63"/>
        <v>#N/A</v>
      </c>
    </row>
    <row r="311" spans="2:36">
      <c r="B311" s="277">
        <f t="shared" si="68"/>
        <v>0</v>
      </c>
      <c r="C311" s="466">
        <f t="shared" si="52"/>
        <v>0</v>
      </c>
      <c r="D311" s="467">
        <f t="shared" si="64"/>
        <v>0</v>
      </c>
      <c r="E311" s="460">
        <f t="shared" si="53"/>
        <v>0</v>
      </c>
      <c r="F311" s="460">
        <f t="shared" si="54"/>
        <v>0</v>
      </c>
      <c r="G311" s="460">
        <f t="shared" si="65"/>
        <v>0</v>
      </c>
      <c r="H311" s="460">
        <f>IF(L310&lt;0.01,0,IF($H$68="",0,L310*Adm!$V$3))</f>
        <v>0</v>
      </c>
      <c r="I311" s="460">
        <f>IF(L310&lt;0.01,0,IF($I$68="",0,($G$28*0.7*Adm!$W$3)))</f>
        <v>0</v>
      </c>
      <c r="J311" s="460">
        <f>IF(L310&lt;0.01,0,Adm!$AD$2*1.16)</f>
        <v>0</v>
      </c>
      <c r="K311" s="460">
        <f t="shared" si="69"/>
        <v>0</v>
      </c>
      <c r="L311" s="460">
        <f t="shared" si="70"/>
        <v>0</v>
      </c>
      <c r="M311" s="482"/>
      <c r="T311" s="469">
        <f t="shared" si="57"/>
        <v>2</v>
      </c>
      <c r="U311" s="470">
        <f>IF(T311=1,Adm!$O$2,0)</f>
        <v>0</v>
      </c>
      <c r="Z311" s="477">
        <f t="shared" si="58"/>
        <v>0</v>
      </c>
      <c r="AA311" s="478">
        <f>IF(M310&lt;=0,0,IF($AA$63=$AA$60,0,IF($Z$63=$Z$61,PMT(Adm!$J$2/12,B310,-L310),0)))</f>
        <v>0</v>
      </c>
      <c r="AB311" s="479">
        <f t="shared" si="59"/>
        <v>0</v>
      </c>
      <c r="AC311" s="479"/>
      <c r="AE311" s="473" t="e">
        <f t="shared" si="60"/>
        <v>#N/A</v>
      </c>
      <c r="AF311" s="480" t="e">
        <f t="shared" si="66"/>
        <v>#N/A</v>
      </c>
      <c r="AG311" s="475" t="e">
        <f t="shared" si="61"/>
        <v>#N/A</v>
      </c>
      <c r="AH311" s="476" t="e">
        <f t="shared" si="62"/>
        <v>#N/A</v>
      </c>
      <c r="AI311" s="475" t="e">
        <f t="shared" si="67"/>
        <v>#N/A</v>
      </c>
      <c r="AJ311" s="307" t="e">
        <f t="shared" si="63"/>
        <v>#N/A</v>
      </c>
    </row>
    <row r="312" spans="2:36">
      <c r="B312" s="277">
        <f t="shared" si="68"/>
        <v>0</v>
      </c>
      <c r="C312" s="466">
        <f t="shared" si="52"/>
        <v>0</v>
      </c>
      <c r="D312" s="467">
        <f t="shared" si="64"/>
        <v>0</v>
      </c>
      <c r="E312" s="460">
        <f t="shared" si="53"/>
        <v>0</v>
      </c>
      <c r="F312" s="460">
        <f t="shared" si="54"/>
        <v>0</v>
      </c>
      <c r="G312" s="460">
        <f t="shared" si="65"/>
        <v>0</v>
      </c>
      <c r="H312" s="460">
        <f>IF(L311&lt;0.01,0,IF($H$68="",0,L311*Adm!$V$3))</f>
        <v>0</v>
      </c>
      <c r="I312" s="460">
        <f>IF(L311&lt;0.01,0,IF($I$68="",0,($G$28*0.7*Adm!$W$3)))</f>
        <v>0</v>
      </c>
      <c r="J312" s="460">
        <f>IF(L311&lt;0.01,0,Adm!$AD$2*1.16)</f>
        <v>0</v>
      </c>
      <c r="K312" s="460">
        <f t="shared" si="69"/>
        <v>0</v>
      </c>
      <c r="L312" s="460">
        <f t="shared" si="70"/>
        <v>0</v>
      </c>
      <c r="M312" s="482"/>
      <c r="T312" s="469">
        <f t="shared" si="57"/>
        <v>3</v>
      </c>
      <c r="U312" s="470">
        <f>IF(T312=1,Adm!$O$2,0)</f>
        <v>0</v>
      </c>
      <c r="Z312" s="477">
        <f t="shared" si="58"/>
        <v>0</v>
      </c>
      <c r="AA312" s="478">
        <f>IF(M311&lt;=0,0,IF($AA$63=$AA$60,0,IF($Z$63=$Z$61,PMT(Adm!$J$2/12,B311,-L311),0)))</f>
        <v>0</v>
      </c>
      <c r="AB312" s="479">
        <f t="shared" si="59"/>
        <v>0</v>
      </c>
      <c r="AC312" s="479"/>
      <c r="AE312" s="473" t="e">
        <f t="shared" si="60"/>
        <v>#N/A</v>
      </c>
      <c r="AF312" s="480" t="e">
        <f t="shared" si="66"/>
        <v>#N/A</v>
      </c>
      <c r="AG312" s="475" t="e">
        <f t="shared" si="61"/>
        <v>#N/A</v>
      </c>
      <c r="AH312" s="476" t="e">
        <f t="shared" si="62"/>
        <v>#N/A</v>
      </c>
      <c r="AI312" s="475" t="e">
        <f t="shared" si="67"/>
        <v>#N/A</v>
      </c>
      <c r="AJ312" s="307" t="e">
        <f t="shared" si="63"/>
        <v>#N/A</v>
      </c>
    </row>
    <row r="313" spans="2:36">
      <c r="B313" s="277">
        <f t="shared" si="68"/>
        <v>0</v>
      </c>
      <c r="C313" s="466">
        <f t="shared" si="52"/>
        <v>0</v>
      </c>
      <c r="D313" s="467">
        <f t="shared" si="64"/>
        <v>0</v>
      </c>
      <c r="E313" s="460">
        <f t="shared" si="53"/>
        <v>0</v>
      </c>
      <c r="F313" s="460">
        <f t="shared" si="54"/>
        <v>0</v>
      </c>
      <c r="G313" s="460">
        <f t="shared" si="65"/>
        <v>0</v>
      </c>
      <c r="H313" s="460">
        <f>IF(L312&lt;0.01,0,IF($H$68="",0,L312*Adm!$V$3))</f>
        <v>0</v>
      </c>
      <c r="I313" s="460">
        <f>IF(L312&lt;0.01,0,IF($I$68="",0,($G$28*0.7*Adm!$W$3)))</f>
        <v>0</v>
      </c>
      <c r="J313" s="460">
        <f>IF(L312&lt;0.01,0,Adm!$AD$2*1.16)</f>
        <v>0</v>
      </c>
      <c r="K313" s="460">
        <f t="shared" si="69"/>
        <v>0</v>
      </c>
      <c r="L313" s="460">
        <f t="shared" si="70"/>
        <v>0</v>
      </c>
      <c r="M313" s="482"/>
      <c r="T313" s="469">
        <f t="shared" si="57"/>
        <v>4</v>
      </c>
      <c r="U313" s="470">
        <f>IF(T313=1,Adm!$O$2,0)</f>
        <v>0</v>
      </c>
      <c r="Z313" s="477">
        <f t="shared" si="58"/>
        <v>0</v>
      </c>
      <c r="AA313" s="478">
        <f>IF(M312&lt;=0,0,IF($AA$63=$AA$60,0,IF($Z$63=$Z$61,PMT(Adm!$J$2/12,B312,-L312),0)))</f>
        <v>0</v>
      </c>
      <c r="AB313" s="479">
        <f t="shared" si="59"/>
        <v>0</v>
      </c>
      <c r="AC313" s="479"/>
      <c r="AE313" s="473" t="e">
        <f t="shared" si="60"/>
        <v>#N/A</v>
      </c>
      <c r="AF313" s="480" t="e">
        <f t="shared" si="66"/>
        <v>#N/A</v>
      </c>
      <c r="AG313" s="475" t="e">
        <f t="shared" si="61"/>
        <v>#N/A</v>
      </c>
      <c r="AH313" s="476" t="e">
        <f t="shared" si="62"/>
        <v>#N/A</v>
      </c>
      <c r="AI313" s="475" t="e">
        <f t="shared" si="67"/>
        <v>#N/A</v>
      </c>
      <c r="AJ313" s="307" t="e">
        <f t="shared" si="63"/>
        <v>#N/A</v>
      </c>
    </row>
    <row r="314" spans="2:36">
      <c r="B314" s="277">
        <f t="shared" si="68"/>
        <v>0</v>
      </c>
      <c r="C314" s="466">
        <f t="shared" si="52"/>
        <v>0</v>
      </c>
      <c r="D314" s="467">
        <f t="shared" si="64"/>
        <v>0</v>
      </c>
      <c r="E314" s="460">
        <f t="shared" si="53"/>
        <v>0</v>
      </c>
      <c r="F314" s="460">
        <f t="shared" si="54"/>
        <v>0</v>
      </c>
      <c r="G314" s="460">
        <f t="shared" si="65"/>
        <v>0</v>
      </c>
      <c r="H314" s="460">
        <f>IF(L313&lt;0.01,0,IF($H$68="",0,L313*Adm!$V$3))</f>
        <v>0</v>
      </c>
      <c r="I314" s="460">
        <f>IF(L313&lt;0.01,0,IF($I$68="",0,($G$28*0.7*Adm!$W$3)))</f>
        <v>0</v>
      </c>
      <c r="J314" s="460">
        <f>IF(L313&lt;0.01,0,Adm!$AD$2*1.16)</f>
        <v>0</v>
      </c>
      <c r="K314" s="460">
        <f t="shared" si="69"/>
        <v>0</v>
      </c>
      <c r="L314" s="460">
        <f t="shared" si="70"/>
        <v>0</v>
      </c>
      <c r="M314" s="482"/>
      <c r="T314" s="469">
        <f t="shared" si="57"/>
        <v>5</v>
      </c>
      <c r="U314" s="470">
        <f>IF(T314=1,Adm!$O$2,0)</f>
        <v>0</v>
      </c>
      <c r="Z314" s="477">
        <f t="shared" si="58"/>
        <v>0</v>
      </c>
      <c r="AA314" s="478">
        <f>IF(M313&lt;=0,0,IF($AA$63=$AA$60,0,IF($Z$63=$Z$61,PMT(Adm!$J$2/12,B313,-L313),0)))</f>
        <v>0</v>
      </c>
      <c r="AB314" s="479">
        <f t="shared" si="59"/>
        <v>0</v>
      </c>
      <c r="AC314" s="479"/>
      <c r="AE314" s="473" t="e">
        <f t="shared" si="60"/>
        <v>#N/A</v>
      </c>
      <c r="AF314" s="480" t="e">
        <f t="shared" si="66"/>
        <v>#N/A</v>
      </c>
      <c r="AG314" s="475" t="e">
        <f t="shared" si="61"/>
        <v>#N/A</v>
      </c>
      <c r="AH314" s="476" t="e">
        <f t="shared" si="62"/>
        <v>#N/A</v>
      </c>
      <c r="AI314" s="475" t="e">
        <f t="shared" si="67"/>
        <v>#N/A</v>
      </c>
      <c r="AJ314" s="307" t="e">
        <f t="shared" si="63"/>
        <v>#N/A</v>
      </c>
    </row>
    <row r="315" spans="2:36">
      <c r="B315" s="277">
        <f t="shared" si="68"/>
        <v>0</v>
      </c>
      <c r="C315" s="466">
        <f t="shared" si="52"/>
        <v>0</v>
      </c>
      <c r="D315" s="467">
        <f t="shared" si="64"/>
        <v>0</v>
      </c>
      <c r="E315" s="460">
        <f t="shared" si="53"/>
        <v>0</v>
      </c>
      <c r="F315" s="460">
        <f t="shared" si="54"/>
        <v>0</v>
      </c>
      <c r="G315" s="460">
        <f t="shared" si="65"/>
        <v>0</v>
      </c>
      <c r="H315" s="460">
        <f>IF(L314&lt;0.01,0,IF($H$68="",0,L314*Adm!$V$3))</f>
        <v>0</v>
      </c>
      <c r="I315" s="460">
        <f>IF(L314&lt;0.01,0,IF($I$68="",0,($G$28*0.7*Adm!$W$3)))</f>
        <v>0</v>
      </c>
      <c r="J315" s="460">
        <f>IF(L314&lt;0.01,0,Adm!$AD$2*1.16)</f>
        <v>0</v>
      </c>
      <c r="K315" s="460">
        <f t="shared" si="69"/>
        <v>0</v>
      </c>
      <c r="L315" s="460">
        <f t="shared" si="70"/>
        <v>0</v>
      </c>
      <c r="M315" s="482"/>
      <c r="T315" s="469">
        <f t="shared" si="57"/>
        <v>6</v>
      </c>
      <c r="U315" s="470">
        <f>IF(T315=1,Adm!$O$2,0)</f>
        <v>0</v>
      </c>
      <c r="Z315" s="477">
        <f t="shared" si="58"/>
        <v>0</v>
      </c>
      <c r="AA315" s="478">
        <f>IF(M314&lt;=0,0,IF($AA$63=$AA$60,0,IF($Z$63=$Z$61,PMT(Adm!$J$2/12,B314,-L314),0)))</f>
        <v>0</v>
      </c>
      <c r="AB315" s="479">
        <f t="shared" si="59"/>
        <v>0</v>
      </c>
      <c r="AC315" s="479"/>
      <c r="AE315" s="473" t="e">
        <f t="shared" si="60"/>
        <v>#N/A</v>
      </c>
      <c r="AF315" s="480" t="e">
        <f t="shared" si="66"/>
        <v>#N/A</v>
      </c>
      <c r="AG315" s="475" t="e">
        <f t="shared" si="61"/>
        <v>#N/A</v>
      </c>
      <c r="AH315" s="476" t="e">
        <f t="shared" si="62"/>
        <v>#N/A</v>
      </c>
      <c r="AI315" s="475" t="e">
        <f t="shared" si="67"/>
        <v>#N/A</v>
      </c>
      <c r="AJ315" s="307" t="e">
        <f t="shared" si="63"/>
        <v>#N/A</v>
      </c>
    </row>
    <row r="316" spans="2:36">
      <c r="B316" s="277">
        <f t="shared" si="68"/>
        <v>0</v>
      </c>
      <c r="C316" s="466">
        <f t="shared" si="52"/>
        <v>0</v>
      </c>
      <c r="D316" s="467">
        <f t="shared" si="64"/>
        <v>0</v>
      </c>
      <c r="E316" s="460">
        <f t="shared" si="53"/>
        <v>0</v>
      </c>
      <c r="F316" s="460">
        <f t="shared" si="54"/>
        <v>0</v>
      </c>
      <c r="G316" s="460">
        <f t="shared" si="65"/>
        <v>0</v>
      </c>
      <c r="H316" s="460">
        <f>IF(L315&lt;0.01,0,IF($H$68="",0,L315*Adm!$V$3))</f>
        <v>0</v>
      </c>
      <c r="I316" s="460">
        <f>IF(L315&lt;0.01,0,IF($I$68="",0,($G$28*0.7*Adm!$W$3)))</f>
        <v>0</v>
      </c>
      <c r="J316" s="460">
        <f>IF(L315&lt;0.01,0,Adm!$AD$2*1.16)</f>
        <v>0</v>
      </c>
      <c r="K316" s="460">
        <f t="shared" si="69"/>
        <v>0</v>
      </c>
      <c r="L316" s="460">
        <f t="shared" si="70"/>
        <v>0</v>
      </c>
      <c r="M316" s="482"/>
      <c r="T316" s="469">
        <f t="shared" si="57"/>
        <v>7</v>
      </c>
      <c r="U316" s="470">
        <f>IF(T316=1,Adm!$O$2,0)</f>
        <v>0</v>
      </c>
      <c r="Z316" s="477">
        <f t="shared" si="58"/>
        <v>0</v>
      </c>
      <c r="AA316" s="478">
        <f>IF(M315&lt;=0,0,IF($AA$63=$AA$60,0,IF($Z$63=$Z$61,PMT(Adm!$J$2/12,B315,-L315),0)))</f>
        <v>0</v>
      </c>
      <c r="AB316" s="479">
        <f t="shared" si="59"/>
        <v>0</v>
      </c>
      <c r="AC316" s="479"/>
      <c r="AE316" s="473" t="e">
        <f t="shared" si="60"/>
        <v>#N/A</v>
      </c>
      <c r="AF316" s="480" t="e">
        <f t="shared" si="66"/>
        <v>#N/A</v>
      </c>
      <c r="AG316" s="475" t="e">
        <f t="shared" si="61"/>
        <v>#N/A</v>
      </c>
      <c r="AH316" s="476" t="e">
        <f t="shared" si="62"/>
        <v>#N/A</v>
      </c>
      <c r="AI316" s="475" t="e">
        <f t="shared" si="67"/>
        <v>#N/A</v>
      </c>
      <c r="AJ316" s="307" t="e">
        <f t="shared" si="63"/>
        <v>#N/A</v>
      </c>
    </row>
    <row r="317" spans="2:36">
      <c r="B317" s="277">
        <f t="shared" si="68"/>
        <v>0</v>
      </c>
      <c r="C317" s="466">
        <f t="shared" si="52"/>
        <v>0</v>
      </c>
      <c r="D317" s="467">
        <f t="shared" si="64"/>
        <v>0</v>
      </c>
      <c r="E317" s="460">
        <f t="shared" si="53"/>
        <v>0</v>
      </c>
      <c r="F317" s="460">
        <f t="shared" si="54"/>
        <v>0</v>
      </c>
      <c r="G317" s="460">
        <f t="shared" si="65"/>
        <v>0</v>
      </c>
      <c r="H317" s="460">
        <f>IF(L316&lt;0.01,0,IF($H$68="",0,L316*Adm!$V$3))</f>
        <v>0</v>
      </c>
      <c r="I317" s="460">
        <f>IF(L316&lt;0.01,0,IF($I$68="",0,($G$28*0.7*Adm!$W$3)))</f>
        <v>0</v>
      </c>
      <c r="J317" s="460">
        <f>IF(L316&lt;0.01,0,Adm!$AD$2*1.16)</f>
        <v>0</v>
      </c>
      <c r="K317" s="460">
        <f t="shared" si="69"/>
        <v>0</v>
      </c>
      <c r="L317" s="460">
        <f t="shared" si="70"/>
        <v>0</v>
      </c>
      <c r="M317" s="482"/>
      <c r="T317" s="469">
        <f t="shared" si="57"/>
        <v>8</v>
      </c>
      <c r="U317" s="470">
        <f>IF(T317=1,Adm!$O$2,0)</f>
        <v>0</v>
      </c>
      <c r="Z317" s="477">
        <f t="shared" si="58"/>
        <v>0</v>
      </c>
      <c r="AA317" s="478">
        <f>IF(M316&lt;=0,0,IF($AA$63=$AA$60,0,IF($Z$63=$Z$61,PMT(Adm!$J$2/12,B316,-L316),0)))</f>
        <v>0</v>
      </c>
      <c r="AB317" s="479">
        <f t="shared" si="59"/>
        <v>0</v>
      </c>
      <c r="AC317" s="479"/>
      <c r="AE317" s="473" t="e">
        <f t="shared" si="60"/>
        <v>#N/A</v>
      </c>
      <c r="AF317" s="480" t="e">
        <f t="shared" si="66"/>
        <v>#N/A</v>
      </c>
      <c r="AG317" s="475" t="e">
        <f t="shared" si="61"/>
        <v>#N/A</v>
      </c>
      <c r="AH317" s="476" t="e">
        <f t="shared" si="62"/>
        <v>#N/A</v>
      </c>
      <c r="AI317" s="475" t="e">
        <f t="shared" si="67"/>
        <v>#N/A</v>
      </c>
      <c r="AJ317" s="307" t="e">
        <f t="shared" si="63"/>
        <v>#N/A</v>
      </c>
    </row>
    <row r="318" spans="2:36">
      <c r="B318" s="277">
        <f t="shared" si="68"/>
        <v>0</v>
      </c>
      <c r="C318" s="466">
        <f t="shared" si="52"/>
        <v>0</v>
      </c>
      <c r="D318" s="467">
        <f t="shared" si="64"/>
        <v>0</v>
      </c>
      <c r="E318" s="460">
        <f t="shared" si="53"/>
        <v>0</v>
      </c>
      <c r="F318" s="460">
        <f t="shared" si="54"/>
        <v>0</v>
      </c>
      <c r="G318" s="460">
        <f t="shared" si="65"/>
        <v>0</v>
      </c>
      <c r="H318" s="460">
        <f>IF(L317&lt;0.01,0,IF($H$68="",0,L317*Adm!$V$3))</f>
        <v>0</v>
      </c>
      <c r="I318" s="460">
        <f>IF(L317&lt;0.01,0,IF($I$68="",0,($G$28*0.7*Adm!$W$3)))</f>
        <v>0</v>
      </c>
      <c r="J318" s="460">
        <f>IF(L317&lt;0.01,0,Adm!$AD$2*1.16)</f>
        <v>0</v>
      </c>
      <c r="K318" s="460">
        <f t="shared" si="69"/>
        <v>0</v>
      </c>
      <c r="L318" s="460">
        <f t="shared" si="70"/>
        <v>0</v>
      </c>
      <c r="M318" s="482"/>
      <c r="T318" s="469">
        <f t="shared" si="57"/>
        <v>9</v>
      </c>
      <c r="U318" s="470">
        <f>IF(T318=1,Adm!$O$2,0)</f>
        <v>0</v>
      </c>
      <c r="Z318" s="477">
        <f t="shared" si="58"/>
        <v>0</v>
      </c>
      <c r="AA318" s="478">
        <f>IF(M317&lt;=0,0,IF($AA$63=$AA$60,0,IF($Z$63=$Z$61,PMT(Adm!$J$2/12,B317,-L317),0)))</f>
        <v>0</v>
      </c>
      <c r="AB318" s="479">
        <f t="shared" si="59"/>
        <v>0</v>
      </c>
      <c r="AC318" s="479"/>
      <c r="AE318" s="473" t="e">
        <f t="shared" si="60"/>
        <v>#N/A</v>
      </c>
      <c r="AF318" s="480" t="e">
        <f t="shared" si="66"/>
        <v>#N/A</v>
      </c>
      <c r="AG318" s="475" t="e">
        <f t="shared" si="61"/>
        <v>#N/A</v>
      </c>
      <c r="AH318" s="476" t="e">
        <f t="shared" si="62"/>
        <v>#N/A</v>
      </c>
      <c r="AI318" s="475" t="e">
        <f t="shared" si="67"/>
        <v>#N/A</v>
      </c>
      <c r="AJ318" s="307" t="e">
        <f t="shared" si="63"/>
        <v>#N/A</v>
      </c>
    </row>
    <row r="319" spans="2:36">
      <c r="B319" s="277">
        <f t="shared" si="68"/>
        <v>0</v>
      </c>
      <c r="C319" s="466">
        <f t="shared" si="52"/>
        <v>0</v>
      </c>
      <c r="D319" s="467">
        <f t="shared" si="64"/>
        <v>0</v>
      </c>
      <c r="E319" s="460">
        <f t="shared" si="53"/>
        <v>0</v>
      </c>
      <c r="F319" s="460">
        <f t="shared" si="54"/>
        <v>0</v>
      </c>
      <c r="G319" s="460">
        <f t="shared" si="65"/>
        <v>0</v>
      </c>
      <c r="H319" s="460">
        <f>IF(L318&lt;0.01,0,IF($H$68="",0,L318*Adm!$V$3))</f>
        <v>0</v>
      </c>
      <c r="I319" s="460">
        <f>IF(L318&lt;0.01,0,IF($I$68="",0,($G$28*0.7*Adm!$W$3)))</f>
        <v>0</v>
      </c>
      <c r="J319" s="460">
        <f>IF(L318&lt;0.01,0,Adm!$AD$2*1.16)</f>
        <v>0</v>
      </c>
      <c r="K319" s="460">
        <f t="shared" si="69"/>
        <v>0</v>
      </c>
      <c r="L319" s="460">
        <f t="shared" si="70"/>
        <v>0</v>
      </c>
      <c r="M319" s="482"/>
      <c r="T319" s="469">
        <f t="shared" si="57"/>
        <v>10</v>
      </c>
      <c r="U319" s="470">
        <f>IF(T319=1,Adm!$O$2,0)</f>
        <v>0</v>
      </c>
      <c r="Z319" s="477">
        <f t="shared" si="58"/>
        <v>0</v>
      </c>
      <c r="AA319" s="478">
        <f>IF(M318&lt;=0,0,IF($AA$63=$AA$60,0,IF($Z$63=$Z$61,PMT(Adm!$J$2/12,B318,-L318),0)))</f>
        <v>0</v>
      </c>
      <c r="AB319" s="479">
        <f t="shared" si="59"/>
        <v>0</v>
      </c>
      <c r="AC319" s="479"/>
      <c r="AE319" s="473" t="e">
        <f t="shared" si="60"/>
        <v>#N/A</v>
      </c>
      <c r="AF319" s="480" t="e">
        <f t="shared" si="66"/>
        <v>#N/A</v>
      </c>
      <c r="AG319" s="475" t="e">
        <f t="shared" si="61"/>
        <v>#N/A</v>
      </c>
      <c r="AH319" s="476" t="e">
        <f t="shared" si="62"/>
        <v>#N/A</v>
      </c>
      <c r="AI319" s="475" t="e">
        <f t="shared" si="67"/>
        <v>#N/A</v>
      </c>
      <c r="AJ319" s="307" t="e">
        <f t="shared" si="63"/>
        <v>#N/A</v>
      </c>
    </row>
    <row r="320" spans="2:36">
      <c r="B320" s="277">
        <f t="shared" si="68"/>
        <v>0</v>
      </c>
      <c r="C320" s="466">
        <f t="shared" si="52"/>
        <v>0</v>
      </c>
      <c r="D320" s="467">
        <f t="shared" si="64"/>
        <v>0</v>
      </c>
      <c r="E320" s="460">
        <f t="shared" si="53"/>
        <v>0</v>
      </c>
      <c r="F320" s="460">
        <f t="shared" si="54"/>
        <v>0</v>
      </c>
      <c r="G320" s="460">
        <f t="shared" si="65"/>
        <v>0</v>
      </c>
      <c r="H320" s="460">
        <f>IF(L319&lt;0.01,0,IF($H$68="",0,L319*Adm!$V$3))</f>
        <v>0</v>
      </c>
      <c r="I320" s="460">
        <f>IF(L319&lt;0.01,0,IF($I$68="",0,($G$28*0.7*Adm!$W$3)))</f>
        <v>0</v>
      </c>
      <c r="J320" s="460">
        <f>IF(L319&lt;0.01,0,Adm!$AD$2*1.16)</f>
        <v>0</v>
      </c>
      <c r="K320" s="460">
        <f t="shared" si="69"/>
        <v>0</v>
      </c>
      <c r="L320" s="460">
        <f t="shared" si="70"/>
        <v>0</v>
      </c>
      <c r="M320" s="482"/>
      <c r="T320" s="469">
        <f t="shared" si="57"/>
        <v>11</v>
      </c>
      <c r="U320" s="470">
        <f>IF(T320=1,Adm!$O$2,0)</f>
        <v>0</v>
      </c>
      <c r="Z320" s="477">
        <f t="shared" si="58"/>
        <v>0</v>
      </c>
      <c r="AA320" s="478">
        <f>IF(M319&lt;=0,0,IF($AA$63=$AA$60,0,IF($Z$63=$Z$61,PMT(Adm!$J$2/12,B319,-L319),0)))</f>
        <v>0</v>
      </c>
      <c r="AB320" s="479">
        <f t="shared" si="59"/>
        <v>0</v>
      </c>
      <c r="AC320" s="479"/>
      <c r="AE320" s="473" t="e">
        <f t="shared" si="60"/>
        <v>#N/A</v>
      </c>
      <c r="AF320" s="480" t="e">
        <f t="shared" si="66"/>
        <v>#N/A</v>
      </c>
      <c r="AG320" s="475" t="e">
        <f t="shared" si="61"/>
        <v>#N/A</v>
      </c>
      <c r="AH320" s="476" t="e">
        <f t="shared" si="62"/>
        <v>#N/A</v>
      </c>
      <c r="AI320" s="475" t="e">
        <f t="shared" si="67"/>
        <v>#N/A</v>
      </c>
      <c r="AJ320" s="307" t="e">
        <f t="shared" si="63"/>
        <v>#N/A</v>
      </c>
    </row>
    <row r="321" spans="2:36">
      <c r="B321" s="277">
        <f t="shared" si="68"/>
        <v>0</v>
      </c>
      <c r="C321" s="466">
        <f t="shared" si="52"/>
        <v>0</v>
      </c>
      <c r="D321" s="467">
        <f t="shared" si="64"/>
        <v>0</v>
      </c>
      <c r="E321" s="460">
        <f t="shared" si="53"/>
        <v>0</v>
      </c>
      <c r="F321" s="460">
        <f t="shared" si="54"/>
        <v>0</v>
      </c>
      <c r="G321" s="460">
        <f t="shared" si="65"/>
        <v>0</v>
      </c>
      <c r="H321" s="460">
        <f>IF(L320&lt;0.01,0,IF($H$68="",0,L320*Adm!$V$3))</f>
        <v>0</v>
      </c>
      <c r="I321" s="460">
        <f>IF(L320&lt;0.01,0,IF($I$68="",0,($G$28*0.7*Adm!$W$3)))</f>
        <v>0</v>
      </c>
      <c r="J321" s="460">
        <f>IF(L320&lt;0.01,0,Adm!$AD$2*1.16)</f>
        <v>0</v>
      </c>
      <c r="K321" s="460">
        <f t="shared" si="69"/>
        <v>0</v>
      </c>
      <c r="L321" s="460">
        <f t="shared" si="70"/>
        <v>0</v>
      </c>
      <c r="M321" s="482"/>
      <c r="T321" s="469">
        <f t="shared" si="57"/>
        <v>12</v>
      </c>
      <c r="U321" s="470">
        <f>IF(T321=1,Adm!$O$2,0)</f>
        <v>0</v>
      </c>
      <c r="Z321" s="477">
        <f t="shared" si="58"/>
        <v>0</v>
      </c>
      <c r="AA321" s="478">
        <f>IF(M320&lt;=0,0,IF($AA$63=$AA$60,0,IF($Z$63=$Z$61,PMT(Adm!$J$2/12,B320,-L320),0)))</f>
        <v>0</v>
      </c>
      <c r="AB321" s="479">
        <f t="shared" si="59"/>
        <v>0</v>
      </c>
      <c r="AC321" s="479"/>
      <c r="AE321" s="473" t="e">
        <f t="shared" si="60"/>
        <v>#N/A</v>
      </c>
      <c r="AF321" s="480" t="e">
        <f t="shared" si="66"/>
        <v>#N/A</v>
      </c>
      <c r="AG321" s="475" t="e">
        <f t="shared" si="61"/>
        <v>#N/A</v>
      </c>
      <c r="AH321" s="476" t="e">
        <f t="shared" si="62"/>
        <v>#N/A</v>
      </c>
      <c r="AI321" s="475" t="e">
        <f t="shared" si="67"/>
        <v>#N/A</v>
      </c>
      <c r="AJ321" s="307" t="e">
        <f t="shared" si="63"/>
        <v>#N/A</v>
      </c>
    </row>
    <row r="322" spans="2:36">
      <c r="B322" s="277">
        <f t="shared" si="68"/>
        <v>0</v>
      </c>
      <c r="C322" s="466">
        <f t="shared" si="52"/>
        <v>0</v>
      </c>
      <c r="D322" s="467">
        <f t="shared" si="64"/>
        <v>0</v>
      </c>
      <c r="E322" s="460">
        <f t="shared" si="53"/>
        <v>0</v>
      </c>
      <c r="F322" s="460">
        <f t="shared" si="54"/>
        <v>0</v>
      </c>
      <c r="G322" s="460">
        <f t="shared" si="65"/>
        <v>0</v>
      </c>
      <c r="H322" s="460">
        <f>IF(L321&lt;0.01,0,IF($H$68="",0,L321*Adm!$V$3))</f>
        <v>0</v>
      </c>
      <c r="I322" s="460">
        <f>IF(L321&lt;0.01,0,IF($I$68="",0,($G$28*0.7*Adm!$W$3)))</f>
        <v>0</v>
      </c>
      <c r="J322" s="460">
        <f>IF(L321&lt;0.01,0,Adm!$AD$2*1.16)</f>
        <v>0</v>
      </c>
      <c r="K322" s="460">
        <f t="shared" si="69"/>
        <v>0</v>
      </c>
      <c r="L322" s="460">
        <f t="shared" si="70"/>
        <v>0</v>
      </c>
      <c r="M322" s="482"/>
      <c r="T322" s="469">
        <f t="shared" si="57"/>
        <v>1</v>
      </c>
      <c r="U322" s="470">
        <f>IF(T322=1,Adm!$O$2,0)</f>
        <v>0</v>
      </c>
      <c r="Z322" s="477">
        <f t="shared" si="58"/>
        <v>0</v>
      </c>
      <c r="AA322" s="478">
        <f>IF(M321&lt;=0,0,IF($AA$63=$AA$60,0,IF($Z$63=$Z$61,PMT(Adm!$J$2/12,B321,-L321),0)))</f>
        <v>0</v>
      </c>
      <c r="AB322" s="479">
        <f t="shared" si="59"/>
        <v>0</v>
      </c>
      <c r="AC322" s="479"/>
      <c r="AE322" s="473" t="e">
        <f t="shared" si="60"/>
        <v>#N/A</v>
      </c>
      <c r="AF322" s="480" t="e">
        <f t="shared" si="66"/>
        <v>#N/A</v>
      </c>
      <c r="AG322" s="475" t="e">
        <f t="shared" si="61"/>
        <v>#N/A</v>
      </c>
      <c r="AH322" s="476" t="e">
        <f t="shared" si="62"/>
        <v>#N/A</v>
      </c>
      <c r="AI322" s="481" t="e">
        <f>MIN(AJ321+AG322,AI321*(1+$AG$65))</f>
        <v>#N/A</v>
      </c>
      <c r="AJ322" s="307" t="e">
        <f t="shared" si="63"/>
        <v>#N/A</v>
      </c>
    </row>
    <row r="323" spans="2:36">
      <c r="B323" s="277">
        <f t="shared" ref="B323:B346" si="71">IF(L322&gt;0,B322-1,0)</f>
        <v>0</v>
      </c>
      <c r="C323" s="466">
        <f t="shared" si="52"/>
        <v>0</v>
      </c>
      <c r="D323" s="467">
        <f t="shared" si="64"/>
        <v>0</v>
      </c>
      <c r="E323" s="460">
        <f t="shared" si="53"/>
        <v>0</v>
      </c>
      <c r="F323" s="460">
        <f t="shared" si="54"/>
        <v>0</v>
      </c>
      <c r="G323" s="460">
        <f t="shared" si="65"/>
        <v>0</v>
      </c>
      <c r="H323" s="460">
        <f>IF(L322&lt;0.01,0,IF($H$68="",0,L322*Adm!$V$3))</f>
        <v>0</v>
      </c>
      <c r="I323" s="460">
        <f>IF(L322&lt;0.01,0,IF($I$68="",0,($G$28*0.7*Adm!$W$3)))</f>
        <v>0</v>
      </c>
      <c r="J323" s="460">
        <f>IF(L322&lt;0.01,0,Adm!$AD$2*1.16)</f>
        <v>0</v>
      </c>
      <c r="K323" s="460">
        <f t="shared" ref="K323:K346" si="72">IF(L322&lt;0.01,0,(G323+H323+I323+J323))</f>
        <v>0</v>
      </c>
      <c r="L323" s="460">
        <f t="shared" ref="L323:L346" si="73">IF(L322&lt;0.01,0,(L322-F323-M323))</f>
        <v>0</v>
      </c>
      <c r="M323" s="482"/>
      <c r="T323" s="469">
        <f t="shared" si="57"/>
        <v>2</v>
      </c>
      <c r="U323" s="470">
        <f>IF(T323=1,Adm!$O$2,0)</f>
        <v>0</v>
      </c>
      <c r="Z323" s="477">
        <f t="shared" si="58"/>
        <v>0</v>
      </c>
      <c r="AA323" s="478">
        <f>IF(M322&lt;=0,0,IF($AA$63=$AA$60,0,IF($Z$63=$Z$61,PMT(Adm!$J$2/12,B322,-L322),0)))</f>
        <v>0</v>
      </c>
      <c r="AB323" s="479">
        <f t="shared" si="59"/>
        <v>0</v>
      </c>
      <c r="AC323" s="479"/>
      <c r="AE323" s="473" t="e">
        <f t="shared" si="60"/>
        <v>#N/A</v>
      </c>
      <c r="AF323" s="480" t="e">
        <f t="shared" si="66"/>
        <v>#N/A</v>
      </c>
      <c r="AG323" s="475" t="e">
        <f t="shared" si="61"/>
        <v>#N/A</v>
      </c>
      <c r="AH323" s="476" t="e">
        <f t="shared" si="62"/>
        <v>#N/A</v>
      </c>
      <c r="AI323" s="475" t="e">
        <f t="shared" si="67"/>
        <v>#N/A</v>
      </c>
      <c r="AJ323" s="307" t="e">
        <f t="shared" si="63"/>
        <v>#N/A</v>
      </c>
    </row>
    <row r="324" spans="2:36">
      <c r="B324" s="277">
        <f t="shared" si="71"/>
        <v>0</v>
      </c>
      <c r="C324" s="466">
        <f t="shared" si="52"/>
        <v>0</v>
      </c>
      <c r="D324" s="467">
        <f t="shared" si="64"/>
        <v>0</v>
      </c>
      <c r="E324" s="460">
        <f t="shared" si="53"/>
        <v>0</v>
      </c>
      <c r="F324" s="460">
        <f t="shared" si="54"/>
        <v>0</v>
      </c>
      <c r="G324" s="460">
        <f t="shared" si="65"/>
        <v>0</v>
      </c>
      <c r="H324" s="460">
        <f>IF(L323&lt;0.01,0,IF($H$68="",0,L323*Adm!$V$3))</f>
        <v>0</v>
      </c>
      <c r="I324" s="460">
        <f>IF(L323&lt;0.01,0,IF($I$68="",0,($G$28*0.7*Adm!$W$3)))</f>
        <v>0</v>
      </c>
      <c r="J324" s="460">
        <f>IF(L323&lt;0.01,0,Adm!$AD$2*1.16)</f>
        <v>0</v>
      </c>
      <c r="K324" s="460">
        <f t="shared" si="72"/>
        <v>0</v>
      </c>
      <c r="L324" s="460">
        <f t="shared" si="73"/>
        <v>0</v>
      </c>
      <c r="M324" s="482"/>
      <c r="T324" s="469">
        <f t="shared" si="57"/>
        <v>3</v>
      </c>
      <c r="U324" s="470">
        <f>IF(T324=1,Adm!$O$2,0)</f>
        <v>0</v>
      </c>
      <c r="Z324" s="477">
        <f t="shared" si="58"/>
        <v>0</v>
      </c>
      <c r="AA324" s="478">
        <f>IF(M323&lt;=0,0,IF($AA$63=$AA$60,0,IF($Z$63=$Z$61,PMT(Adm!$J$2/12,B323,-L323),0)))</f>
        <v>0</v>
      </c>
      <c r="AB324" s="479">
        <f t="shared" si="59"/>
        <v>0</v>
      </c>
      <c r="AC324" s="479"/>
      <c r="AE324" s="473" t="e">
        <f t="shared" si="60"/>
        <v>#N/A</v>
      </c>
      <c r="AF324" s="480" t="e">
        <f t="shared" si="66"/>
        <v>#N/A</v>
      </c>
      <c r="AG324" s="475" t="e">
        <f t="shared" si="61"/>
        <v>#N/A</v>
      </c>
      <c r="AH324" s="476" t="e">
        <f t="shared" si="62"/>
        <v>#N/A</v>
      </c>
      <c r="AI324" s="475" t="e">
        <f t="shared" si="67"/>
        <v>#N/A</v>
      </c>
      <c r="AJ324" s="307" t="e">
        <f t="shared" si="63"/>
        <v>#N/A</v>
      </c>
    </row>
    <row r="325" spans="2:36">
      <c r="B325" s="277">
        <f t="shared" si="71"/>
        <v>0</v>
      </c>
      <c r="C325" s="466">
        <f t="shared" si="52"/>
        <v>0</v>
      </c>
      <c r="D325" s="467">
        <f t="shared" si="64"/>
        <v>0</v>
      </c>
      <c r="E325" s="460">
        <f t="shared" si="53"/>
        <v>0</v>
      </c>
      <c r="F325" s="460">
        <f t="shared" si="54"/>
        <v>0</v>
      </c>
      <c r="G325" s="460">
        <f t="shared" si="65"/>
        <v>0</v>
      </c>
      <c r="H325" s="460">
        <f>IF(L324&lt;0.01,0,IF($H$68="",0,L324*Adm!$V$3))</f>
        <v>0</v>
      </c>
      <c r="I325" s="460">
        <f>IF(L324&lt;0.01,0,IF($I$68="",0,($G$28*0.7*Adm!$W$3)))</f>
        <v>0</v>
      </c>
      <c r="J325" s="460">
        <f>IF(L324&lt;0.01,0,Adm!$AD$2*1.16)</f>
        <v>0</v>
      </c>
      <c r="K325" s="460">
        <f t="shared" si="72"/>
        <v>0</v>
      </c>
      <c r="L325" s="460">
        <f t="shared" si="73"/>
        <v>0</v>
      </c>
      <c r="M325" s="482"/>
      <c r="T325" s="469">
        <f t="shared" si="57"/>
        <v>4</v>
      </c>
      <c r="U325" s="470">
        <f>IF(T325=1,Adm!$O$2,0)</f>
        <v>0</v>
      </c>
      <c r="Z325" s="477">
        <f t="shared" si="58"/>
        <v>0</v>
      </c>
      <c r="AA325" s="478">
        <f>IF(M324&lt;=0,0,IF($AA$63=$AA$60,0,IF($Z$63=$Z$61,PMT(Adm!$J$2/12,B324,-L324),0)))</f>
        <v>0</v>
      </c>
      <c r="AB325" s="479">
        <f t="shared" si="59"/>
        <v>0</v>
      </c>
      <c r="AC325" s="479"/>
      <c r="AE325" s="473" t="e">
        <f t="shared" si="60"/>
        <v>#N/A</v>
      </c>
      <c r="AF325" s="480" t="e">
        <f t="shared" si="66"/>
        <v>#N/A</v>
      </c>
      <c r="AG325" s="475" t="e">
        <f t="shared" si="61"/>
        <v>#N/A</v>
      </c>
      <c r="AH325" s="476" t="e">
        <f t="shared" si="62"/>
        <v>#N/A</v>
      </c>
      <c r="AI325" s="475" t="e">
        <f t="shared" si="67"/>
        <v>#N/A</v>
      </c>
      <c r="AJ325" s="307" t="e">
        <f t="shared" si="63"/>
        <v>#N/A</v>
      </c>
    </row>
    <row r="326" spans="2:36">
      <c r="B326" s="277">
        <f t="shared" si="71"/>
        <v>0</v>
      </c>
      <c r="C326" s="466">
        <f t="shared" si="52"/>
        <v>0</v>
      </c>
      <c r="D326" s="467">
        <f t="shared" si="64"/>
        <v>0</v>
      </c>
      <c r="E326" s="460">
        <f t="shared" si="53"/>
        <v>0</v>
      </c>
      <c r="F326" s="460">
        <f t="shared" si="54"/>
        <v>0</v>
      </c>
      <c r="G326" s="460">
        <f t="shared" si="65"/>
        <v>0</v>
      </c>
      <c r="H326" s="460">
        <f>IF(L325&lt;0.01,0,IF($H$68="",0,L325*Adm!$V$3))</f>
        <v>0</v>
      </c>
      <c r="I326" s="460">
        <f>IF(L325&lt;0.01,0,IF($I$68="",0,($G$28*0.7*Adm!$W$3)))</f>
        <v>0</v>
      </c>
      <c r="J326" s="460">
        <f>IF(L325&lt;0.01,0,Adm!$AD$2*1.16)</f>
        <v>0</v>
      </c>
      <c r="K326" s="460">
        <f t="shared" si="72"/>
        <v>0</v>
      </c>
      <c r="L326" s="460">
        <f t="shared" si="73"/>
        <v>0</v>
      </c>
      <c r="M326" s="482"/>
      <c r="T326" s="469">
        <f t="shared" si="57"/>
        <v>5</v>
      </c>
      <c r="U326" s="470">
        <f>IF(T326=1,Adm!$O$2,0)</f>
        <v>0</v>
      </c>
      <c r="Z326" s="477">
        <f t="shared" si="58"/>
        <v>0</v>
      </c>
      <c r="AA326" s="478">
        <f>IF(M325&lt;=0,0,IF($AA$63=$AA$60,0,IF($Z$63=$Z$61,PMT(Adm!$J$2/12,B325,-L325),0)))</f>
        <v>0</v>
      </c>
      <c r="AB326" s="479">
        <f t="shared" si="59"/>
        <v>0</v>
      </c>
      <c r="AC326" s="479"/>
      <c r="AE326" s="473" t="e">
        <f t="shared" si="60"/>
        <v>#N/A</v>
      </c>
      <c r="AF326" s="480" t="e">
        <f t="shared" si="66"/>
        <v>#N/A</v>
      </c>
      <c r="AG326" s="475" t="e">
        <f t="shared" si="61"/>
        <v>#N/A</v>
      </c>
      <c r="AH326" s="476" t="e">
        <f t="shared" si="62"/>
        <v>#N/A</v>
      </c>
      <c r="AI326" s="475" t="e">
        <f t="shared" si="67"/>
        <v>#N/A</v>
      </c>
      <c r="AJ326" s="307" t="e">
        <f t="shared" si="63"/>
        <v>#N/A</v>
      </c>
    </row>
    <row r="327" spans="2:36">
      <c r="B327" s="277">
        <f t="shared" si="71"/>
        <v>0</v>
      </c>
      <c r="C327" s="466">
        <f t="shared" ref="C327:C369" si="74">IF(L326&gt;0.01,C326+1,0)</f>
        <v>0</v>
      </c>
      <c r="D327" s="467">
        <f t="shared" si="64"/>
        <v>0</v>
      </c>
      <c r="E327" s="460">
        <f t="shared" ref="E327:E369" si="75">IF(L326&lt;0.001,0,L326*D327/360*30.4166)</f>
        <v>0</v>
      </c>
      <c r="F327" s="460">
        <f t="shared" ref="F327:F369" si="76">G327-E327</f>
        <v>0</v>
      </c>
      <c r="G327" s="460">
        <f t="shared" si="65"/>
        <v>0</v>
      </c>
      <c r="H327" s="460">
        <f>IF(L326&lt;0.01,0,IF($H$68="",0,L326*Adm!$V$3))</f>
        <v>0</v>
      </c>
      <c r="I327" s="460">
        <f>IF(L326&lt;0.01,0,IF($I$68="",0,($G$28*0.7*Adm!$W$3)))</f>
        <v>0</v>
      </c>
      <c r="J327" s="460">
        <f>IF(L326&lt;0.01,0,Adm!$AD$2*1.16)</f>
        <v>0</v>
      </c>
      <c r="K327" s="460">
        <f t="shared" si="72"/>
        <v>0</v>
      </c>
      <c r="L327" s="460">
        <f t="shared" si="73"/>
        <v>0</v>
      </c>
      <c r="M327" s="482"/>
      <c r="T327" s="469">
        <f t="shared" ref="T327:T369" si="77">IF(T326=12,1,T326+1)</f>
        <v>6</v>
      </c>
      <c r="U327" s="470">
        <f>IF(T327=1,Adm!$O$2,0)</f>
        <v>0</v>
      </c>
      <c r="Z327" s="477">
        <f t="shared" ref="Z327:Z369" si="78">IF(AA327&gt;0,AA327,IF(AB327&gt;0,AB327,0))</f>
        <v>0</v>
      </c>
      <c r="AA327" s="478">
        <f>IF(M326&lt;=0,0,IF($AA$63=$AA$60,0,IF($Z$63=$Z$61,PMT(Adm!$J$2/12,B326,-L326),0)))</f>
        <v>0</v>
      </c>
      <c r="AB327" s="479">
        <f t="shared" ref="AB327:AB369" si="79">IF(M326&lt;=0,0,IF($AA$63=$AA$58,0,IF($Z$63=$Z$61,(L326*AE327)+E327,0)))</f>
        <v>0</v>
      </c>
      <c r="AC327" s="479"/>
      <c r="AE327" s="473" t="e">
        <f t="shared" ref="AE327:AE369" si="80">AH327/AJ326</f>
        <v>#N/A</v>
      </c>
      <c r="AF327" s="480" t="e">
        <f t="shared" si="66"/>
        <v>#N/A</v>
      </c>
      <c r="AG327" s="475" t="e">
        <f t="shared" ref="AG327:AG369" si="81">AJ326*$AG$63/12</f>
        <v>#N/A</v>
      </c>
      <c r="AH327" s="476" t="e">
        <f t="shared" ref="AH327:AH369" si="82">AI327-AG327</f>
        <v>#N/A</v>
      </c>
      <c r="AI327" s="475" t="e">
        <f t="shared" si="67"/>
        <v>#N/A</v>
      </c>
      <c r="AJ327" s="307" t="e">
        <f t="shared" ref="AJ327:AJ369" si="83">IF(AJ326&lt;0.001,0,AJ326-AH327)</f>
        <v>#N/A</v>
      </c>
    </row>
    <row r="328" spans="2:36">
      <c r="B328" s="277">
        <f t="shared" si="71"/>
        <v>0</v>
      </c>
      <c r="C328" s="466">
        <f t="shared" si="74"/>
        <v>0</v>
      </c>
      <c r="D328" s="467">
        <f t="shared" ref="D328:D369" si="84">IF(L327&gt;0.01,D327,0)</f>
        <v>0</v>
      </c>
      <c r="E328" s="460">
        <f t="shared" si="75"/>
        <v>0</v>
      </c>
      <c r="F328" s="460">
        <f t="shared" si="76"/>
        <v>0</v>
      </c>
      <c r="G328" s="460">
        <f t="shared" ref="G328:G369" si="85">IF(L327&lt;0.001,0,IF(Z328&gt;0,Z328,MIN(L327+E328,G327*(1+U328))))</f>
        <v>0</v>
      </c>
      <c r="H328" s="460">
        <f>IF(L327&lt;0.01,0,IF($H$68="",0,L327*Adm!$V$3))</f>
        <v>0</v>
      </c>
      <c r="I328" s="460">
        <f>IF(L327&lt;0.01,0,IF($I$68="",0,($G$28*0.7*Adm!$W$3)))</f>
        <v>0</v>
      </c>
      <c r="J328" s="460">
        <f>IF(L327&lt;0.01,0,Adm!$AD$2*1.16)</f>
        <v>0</v>
      </c>
      <c r="K328" s="460">
        <f t="shared" si="72"/>
        <v>0</v>
      </c>
      <c r="L328" s="460">
        <f t="shared" si="73"/>
        <v>0</v>
      </c>
      <c r="M328" s="482"/>
      <c r="T328" s="469">
        <f t="shared" si="77"/>
        <v>7</v>
      </c>
      <c r="U328" s="470">
        <f>IF(T328=1,Adm!$O$2,0)</f>
        <v>0</v>
      </c>
      <c r="Z328" s="477">
        <f t="shared" si="78"/>
        <v>0</v>
      </c>
      <c r="AA328" s="478">
        <f>IF(M327&lt;=0,0,IF($AA$63=$AA$60,0,IF($Z$63=$Z$61,PMT(Adm!$J$2/12,B327,-L327),0)))</f>
        <v>0</v>
      </c>
      <c r="AB328" s="479">
        <f t="shared" si="79"/>
        <v>0</v>
      </c>
      <c r="AC328" s="479"/>
      <c r="AE328" s="473" t="e">
        <f t="shared" si="80"/>
        <v>#N/A</v>
      </c>
      <c r="AF328" s="480" t="e">
        <f t="shared" ref="AF328:AF369" si="86">IF(AJ327&lt;=0,"",AF327+1)</f>
        <v>#N/A</v>
      </c>
      <c r="AG328" s="475" t="e">
        <f t="shared" si="81"/>
        <v>#N/A</v>
      </c>
      <c r="AH328" s="476" t="e">
        <f t="shared" si="82"/>
        <v>#N/A</v>
      </c>
      <c r="AI328" s="475" t="e">
        <f t="shared" ref="AI328:AI369" si="87">MIN(AJ327+AG328,AI327)</f>
        <v>#N/A</v>
      </c>
      <c r="AJ328" s="307" t="e">
        <f t="shared" si="83"/>
        <v>#N/A</v>
      </c>
    </row>
    <row r="329" spans="2:36">
      <c r="B329" s="277">
        <f t="shared" si="71"/>
        <v>0</v>
      </c>
      <c r="C329" s="466">
        <f t="shared" si="74"/>
        <v>0</v>
      </c>
      <c r="D329" s="467">
        <f t="shared" si="84"/>
        <v>0</v>
      </c>
      <c r="E329" s="460">
        <f t="shared" si="75"/>
        <v>0</v>
      </c>
      <c r="F329" s="460">
        <f t="shared" si="76"/>
        <v>0</v>
      </c>
      <c r="G329" s="460">
        <f t="shared" si="85"/>
        <v>0</v>
      </c>
      <c r="H329" s="460">
        <f>IF(L328&lt;0.01,0,IF($H$68="",0,L328*Adm!$V$3))</f>
        <v>0</v>
      </c>
      <c r="I329" s="460">
        <f>IF(L328&lt;0.01,0,IF($I$68="",0,($G$28*0.7*Adm!$W$3)))</f>
        <v>0</v>
      </c>
      <c r="J329" s="460">
        <f>IF(L328&lt;0.01,0,Adm!$AD$2*1.16)</f>
        <v>0</v>
      </c>
      <c r="K329" s="460">
        <f t="shared" si="72"/>
        <v>0</v>
      </c>
      <c r="L329" s="460">
        <f t="shared" si="73"/>
        <v>0</v>
      </c>
      <c r="M329" s="482"/>
      <c r="T329" s="469">
        <f t="shared" si="77"/>
        <v>8</v>
      </c>
      <c r="U329" s="470">
        <f>IF(T329=1,Adm!$O$2,0)</f>
        <v>0</v>
      </c>
      <c r="Z329" s="477">
        <f t="shared" si="78"/>
        <v>0</v>
      </c>
      <c r="AA329" s="478">
        <f>IF(M328&lt;=0,0,IF($AA$63=$AA$60,0,IF($Z$63=$Z$61,PMT(Adm!$J$2/12,B328,-L328),0)))</f>
        <v>0</v>
      </c>
      <c r="AB329" s="479">
        <f t="shared" si="79"/>
        <v>0</v>
      </c>
      <c r="AC329" s="479"/>
      <c r="AE329" s="473" t="e">
        <f t="shared" si="80"/>
        <v>#N/A</v>
      </c>
      <c r="AF329" s="480" t="e">
        <f t="shared" si="86"/>
        <v>#N/A</v>
      </c>
      <c r="AG329" s="475" t="e">
        <f t="shared" si="81"/>
        <v>#N/A</v>
      </c>
      <c r="AH329" s="476" t="e">
        <f t="shared" si="82"/>
        <v>#N/A</v>
      </c>
      <c r="AI329" s="475" t="e">
        <f t="shared" si="87"/>
        <v>#N/A</v>
      </c>
      <c r="AJ329" s="307" t="e">
        <f t="shared" si="83"/>
        <v>#N/A</v>
      </c>
    </row>
    <row r="330" spans="2:36">
      <c r="B330" s="277">
        <f t="shared" si="71"/>
        <v>0</v>
      </c>
      <c r="C330" s="466">
        <f t="shared" si="74"/>
        <v>0</v>
      </c>
      <c r="D330" s="467">
        <f t="shared" si="84"/>
        <v>0</v>
      </c>
      <c r="E330" s="460">
        <f t="shared" si="75"/>
        <v>0</v>
      </c>
      <c r="F330" s="460">
        <f t="shared" si="76"/>
        <v>0</v>
      </c>
      <c r="G330" s="460">
        <f t="shared" si="85"/>
        <v>0</v>
      </c>
      <c r="H330" s="460">
        <f>IF(L329&lt;0.01,0,IF($H$68="",0,L329*Adm!$V$3))</f>
        <v>0</v>
      </c>
      <c r="I330" s="460">
        <f>IF(L329&lt;0.01,0,IF($I$68="",0,($G$28*0.7*Adm!$W$3)))</f>
        <v>0</v>
      </c>
      <c r="J330" s="460">
        <f>IF(L329&lt;0.01,0,Adm!$AD$2*1.16)</f>
        <v>0</v>
      </c>
      <c r="K330" s="460">
        <f t="shared" si="72"/>
        <v>0</v>
      </c>
      <c r="L330" s="460">
        <f t="shared" si="73"/>
        <v>0</v>
      </c>
      <c r="M330" s="482"/>
      <c r="T330" s="469">
        <f t="shared" si="77"/>
        <v>9</v>
      </c>
      <c r="U330" s="470">
        <f>IF(T330=1,Adm!$O$2,0)</f>
        <v>0</v>
      </c>
      <c r="Z330" s="477">
        <f t="shared" si="78"/>
        <v>0</v>
      </c>
      <c r="AA330" s="478">
        <f>IF(M329&lt;=0,0,IF($AA$63=$AA$60,0,IF($Z$63=$Z$61,PMT(Adm!$J$2/12,B329,-L329),0)))</f>
        <v>0</v>
      </c>
      <c r="AB330" s="479">
        <f t="shared" si="79"/>
        <v>0</v>
      </c>
      <c r="AC330" s="479"/>
      <c r="AE330" s="473" t="e">
        <f t="shared" si="80"/>
        <v>#N/A</v>
      </c>
      <c r="AF330" s="480" t="e">
        <f t="shared" si="86"/>
        <v>#N/A</v>
      </c>
      <c r="AG330" s="475" t="e">
        <f t="shared" si="81"/>
        <v>#N/A</v>
      </c>
      <c r="AH330" s="476" t="e">
        <f t="shared" si="82"/>
        <v>#N/A</v>
      </c>
      <c r="AI330" s="475" t="e">
        <f t="shared" si="87"/>
        <v>#N/A</v>
      </c>
      <c r="AJ330" s="307" t="e">
        <f t="shared" si="83"/>
        <v>#N/A</v>
      </c>
    </row>
    <row r="331" spans="2:36">
      <c r="B331" s="277">
        <f t="shared" si="71"/>
        <v>0</v>
      </c>
      <c r="C331" s="466">
        <f t="shared" si="74"/>
        <v>0</v>
      </c>
      <c r="D331" s="467">
        <f t="shared" si="84"/>
        <v>0</v>
      </c>
      <c r="E331" s="460">
        <f t="shared" si="75"/>
        <v>0</v>
      </c>
      <c r="F331" s="460">
        <f t="shared" si="76"/>
        <v>0</v>
      </c>
      <c r="G331" s="460">
        <f t="shared" si="85"/>
        <v>0</v>
      </c>
      <c r="H331" s="460">
        <f>IF(L330&lt;0.01,0,IF($H$68="",0,L330*Adm!$V$3))</f>
        <v>0</v>
      </c>
      <c r="I331" s="460">
        <f>IF(L330&lt;0.01,0,IF($I$68="",0,($G$28*0.7*Adm!$W$3)))</f>
        <v>0</v>
      </c>
      <c r="J331" s="460">
        <f>IF(L330&lt;0.01,0,Adm!$AD$2*1.16)</f>
        <v>0</v>
      </c>
      <c r="K331" s="460">
        <f t="shared" si="72"/>
        <v>0</v>
      </c>
      <c r="L331" s="460">
        <f t="shared" si="73"/>
        <v>0</v>
      </c>
      <c r="M331" s="482"/>
      <c r="T331" s="469">
        <f t="shared" si="77"/>
        <v>10</v>
      </c>
      <c r="U331" s="470">
        <f>IF(T331=1,Adm!$O$2,0)</f>
        <v>0</v>
      </c>
      <c r="Z331" s="477">
        <f t="shared" si="78"/>
        <v>0</v>
      </c>
      <c r="AA331" s="478">
        <f>IF(M330&lt;=0,0,IF($AA$63=$AA$60,0,IF($Z$63=$Z$61,PMT(Adm!$J$2/12,B330,-L330),0)))</f>
        <v>0</v>
      </c>
      <c r="AB331" s="479">
        <f t="shared" si="79"/>
        <v>0</v>
      </c>
      <c r="AC331" s="479"/>
      <c r="AE331" s="473" t="e">
        <f t="shared" si="80"/>
        <v>#N/A</v>
      </c>
      <c r="AF331" s="480" t="e">
        <f t="shared" si="86"/>
        <v>#N/A</v>
      </c>
      <c r="AG331" s="475" t="e">
        <f t="shared" si="81"/>
        <v>#N/A</v>
      </c>
      <c r="AH331" s="476" t="e">
        <f t="shared" si="82"/>
        <v>#N/A</v>
      </c>
      <c r="AI331" s="475" t="e">
        <f t="shared" si="87"/>
        <v>#N/A</v>
      </c>
      <c r="AJ331" s="307" t="e">
        <f t="shared" si="83"/>
        <v>#N/A</v>
      </c>
    </row>
    <row r="332" spans="2:36">
      <c r="B332" s="277">
        <f t="shared" si="71"/>
        <v>0</v>
      </c>
      <c r="C332" s="466">
        <f t="shared" si="74"/>
        <v>0</v>
      </c>
      <c r="D332" s="467">
        <f t="shared" si="84"/>
        <v>0</v>
      </c>
      <c r="E332" s="460">
        <f t="shared" si="75"/>
        <v>0</v>
      </c>
      <c r="F332" s="460">
        <f t="shared" si="76"/>
        <v>0</v>
      </c>
      <c r="G332" s="460">
        <f t="shared" si="85"/>
        <v>0</v>
      </c>
      <c r="H332" s="460">
        <f>IF(L331&lt;0.01,0,IF($H$68="",0,L331*Adm!$V$3))</f>
        <v>0</v>
      </c>
      <c r="I332" s="460">
        <f>IF(L331&lt;0.01,0,IF($I$68="",0,($G$28*0.7*Adm!$W$3)))</f>
        <v>0</v>
      </c>
      <c r="J332" s="460">
        <f>IF(L331&lt;0.01,0,Adm!$AD$2*1.16)</f>
        <v>0</v>
      </c>
      <c r="K332" s="460">
        <f t="shared" si="72"/>
        <v>0</v>
      </c>
      <c r="L332" s="460">
        <f t="shared" si="73"/>
        <v>0</v>
      </c>
      <c r="M332" s="482"/>
      <c r="T332" s="469">
        <f t="shared" si="77"/>
        <v>11</v>
      </c>
      <c r="U332" s="470">
        <f>IF(T332=1,Adm!$O$2,0)</f>
        <v>0</v>
      </c>
      <c r="Z332" s="477">
        <f t="shared" si="78"/>
        <v>0</v>
      </c>
      <c r="AA332" s="478">
        <f>IF(M331&lt;=0,0,IF($AA$63=$AA$60,0,IF($Z$63=$Z$61,PMT(Adm!$J$2/12,B331,-L331),0)))</f>
        <v>0</v>
      </c>
      <c r="AB332" s="479">
        <f t="shared" si="79"/>
        <v>0</v>
      </c>
      <c r="AC332" s="479"/>
      <c r="AE332" s="473" t="e">
        <f t="shared" si="80"/>
        <v>#N/A</v>
      </c>
      <c r="AF332" s="480" t="e">
        <f t="shared" si="86"/>
        <v>#N/A</v>
      </c>
      <c r="AG332" s="475" t="e">
        <f t="shared" si="81"/>
        <v>#N/A</v>
      </c>
      <c r="AH332" s="476" t="e">
        <f t="shared" si="82"/>
        <v>#N/A</v>
      </c>
      <c r="AI332" s="475" t="e">
        <f t="shared" si="87"/>
        <v>#N/A</v>
      </c>
      <c r="AJ332" s="307" t="e">
        <f t="shared" si="83"/>
        <v>#N/A</v>
      </c>
    </row>
    <row r="333" spans="2:36">
      <c r="B333" s="277">
        <f t="shared" si="71"/>
        <v>0</v>
      </c>
      <c r="C333" s="466">
        <f t="shared" si="74"/>
        <v>0</v>
      </c>
      <c r="D333" s="467">
        <f t="shared" si="84"/>
        <v>0</v>
      </c>
      <c r="E333" s="460">
        <f t="shared" si="75"/>
        <v>0</v>
      </c>
      <c r="F333" s="460">
        <f t="shared" si="76"/>
        <v>0</v>
      </c>
      <c r="G333" s="460">
        <f t="shared" si="85"/>
        <v>0</v>
      </c>
      <c r="H333" s="460">
        <f>IF(L332&lt;0.01,0,IF($H$68="",0,L332*Adm!$V$3))</f>
        <v>0</v>
      </c>
      <c r="I333" s="460">
        <f>IF(L332&lt;0.01,0,IF($I$68="",0,($G$28*0.7*Adm!$W$3)))</f>
        <v>0</v>
      </c>
      <c r="J333" s="460">
        <f>IF(L332&lt;0.01,0,Adm!$AD$2*1.16)</f>
        <v>0</v>
      </c>
      <c r="K333" s="460">
        <f t="shared" si="72"/>
        <v>0</v>
      </c>
      <c r="L333" s="460">
        <f t="shared" si="73"/>
        <v>0</v>
      </c>
      <c r="M333" s="482"/>
      <c r="T333" s="469">
        <f t="shared" si="77"/>
        <v>12</v>
      </c>
      <c r="U333" s="470">
        <f>IF(T333=1,Adm!$O$2,0)</f>
        <v>0</v>
      </c>
      <c r="Z333" s="477">
        <f t="shared" si="78"/>
        <v>0</v>
      </c>
      <c r="AA333" s="478">
        <f>IF(M332&lt;=0,0,IF($AA$63=$AA$60,0,IF($Z$63=$Z$61,PMT(Adm!$J$2/12,B332,-L332),0)))</f>
        <v>0</v>
      </c>
      <c r="AB333" s="479">
        <f t="shared" si="79"/>
        <v>0</v>
      </c>
      <c r="AC333" s="479"/>
      <c r="AE333" s="473" t="e">
        <f t="shared" si="80"/>
        <v>#N/A</v>
      </c>
      <c r="AF333" s="480" t="e">
        <f t="shared" si="86"/>
        <v>#N/A</v>
      </c>
      <c r="AG333" s="475" t="e">
        <f t="shared" si="81"/>
        <v>#N/A</v>
      </c>
      <c r="AH333" s="476" t="e">
        <f t="shared" si="82"/>
        <v>#N/A</v>
      </c>
      <c r="AI333" s="475" t="e">
        <f t="shared" si="87"/>
        <v>#N/A</v>
      </c>
      <c r="AJ333" s="307" t="e">
        <f t="shared" si="83"/>
        <v>#N/A</v>
      </c>
    </row>
    <row r="334" spans="2:36">
      <c r="B334" s="277">
        <f t="shared" si="71"/>
        <v>0</v>
      </c>
      <c r="C334" s="466">
        <f t="shared" si="74"/>
        <v>0</v>
      </c>
      <c r="D334" s="467">
        <f t="shared" si="84"/>
        <v>0</v>
      </c>
      <c r="E334" s="460">
        <f t="shared" si="75"/>
        <v>0</v>
      </c>
      <c r="F334" s="460">
        <f t="shared" si="76"/>
        <v>0</v>
      </c>
      <c r="G334" s="460">
        <f t="shared" si="85"/>
        <v>0</v>
      </c>
      <c r="H334" s="460">
        <f>IF(L333&lt;0.01,0,IF($H$68="",0,L333*Adm!$V$3))</f>
        <v>0</v>
      </c>
      <c r="I334" s="460">
        <f>IF(L333&lt;0.01,0,IF($I$68="",0,($G$28*0.7*Adm!$W$3)))</f>
        <v>0</v>
      </c>
      <c r="J334" s="460">
        <f>IF(L333&lt;0.01,0,Adm!$AD$2*1.16)</f>
        <v>0</v>
      </c>
      <c r="K334" s="460">
        <f t="shared" si="72"/>
        <v>0</v>
      </c>
      <c r="L334" s="460">
        <f t="shared" si="73"/>
        <v>0</v>
      </c>
      <c r="M334" s="482"/>
      <c r="T334" s="469">
        <f t="shared" si="77"/>
        <v>1</v>
      </c>
      <c r="U334" s="470">
        <f>IF(T334=1,Adm!$O$2,0)</f>
        <v>0</v>
      </c>
      <c r="Z334" s="477">
        <f t="shared" si="78"/>
        <v>0</v>
      </c>
      <c r="AA334" s="478">
        <f>IF(M333&lt;=0,0,IF($AA$63=$AA$60,0,IF($Z$63=$Z$61,PMT(Adm!$J$2/12,B333,-L333),0)))</f>
        <v>0</v>
      </c>
      <c r="AB334" s="479">
        <f t="shared" si="79"/>
        <v>0</v>
      </c>
      <c r="AC334" s="479"/>
      <c r="AE334" s="473" t="e">
        <f t="shared" si="80"/>
        <v>#N/A</v>
      </c>
      <c r="AF334" s="480" t="e">
        <f t="shared" si="86"/>
        <v>#N/A</v>
      </c>
      <c r="AG334" s="475" t="e">
        <f t="shared" si="81"/>
        <v>#N/A</v>
      </c>
      <c r="AH334" s="476" t="e">
        <f t="shared" si="82"/>
        <v>#N/A</v>
      </c>
      <c r="AI334" s="481" t="e">
        <f>MIN(AJ333+AG334,AI333*(1+$AG$65))</f>
        <v>#N/A</v>
      </c>
      <c r="AJ334" s="307" t="e">
        <f t="shared" si="83"/>
        <v>#N/A</v>
      </c>
    </row>
    <row r="335" spans="2:36">
      <c r="B335" s="277">
        <f t="shared" si="71"/>
        <v>0</v>
      </c>
      <c r="C335" s="466">
        <f t="shared" si="74"/>
        <v>0</v>
      </c>
      <c r="D335" s="467">
        <f t="shared" si="84"/>
        <v>0</v>
      </c>
      <c r="E335" s="460">
        <f t="shared" si="75"/>
        <v>0</v>
      </c>
      <c r="F335" s="460">
        <f t="shared" si="76"/>
        <v>0</v>
      </c>
      <c r="G335" s="460">
        <f t="shared" si="85"/>
        <v>0</v>
      </c>
      <c r="H335" s="460">
        <f>IF(L334&lt;0.01,0,IF($H$68="",0,L334*Adm!$V$3))</f>
        <v>0</v>
      </c>
      <c r="I335" s="460">
        <f>IF(L334&lt;0.01,0,IF($I$68="",0,($G$28*0.7*Adm!$W$3)))</f>
        <v>0</v>
      </c>
      <c r="J335" s="460">
        <f>IF(L334&lt;0.01,0,Adm!$AD$2*1.16)</f>
        <v>0</v>
      </c>
      <c r="K335" s="460">
        <f t="shared" si="72"/>
        <v>0</v>
      </c>
      <c r="L335" s="460">
        <f t="shared" si="73"/>
        <v>0</v>
      </c>
      <c r="M335" s="482"/>
      <c r="T335" s="469">
        <f t="shared" si="77"/>
        <v>2</v>
      </c>
      <c r="U335" s="470">
        <f>IF(T335=1,Adm!$O$2,0)</f>
        <v>0</v>
      </c>
      <c r="Z335" s="477">
        <f t="shared" si="78"/>
        <v>0</v>
      </c>
      <c r="AA335" s="478">
        <f>IF(M334&lt;=0,0,IF($AA$63=$AA$60,0,IF($Z$63=$Z$61,PMT(Adm!$J$2/12,B334,-L334),0)))</f>
        <v>0</v>
      </c>
      <c r="AB335" s="479">
        <f t="shared" si="79"/>
        <v>0</v>
      </c>
      <c r="AC335" s="479"/>
      <c r="AE335" s="473" t="e">
        <f t="shared" si="80"/>
        <v>#N/A</v>
      </c>
      <c r="AF335" s="480" t="e">
        <f t="shared" si="86"/>
        <v>#N/A</v>
      </c>
      <c r="AG335" s="475" t="e">
        <f t="shared" si="81"/>
        <v>#N/A</v>
      </c>
      <c r="AH335" s="476" t="e">
        <f t="shared" si="82"/>
        <v>#N/A</v>
      </c>
      <c r="AI335" s="475" t="e">
        <f t="shared" si="87"/>
        <v>#N/A</v>
      </c>
      <c r="AJ335" s="307" t="e">
        <f t="shared" si="83"/>
        <v>#N/A</v>
      </c>
    </row>
    <row r="336" spans="2:36">
      <c r="B336" s="277">
        <f t="shared" si="71"/>
        <v>0</v>
      </c>
      <c r="C336" s="466">
        <f t="shared" si="74"/>
        <v>0</v>
      </c>
      <c r="D336" s="467">
        <f t="shared" si="84"/>
        <v>0</v>
      </c>
      <c r="E336" s="460">
        <f t="shared" si="75"/>
        <v>0</v>
      </c>
      <c r="F336" s="460">
        <f t="shared" si="76"/>
        <v>0</v>
      </c>
      <c r="G336" s="460">
        <f t="shared" si="85"/>
        <v>0</v>
      </c>
      <c r="H336" s="460">
        <f>IF(L335&lt;0.01,0,IF($H$68="",0,L335*Adm!$V$3))</f>
        <v>0</v>
      </c>
      <c r="I336" s="460">
        <f>IF(L335&lt;0.01,0,IF($I$68="",0,($G$28*0.7*Adm!$W$3)))</f>
        <v>0</v>
      </c>
      <c r="J336" s="460">
        <f>IF(L335&lt;0.01,0,Adm!$AD$2*1.16)</f>
        <v>0</v>
      </c>
      <c r="K336" s="460">
        <f t="shared" si="72"/>
        <v>0</v>
      </c>
      <c r="L336" s="460">
        <f t="shared" si="73"/>
        <v>0</v>
      </c>
      <c r="M336" s="482"/>
      <c r="T336" s="469">
        <f t="shared" si="77"/>
        <v>3</v>
      </c>
      <c r="U336" s="470">
        <f>IF(T336=1,Adm!$O$2,0)</f>
        <v>0</v>
      </c>
      <c r="Z336" s="477">
        <f t="shared" si="78"/>
        <v>0</v>
      </c>
      <c r="AA336" s="478">
        <f>IF(M335&lt;=0,0,IF($AA$63=$AA$60,0,IF($Z$63=$Z$61,PMT(Adm!$J$2/12,B335,-L335),0)))</f>
        <v>0</v>
      </c>
      <c r="AB336" s="479">
        <f t="shared" si="79"/>
        <v>0</v>
      </c>
      <c r="AC336" s="479"/>
      <c r="AE336" s="473" t="e">
        <f t="shared" si="80"/>
        <v>#N/A</v>
      </c>
      <c r="AF336" s="480" t="e">
        <f t="shared" si="86"/>
        <v>#N/A</v>
      </c>
      <c r="AG336" s="475" t="e">
        <f t="shared" si="81"/>
        <v>#N/A</v>
      </c>
      <c r="AH336" s="476" t="e">
        <f t="shared" si="82"/>
        <v>#N/A</v>
      </c>
      <c r="AI336" s="475" t="e">
        <f t="shared" si="87"/>
        <v>#N/A</v>
      </c>
      <c r="AJ336" s="307" t="e">
        <f t="shared" si="83"/>
        <v>#N/A</v>
      </c>
    </row>
    <row r="337" spans="2:36">
      <c r="B337" s="277">
        <f t="shared" si="71"/>
        <v>0</v>
      </c>
      <c r="C337" s="466">
        <f t="shared" si="74"/>
        <v>0</v>
      </c>
      <c r="D337" s="467">
        <f t="shared" si="84"/>
        <v>0</v>
      </c>
      <c r="E337" s="460">
        <f t="shared" si="75"/>
        <v>0</v>
      </c>
      <c r="F337" s="460">
        <f t="shared" si="76"/>
        <v>0</v>
      </c>
      <c r="G337" s="460">
        <f t="shared" si="85"/>
        <v>0</v>
      </c>
      <c r="H337" s="460">
        <f>IF(L336&lt;0.01,0,IF($H$68="",0,L336*Adm!$V$3))</f>
        <v>0</v>
      </c>
      <c r="I337" s="460">
        <f>IF(L336&lt;0.01,0,IF($I$68="",0,($G$28*0.7*Adm!$W$3)))</f>
        <v>0</v>
      </c>
      <c r="J337" s="460">
        <f>IF(L336&lt;0.01,0,Adm!$AD$2*1.16)</f>
        <v>0</v>
      </c>
      <c r="K337" s="460">
        <f t="shared" si="72"/>
        <v>0</v>
      </c>
      <c r="L337" s="460">
        <f t="shared" si="73"/>
        <v>0</v>
      </c>
      <c r="M337" s="482"/>
      <c r="T337" s="469">
        <f t="shared" si="77"/>
        <v>4</v>
      </c>
      <c r="U337" s="470">
        <f>IF(T337=1,Adm!$O$2,0)</f>
        <v>0</v>
      </c>
      <c r="Z337" s="477">
        <f t="shared" si="78"/>
        <v>0</v>
      </c>
      <c r="AA337" s="478">
        <f>IF(M336&lt;=0,0,IF($AA$63=$AA$60,0,IF($Z$63=$Z$61,PMT(Adm!$J$2/12,B336,-L336),0)))</f>
        <v>0</v>
      </c>
      <c r="AB337" s="479">
        <f t="shared" si="79"/>
        <v>0</v>
      </c>
      <c r="AC337" s="479"/>
      <c r="AE337" s="473" t="e">
        <f t="shared" si="80"/>
        <v>#N/A</v>
      </c>
      <c r="AF337" s="480" t="e">
        <f t="shared" si="86"/>
        <v>#N/A</v>
      </c>
      <c r="AG337" s="475" t="e">
        <f t="shared" si="81"/>
        <v>#N/A</v>
      </c>
      <c r="AH337" s="476" t="e">
        <f t="shared" si="82"/>
        <v>#N/A</v>
      </c>
      <c r="AI337" s="475" t="e">
        <f t="shared" si="87"/>
        <v>#N/A</v>
      </c>
      <c r="AJ337" s="307" t="e">
        <f t="shared" si="83"/>
        <v>#N/A</v>
      </c>
    </row>
    <row r="338" spans="2:36">
      <c r="B338" s="277">
        <f t="shared" si="71"/>
        <v>0</v>
      </c>
      <c r="C338" s="466">
        <f t="shared" si="74"/>
        <v>0</v>
      </c>
      <c r="D338" s="467">
        <f t="shared" si="84"/>
        <v>0</v>
      </c>
      <c r="E338" s="460">
        <f t="shared" si="75"/>
        <v>0</v>
      </c>
      <c r="F338" s="460">
        <f t="shared" si="76"/>
        <v>0</v>
      </c>
      <c r="G338" s="460">
        <f t="shared" si="85"/>
        <v>0</v>
      </c>
      <c r="H338" s="460">
        <f>IF(L337&lt;0.01,0,IF($H$68="",0,L337*Adm!$V$3))</f>
        <v>0</v>
      </c>
      <c r="I338" s="460">
        <f>IF(L337&lt;0.01,0,IF($I$68="",0,($G$28*0.7*Adm!$W$3)))</f>
        <v>0</v>
      </c>
      <c r="J338" s="460">
        <f>IF(L337&lt;0.01,0,Adm!$AD$2*1.16)</f>
        <v>0</v>
      </c>
      <c r="K338" s="460">
        <f t="shared" si="72"/>
        <v>0</v>
      </c>
      <c r="L338" s="460">
        <f t="shared" si="73"/>
        <v>0</v>
      </c>
      <c r="M338" s="482"/>
      <c r="T338" s="469">
        <f t="shared" si="77"/>
        <v>5</v>
      </c>
      <c r="U338" s="470">
        <f>IF(T338=1,Adm!$O$2,0)</f>
        <v>0</v>
      </c>
      <c r="Z338" s="477">
        <f t="shared" si="78"/>
        <v>0</v>
      </c>
      <c r="AA338" s="478">
        <f>IF(M337&lt;=0,0,IF($AA$63=$AA$60,0,IF($Z$63=$Z$61,PMT(Adm!$J$2/12,B337,-L337),0)))</f>
        <v>0</v>
      </c>
      <c r="AB338" s="479">
        <f t="shared" si="79"/>
        <v>0</v>
      </c>
      <c r="AC338" s="479"/>
      <c r="AE338" s="473" t="e">
        <f t="shared" si="80"/>
        <v>#N/A</v>
      </c>
      <c r="AF338" s="480" t="e">
        <f t="shared" si="86"/>
        <v>#N/A</v>
      </c>
      <c r="AG338" s="475" t="e">
        <f t="shared" si="81"/>
        <v>#N/A</v>
      </c>
      <c r="AH338" s="476" t="e">
        <f t="shared" si="82"/>
        <v>#N/A</v>
      </c>
      <c r="AI338" s="475" t="e">
        <f t="shared" si="87"/>
        <v>#N/A</v>
      </c>
      <c r="AJ338" s="307" t="e">
        <f t="shared" si="83"/>
        <v>#N/A</v>
      </c>
    </row>
    <row r="339" spans="2:36">
      <c r="B339" s="277">
        <f t="shared" si="71"/>
        <v>0</v>
      </c>
      <c r="C339" s="466">
        <f t="shared" si="74"/>
        <v>0</v>
      </c>
      <c r="D339" s="467">
        <f t="shared" si="84"/>
        <v>0</v>
      </c>
      <c r="E339" s="460">
        <f t="shared" si="75"/>
        <v>0</v>
      </c>
      <c r="F339" s="460">
        <f t="shared" si="76"/>
        <v>0</v>
      </c>
      <c r="G339" s="460">
        <f t="shared" si="85"/>
        <v>0</v>
      </c>
      <c r="H339" s="460">
        <f>IF(L338&lt;0.01,0,IF($H$68="",0,L338*Adm!$V$3))</f>
        <v>0</v>
      </c>
      <c r="I339" s="460">
        <f>IF(L338&lt;0.01,0,IF($I$68="",0,($G$28*0.7*Adm!$W$3)))</f>
        <v>0</v>
      </c>
      <c r="J339" s="460">
        <f>IF(L338&lt;0.01,0,Adm!$AD$2*1.16)</f>
        <v>0</v>
      </c>
      <c r="K339" s="460">
        <f t="shared" si="72"/>
        <v>0</v>
      </c>
      <c r="L339" s="460">
        <f t="shared" si="73"/>
        <v>0</v>
      </c>
      <c r="M339" s="482"/>
      <c r="T339" s="469">
        <f t="shared" si="77"/>
        <v>6</v>
      </c>
      <c r="U339" s="470">
        <f>IF(T339=1,Adm!$O$2,0)</f>
        <v>0</v>
      </c>
      <c r="Z339" s="477">
        <f t="shared" si="78"/>
        <v>0</v>
      </c>
      <c r="AA339" s="478">
        <f>IF(M338&lt;=0,0,IF($AA$63=$AA$60,0,IF($Z$63=$Z$61,PMT(Adm!$J$2/12,B338,-L338),0)))</f>
        <v>0</v>
      </c>
      <c r="AB339" s="479">
        <f t="shared" si="79"/>
        <v>0</v>
      </c>
      <c r="AC339" s="479"/>
      <c r="AE339" s="473" t="e">
        <f t="shared" si="80"/>
        <v>#N/A</v>
      </c>
      <c r="AF339" s="480" t="e">
        <f t="shared" si="86"/>
        <v>#N/A</v>
      </c>
      <c r="AG339" s="475" t="e">
        <f t="shared" si="81"/>
        <v>#N/A</v>
      </c>
      <c r="AH339" s="476" t="e">
        <f t="shared" si="82"/>
        <v>#N/A</v>
      </c>
      <c r="AI339" s="475" t="e">
        <f t="shared" si="87"/>
        <v>#N/A</v>
      </c>
      <c r="AJ339" s="307" t="e">
        <f t="shared" si="83"/>
        <v>#N/A</v>
      </c>
    </row>
    <row r="340" spans="2:36">
      <c r="B340" s="277">
        <f t="shared" si="71"/>
        <v>0</v>
      </c>
      <c r="C340" s="466">
        <f t="shared" si="74"/>
        <v>0</v>
      </c>
      <c r="D340" s="467">
        <f t="shared" si="84"/>
        <v>0</v>
      </c>
      <c r="E340" s="460">
        <f t="shared" si="75"/>
        <v>0</v>
      </c>
      <c r="F340" s="460">
        <f t="shared" si="76"/>
        <v>0</v>
      </c>
      <c r="G340" s="460">
        <f t="shared" si="85"/>
        <v>0</v>
      </c>
      <c r="H340" s="460">
        <f>IF(L339&lt;0.01,0,IF($H$68="",0,L339*Adm!$V$3))</f>
        <v>0</v>
      </c>
      <c r="I340" s="460">
        <f>IF(L339&lt;0.01,0,IF($I$68="",0,($G$28*0.7*Adm!$W$3)))</f>
        <v>0</v>
      </c>
      <c r="J340" s="460">
        <f>IF(L339&lt;0.01,0,Adm!$AD$2*1.16)</f>
        <v>0</v>
      </c>
      <c r="K340" s="460">
        <f t="shared" si="72"/>
        <v>0</v>
      </c>
      <c r="L340" s="460">
        <f t="shared" si="73"/>
        <v>0</v>
      </c>
      <c r="M340" s="482"/>
      <c r="T340" s="469">
        <f t="shared" si="77"/>
        <v>7</v>
      </c>
      <c r="U340" s="470">
        <f>IF(T340=1,Adm!$O$2,0)</f>
        <v>0</v>
      </c>
      <c r="Z340" s="477">
        <f t="shared" si="78"/>
        <v>0</v>
      </c>
      <c r="AA340" s="478">
        <f>IF(M339&lt;=0,0,IF($AA$63=$AA$60,0,IF($Z$63=$Z$61,PMT(Adm!$J$2/12,B339,-L339),0)))</f>
        <v>0</v>
      </c>
      <c r="AB340" s="479">
        <f t="shared" si="79"/>
        <v>0</v>
      </c>
      <c r="AC340" s="479"/>
      <c r="AE340" s="473" t="e">
        <f t="shared" si="80"/>
        <v>#N/A</v>
      </c>
      <c r="AF340" s="480" t="e">
        <f t="shared" si="86"/>
        <v>#N/A</v>
      </c>
      <c r="AG340" s="475" t="e">
        <f t="shared" si="81"/>
        <v>#N/A</v>
      </c>
      <c r="AH340" s="476" t="e">
        <f t="shared" si="82"/>
        <v>#N/A</v>
      </c>
      <c r="AI340" s="475" t="e">
        <f t="shared" si="87"/>
        <v>#N/A</v>
      </c>
      <c r="AJ340" s="307" t="e">
        <f t="shared" si="83"/>
        <v>#N/A</v>
      </c>
    </row>
    <row r="341" spans="2:36">
      <c r="B341" s="277">
        <f t="shared" si="71"/>
        <v>0</v>
      </c>
      <c r="C341" s="466">
        <f t="shared" si="74"/>
        <v>0</v>
      </c>
      <c r="D341" s="467">
        <f t="shared" si="84"/>
        <v>0</v>
      </c>
      <c r="E341" s="460">
        <f t="shared" si="75"/>
        <v>0</v>
      </c>
      <c r="F341" s="460">
        <f t="shared" si="76"/>
        <v>0</v>
      </c>
      <c r="G341" s="460">
        <f t="shared" si="85"/>
        <v>0</v>
      </c>
      <c r="H341" s="460">
        <f>IF(L340&lt;0.01,0,IF($H$68="",0,L340*Adm!$V$3))</f>
        <v>0</v>
      </c>
      <c r="I341" s="460">
        <f>IF(L340&lt;0.01,0,IF($I$68="",0,($G$28*0.7*Adm!$W$3)))</f>
        <v>0</v>
      </c>
      <c r="J341" s="460">
        <f>IF(L340&lt;0.01,0,Adm!$AD$2*1.16)</f>
        <v>0</v>
      </c>
      <c r="K341" s="460">
        <f t="shared" si="72"/>
        <v>0</v>
      </c>
      <c r="L341" s="460">
        <f t="shared" si="73"/>
        <v>0</v>
      </c>
      <c r="M341" s="482"/>
      <c r="T341" s="469">
        <f t="shared" si="77"/>
        <v>8</v>
      </c>
      <c r="U341" s="470">
        <f>IF(T341=1,Adm!$O$2,0)</f>
        <v>0</v>
      </c>
      <c r="Z341" s="477">
        <f t="shared" si="78"/>
        <v>0</v>
      </c>
      <c r="AA341" s="478">
        <f>IF(M340&lt;=0,0,IF($AA$63=$AA$60,0,IF($Z$63=$Z$61,PMT(Adm!$J$2/12,B340,-L340),0)))</f>
        <v>0</v>
      </c>
      <c r="AB341" s="479">
        <f t="shared" si="79"/>
        <v>0</v>
      </c>
      <c r="AC341" s="479"/>
      <c r="AE341" s="473" t="e">
        <f t="shared" si="80"/>
        <v>#N/A</v>
      </c>
      <c r="AF341" s="480" t="e">
        <f t="shared" si="86"/>
        <v>#N/A</v>
      </c>
      <c r="AG341" s="475" t="e">
        <f t="shared" si="81"/>
        <v>#N/A</v>
      </c>
      <c r="AH341" s="476" t="e">
        <f t="shared" si="82"/>
        <v>#N/A</v>
      </c>
      <c r="AI341" s="475" t="e">
        <f t="shared" si="87"/>
        <v>#N/A</v>
      </c>
      <c r="AJ341" s="307" t="e">
        <f t="shared" si="83"/>
        <v>#N/A</v>
      </c>
    </row>
    <row r="342" spans="2:36">
      <c r="B342" s="277">
        <f t="shared" si="71"/>
        <v>0</v>
      </c>
      <c r="C342" s="466">
        <f t="shared" si="74"/>
        <v>0</v>
      </c>
      <c r="D342" s="467">
        <f t="shared" si="84"/>
        <v>0</v>
      </c>
      <c r="E342" s="460">
        <f t="shared" si="75"/>
        <v>0</v>
      </c>
      <c r="F342" s="460">
        <f t="shared" si="76"/>
        <v>0</v>
      </c>
      <c r="G342" s="460">
        <f t="shared" si="85"/>
        <v>0</v>
      </c>
      <c r="H342" s="460">
        <f>IF(L341&lt;0.01,0,IF($H$68="",0,L341*Adm!$V$3))</f>
        <v>0</v>
      </c>
      <c r="I342" s="460">
        <f>IF(L341&lt;0.01,0,IF($I$68="",0,($G$28*0.7*Adm!$W$3)))</f>
        <v>0</v>
      </c>
      <c r="J342" s="460">
        <f>IF(L341&lt;0.01,0,Adm!$AD$2*1.16)</f>
        <v>0</v>
      </c>
      <c r="K342" s="460">
        <f t="shared" si="72"/>
        <v>0</v>
      </c>
      <c r="L342" s="460">
        <f t="shared" si="73"/>
        <v>0</v>
      </c>
      <c r="M342" s="482"/>
      <c r="T342" s="469">
        <f t="shared" si="77"/>
        <v>9</v>
      </c>
      <c r="U342" s="470">
        <f>IF(T342=1,Adm!$O$2,0)</f>
        <v>0</v>
      </c>
      <c r="Z342" s="477">
        <f t="shared" si="78"/>
        <v>0</v>
      </c>
      <c r="AA342" s="478">
        <f>IF(M341&lt;=0,0,IF($AA$63=$AA$60,0,IF($Z$63=$Z$61,PMT(Adm!$J$2/12,B341,-L341),0)))</f>
        <v>0</v>
      </c>
      <c r="AB342" s="479">
        <f t="shared" si="79"/>
        <v>0</v>
      </c>
      <c r="AC342" s="479"/>
      <c r="AE342" s="473" t="e">
        <f t="shared" si="80"/>
        <v>#N/A</v>
      </c>
      <c r="AF342" s="480" t="e">
        <f t="shared" si="86"/>
        <v>#N/A</v>
      </c>
      <c r="AG342" s="475" t="e">
        <f t="shared" si="81"/>
        <v>#N/A</v>
      </c>
      <c r="AH342" s="476" t="e">
        <f t="shared" si="82"/>
        <v>#N/A</v>
      </c>
      <c r="AI342" s="475" t="e">
        <f t="shared" si="87"/>
        <v>#N/A</v>
      </c>
      <c r="AJ342" s="307" t="e">
        <f t="shared" si="83"/>
        <v>#N/A</v>
      </c>
    </row>
    <row r="343" spans="2:36">
      <c r="B343" s="277">
        <f t="shared" si="71"/>
        <v>0</v>
      </c>
      <c r="C343" s="466">
        <f t="shared" si="74"/>
        <v>0</v>
      </c>
      <c r="D343" s="467">
        <f t="shared" si="84"/>
        <v>0</v>
      </c>
      <c r="E343" s="460">
        <f t="shared" si="75"/>
        <v>0</v>
      </c>
      <c r="F343" s="460">
        <f t="shared" si="76"/>
        <v>0</v>
      </c>
      <c r="G343" s="460">
        <f t="shared" si="85"/>
        <v>0</v>
      </c>
      <c r="H343" s="460">
        <f>IF(L342&lt;0.01,0,IF($H$68="",0,L342*Adm!$V$3))</f>
        <v>0</v>
      </c>
      <c r="I343" s="460">
        <f>IF(L342&lt;0.01,0,IF($I$68="",0,($G$28*0.7*Adm!$W$3)))</f>
        <v>0</v>
      </c>
      <c r="J343" s="460">
        <f>IF(L342&lt;0.01,0,Adm!$AD$2*1.16)</f>
        <v>0</v>
      </c>
      <c r="K343" s="460">
        <f t="shared" si="72"/>
        <v>0</v>
      </c>
      <c r="L343" s="460">
        <f t="shared" si="73"/>
        <v>0</v>
      </c>
      <c r="M343" s="482"/>
      <c r="T343" s="469">
        <f t="shared" si="77"/>
        <v>10</v>
      </c>
      <c r="U343" s="470">
        <f>IF(T343=1,Adm!$O$2,0)</f>
        <v>0</v>
      </c>
      <c r="Z343" s="477">
        <f t="shared" si="78"/>
        <v>0</v>
      </c>
      <c r="AA343" s="478">
        <f>IF(M342&lt;=0,0,IF($AA$63=$AA$60,0,IF($Z$63=$Z$61,PMT(Adm!$J$2/12,B342,-L342),0)))</f>
        <v>0</v>
      </c>
      <c r="AB343" s="479">
        <f t="shared" si="79"/>
        <v>0</v>
      </c>
      <c r="AC343" s="479"/>
      <c r="AE343" s="473" t="e">
        <f t="shared" si="80"/>
        <v>#N/A</v>
      </c>
      <c r="AF343" s="480" t="e">
        <f t="shared" si="86"/>
        <v>#N/A</v>
      </c>
      <c r="AG343" s="475" t="e">
        <f t="shared" si="81"/>
        <v>#N/A</v>
      </c>
      <c r="AH343" s="476" t="e">
        <f t="shared" si="82"/>
        <v>#N/A</v>
      </c>
      <c r="AI343" s="475" t="e">
        <f t="shared" si="87"/>
        <v>#N/A</v>
      </c>
      <c r="AJ343" s="307" t="e">
        <f t="shared" si="83"/>
        <v>#N/A</v>
      </c>
    </row>
    <row r="344" spans="2:36">
      <c r="B344" s="277">
        <f t="shared" si="71"/>
        <v>0</v>
      </c>
      <c r="C344" s="466">
        <f t="shared" si="74"/>
        <v>0</v>
      </c>
      <c r="D344" s="467">
        <f t="shared" si="84"/>
        <v>0</v>
      </c>
      <c r="E344" s="460">
        <f t="shared" si="75"/>
        <v>0</v>
      </c>
      <c r="F344" s="460">
        <f t="shared" si="76"/>
        <v>0</v>
      </c>
      <c r="G344" s="460">
        <f t="shared" si="85"/>
        <v>0</v>
      </c>
      <c r="H344" s="460">
        <f>IF(L343&lt;0.01,0,IF($H$68="",0,L343*Adm!$V$3))</f>
        <v>0</v>
      </c>
      <c r="I344" s="460">
        <f>IF(L343&lt;0.01,0,IF($I$68="",0,($G$28*0.7*Adm!$W$3)))</f>
        <v>0</v>
      </c>
      <c r="J344" s="460">
        <f>IF(L343&lt;0.01,0,Adm!$AD$2*1.16)</f>
        <v>0</v>
      </c>
      <c r="K344" s="460">
        <f t="shared" si="72"/>
        <v>0</v>
      </c>
      <c r="L344" s="460">
        <f t="shared" si="73"/>
        <v>0</v>
      </c>
      <c r="M344" s="482"/>
      <c r="T344" s="469">
        <f t="shared" si="77"/>
        <v>11</v>
      </c>
      <c r="U344" s="470">
        <f>IF(T344=1,Adm!$O$2,0)</f>
        <v>0</v>
      </c>
      <c r="Z344" s="477">
        <f t="shared" si="78"/>
        <v>0</v>
      </c>
      <c r="AA344" s="478">
        <f>IF(M343&lt;=0,0,IF($AA$63=$AA$60,0,IF($Z$63=$Z$61,PMT(Adm!$J$2/12,B343,-L343),0)))</f>
        <v>0</v>
      </c>
      <c r="AB344" s="479">
        <f t="shared" si="79"/>
        <v>0</v>
      </c>
      <c r="AC344" s="479"/>
      <c r="AE344" s="473" t="e">
        <f t="shared" si="80"/>
        <v>#N/A</v>
      </c>
      <c r="AF344" s="480" t="e">
        <f t="shared" si="86"/>
        <v>#N/A</v>
      </c>
      <c r="AG344" s="475" t="e">
        <f t="shared" si="81"/>
        <v>#N/A</v>
      </c>
      <c r="AH344" s="476" t="e">
        <f t="shared" si="82"/>
        <v>#N/A</v>
      </c>
      <c r="AI344" s="475" t="e">
        <f t="shared" si="87"/>
        <v>#N/A</v>
      </c>
      <c r="AJ344" s="307" t="e">
        <f t="shared" si="83"/>
        <v>#N/A</v>
      </c>
    </row>
    <row r="345" spans="2:36">
      <c r="B345" s="277">
        <f t="shared" si="71"/>
        <v>0</v>
      </c>
      <c r="C345" s="466">
        <f t="shared" si="74"/>
        <v>0</v>
      </c>
      <c r="D345" s="467">
        <f t="shared" si="84"/>
        <v>0</v>
      </c>
      <c r="E345" s="460">
        <f t="shared" si="75"/>
        <v>0</v>
      </c>
      <c r="F345" s="460">
        <f t="shared" si="76"/>
        <v>0</v>
      </c>
      <c r="G345" s="460">
        <f t="shared" si="85"/>
        <v>0</v>
      </c>
      <c r="H345" s="460">
        <f>IF(L344&lt;0.01,0,IF($H$68="",0,L344*Adm!$V$3))</f>
        <v>0</v>
      </c>
      <c r="I345" s="460">
        <f>IF(L344&lt;0.01,0,IF($I$68="",0,($G$28*0.7*Adm!$W$3)))</f>
        <v>0</v>
      </c>
      <c r="J345" s="460">
        <f>IF(L344&lt;0.01,0,Adm!$AD$2*1.16)</f>
        <v>0</v>
      </c>
      <c r="K345" s="460">
        <f t="shared" si="72"/>
        <v>0</v>
      </c>
      <c r="L345" s="460">
        <f t="shared" si="73"/>
        <v>0</v>
      </c>
      <c r="M345" s="482"/>
      <c r="T345" s="469">
        <f t="shared" si="77"/>
        <v>12</v>
      </c>
      <c r="U345" s="470">
        <f>IF(T345=1,Adm!$O$2,0)</f>
        <v>0</v>
      </c>
      <c r="Z345" s="477">
        <f t="shared" si="78"/>
        <v>0</v>
      </c>
      <c r="AA345" s="478">
        <f>IF(M344&lt;=0,0,IF($AA$63=$AA$60,0,IF($Z$63=$Z$61,PMT(Adm!$J$2/12,B344,-L344),0)))</f>
        <v>0</v>
      </c>
      <c r="AB345" s="479">
        <f t="shared" si="79"/>
        <v>0</v>
      </c>
      <c r="AC345" s="479"/>
      <c r="AE345" s="473" t="e">
        <f t="shared" si="80"/>
        <v>#N/A</v>
      </c>
      <c r="AF345" s="480" t="e">
        <f t="shared" si="86"/>
        <v>#N/A</v>
      </c>
      <c r="AG345" s="475" t="e">
        <f t="shared" si="81"/>
        <v>#N/A</v>
      </c>
      <c r="AH345" s="476" t="e">
        <f t="shared" si="82"/>
        <v>#N/A</v>
      </c>
      <c r="AI345" s="475" t="e">
        <f t="shared" si="87"/>
        <v>#N/A</v>
      </c>
      <c r="AJ345" s="307" t="e">
        <f t="shared" si="83"/>
        <v>#N/A</v>
      </c>
    </row>
    <row r="346" spans="2:36">
      <c r="B346" s="277">
        <f t="shared" si="71"/>
        <v>0</v>
      </c>
      <c r="C346" s="466">
        <f t="shared" si="74"/>
        <v>0</v>
      </c>
      <c r="D346" s="467">
        <f t="shared" si="84"/>
        <v>0</v>
      </c>
      <c r="E346" s="460">
        <f t="shared" si="75"/>
        <v>0</v>
      </c>
      <c r="F346" s="460">
        <f t="shared" si="76"/>
        <v>0</v>
      </c>
      <c r="G346" s="460">
        <f t="shared" si="85"/>
        <v>0</v>
      </c>
      <c r="H346" s="460">
        <f>IF(L345&lt;0.01,0,IF($H$68="",0,L345*Adm!$V$3))</f>
        <v>0</v>
      </c>
      <c r="I346" s="460">
        <f>IF(L345&lt;0.01,0,IF($I$68="",0,($G$28*0.7*Adm!$W$3)))</f>
        <v>0</v>
      </c>
      <c r="J346" s="460">
        <f>IF(L345&lt;0.01,0,Adm!$AD$2*1.16)</f>
        <v>0</v>
      </c>
      <c r="K346" s="460">
        <f t="shared" si="72"/>
        <v>0</v>
      </c>
      <c r="L346" s="460">
        <f t="shared" si="73"/>
        <v>0</v>
      </c>
      <c r="M346" s="482"/>
      <c r="T346" s="469">
        <f t="shared" si="77"/>
        <v>1</v>
      </c>
      <c r="U346" s="470">
        <f>IF(T346=1,Adm!$O$2,0)</f>
        <v>0</v>
      </c>
      <c r="Z346" s="477">
        <f t="shared" si="78"/>
        <v>0</v>
      </c>
      <c r="AA346" s="478">
        <f>IF(M345&lt;=0,0,IF($AA$63=$AA$60,0,IF($Z$63=$Z$61,PMT(Adm!$J$2/12,B345,-L345),0)))</f>
        <v>0</v>
      </c>
      <c r="AB346" s="479">
        <f t="shared" si="79"/>
        <v>0</v>
      </c>
      <c r="AC346" s="479"/>
      <c r="AE346" s="473" t="e">
        <f t="shared" si="80"/>
        <v>#N/A</v>
      </c>
      <c r="AF346" s="480" t="e">
        <f t="shared" si="86"/>
        <v>#N/A</v>
      </c>
      <c r="AG346" s="475" t="e">
        <f t="shared" si="81"/>
        <v>#N/A</v>
      </c>
      <c r="AH346" s="476" t="e">
        <f t="shared" si="82"/>
        <v>#N/A</v>
      </c>
      <c r="AI346" s="481" t="e">
        <f>MIN(AJ345+AG346,AI345*(1+$AG$65))</f>
        <v>#N/A</v>
      </c>
      <c r="AJ346" s="307" t="e">
        <f t="shared" si="83"/>
        <v>#N/A</v>
      </c>
    </row>
    <row r="347" spans="2:36">
      <c r="B347" s="277">
        <f t="shared" ref="B347:B368" si="88">IF(L346&gt;0,B346-1,0)</f>
        <v>0</v>
      </c>
      <c r="C347" s="466">
        <f t="shared" si="74"/>
        <v>0</v>
      </c>
      <c r="D347" s="467">
        <f t="shared" si="84"/>
        <v>0</v>
      </c>
      <c r="E347" s="460">
        <f t="shared" si="75"/>
        <v>0</v>
      </c>
      <c r="F347" s="460">
        <f t="shared" si="76"/>
        <v>0</v>
      </c>
      <c r="G347" s="460">
        <f t="shared" si="85"/>
        <v>0</v>
      </c>
      <c r="H347" s="460">
        <f>IF(L346&lt;0.01,0,IF($H$68="",0,L346*Adm!$V$3))</f>
        <v>0</v>
      </c>
      <c r="I347" s="460">
        <f>IF(L346&lt;0.01,0,IF($I$68="",0,($G$28*0.7*Adm!$W$3)))</f>
        <v>0</v>
      </c>
      <c r="J347" s="460">
        <f>IF(L346&lt;0.01,0,Adm!$AD$2*1.16)</f>
        <v>0</v>
      </c>
      <c r="K347" s="460">
        <f t="shared" ref="K347:K368" si="89">IF(L346&lt;0.01,0,(G347+H347+I347+J347))</f>
        <v>0</v>
      </c>
      <c r="L347" s="460">
        <f t="shared" ref="L347:L368" si="90">IF(L346&lt;0.01,0,(L346-F347-M347))</f>
        <v>0</v>
      </c>
      <c r="M347" s="482"/>
      <c r="T347" s="469">
        <f t="shared" si="77"/>
        <v>2</v>
      </c>
      <c r="U347" s="470">
        <f>IF(T347=1,Adm!$O$2,0)</f>
        <v>0</v>
      </c>
      <c r="Z347" s="477">
        <f t="shared" si="78"/>
        <v>0</v>
      </c>
      <c r="AA347" s="478">
        <f>IF(M346&lt;=0,0,IF($AA$63=$AA$60,0,IF($Z$63=$Z$61,PMT(Adm!$J$2/12,B346,-L346),0)))</f>
        <v>0</v>
      </c>
      <c r="AB347" s="479">
        <f t="shared" si="79"/>
        <v>0</v>
      </c>
      <c r="AC347" s="479"/>
      <c r="AE347" s="473" t="e">
        <f t="shared" si="80"/>
        <v>#N/A</v>
      </c>
      <c r="AF347" s="480" t="e">
        <f t="shared" si="86"/>
        <v>#N/A</v>
      </c>
      <c r="AG347" s="475" t="e">
        <f t="shared" si="81"/>
        <v>#N/A</v>
      </c>
      <c r="AH347" s="476" t="e">
        <f t="shared" si="82"/>
        <v>#N/A</v>
      </c>
      <c r="AI347" s="475" t="e">
        <f t="shared" si="87"/>
        <v>#N/A</v>
      </c>
      <c r="AJ347" s="307" t="e">
        <f t="shared" si="83"/>
        <v>#N/A</v>
      </c>
    </row>
    <row r="348" spans="2:36">
      <c r="B348" s="277">
        <f t="shared" si="88"/>
        <v>0</v>
      </c>
      <c r="C348" s="466">
        <f t="shared" si="74"/>
        <v>0</v>
      </c>
      <c r="D348" s="467">
        <f t="shared" si="84"/>
        <v>0</v>
      </c>
      <c r="E348" s="460">
        <f t="shared" si="75"/>
        <v>0</v>
      </c>
      <c r="F348" s="460">
        <f t="shared" si="76"/>
        <v>0</v>
      </c>
      <c r="G348" s="460">
        <f t="shared" si="85"/>
        <v>0</v>
      </c>
      <c r="H348" s="460">
        <f>IF(L347&lt;0.01,0,IF($H$68="",0,L347*Adm!$V$3))</f>
        <v>0</v>
      </c>
      <c r="I348" s="460">
        <f>IF(L347&lt;0.01,0,IF($I$68="",0,($G$28*0.7*Adm!$W$3)))</f>
        <v>0</v>
      </c>
      <c r="J348" s="460">
        <f>IF(L347&lt;0.01,0,Adm!$AD$2*1.16)</f>
        <v>0</v>
      </c>
      <c r="K348" s="460">
        <f t="shared" si="89"/>
        <v>0</v>
      </c>
      <c r="L348" s="460">
        <f t="shared" si="90"/>
        <v>0</v>
      </c>
      <c r="M348" s="482"/>
      <c r="T348" s="469">
        <f t="shared" si="77"/>
        <v>3</v>
      </c>
      <c r="U348" s="470">
        <f>IF(T348=1,Adm!$O$2,0)</f>
        <v>0</v>
      </c>
      <c r="Z348" s="477">
        <f t="shared" si="78"/>
        <v>0</v>
      </c>
      <c r="AA348" s="478">
        <f>IF(M347&lt;=0,0,IF($AA$63=$AA$60,0,IF($Z$63=$Z$61,PMT(Adm!$J$2/12,B347,-L347),0)))</f>
        <v>0</v>
      </c>
      <c r="AB348" s="479">
        <f t="shared" si="79"/>
        <v>0</v>
      </c>
      <c r="AC348" s="479"/>
      <c r="AE348" s="473" t="e">
        <f t="shared" si="80"/>
        <v>#N/A</v>
      </c>
      <c r="AF348" s="480" t="e">
        <f t="shared" si="86"/>
        <v>#N/A</v>
      </c>
      <c r="AG348" s="475" t="e">
        <f t="shared" si="81"/>
        <v>#N/A</v>
      </c>
      <c r="AH348" s="476" t="e">
        <f t="shared" si="82"/>
        <v>#N/A</v>
      </c>
      <c r="AI348" s="475" t="e">
        <f t="shared" si="87"/>
        <v>#N/A</v>
      </c>
      <c r="AJ348" s="307" t="e">
        <f t="shared" si="83"/>
        <v>#N/A</v>
      </c>
    </row>
    <row r="349" spans="2:36">
      <c r="B349" s="277">
        <f t="shared" si="88"/>
        <v>0</v>
      </c>
      <c r="C349" s="466">
        <f t="shared" si="74"/>
        <v>0</v>
      </c>
      <c r="D349" s="467">
        <f t="shared" si="84"/>
        <v>0</v>
      </c>
      <c r="E349" s="460">
        <f t="shared" si="75"/>
        <v>0</v>
      </c>
      <c r="F349" s="460">
        <f t="shared" si="76"/>
        <v>0</v>
      </c>
      <c r="G349" s="460">
        <f t="shared" si="85"/>
        <v>0</v>
      </c>
      <c r="H349" s="460">
        <f>IF(L348&lt;0.01,0,IF($H$68="",0,L348*Adm!$V$3))</f>
        <v>0</v>
      </c>
      <c r="I349" s="460">
        <f>IF(L348&lt;0.01,0,IF($I$68="",0,($G$28*0.7*Adm!$W$3)))</f>
        <v>0</v>
      </c>
      <c r="J349" s="460">
        <f>IF(L348&lt;0.01,0,Adm!$AD$2*1.16)</f>
        <v>0</v>
      </c>
      <c r="K349" s="460">
        <f t="shared" si="89"/>
        <v>0</v>
      </c>
      <c r="L349" s="460">
        <f t="shared" si="90"/>
        <v>0</v>
      </c>
      <c r="M349" s="482"/>
      <c r="T349" s="469">
        <f t="shared" si="77"/>
        <v>4</v>
      </c>
      <c r="U349" s="470">
        <f>IF(T349=1,Adm!$O$2,0)</f>
        <v>0</v>
      </c>
      <c r="Z349" s="477">
        <f t="shared" si="78"/>
        <v>0</v>
      </c>
      <c r="AA349" s="478">
        <f>IF(M348&lt;=0,0,IF($AA$63=$AA$60,0,IF($Z$63=$Z$61,PMT(Adm!$J$2/12,B348,-L348),0)))</f>
        <v>0</v>
      </c>
      <c r="AB349" s="479">
        <f t="shared" si="79"/>
        <v>0</v>
      </c>
      <c r="AC349" s="479"/>
      <c r="AE349" s="473" t="e">
        <f t="shared" si="80"/>
        <v>#N/A</v>
      </c>
      <c r="AF349" s="480" t="e">
        <f t="shared" si="86"/>
        <v>#N/A</v>
      </c>
      <c r="AG349" s="475" t="e">
        <f t="shared" si="81"/>
        <v>#N/A</v>
      </c>
      <c r="AH349" s="476" t="e">
        <f t="shared" si="82"/>
        <v>#N/A</v>
      </c>
      <c r="AI349" s="475" t="e">
        <f t="shared" si="87"/>
        <v>#N/A</v>
      </c>
      <c r="AJ349" s="307" t="e">
        <f t="shared" si="83"/>
        <v>#N/A</v>
      </c>
    </row>
    <row r="350" spans="2:36">
      <c r="B350" s="277">
        <f t="shared" si="88"/>
        <v>0</v>
      </c>
      <c r="C350" s="466">
        <f t="shared" si="74"/>
        <v>0</v>
      </c>
      <c r="D350" s="467">
        <f t="shared" si="84"/>
        <v>0</v>
      </c>
      <c r="E350" s="460">
        <f t="shared" si="75"/>
        <v>0</v>
      </c>
      <c r="F350" s="460">
        <f t="shared" si="76"/>
        <v>0</v>
      </c>
      <c r="G350" s="460">
        <f t="shared" si="85"/>
        <v>0</v>
      </c>
      <c r="H350" s="460">
        <f>IF(L349&lt;0.01,0,IF($H$68="",0,L349*Adm!$V$3))</f>
        <v>0</v>
      </c>
      <c r="I350" s="460">
        <f>IF(L349&lt;0.01,0,IF($I$68="",0,($G$28*0.7*Adm!$W$3)))</f>
        <v>0</v>
      </c>
      <c r="J350" s="460">
        <f>IF(L349&lt;0.01,0,Adm!$AD$2*1.16)</f>
        <v>0</v>
      </c>
      <c r="K350" s="460">
        <f t="shared" si="89"/>
        <v>0</v>
      </c>
      <c r="L350" s="460">
        <f t="shared" si="90"/>
        <v>0</v>
      </c>
      <c r="M350" s="482"/>
      <c r="T350" s="469">
        <f t="shared" si="77"/>
        <v>5</v>
      </c>
      <c r="U350" s="470">
        <f>IF(T350=1,Adm!$O$2,0)</f>
        <v>0</v>
      </c>
      <c r="Z350" s="477">
        <f t="shared" si="78"/>
        <v>0</v>
      </c>
      <c r="AA350" s="478">
        <f>IF(M349&lt;=0,0,IF($AA$63=$AA$60,0,IF($Z$63=$Z$61,PMT(Adm!$J$2/12,B349,-L349),0)))</f>
        <v>0</v>
      </c>
      <c r="AB350" s="479">
        <f t="shared" si="79"/>
        <v>0</v>
      </c>
      <c r="AC350" s="479"/>
      <c r="AE350" s="473" t="e">
        <f t="shared" si="80"/>
        <v>#N/A</v>
      </c>
      <c r="AF350" s="480" t="e">
        <f t="shared" si="86"/>
        <v>#N/A</v>
      </c>
      <c r="AG350" s="475" t="e">
        <f t="shared" si="81"/>
        <v>#N/A</v>
      </c>
      <c r="AH350" s="476" t="e">
        <f t="shared" si="82"/>
        <v>#N/A</v>
      </c>
      <c r="AI350" s="475" t="e">
        <f t="shared" si="87"/>
        <v>#N/A</v>
      </c>
      <c r="AJ350" s="307" t="e">
        <f t="shared" si="83"/>
        <v>#N/A</v>
      </c>
    </row>
    <row r="351" spans="2:36">
      <c r="B351" s="277">
        <f t="shared" si="88"/>
        <v>0</v>
      </c>
      <c r="C351" s="466">
        <f t="shared" si="74"/>
        <v>0</v>
      </c>
      <c r="D351" s="467">
        <f t="shared" si="84"/>
        <v>0</v>
      </c>
      <c r="E351" s="460">
        <f t="shared" si="75"/>
        <v>0</v>
      </c>
      <c r="F351" s="460">
        <f t="shared" si="76"/>
        <v>0</v>
      </c>
      <c r="G351" s="460">
        <f t="shared" si="85"/>
        <v>0</v>
      </c>
      <c r="H351" s="460">
        <f>IF(L350&lt;0.01,0,IF($H$68="",0,L350*Adm!$V$3))</f>
        <v>0</v>
      </c>
      <c r="I351" s="460">
        <f>IF(L350&lt;0.01,0,IF($I$68="",0,($G$28*0.7*Adm!$W$3)))</f>
        <v>0</v>
      </c>
      <c r="J351" s="460">
        <f>IF(L350&lt;0.01,0,Adm!$AD$2*1.16)</f>
        <v>0</v>
      </c>
      <c r="K351" s="460">
        <f t="shared" si="89"/>
        <v>0</v>
      </c>
      <c r="L351" s="460">
        <f t="shared" si="90"/>
        <v>0</v>
      </c>
      <c r="M351" s="482"/>
      <c r="T351" s="469">
        <f t="shared" si="77"/>
        <v>6</v>
      </c>
      <c r="U351" s="470">
        <f>IF(T351=1,Adm!$O$2,0)</f>
        <v>0</v>
      </c>
      <c r="Z351" s="477">
        <f t="shared" si="78"/>
        <v>0</v>
      </c>
      <c r="AA351" s="478">
        <f>IF(M350&lt;=0,0,IF($AA$63=$AA$60,0,IF($Z$63=$Z$61,PMT(Adm!$J$2/12,B350,-L350),0)))</f>
        <v>0</v>
      </c>
      <c r="AB351" s="479">
        <f t="shared" si="79"/>
        <v>0</v>
      </c>
      <c r="AC351" s="479"/>
      <c r="AE351" s="473" t="e">
        <f t="shared" si="80"/>
        <v>#N/A</v>
      </c>
      <c r="AF351" s="480" t="e">
        <f t="shared" si="86"/>
        <v>#N/A</v>
      </c>
      <c r="AG351" s="475" t="e">
        <f t="shared" si="81"/>
        <v>#N/A</v>
      </c>
      <c r="AH351" s="476" t="e">
        <f t="shared" si="82"/>
        <v>#N/A</v>
      </c>
      <c r="AI351" s="475" t="e">
        <f t="shared" si="87"/>
        <v>#N/A</v>
      </c>
      <c r="AJ351" s="307" t="e">
        <f t="shared" si="83"/>
        <v>#N/A</v>
      </c>
    </row>
    <row r="352" spans="2:36">
      <c r="B352" s="277">
        <f t="shared" si="88"/>
        <v>0</v>
      </c>
      <c r="C352" s="466">
        <f t="shared" si="74"/>
        <v>0</v>
      </c>
      <c r="D352" s="467">
        <f t="shared" si="84"/>
        <v>0</v>
      </c>
      <c r="E352" s="460">
        <f t="shared" si="75"/>
        <v>0</v>
      </c>
      <c r="F352" s="460">
        <f t="shared" si="76"/>
        <v>0</v>
      </c>
      <c r="G352" s="460">
        <f t="shared" si="85"/>
        <v>0</v>
      </c>
      <c r="H352" s="460">
        <f>IF(L351&lt;0.01,0,IF($H$68="",0,L351*Adm!$V$3))</f>
        <v>0</v>
      </c>
      <c r="I352" s="460">
        <f>IF(L351&lt;0.01,0,IF($I$68="",0,($G$28*0.7*Adm!$W$3)))</f>
        <v>0</v>
      </c>
      <c r="J352" s="460">
        <f>IF(L351&lt;0.01,0,Adm!$AD$2*1.16)</f>
        <v>0</v>
      </c>
      <c r="K352" s="460">
        <f t="shared" si="89"/>
        <v>0</v>
      </c>
      <c r="L352" s="460">
        <f t="shared" si="90"/>
        <v>0</v>
      </c>
      <c r="M352" s="482"/>
      <c r="T352" s="469">
        <f t="shared" si="77"/>
        <v>7</v>
      </c>
      <c r="U352" s="470">
        <f>IF(T352=1,Adm!$O$2,0)</f>
        <v>0</v>
      </c>
      <c r="Z352" s="477">
        <f t="shared" si="78"/>
        <v>0</v>
      </c>
      <c r="AA352" s="478">
        <f>IF(M351&lt;=0,0,IF($AA$63=$AA$60,0,IF($Z$63=$Z$61,PMT(Adm!$J$2/12,B351,-L351),0)))</f>
        <v>0</v>
      </c>
      <c r="AB352" s="479">
        <f t="shared" si="79"/>
        <v>0</v>
      </c>
      <c r="AC352" s="479"/>
      <c r="AE352" s="473" t="e">
        <f t="shared" si="80"/>
        <v>#N/A</v>
      </c>
      <c r="AF352" s="480" t="e">
        <f t="shared" si="86"/>
        <v>#N/A</v>
      </c>
      <c r="AG352" s="475" t="e">
        <f t="shared" si="81"/>
        <v>#N/A</v>
      </c>
      <c r="AH352" s="476" t="e">
        <f t="shared" si="82"/>
        <v>#N/A</v>
      </c>
      <c r="AI352" s="475" t="e">
        <f t="shared" si="87"/>
        <v>#N/A</v>
      </c>
      <c r="AJ352" s="307" t="e">
        <f t="shared" si="83"/>
        <v>#N/A</v>
      </c>
    </row>
    <row r="353" spans="2:36">
      <c r="B353" s="277">
        <f t="shared" si="88"/>
        <v>0</v>
      </c>
      <c r="C353" s="466">
        <f t="shared" si="74"/>
        <v>0</v>
      </c>
      <c r="D353" s="467">
        <f t="shared" si="84"/>
        <v>0</v>
      </c>
      <c r="E353" s="460">
        <f t="shared" si="75"/>
        <v>0</v>
      </c>
      <c r="F353" s="460">
        <f t="shared" si="76"/>
        <v>0</v>
      </c>
      <c r="G353" s="460">
        <f t="shared" si="85"/>
        <v>0</v>
      </c>
      <c r="H353" s="460">
        <f>IF(L352&lt;0.01,0,IF($H$68="",0,L352*Adm!$V$3))</f>
        <v>0</v>
      </c>
      <c r="I353" s="460">
        <f>IF(L352&lt;0.01,0,IF($I$68="",0,($G$28*0.7*Adm!$W$3)))</f>
        <v>0</v>
      </c>
      <c r="J353" s="460">
        <f>IF(L352&lt;0.01,0,Adm!$AD$2*1.16)</f>
        <v>0</v>
      </c>
      <c r="K353" s="460">
        <f t="shared" si="89"/>
        <v>0</v>
      </c>
      <c r="L353" s="460">
        <f t="shared" si="90"/>
        <v>0</v>
      </c>
      <c r="M353" s="482"/>
      <c r="T353" s="469">
        <f t="shared" si="77"/>
        <v>8</v>
      </c>
      <c r="U353" s="470">
        <f>IF(T353=1,Adm!$O$2,0)</f>
        <v>0</v>
      </c>
      <c r="Z353" s="477">
        <f t="shared" si="78"/>
        <v>0</v>
      </c>
      <c r="AA353" s="478">
        <f>IF(M352&lt;=0,0,IF($AA$63=$AA$60,0,IF($Z$63=$Z$61,PMT(Adm!$J$2/12,B352,-L352),0)))</f>
        <v>0</v>
      </c>
      <c r="AB353" s="479">
        <f t="shared" si="79"/>
        <v>0</v>
      </c>
      <c r="AC353" s="479"/>
      <c r="AE353" s="473" t="e">
        <f t="shared" si="80"/>
        <v>#N/A</v>
      </c>
      <c r="AF353" s="480" t="e">
        <f t="shared" si="86"/>
        <v>#N/A</v>
      </c>
      <c r="AG353" s="475" t="e">
        <f t="shared" si="81"/>
        <v>#N/A</v>
      </c>
      <c r="AH353" s="476" t="e">
        <f t="shared" si="82"/>
        <v>#N/A</v>
      </c>
      <c r="AI353" s="475" t="e">
        <f t="shared" si="87"/>
        <v>#N/A</v>
      </c>
      <c r="AJ353" s="307" t="e">
        <f t="shared" si="83"/>
        <v>#N/A</v>
      </c>
    </row>
    <row r="354" spans="2:36">
      <c r="B354" s="277">
        <f t="shared" si="88"/>
        <v>0</v>
      </c>
      <c r="C354" s="466">
        <f t="shared" si="74"/>
        <v>0</v>
      </c>
      <c r="D354" s="467">
        <f t="shared" si="84"/>
        <v>0</v>
      </c>
      <c r="E354" s="460">
        <f t="shared" si="75"/>
        <v>0</v>
      </c>
      <c r="F354" s="460">
        <f t="shared" si="76"/>
        <v>0</v>
      </c>
      <c r="G354" s="460">
        <f t="shared" si="85"/>
        <v>0</v>
      </c>
      <c r="H354" s="460">
        <f>IF(L353&lt;0.01,0,IF($H$68="",0,L353*Adm!$V$3))</f>
        <v>0</v>
      </c>
      <c r="I354" s="460">
        <f>IF(L353&lt;0.01,0,IF($I$68="",0,($G$28*0.7*Adm!$W$3)))</f>
        <v>0</v>
      </c>
      <c r="J354" s="460">
        <f>IF(L353&lt;0.01,0,Adm!$AD$2*1.16)</f>
        <v>0</v>
      </c>
      <c r="K354" s="460">
        <f t="shared" si="89"/>
        <v>0</v>
      </c>
      <c r="L354" s="460">
        <f t="shared" si="90"/>
        <v>0</v>
      </c>
      <c r="M354" s="482"/>
      <c r="T354" s="469">
        <f t="shared" si="77"/>
        <v>9</v>
      </c>
      <c r="U354" s="470">
        <f>IF(T354=1,Adm!$O$2,0)</f>
        <v>0</v>
      </c>
      <c r="Z354" s="477">
        <f t="shared" si="78"/>
        <v>0</v>
      </c>
      <c r="AA354" s="478">
        <f>IF(M353&lt;=0,0,IF($AA$63=$AA$60,0,IF($Z$63=$Z$61,PMT(Adm!$J$2/12,B353,-L353),0)))</f>
        <v>0</v>
      </c>
      <c r="AB354" s="479">
        <f t="shared" si="79"/>
        <v>0</v>
      </c>
      <c r="AC354" s="479"/>
      <c r="AE354" s="473" t="e">
        <f t="shared" si="80"/>
        <v>#N/A</v>
      </c>
      <c r="AF354" s="480" t="e">
        <f t="shared" si="86"/>
        <v>#N/A</v>
      </c>
      <c r="AG354" s="475" t="e">
        <f t="shared" si="81"/>
        <v>#N/A</v>
      </c>
      <c r="AH354" s="476" t="e">
        <f t="shared" si="82"/>
        <v>#N/A</v>
      </c>
      <c r="AI354" s="475" t="e">
        <f t="shared" si="87"/>
        <v>#N/A</v>
      </c>
      <c r="AJ354" s="307" t="e">
        <f t="shared" si="83"/>
        <v>#N/A</v>
      </c>
    </row>
    <row r="355" spans="2:36">
      <c r="B355" s="277">
        <f t="shared" si="88"/>
        <v>0</v>
      </c>
      <c r="C355" s="466">
        <f t="shared" si="74"/>
        <v>0</v>
      </c>
      <c r="D355" s="467">
        <f t="shared" si="84"/>
        <v>0</v>
      </c>
      <c r="E355" s="460">
        <f t="shared" si="75"/>
        <v>0</v>
      </c>
      <c r="F355" s="460">
        <f t="shared" si="76"/>
        <v>0</v>
      </c>
      <c r="G355" s="460">
        <f t="shared" si="85"/>
        <v>0</v>
      </c>
      <c r="H355" s="460">
        <f>IF(L354&lt;0.01,0,IF($H$68="",0,L354*Adm!$V$3))</f>
        <v>0</v>
      </c>
      <c r="I355" s="460">
        <f>IF(L354&lt;0.01,0,IF($I$68="",0,($G$28*0.7*Adm!$W$3)))</f>
        <v>0</v>
      </c>
      <c r="J355" s="460">
        <f>IF(L354&lt;0.01,0,Adm!$AD$2*1.16)</f>
        <v>0</v>
      </c>
      <c r="K355" s="460">
        <f t="shared" si="89"/>
        <v>0</v>
      </c>
      <c r="L355" s="460">
        <f t="shared" si="90"/>
        <v>0</v>
      </c>
      <c r="M355" s="482"/>
      <c r="T355" s="469">
        <f t="shared" si="77"/>
        <v>10</v>
      </c>
      <c r="U355" s="470">
        <f>IF(T355=1,Adm!$O$2,0)</f>
        <v>0</v>
      </c>
      <c r="Z355" s="477">
        <f t="shared" si="78"/>
        <v>0</v>
      </c>
      <c r="AA355" s="478">
        <f>IF(M354&lt;=0,0,IF($AA$63=$AA$60,0,IF($Z$63=$Z$61,PMT(Adm!$J$2/12,B354,-L354),0)))</f>
        <v>0</v>
      </c>
      <c r="AB355" s="479">
        <f t="shared" si="79"/>
        <v>0</v>
      </c>
      <c r="AC355" s="479"/>
      <c r="AE355" s="473" t="e">
        <f t="shared" si="80"/>
        <v>#N/A</v>
      </c>
      <c r="AF355" s="480" t="e">
        <f t="shared" si="86"/>
        <v>#N/A</v>
      </c>
      <c r="AG355" s="475" t="e">
        <f t="shared" si="81"/>
        <v>#N/A</v>
      </c>
      <c r="AH355" s="476" t="e">
        <f t="shared" si="82"/>
        <v>#N/A</v>
      </c>
      <c r="AI355" s="475" t="e">
        <f t="shared" si="87"/>
        <v>#N/A</v>
      </c>
      <c r="AJ355" s="307" t="e">
        <f t="shared" si="83"/>
        <v>#N/A</v>
      </c>
    </row>
    <row r="356" spans="2:36">
      <c r="B356" s="277">
        <f t="shared" si="88"/>
        <v>0</v>
      </c>
      <c r="C356" s="466">
        <f t="shared" si="74"/>
        <v>0</v>
      </c>
      <c r="D356" s="467">
        <f t="shared" si="84"/>
        <v>0</v>
      </c>
      <c r="E356" s="460">
        <f t="shared" si="75"/>
        <v>0</v>
      </c>
      <c r="F356" s="460">
        <f t="shared" si="76"/>
        <v>0</v>
      </c>
      <c r="G356" s="460">
        <f t="shared" si="85"/>
        <v>0</v>
      </c>
      <c r="H356" s="460">
        <f>IF(L355&lt;0.01,0,IF($H$68="",0,L355*Adm!$V$3))</f>
        <v>0</v>
      </c>
      <c r="I356" s="460">
        <f>IF(L355&lt;0.01,0,IF($I$68="",0,($G$28*0.7*Adm!$W$3)))</f>
        <v>0</v>
      </c>
      <c r="J356" s="460">
        <f>IF(L355&lt;0.01,0,Adm!$AD$2*1.16)</f>
        <v>0</v>
      </c>
      <c r="K356" s="460">
        <f t="shared" si="89"/>
        <v>0</v>
      </c>
      <c r="L356" s="460">
        <f t="shared" si="90"/>
        <v>0</v>
      </c>
      <c r="M356" s="482"/>
      <c r="T356" s="469">
        <f t="shared" si="77"/>
        <v>11</v>
      </c>
      <c r="U356" s="470">
        <f>IF(T356=1,Adm!$O$2,0)</f>
        <v>0</v>
      </c>
      <c r="Z356" s="477">
        <f t="shared" si="78"/>
        <v>0</v>
      </c>
      <c r="AA356" s="478">
        <f>IF(M355&lt;=0,0,IF($AA$63=$AA$60,0,IF($Z$63=$Z$61,PMT(Adm!$J$2/12,B355,-L355),0)))</f>
        <v>0</v>
      </c>
      <c r="AB356" s="479">
        <f t="shared" si="79"/>
        <v>0</v>
      </c>
      <c r="AC356" s="479"/>
      <c r="AE356" s="473" t="e">
        <f t="shared" si="80"/>
        <v>#N/A</v>
      </c>
      <c r="AF356" s="480" t="e">
        <f t="shared" si="86"/>
        <v>#N/A</v>
      </c>
      <c r="AG356" s="475" t="e">
        <f t="shared" si="81"/>
        <v>#N/A</v>
      </c>
      <c r="AH356" s="476" t="e">
        <f t="shared" si="82"/>
        <v>#N/A</v>
      </c>
      <c r="AI356" s="475" t="e">
        <f t="shared" si="87"/>
        <v>#N/A</v>
      </c>
      <c r="AJ356" s="307" t="e">
        <f t="shared" si="83"/>
        <v>#N/A</v>
      </c>
    </row>
    <row r="357" spans="2:36">
      <c r="B357" s="277">
        <f t="shared" si="88"/>
        <v>0</v>
      </c>
      <c r="C357" s="466">
        <f t="shared" si="74"/>
        <v>0</v>
      </c>
      <c r="D357" s="467">
        <f t="shared" si="84"/>
        <v>0</v>
      </c>
      <c r="E357" s="460">
        <f t="shared" si="75"/>
        <v>0</v>
      </c>
      <c r="F357" s="460">
        <f t="shared" si="76"/>
        <v>0</v>
      </c>
      <c r="G357" s="460">
        <f t="shared" si="85"/>
        <v>0</v>
      </c>
      <c r="H357" s="460">
        <f>IF(L356&lt;0.01,0,IF($H$68="",0,L356*Adm!$V$3))</f>
        <v>0</v>
      </c>
      <c r="I357" s="460">
        <f>IF(L356&lt;0.01,0,IF($I$68="",0,($G$28*0.7*Adm!$W$3)))</f>
        <v>0</v>
      </c>
      <c r="J357" s="460">
        <f>IF(L356&lt;0.01,0,Adm!$AD$2*1.16)</f>
        <v>0</v>
      </c>
      <c r="K357" s="460">
        <f t="shared" si="89"/>
        <v>0</v>
      </c>
      <c r="L357" s="460">
        <f t="shared" si="90"/>
        <v>0</v>
      </c>
      <c r="M357" s="482"/>
      <c r="T357" s="469">
        <f t="shared" si="77"/>
        <v>12</v>
      </c>
      <c r="U357" s="470">
        <f>IF(T357=1,Adm!$O$2,0)</f>
        <v>0</v>
      </c>
      <c r="Z357" s="477">
        <f t="shared" si="78"/>
        <v>0</v>
      </c>
      <c r="AA357" s="478">
        <f>IF(M356&lt;=0,0,IF($AA$63=$AA$60,0,IF($Z$63=$Z$61,PMT(Adm!$J$2/12,B356,-L356),0)))</f>
        <v>0</v>
      </c>
      <c r="AB357" s="479">
        <f t="shared" si="79"/>
        <v>0</v>
      </c>
      <c r="AC357" s="479"/>
      <c r="AE357" s="473" t="e">
        <f t="shared" si="80"/>
        <v>#N/A</v>
      </c>
      <c r="AF357" s="480" t="e">
        <f t="shared" si="86"/>
        <v>#N/A</v>
      </c>
      <c r="AG357" s="475" t="e">
        <f t="shared" si="81"/>
        <v>#N/A</v>
      </c>
      <c r="AH357" s="476" t="e">
        <f t="shared" si="82"/>
        <v>#N/A</v>
      </c>
      <c r="AI357" s="475" t="e">
        <f t="shared" si="87"/>
        <v>#N/A</v>
      </c>
      <c r="AJ357" s="307" t="e">
        <f t="shared" si="83"/>
        <v>#N/A</v>
      </c>
    </row>
    <row r="358" spans="2:36">
      <c r="B358" s="277">
        <f t="shared" si="88"/>
        <v>0</v>
      </c>
      <c r="C358" s="466">
        <f t="shared" si="74"/>
        <v>0</v>
      </c>
      <c r="D358" s="467">
        <f t="shared" si="84"/>
        <v>0</v>
      </c>
      <c r="E358" s="460">
        <f t="shared" si="75"/>
        <v>0</v>
      </c>
      <c r="F358" s="460">
        <f t="shared" si="76"/>
        <v>0</v>
      </c>
      <c r="G358" s="460">
        <f t="shared" si="85"/>
        <v>0</v>
      </c>
      <c r="H358" s="460">
        <f>IF(L357&lt;0.01,0,IF($H$68="",0,L357*Adm!$V$3))</f>
        <v>0</v>
      </c>
      <c r="I358" s="460">
        <f>IF(L357&lt;0.01,0,IF($I$68="",0,($G$28*0.7*Adm!$W$3)))</f>
        <v>0</v>
      </c>
      <c r="J358" s="460">
        <f>IF(L357&lt;0.01,0,Adm!$AD$2*1.16)</f>
        <v>0</v>
      </c>
      <c r="K358" s="460">
        <f t="shared" si="89"/>
        <v>0</v>
      </c>
      <c r="L358" s="460">
        <f t="shared" si="90"/>
        <v>0</v>
      </c>
      <c r="M358" s="482"/>
      <c r="T358" s="469">
        <f t="shared" si="77"/>
        <v>1</v>
      </c>
      <c r="U358" s="470">
        <f>IF(T358=1,Adm!$O$2,0)</f>
        <v>0</v>
      </c>
      <c r="Z358" s="477">
        <f t="shared" si="78"/>
        <v>0</v>
      </c>
      <c r="AA358" s="478">
        <f>IF(M357&lt;=0,0,IF($AA$63=$AA$60,0,IF($Z$63=$Z$61,PMT(Adm!$J$2/12,B357,-L357),0)))</f>
        <v>0</v>
      </c>
      <c r="AB358" s="479">
        <f t="shared" si="79"/>
        <v>0</v>
      </c>
      <c r="AC358" s="479"/>
      <c r="AE358" s="473" t="e">
        <f t="shared" si="80"/>
        <v>#N/A</v>
      </c>
      <c r="AF358" s="480" t="e">
        <f t="shared" si="86"/>
        <v>#N/A</v>
      </c>
      <c r="AG358" s="475" t="e">
        <f t="shared" si="81"/>
        <v>#N/A</v>
      </c>
      <c r="AH358" s="476" t="e">
        <f t="shared" si="82"/>
        <v>#N/A</v>
      </c>
      <c r="AI358" s="481" t="e">
        <f>MIN(AJ357+AG358,AI357*(1+$AG$65))</f>
        <v>#N/A</v>
      </c>
      <c r="AJ358" s="307" t="e">
        <f t="shared" si="83"/>
        <v>#N/A</v>
      </c>
    </row>
    <row r="359" spans="2:36">
      <c r="B359" s="277">
        <f t="shared" si="88"/>
        <v>0</v>
      </c>
      <c r="C359" s="466">
        <f t="shared" si="74"/>
        <v>0</v>
      </c>
      <c r="D359" s="467">
        <f t="shared" si="84"/>
        <v>0</v>
      </c>
      <c r="E359" s="460">
        <f t="shared" si="75"/>
        <v>0</v>
      </c>
      <c r="F359" s="460">
        <f t="shared" si="76"/>
        <v>0</v>
      </c>
      <c r="G359" s="460">
        <f t="shared" si="85"/>
        <v>0</v>
      </c>
      <c r="H359" s="460">
        <f>IF(L358&lt;0.01,0,IF($H$68="",0,L358*Adm!$V$3))</f>
        <v>0</v>
      </c>
      <c r="I359" s="460">
        <f>IF(L358&lt;0.01,0,IF($I$68="",0,($G$28*0.7*Adm!$W$3)))</f>
        <v>0</v>
      </c>
      <c r="J359" s="460">
        <f>IF(L358&lt;0.01,0,Adm!$AD$2*1.16)</f>
        <v>0</v>
      </c>
      <c r="K359" s="460">
        <f t="shared" si="89"/>
        <v>0</v>
      </c>
      <c r="L359" s="460">
        <f t="shared" si="90"/>
        <v>0</v>
      </c>
      <c r="M359" s="482"/>
      <c r="T359" s="469">
        <f t="shared" si="77"/>
        <v>2</v>
      </c>
      <c r="U359" s="470">
        <f>IF(T359=1,Adm!$O$2,0)</f>
        <v>0</v>
      </c>
      <c r="Z359" s="477">
        <f t="shared" si="78"/>
        <v>0</v>
      </c>
      <c r="AA359" s="478">
        <f>IF(M358&lt;=0,0,IF($AA$63=$AA$60,0,IF($Z$63=$Z$61,PMT(Adm!$J$2/12,B358,-L358),0)))</f>
        <v>0</v>
      </c>
      <c r="AB359" s="479">
        <f t="shared" si="79"/>
        <v>0</v>
      </c>
      <c r="AC359" s="479"/>
      <c r="AE359" s="473" t="e">
        <f t="shared" si="80"/>
        <v>#N/A</v>
      </c>
      <c r="AF359" s="480" t="e">
        <f t="shared" si="86"/>
        <v>#N/A</v>
      </c>
      <c r="AG359" s="475" t="e">
        <f t="shared" si="81"/>
        <v>#N/A</v>
      </c>
      <c r="AH359" s="476" t="e">
        <f t="shared" si="82"/>
        <v>#N/A</v>
      </c>
      <c r="AI359" s="475" t="e">
        <f t="shared" si="87"/>
        <v>#N/A</v>
      </c>
      <c r="AJ359" s="307" t="e">
        <f t="shared" si="83"/>
        <v>#N/A</v>
      </c>
    </row>
    <row r="360" spans="2:36">
      <c r="B360" s="277">
        <f t="shared" si="88"/>
        <v>0</v>
      </c>
      <c r="C360" s="466">
        <f t="shared" si="74"/>
        <v>0</v>
      </c>
      <c r="D360" s="467">
        <f t="shared" si="84"/>
        <v>0</v>
      </c>
      <c r="E360" s="460">
        <f t="shared" si="75"/>
        <v>0</v>
      </c>
      <c r="F360" s="460">
        <f t="shared" si="76"/>
        <v>0</v>
      </c>
      <c r="G360" s="460">
        <f t="shared" si="85"/>
        <v>0</v>
      </c>
      <c r="H360" s="460">
        <f>IF(L359&lt;0.01,0,IF($H$68="",0,L359*Adm!$V$3))</f>
        <v>0</v>
      </c>
      <c r="I360" s="460">
        <f>IF(L359&lt;0.01,0,IF($I$68="",0,($G$28*0.7*Adm!$W$3)))</f>
        <v>0</v>
      </c>
      <c r="J360" s="460">
        <f>IF(L359&lt;0.01,0,Adm!$AD$2*1.16)</f>
        <v>0</v>
      </c>
      <c r="K360" s="460">
        <f t="shared" si="89"/>
        <v>0</v>
      </c>
      <c r="L360" s="460">
        <f t="shared" si="90"/>
        <v>0</v>
      </c>
      <c r="M360" s="482"/>
      <c r="T360" s="469">
        <f t="shared" si="77"/>
        <v>3</v>
      </c>
      <c r="U360" s="470">
        <f>IF(T360=1,Adm!$O$2,0)</f>
        <v>0</v>
      </c>
      <c r="Z360" s="477">
        <f t="shared" si="78"/>
        <v>0</v>
      </c>
      <c r="AA360" s="478">
        <f>IF(M359&lt;=0,0,IF($AA$63=$AA$60,0,IF($Z$63=$Z$61,PMT(Adm!$J$2/12,B359,-L359),0)))</f>
        <v>0</v>
      </c>
      <c r="AB360" s="479">
        <f t="shared" si="79"/>
        <v>0</v>
      </c>
      <c r="AC360" s="479"/>
      <c r="AE360" s="473" t="e">
        <f t="shared" si="80"/>
        <v>#N/A</v>
      </c>
      <c r="AF360" s="480" t="e">
        <f t="shared" si="86"/>
        <v>#N/A</v>
      </c>
      <c r="AG360" s="475" t="e">
        <f t="shared" si="81"/>
        <v>#N/A</v>
      </c>
      <c r="AH360" s="476" t="e">
        <f t="shared" si="82"/>
        <v>#N/A</v>
      </c>
      <c r="AI360" s="475" t="e">
        <f t="shared" si="87"/>
        <v>#N/A</v>
      </c>
      <c r="AJ360" s="307" t="e">
        <f t="shared" si="83"/>
        <v>#N/A</v>
      </c>
    </row>
    <row r="361" spans="2:36">
      <c r="B361" s="277">
        <f t="shared" si="88"/>
        <v>0</v>
      </c>
      <c r="C361" s="466">
        <f t="shared" si="74"/>
        <v>0</v>
      </c>
      <c r="D361" s="467">
        <f t="shared" si="84"/>
        <v>0</v>
      </c>
      <c r="E361" s="460">
        <f t="shared" si="75"/>
        <v>0</v>
      </c>
      <c r="F361" s="460">
        <f t="shared" si="76"/>
        <v>0</v>
      </c>
      <c r="G361" s="460">
        <f t="shared" si="85"/>
        <v>0</v>
      </c>
      <c r="H361" s="460">
        <f>IF(L360&lt;0.01,0,IF($H$68="",0,L360*Adm!$V$3))</f>
        <v>0</v>
      </c>
      <c r="I361" s="460">
        <f>IF(L360&lt;0.01,0,IF($I$68="",0,($G$28*0.7*Adm!$W$3)))</f>
        <v>0</v>
      </c>
      <c r="J361" s="460">
        <f>IF(L360&lt;0.01,0,Adm!$AD$2*1.16)</f>
        <v>0</v>
      </c>
      <c r="K361" s="460">
        <f t="shared" si="89"/>
        <v>0</v>
      </c>
      <c r="L361" s="460">
        <f t="shared" si="90"/>
        <v>0</v>
      </c>
      <c r="M361" s="482"/>
      <c r="T361" s="469">
        <f t="shared" si="77"/>
        <v>4</v>
      </c>
      <c r="U361" s="470">
        <f>IF(T361=1,Adm!$O$2,0)</f>
        <v>0</v>
      </c>
      <c r="Z361" s="477">
        <f t="shared" si="78"/>
        <v>0</v>
      </c>
      <c r="AA361" s="478">
        <f>IF(M360&lt;=0,0,IF($AA$63=$AA$60,0,IF($Z$63=$Z$61,PMT(Adm!$J$2/12,B360,-L360),0)))</f>
        <v>0</v>
      </c>
      <c r="AB361" s="479">
        <f t="shared" si="79"/>
        <v>0</v>
      </c>
      <c r="AC361" s="479"/>
      <c r="AE361" s="473" t="e">
        <f t="shared" si="80"/>
        <v>#N/A</v>
      </c>
      <c r="AF361" s="480" t="e">
        <f t="shared" si="86"/>
        <v>#N/A</v>
      </c>
      <c r="AG361" s="475" t="e">
        <f t="shared" si="81"/>
        <v>#N/A</v>
      </c>
      <c r="AH361" s="476" t="e">
        <f t="shared" si="82"/>
        <v>#N/A</v>
      </c>
      <c r="AI361" s="475" t="e">
        <f t="shared" si="87"/>
        <v>#N/A</v>
      </c>
      <c r="AJ361" s="307" t="e">
        <f t="shared" si="83"/>
        <v>#N/A</v>
      </c>
    </row>
    <row r="362" spans="2:36">
      <c r="B362" s="277">
        <f t="shared" si="88"/>
        <v>0</v>
      </c>
      <c r="C362" s="466">
        <f t="shared" si="74"/>
        <v>0</v>
      </c>
      <c r="D362" s="467">
        <f t="shared" si="84"/>
        <v>0</v>
      </c>
      <c r="E362" s="460">
        <f t="shared" si="75"/>
        <v>0</v>
      </c>
      <c r="F362" s="460">
        <f t="shared" si="76"/>
        <v>0</v>
      </c>
      <c r="G362" s="460">
        <f t="shared" si="85"/>
        <v>0</v>
      </c>
      <c r="H362" s="460">
        <f>IF(L361&lt;0.01,0,IF($H$68="",0,L361*Adm!$V$3))</f>
        <v>0</v>
      </c>
      <c r="I362" s="460">
        <f>IF(L361&lt;0.01,0,IF($I$68="",0,($G$28*0.7*Adm!$W$3)))</f>
        <v>0</v>
      </c>
      <c r="J362" s="460">
        <f>IF(L361&lt;0.01,0,Adm!$AD$2*1.16)</f>
        <v>0</v>
      </c>
      <c r="K362" s="460">
        <f t="shared" si="89"/>
        <v>0</v>
      </c>
      <c r="L362" s="460">
        <f t="shared" si="90"/>
        <v>0</v>
      </c>
      <c r="M362" s="482"/>
      <c r="T362" s="469">
        <f t="shared" si="77"/>
        <v>5</v>
      </c>
      <c r="U362" s="470">
        <f>IF(T362=1,Adm!$O$2,0)</f>
        <v>0</v>
      </c>
      <c r="Z362" s="477">
        <f t="shared" si="78"/>
        <v>0</v>
      </c>
      <c r="AA362" s="478">
        <f>IF(M361&lt;=0,0,IF($AA$63=$AA$60,0,IF($Z$63=$Z$61,PMT(Adm!$J$2/12,B361,-L361),0)))</f>
        <v>0</v>
      </c>
      <c r="AB362" s="479">
        <f t="shared" si="79"/>
        <v>0</v>
      </c>
      <c r="AC362" s="479"/>
      <c r="AE362" s="473" t="e">
        <f t="shared" si="80"/>
        <v>#N/A</v>
      </c>
      <c r="AF362" s="480" t="e">
        <f t="shared" si="86"/>
        <v>#N/A</v>
      </c>
      <c r="AG362" s="475" t="e">
        <f t="shared" si="81"/>
        <v>#N/A</v>
      </c>
      <c r="AH362" s="476" t="e">
        <f t="shared" si="82"/>
        <v>#N/A</v>
      </c>
      <c r="AI362" s="475" t="e">
        <f t="shared" si="87"/>
        <v>#N/A</v>
      </c>
      <c r="AJ362" s="307" t="e">
        <f t="shared" si="83"/>
        <v>#N/A</v>
      </c>
    </row>
    <row r="363" spans="2:36">
      <c r="B363" s="277">
        <f t="shared" si="88"/>
        <v>0</v>
      </c>
      <c r="C363" s="466">
        <f t="shared" si="74"/>
        <v>0</v>
      </c>
      <c r="D363" s="467">
        <f t="shared" si="84"/>
        <v>0</v>
      </c>
      <c r="E363" s="460">
        <f t="shared" si="75"/>
        <v>0</v>
      </c>
      <c r="F363" s="460">
        <f t="shared" si="76"/>
        <v>0</v>
      </c>
      <c r="G363" s="460">
        <f t="shared" si="85"/>
        <v>0</v>
      </c>
      <c r="H363" s="460">
        <f>IF(L362&lt;0.01,0,IF($H$68="",0,L362*Adm!$V$3))</f>
        <v>0</v>
      </c>
      <c r="I363" s="460">
        <f>IF(L362&lt;0.01,0,IF($I$68="",0,($G$28*0.7*Adm!$W$3)))</f>
        <v>0</v>
      </c>
      <c r="J363" s="460">
        <f>IF(L362&lt;0.01,0,Adm!$AD$2*1.16)</f>
        <v>0</v>
      </c>
      <c r="K363" s="460">
        <f t="shared" si="89"/>
        <v>0</v>
      </c>
      <c r="L363" s="460">
        <f t="shared" si="90"/>
        <v>0</v>
      </c>
      <c r="M363" s="482"/>
      <c r="T363" s="469">
        <f t="shared" si="77"/>
        <v>6</v>
      </c>
      <c r="U363" s="470">
        <f>IF(T363=1,Adm!$O$2,0)</f>
        <v>0</v>
      </c>
      <c r="Z363" s="477">
        <f t="shared" si="78"/>
        <v>0</v>
      </c>
      <c r="AA363" s="478">
        <f>IF(M362&lt;=0,0,IF($AA$63=$AA$60,0,IF($Z$63=$Z$61,PMT(Adm!$J$2/12,B362,-L362),0)))</f>
        <v>0</v>
      </c>
      <c r="AB363" s="479">
        <f t="shared" si="79"/>
        <v>0</v>
      </c>
      <c r="AC363" s="479"/>
      <c r="AE363" s="473" t="e">
        <f t="shared" si="80"/>
        <v>#N/A</v>
      </c>
      <c r="AF363" s="480" t="e">
        <f t="shared" si="86"/>
        <v>#N/A</v>
      </c>
      <c r="AG363" s="475" t="e">
        <f t="shared" si="81"/>
        <v>#N/A</v>
      </c>
      <c r="AH363" s="476" t="e">
        <f t="shared" si="82"/>
        <v>#N/A</v>
      </c>
      <c r="AI363" s="475" t="e">
        <f t="shared" si="87"/>
        <v>#N/A</v>
      </c>
      <c r="AJ363" s="307" t="e">
        <f t="shared" si="83"/>
        <v>#N/A</v>
      </c>
    </row>
    <row r="364" spans="2:36">
      <c r="B364" s="277">
        <f t="shared" si="88"/>
        <v>0</v>
      </c>
      <c r="C364" s="466">
        <f t="shared" si="74"/>
        <v>0</v>
      </c>
      <c r="D364" s="467">
        <f t="shared" si="84"/>
        <v>0</v>
      </c>
      <c r="E364" s="460">
        <f t="shared" si="75"/>
        <v>0</v>
      </c>
      <c r="F364" s="460">
        <f t="shared" si="76"/>
        <v>0</v>
      </c>
      <c r="G364" s="460">
        <f t="shared" si="85"/>
        <v>0</v>
      </c>
      <c r="H364" s="460">
        <f>IF(L363&lt;0.01,0,IF($H$68="",0,L363*Adm!$V$3))</f>
        <v>0</v>
      </c>
      <c r="I364" s="460">
        <f>IF(L363&lt;0.01,0,IF($I$68="",0,($G$28*0.7*Adm!$W$3)))</f>
        <v>0</v>
      </c>
      <c r="J364" s="460">
        <f>IF(L363&lt;0.01,0,Adm!$AD$2*1.16)</f>
        <v>0</v>
      </c>
      <c r="K364" s="460">
        <f t="shared" si="89"/>
        <v>0</v>
      </c>
      <c r="L364" s="460">
        <f t="shared" si="90"/>
        <v>0</v>
      </c>
      <c r="M364" s="482"/>
      <c r="T364" s="469">
        <f t="shared" si="77"/>
        <v>7</v>
      </c>
      <c r="U364" s="470">
        <f>IF(T364=1,Adm!$O$2,0)</f>
        <v>0</v>
      </c>
      <c r="Z364" s="477">
        <f t="shared" si="78"/>
        <v>0</v>
      </c>
      <c r="AA364" s="478">
        <f>IF(M363&lt;=0,0,IF($AA$63=$AA$60,0,IF($Z$63=$Z$61,PMT(Adm!$J$2/12,B363,-L363),0)))</f>
        <v>0</v>
      </c>
      <c r="AB364" s="479">
        <f t="shared" si="79"/>
        <v>0</v>
      </c>
      <c r="AC364" s="479"/>
      <c r="AE364" s="473" t="e">
        <f t="shared" si="80"/>
        <v>#N/A</v>
      </c>
      <c r="AF364" s="480" t="e">
        <f t="shared" si="86"/>
        <v>#N/A</v>
      </c>
      <c r="AG364" s="475" t="e">
        <f t="shared" si="81"/>
        <v>#N/A</v>
      </c>
      <c r="AH364" s="476" t="e">
        <f t="shared" si="82"/>
        <v>#N/A</v>
      </c>
      <c r="AI364" s="475" t="e">
        <f t="shared" si="87"/>
        <v>#N/A</v>
      </c>
      <c r="AJ364" s="307" t="e">
        <f t="shared" si="83"/>
        <v>#N/A</v>
      </c>
    </row>
    <row r="365" spans="2:36">
      <c r="B365" s="277">
        <f t="shared" si="88"/>
        <v>0</v>
      </c>
      <c r="C365" s="466">
        <f t="shared" si="74"/>
        <v>0</v>
      </c>
      <c r="D365" s="467">
        <f t="shared" si="84"/>
        <v>0</v>
      </c>
      <c r="E365" s="460">
        <f t="shared" si="75"/>
        <v>0</v>
      </c>
      <c r="F365" s="460">
        <f t="shared" si="76"/>
        <v>0</v>
      </c>
      <c r="G365" s="460">
        <f t="shared" si="85"/>
        <v>0</v>
      </c>
      <c r="H365" s="460">
        <f>IF(L364&lt;0.01,0,IF($H$68="",0,L364*Adm!$V$3))</f>
        <v>0</v>
      </c>
      <c r="I365" s="460">
        <f>IF(L364&lt;0.01,0,IF($I$68="",0,($G$28*0.7*Adm!$W$3)))</f>
        <v>0</v>
      </c>
      <c r="J365" s="460">
        <f>IF(L364&lt;0.01,0,Adm!$AD$2*1.16)</f>
        <v>0</v>
      </c>
      <c r="K365" s="460">
        <f t="shared" si="89"/>
        <v>0</v>
      </c>
      <c r="L365" s="460">
        <f t="shared" si="90"/>
        <v>0</v>
      </c>
      <c r="M365" s="482"/>
      <c r="T365" s="469">
        <f t="shared" si="77"/>
        <v>8</v>
      </c>
      <c r="U365" s="470">
        <f>IF(T365=1,Adm!$O$2,0)</f>
        <v>0</v>
      </c>
      <c r="Z365" s="477">
        <f t="shared" si="78"/>
        <v>0</v>
      </c>
      <c r="AA365" s="478">
        <f>IF(M364&lt;=0,0,IF($AA$63=$AA$60,0,IF($Z$63=$Z$61,PMT(Adm!$J$2/12,B364,-L364),0)))</f>
        <v>0</v>
      </c>
      <c r="AB365" s="479">
        <f t="shared" si="79"/>
        <v>0</v>
      </c>
      <c r="AC365" s="479"/>
      <c r="AE365" s="473" t="e">
        <f t="shared" si="80"/>
        <v>#N/A</v>
      </c>
      <c r="AF365" s="480" t="e">
        <f t="shared" si="86"/>
        <v>#N/A</v>
      </c>
      <c r="AG365" s="475" t="e">
        <f t="shared" si="81"/>
        <v>#N/A</v>
      </c>
      <c r="AH365" s="476" t="e">
        <f t="shared" si="82"/>
        <v>#N/A</v>
      </c>
      <c r="AI365" s="475" t="e">
        <f t="shared" si="87"/>
        <v>#N/A</v>
      </c>
      <c r="AJ365" s="307" t="e">
        <f t="shared" si="83"/>
        <v>#N/A</v>
      </c>
    </row>
    <row r="366" spans="2:36">
      <c r="B366" s="277">
        <f t="shared" si="88"/>
        <v>0</v>
      </c>
      <c r="C366" s="466">
        <f t="shared" si="74"/>
        <v>0</v>
      </c>
      <c r="D366" s="467">
        <f t="shared" si="84"/>
        <v>0</v>
      </c>
      <c r="E366" s="460">
        <f t="shared" si="75"/>
        <v>0</v>
      </c>
      <c r="F366" s="460">
        <f t="shared" si="76"/>
        <v>0</v>
      </c>
      <c r="G366" s="460">
        <f t="shared" si="85"/>
        <v>0</v>
      </c>
      <c r="H366" s="460">
        <f>IF(L365&lt;0.01,0,IF($H$68="",0,L365*Adm!$V$3))</f>
        <v>0</v>
      </c>
      <c r="I366" s="460">
        <f>IF(L365&lt;0.01,0,IF($I$68="",0,($G$28*0.7*Adm!$W$3)))</f>
        <v>0</v>
      </c>
      <c r="J366" s="460">
        <f>IF(L365&lt;0.01,0,Adm!$AD$2*1.16)</f>
        <v>0</v>
      </c>
      <c r="K366" s="460">
        <f t="shared" si="89"/>
        <v>0</v>
      </c>
      <c r="L366" s="460">
        <f t="shared" si="90"/>
        <v>0</v>
      </c>
      <c r="M366" s="482"/>
      <c r="T366" s="469">
        <f t="shared" si="77"/>
        <v>9</v>
      </c>
      <c r="U366" s="470">
        <f>IF(T366=1,Adm!$O$2,0)</f>
        <v>0</v>
      </c>
      <c r="Z366" s="477">
        <f t="shared" si="78"/>
        <v>0</v>
      </c>
      <c r="AA366" s="478">
        <f>IF(M365&lt;=0,0,IF($AA$63=$AA$60,0,IF($Z$63=$Z$61,PMT(Adm!$J$2/12,B365,-L365),0)))</f>
        <v>0</v>
      </c>
      <c r="AB366" s="479">
        <f t="shared" si="79"/>
        <v>0</v>
      </c>
      <c r="AC366" s="479"/>
      <c r="AE366" s="473" t="e">
        <f t="shared" si="80"/>
        <v>#N/A</v>
      </c>
      <c r="AF366" s="480" t="e">
        <f t="shared" si="86"/>
        <v>#N/A</v>
      </c>
      <c r="AG366" s="475" t="e">
        <f t="shared" si="81"/>
        <v>#N/A</v>
      </c>
      <c r="AH366" s="476" t="e">
        <f t="shared" si="82"/>
        <v>#N/A</v>
      </c>
      <c r="AI366" s="475" t="e">
        <f t="shared" si="87"/>
        <v>#N/A</v>
      </c>
      <c r="AJ366" s="307" t="e">
        <f t="shared" si="83"/>
        <v>#N/A</v>
      </c>
    </row>
    <row r="367" spans="2:36">
      <c r="B367" s="277">
        <f t="shared" si="88"/>
        <v>0</v>
      </c>
      <c r="C367" s="466">
        <f t="shared" si="74"/>
        <v>0</v>
      </c>
      <c r="D367" s="467">
        <f t="shared" si="84"/>
        <v>0</v>
      </c>
      <c r="E367" s="460">
        <f t="shared" si="75"/>
        <v>0</v>
      </c>
      <c r="F367" s="460">
        <f t="shared" si="76"/>
        <v>0</v>
      </c>
      <c r="G367" s="460">
        <f t="shared" si="85"/>
        <v>0</v>
      </c>
      <c r="H367" s="460">
        <f>IF(L366&lt;0.01,0,IF($H$68="",0,L366*Adm!$V$3))</f>
        <v>0</v>
      </c>
      <c r="I367" s="460">
        <f>IF(L366&lt;0.01,0,IF($I$68="",0,($G$28*0.7*Adm!$W$3)))</f>
        <v>0</v>
      </c>
      <c r="J367" s="460">
        <f>IF(L366&lt;0.01,0,Adm!$AD$2*1.16)</f>
        <v>0</v>
      </c>
      <c r="K367" s="460">
        <f t="shared" si="89"/>
        <v>0</v>
      </c>
      <c r="L367" s="460">
        <f t="shared" si="90"/>
        <v>0</v>
      </c>
      <c r="M367" s="482"/>
      <c r="T367" s="469">
        <f t="shared" si="77"/>
        <v>10</v>
      </c>
      <c r="U367" s="470">
        <f>IF(T367=1,Adm!$O$2,0)</f>
        <v>0</v>
      </c>
      <c r="Z367" s="477">
        <f t="shared" si="78"/>
        <v>0</v>
      </c>
      <c r="AA367" s="478">
        <f>IF(M366&lt;=0,0,IF($AA$63=$AA$60,0,IF($Z$63=$Z$61,PMT(Adm!$J$2/12,B366,-L366),0)))</f>
        <v>0</v>
      </c>
      <c r="AB367" s="479">
        <f t="shared" si="79"/>
        <v>0</v>
      </c>
      <c r="AC367" s="479"/>
      <c r="AE367" s="473" t="e">
        <f t="shared" si="80"/>
        <v>#N/A</v>
      </c>
      <c r="AF367" s="480" t="e">
        <f t="shared" si="86"/>
        <v>#N/A</v>
      </c>
      <c r="AG367" s="475" t="e">
        <f t="shared" si="81"/>
        <v>#N/A</v>
      </c>
      <c r="AH367" s="476" t="e">
        <f t="shared" si="82"/>
        <v>#N/A</v>
      </c>
      <c r="AI367" s="475" t="e">
        <f t="shared" si="87"/>
        <v>#N/A</v>
      </c>
      <c r="AJ367" s="307" t="e">
        <f t="shared" si="83"/>
        <v>#N/A</v>
      </c>
    </row>
    <row r="368" spans="2:36">
      <c r="B368" s="277">
        <f t="shared" si="88"/>
        <v>0</v>
      </c>
      <c r="C368" s="466">
        <f t="shared" si="74"/>
        <v>0</v>
      </c>
      <c r="D368" s="467">
        <f t="shared" si="84"/>
        <v>0</v>
      </c>
      <c r="E368" s="460">
        <f t="shared" si="75"/>
        <v>0</v>
      </c>
      <c r="F368" s="460">
        <f t="shared" si="76"/>
        <v>0</v>
      </c>
      <c r="G368" s="460">
        <f t="shared" si="85"/>
        <v>0</v>
      </c>
      <c r="H368" s="460">
        <f>IF(L367&lt;0.01,0,IF($H$68="",0,L367*Adm!$V$3))</f>
        <v>0</v>
      </c>
      <c r="I368" s="460">
        <f>IF(L367&lt;0.01,0,IF($I$68="",0,($G$28*0.7*Adm!$W$3)))</f>
        <v>0</v>
      </c>
      <c r="J368" s="460">
        <f>IF(L367&lt;0.01,0,Adm!$AD$2*1.16)</f>
        <v>0</v>
      </c>
      <c r="K368" s="460">
        <f t="shared" si="89"/>
        <v>0</v>
      </c>
      <c r="L368" s="460">
        <f t="shared" si="90"/>
        <v>0</v>
      </c>
      <c r="M368" s="482"/>
      <c r="T368" s="469">
        <f t="shared" si="77"/>
        <v>11</v>
      </c>
      <c r="U368" s="470">
        <f>IF(T368=1,Adm!$O$2,0)</f>
        <v>0</v>
      </c>
      <c r="Z368" s="477">
        <f t="shared" si="78"/>
        <v>0</v>
      </c>
      <c r="AA368" s="478">
        <f>IF(M367&lt;=0,0,IF($AA$63=$AA$60,0,IF($Z$63=$Z$61,PMT(Adm!$J$2/12,B367,-L367),0)))</f>
        <v>0</v>
      </c>
      <c r="AB368" s="479">
        <f t="shared" si="79"/>
        <v>0</v>
      </c>
      <c r="AC368" s="479"/>
      <c r="AE368" s="473" t="e">
        <f t="shared" si="80"/>
        <v>#N/A</v>
      </c>
      <c r="AF368" s="480" t="e">
        <f t="shared" si="86"/>
        <v>#N/A</v>
      </c>
      <c r="AG368" s="475" t="e">
        <f t="shared" si="81"/>
        <v>#N/A</v>
      </c>
      <c r="AH368" s="476" t="e">
        <f t="shared" si="82"/>
        <v>#N/A</v>
      </c>
      <c r="AI368" s="475" t="e">
        <f t="shared" si="87"/>
        <v>#N/A</v>
      </c>
      <c r="AJ368" s="307" t="e">
        <f t="shared" si="83"/>
        <v>#N/A</v>
      </c>
    </row>
    <row r="369" spans="2:36">
      <c r="B369" s="277">
        <f t="shared" ref="B369" si="91">IF(L368&gt;0,B368-1,0)</f>
        <v>0</v>
      </c>
      <c r="C369" s="466">
        <f t="shared" si="74"/>
        <v>0</v>
      </c>
      <c r="D369" s="467">
        <f t="shared" si="84"/>
        <v>0</v>
      </c>
      <c r="E369" s="460">
        <f t="shared" si="75"/>
        <v>0</v>
      </c>
      <c r="F369" s="460">
        <f t="shared" si="76"/>
        <v>0</v>
      </c>
      <c r="G369" s="460">
        <f t="shared" si="85"/>
        <v>0</v>
      </c>
      <c r="H369" s="460">
        <f>IF(L368&lt;0.01,0,IF($H$68="",0,L368*Adm!$V$3))</f>
        <v>0</v>
      </c>
      <c r="I369" s="460">
        <f>IF(L368&lt;0.01,0,IF($I$68="",0,($G$28*0.7*Adm!$W$3)))</f>
        <v>0</v>
      </c>
      <c r="J369" s="460">
        <f>IF(L368&lt;0.01,0,Adm!$AD$2*1.16)</f>
        <v>0</v>
      </c>
      <c r="K369" s="460">
        <f t="shared" ref="K369" si="92">IF(L368&lt;0.01,0,(G369+H369+I369+J369))</f>
        <v>0</v>
      </c>
      <c r="L369" s="460">
        <f t="shared" ref="L369" si="93">IF(L368&lt;0.01,0,(L368-F369-M369))</f>
        <v>0</v>
      </c>
      <c r="M369" s="483"/>
      <c r="T369" s="469">
        <f t="shared" si="77"/>
        <v>12</v>
      </c>
      <c r="U369" s="470">
        <f>IF(T369=1,Adm!$O$2,0)</f>
        <v>0</v>
      </c>
      <c r="Z369" s="477">
        <f t="shared" si="78"/>
        <v>0</v>
      </c>
      <c r="AA369" s="478">
        <f>IF(M368&lt;=0,0,IF($AA$63=$AA$60,0,IF($Z$63=$Z$61,PMT(Adm!$J$2/12,B368,-L368),0)))</f>
        <v>0</v>
      </c>
      <c r="AB369" s="479">
        <f t="shared" si="79"/>
        <v>0</v>
      </c>
      <c r="AC369" s="479"/>
      <c r="AE369" s="473" t="e">
        <f t="shared" si="80"/>
        <v>#N/A</v>
      </c>
      <c r="AF369" s="480" t="e">
        <f t="shared" si="86"/>
        <v>#N/A</v>
      </c>
      <c r="AG369" s="475" t="e">
        <f t="shared" si="81"/>
        <v>#N/A</v>
      </c>
      <c r="AH369" s="476" t="e">
        <f t="shared" si="82"/>
        <v>#N/A</v>
      </c>
      <c r="AI369" s="475" t="e">
        <f t="shared" si="87"/>
        <v>#N/A</v>
      </c>
      <c r="AJ369" s="307" t="e">
        <f t="shared" si="83"/>
        <v>#N/A</v>
      </c>
    </row>
    <row r="370" spans="2:36">
      <c r="C370" s="474"/>
      <c r="D370" s="484"/>
      <c r="E370" s="485"/>
      <c r="F370" s="485"/>
      <c r="G370" s="485"/>
      <c r="H370" s="485"/>
      <c r="I370" s="485"/>
      <c r="J370" s="485"/>
      <c r="K370" s="485"/>
      <c r="L370" s="485"/>
      <c r="AB370" s="307"/>
      <c r="AC370" s="307"/>
      <c r="AJ370" s="486"/>
    </row>
    <row r="371" spans="2:36" ht="13">
      <c r="C371" s="487" t="s">
        <v>158</v>
      </c>
      <c r="D371" s="488"/>
      <c r="E371" s="489">
        <f>SUM(E70:E369)</f>
        <v>0</v>
      </c>
      <c r="F371" s="489">
        <f t="shared" ref="F371:K371" si="94">SUM(F70:F369)</f>
        <v>0</v>
      </c>
      <c r="G371" s="489">
        <f t="shared" si="94"/>
        <v>0</v>
      </c>
      <c r="H371" s="489">
        <f t="shared" si="94"/>
        <v>0</v>
      </c>
      <c r="I371" s="489">
        <f t="shared" si="94"/>
        <v>0</v>
      </c>
      <c r="J371" s="489">
        <f t="shared" si="94"/>
        <v>0</v>
      </c>
      <c r="K371" s="489">
        <f t="shared" si="94"/>
        <v>0</v>
      </c>
      <c r="L371" s="489"/>
      <c r="M371" s="488"/>
    </row>
    <row r="373" spans="2:36" ht="13">
      <c r="C373" s="490" t="s">
        <v>111</v>
      </c>
    </row>
    <row r="374" spans="2:36" ht="27.75" customHeight="1">
      <c r="C374" s="543" t="s">
        <v>115</v>
      </c>
      <c r="D374" s="543"/>
      <c r="E374" s="543"/>
      <c r="F374" s="543"/>
      <c r="G374" s="543"/>
      <c r="H374" s="543"/>
      <c r="I374" s="543"/>
      <c r="J374" s="543"/>
      <c r="K374" s="543"/>
      <c r="L374" s="543"/>
      <c r="M374" s="543"/>
      <c r="N374" s="543"/>
    </row>
    <row r="375" spans="2:36">
      <c r="C375" s="543" t="s">
        <v>112</v>
      </c>
      <c r="D375" s="543"/>
      <c r="E375" s="543"/>
      <c r="F375" s="543"/>
      <c r="G375" s="543"/>
      <c r="H375" s="543"/>
      <c r="I375" s="543"/>
      <c r="J375" s="543"/>
      <c r="K375" s="543"/>
      <c r="L375" s="543"/>
      <c r="M375" s="543"/>
      <c r="N375" s="543"/>
    </row>
    <row r="376" spans="2:36">
      <c r="C376" s="543" t="s">
        <v>116</v>
      </c>
      <c r="D376" s="543"/>
      <c r="E376" s="543"/>
      <c r="F376" s="543"/>
      <c r="G376" s="543"/>
      <c r="H376" s="543"/>
      <c r="I376" s="543"/>
      <c r="J376" s="543"/>
      <c r="K376" s="543"/>
      <c r="L376" s="543"/>
      <c r="M376" s="543"/>
      <c r="N376" s="543"/>
    </row>
    <row r="377" spans="2:36" ht="27" customHeight="1">
      <c r="C377" s="543" t="s">
        <v>117</v>
      </c>
      <c r="D377" s="543"/>
      <c r="E377" s="543"/>
      <c r="F377" s="543"/>
      <c r="G377" s="543"/>
      <c r="H377" s="543"/>
      <c r="I377" s="543"/>
      <c r="J377" s="543"/>
      <c r="K377" s="543"/>
      <c r="L377" s="543"/>
      <c r="M377" s="543"/>
      <c r="N377" s="543"/>
    </row>
    <row r="378" spans="2:36" s="491" customFormat="1" ht="15" customHeight="1">
      <c r="C378" s="545" t="s">
        <v>118</v>
      </c>
      <c r="D378" s="545"/>
      <c r="E378" s="545"/>
      <c r="F378" s="545"/>
      <c r="G378" s="545"/>
      <c r="H378" s="545"/>
      <c r="I378" s="545"/>
      <c r="J378" s="545"/>
      <c r="K378" s="545"/>
      <c r="L378" s="545"/>
      <c r="M378" s="545"/>
      <c r="N378" s="545"/>
      <c r="O378" s="492"/>
    </row>
    <row r="379" spans="2:36" ht="26.25" customHeight="1">
      <c r="C379" s="543" t="s">
        <v>119</v>
      </c>
      <c r="D379" s="543"/>
      <c r="E379" s="543"/>
      <c r="F379" s="543"/>
      <c r="G379" s="543"/>
      <c r="H379" s="543"/>
      <c r="I379" s="543"/>
      <c r="J379" s="543"/>
      <c r="K379" s="543"/>
      <c r="L379" s="543"/>
      <c r="M379" s="543"/>
      <c r="N379" s="543"/>
    </row>
    <row r="380" spans="2:36" ht="28.5" customHeight="1">
      <c r="C380" s="543" t="s">
        <v>113</v>
      </c>
      <c r="D380" s="543"/>
      <c r="E380" s="543"/>
      <c r="F380" s="543"/>
      <c r="G380" s="543"/>
      <c r="H380" s="543"/>
      <c r="I380" s="543"/>
      <c r="J380" s="543"/>
      <c r="K380" s="543"/>
      <c r="L380" s="543"/>
      <c r="M380" s="543"/>
      <c r="N380" s="543"/>
    </row>
    <row r="381" spans="2:36" ht="13">
      <c r="C381" s="544" t="s">
        <v>114</v>
      </c>
      <c r="D381" s="544"/>
      <c r="E381" s="544"/>
      <c r="F381" s="544"/>
      <c r="G381" s="544"/>
      <c r="H381" s="544"/>
      <c r="I381" s="544"/>
      <c r="J381" s="544"/>
      <c r="K381" s="544"/>
      <c r="L381" s="544"/>
      <c r="M381" s="544"/>
      <c r="N381" s="544"/>
    </row>
    <row r="382" spans="2:36">
      <c r="C382" s="543" t="s">
        <v>176</v>
      </c>
      <c r="D382" s="543"/>
      <c r="E382" s="543"/>
      <c r="F382" s="543"/>
      <c r="G382" s="543"/>
      <c r="H382" s="543"/>
      <c r="I382" s="543"/>
      <c r="J382" s="543"/>
      <c r="K382" s="543"/>
      <c r="L382" s="543"/>
      <c r="M382" s="543"/>
      <c r="N382" s="543"/>
    </row>
    <row r="383" spans="2:36">
      <c r="C383" s="543" t="s">
        <v>76</v>
      </c>
      <c r="D383" s="543"/>
      <c r="E383" s="543"/>
      <c r="F383" s="543"/>
      <c r="G383" s="543"/>
      <c r="H383" s="543"/>
      <c r="I383" s="543"/>
      <c r="J383" s="543"/>
      <c r="K383" s="543"/>
      <c r="L383" s="543"/>
      <c r="M383" s="543"/>
      <c r="N383" s="543"/>
    </row>
    <row r="384" spans="2:36" ht="30.75" customHeight="1">
      <c r="C384" s="543" t="s">
        <v>195</v>
      </c>
      <c r="D384" s="543"/>
      <c r="E384" s="543"/>
      <c r="F384" s="543"/>
      <c r="G384" s="543"/>
      <c r="H384" s="543"/>
      <c r="I384" s="543"/>
      <c r="J384" s="543"/>
      <c r="K384" s="543"/>
      <c r="L384" s="543"/>
      <c r="M384" s="543"/>
      <c r="N384" s="543"/>
    </row>
    <row r="385" spans="3:14" ht="19.5" customHeight="1">
      <c r="C385" s="543" t="s">
        <v>196</v>
      </c>
      <c r="D385" s="543"/>
      <c r="E385" s="543"/>
      <c r="F385" s="543"/>
      <c r="G385" s="543"/>
      <c r="H385" s="543"/>
      <c r="I385" s="543"/>
      <c r="J385" s="543"/>
      <c r="K385" s="543"/>
      <c r="L385" s="543"/>
      <c r="M385" s="543"/>
      <c r="N385" s="543"/>
    </row>
    <row r="386" spans="3:14">
      <c r="C386" s="493"/>
      <c r="D386" s="493"/>
      <c r="E386" s="493"/>
      <c r="F386" s="493"/>
      <c r="G386" s="493"/>
      <c r="H386" s="493"/>
      <c r="I386" s="493"/>
      <c r="J386" s="493"/>
      <c r="K386" s="493"/>
      <c r="L386" s="493"/>
      <c r="M386" s="493"/>
      <c r="N386" s="493"/>
    </row>
    <row r="387" spans="3:14">
      <c r="C387" s="494" t="s">
        <v>204</v>
      </c>
      <c r="N387" s="495" t="s">
        <v>203</v>
      </c>
    </row>
    <row r="389" spans="3:14" ht="23.25" customHeight="1">
      <c r="C389" s="542"/>
      <c r="D389" s="542"/>
      <c r="E389" s="542"/>
      <c r="F389" s="542"/>
      <c r="G389" s="542"/>
      <c r="H389" s="542"/>
      <c r="I389" s="542"/>
      <c r="J389" s="542"/>
      <c r="K389" s="542"/>
      <c r="L389" s="542"/>
      <c r="M389" s="496"/>
      <c r="N389" s="496"/>
    </row>
    <row r="390" spans="3:14">
      <c r="C390" s="542"/>
      <c r="D390" s="542"/>
      <c r="E390" s="542"/>
      <c r="F390" s="542"/>
      <c r="G390" s="542"/>
      <c r="H390" s="542"/>
      <c r="I390" s="542"/>
      <c r="J390" s="542"/>
      <c r="K390" s="542"/>
      <c r="L390" s="542"/>
      <c r="M390" s="496"/>
      <c r="N390" s="496"/>
    </row>
    <row r="391" spans="3:14">
      <c r="C391" s="542"/>
      <c r="D391" s="542"/>
      <c r="E391" s="542"/>
      <c r="F391" s="542"/>
      <c r="G391" s="542"/>
      <c r="H391" s="542"/>
      <c r="I391" s="542"/>
      <c r="J391" s="542"/>
      <c r="K391" s="542"/>
      <c r="L391" s="542"/>
      <c r="M391" s="496"/>
      <c r="N391" s="496"/>
    </row>
    <row r="392" spans="3:14" ht="26.25" customHeight="1">
      <c r="C392" s="542"/>
      <c r="D392" s="542"/>
      <c r="E392" s="542"/>
      <c r="F392" s="542"/>
      <c r="G392" s="542"/>
      <c r="H392" s="542"/>
      <c r="I392" s="542"/>
      <c r="J392" s="542"/>
      <c r="K392" s="542"/>
      <c r="L392" s="542"/>
    </row>
    <row r="393" spans="3:14" ht="24.75" customHeight="1">
      <c r="C393" s="542"/>
      <c r="D393" s="542"/>
      <c r="E393" s="542"/>
      <c r="F393" s="542"/>
      <c r="G393" s="542"/>
      <c r="H393" s="542"/>
      <c r="I393" s="542"/>
      <c r="J393" s="542"/>
      <c r="K393" s="542"/>
      <c r="L393" s="542"/>
      <c r="M393" s="496"/>
      <c r="N393" s="496"/>
    </row>
    <row r="394" spans="3:14" ht="25.5" customHeight="1">
      <c r="C394" s="542"/>
      <c r="D394" s="542"/>
      <c r="E394" s="542"/>
      <c r="F394" s="542"/>
      <c r="G394" s="542"/>
      <c r="H394" s="542"/>
      <c r="I394" s="542"/>
      <c r="J394" s="542"/>
      <c r="K394" s="542"/>
      <c r="L394" s="542"/>
    </row>
    <row r="395" spans="3:14">
      <c r="C395" s="497"/>
      <c r="D395" s="497"/>
      <c r="E395" s="497"/>
      <c r="F395" s="497"/>
      <c r="G395" s="497"/>
      <c r="H395" s="497"/>
      <c r="I395" s="497"/>
      <c r="J395" s="497"/>
      <c r="K395" s="497"/>
      <c r="L395" s="497"/>
    </row>
  </sheetData>
  <sheetProtection algorithmName="SHA-512" hashValue="+mBlqIg6TSrFBr+US2VXXihfQjuzwpDZNzawvMsYCKPm/s8ExxsOhfLy0uVcTyNyzcAwnvn2DIijhRSRoQdhIA==" saltValue="zY3kx2ZM8/40nVvnkmXMww==" spinCount="100000" sheet="1" objects="1" scenarios="1"/>
  <mergeCells count="28">
    <mergeCell ref="C374:N374"/>
    <mergeCell ref="C380:N380"/>
    <mergeCell ref="C381:N381"/>
    <mergeCell ref="C382:N382"/>
    <mergeCell ref="C383:N383"/>
    <mergeCell ref="C375:N375"/>
    <mergeCell ref="C376:N376"/>
    <mergeCell ref="C377:N377"/>
    <mergeCell ref="C378:N378"/>
    <mergeCell ref="C379:N379"/>
    <mergeCell ref="C394:L394"/>
    <mergeCell ref="C384:N384"/>
    <mergeCell ref="C389:L389"/>
    <mergeCell ref="C390:L390"/>
    <mergeCell ref="C391:L391"/>
    <mergeCell ref="C392:L392"/>
    <mergeCell ref="C393:L393"/>
    <mergeCell ref="C385:N385"/>
    <mergeCell ref="C34:N34"/>
    <mergeCell ref="C63:N63"/>
    <mergeCell ref="C32:N32"/>
    <mergeCell ref="F2:K2"/>
    <mergeCell ref="E9:I9"/>
    <mergeCell ref="M7:N7"/>
    <mergeCell ref="E7:I7"/>
    <mergeCell ref="M3:N3"/>
    <mergeCell ref="K9:L9"/>
    <mergeCell ref="K48:L48"/>
  </mergeCells>
  <phoneticPr fontId="2" type="noConversion"/>
  <conditionalFormatting sqref="C32:N32">
    <cfRule type="cellIs" dxfId="45" priority="53" stopIfTrue="1" operator="greaterThan">
      <formula>""""""</formula>
    </cfRule>
  </conditionalFormatting>
  <conditionalFormatting sqref="E65:E67">
    <cfRule type="expression" dxfId="44" priority="30" stopIfTrue="1">
      <formula>#REF!&gt;0</formula>
    </cfRule>
  </conditionalFormatting>
  <conditionalFormatting sqref="AF62:AF63">
    <cfRule type="cellIs" dxfId="43" priority="28" stopIfTrue="1" operator="greaterThan">
      <formula>0</formula>
    </cfRule>
  </conditionalFormatting>
  <conditionalFormatting sqref="AG70:AG369">
    <cfRule type="cellIs" dxfId="42" priority="27" stopIfTrue="1" operator="lessThanOrEqual">
      <formula>0</formula>
    </cfRule>
  </conditionalFormatting>
  <conditionalFormatting sqref="AI70">
    <cfRule type="cellIs" dxfId="41" priority="26" stopIfTrue="1" operator="lessThanOrEqual">
      <formula>0</formula>
    </cfRule>
  </conditionalFormatting>
  <conditionalFormatting sqref="AI71:AI81 AI83:AI93 AI95:AI105 AI107:AI117 AI119:AI129 AI131:AI141 AI143:AI153 AI155:AI165 AI167:AI177 AI179:AI189 AI191:AI201 AI203:AI213 AI215:AI225 AI227:AI237 AI239:AI249 AI251:AI261 AI263:AI273 AI275:AI285 AI287:AI297 AI299:AI309 AI311:AI321 AI323:AI333 AI335:AI345 AI347:AI357 AI359:AI369">
    <cfRule type="cellIs" dxfId="40" priority="25" stopIfTrue="1" operator="lessThanOrEqual">
      <formula>0</formula>
    </cfRule>
  </conditionalFormatting>
  <conditionalFormatting sqref="AI82">
    <cfRule type="cellIs" dxfId="39" priority="24" stopIfTrue="1" operator="lessThanOrEqual">
      <formula>0</formula>
    </cfRule>
  </conditionalFormatting>
  <conditionalFormatting sqref="AI94">
    <cfRule type="cellIs" dxfId="38" priority="23" stopIfTrue="1" operator="lessThanOrEqual">
      <formula>0</formula>
    </cfRule>
  </conditionalFormatting>
  <conditionalFormatting sqref="AI106">
    <cfRule type="cellIs" dxfId="37" priority="22" stopIfTrue="1" operator="lessThanOrEqual">
      <formula>0</formula>
    </cfRule>
  </conditionalFormatting>
  <conditionalFormatting sqref="AI118">
    <cfRule type="cellIs" dxfId="36" priority="21" stopIfTrue="1" operator="lessThanOrEqual">
      <formula>0</formula>
    </cfRule>
  </conditionalFormatting>
  <conditionalFormatting sqref="AI130">
    <cfRule type="cellIs" dxfId="35" priority="20" stopIfTrue="1" operator="lessThanOrEqual">
      <formula>0</formula>
    </cfRule>
  </conditionalFormatting>
  <conditionalFormatting sqref="AI142">
    <cfRule type="cellIs" dxfId="34" priority="19" stopIfTrue="1" operator="lessThanOrEqual">
      <formula>0</formula>
    </cfRule>
  </conditionalFormatting>
  <conditionalFormatting sqref="AI154">
    <cfRule type="cellIs" dxfId="33" priority="18" stopIfTrue="1" operator="lessThanOrEqual">
      <formula>0</formula>
    </cfRule>
  </conditionalFormatting>
  <conditionalFormatting sqref="AI166">
    <cfRule type="cellIs" dxfId="32" priority="17" stopIfTrue="1" operator="lessThanOrEqual">
      <formula>0</formula>
    </cfRule>
  </conditionalFormatting>
  <conditionalFormatting sqref="AI178">
    <cfRule type="cellIs" dxfId="31" priority="16" stopIfTrue="1" operator="lessThanOrEqual">
      <formula>0</formula>
    </cfRule>
  </conditionalFormatting>
  <conditionalFormatting sqref="AI190">
    <cfRule type="cellIs" dxfId="30" priority="15" stopIfTrue="1" operator="lessThanOrEqual">
      <formula>0</formula>
    </cfRule>
  </conditionalFormatting>
  <conditionalFormatting sqref="AI202">
    <cfRule type="cellIs" dxfId="29" priority="14" stopIfTrue="1" operator="lessThanOrEqual">
      <formula>0</formula>
    </cfRule>
  </conditionalFormatting>
  <conditionalFormatting sqref="AI214">
    <cfRule type="cellIs" dxfId="28" priority="13" stopIfTrue="1" operator="lessThanOrEqual">
      <formula>0</formula>
    </cfRule>
  </conditionalFormatting>
  <conditionalFormatting sqref="AI226">
    <cfRule type="cellIs" dxfId="27" priority="12" stopIfTrue="1" operator="lessThanOrEqual">
      <formula>0</formula>
    </cfRule>
  </conditionalFormatting>
  <conditionalFormatting sqref="AI238">
    <cfRule type="cellIs" dxfId="26" priority="11" stopIfTrue="1" operator="lessThanOrEqual">
      <formula>0</formula>
    </cfRule>
  </conditionalFormatting>
  <conditionalFormatting sqref="AI250">
    <cfRule type="cellIs" dxfId="25" priority="10" stopIfTrue="1" operator="lessThanOrEqual">
      <formula>0</formula>
    </cfRule>
  </conditionalFormatting>
  <conditionalFormatting sqref="AI262">
    <cfRule type="cellIs" dxfId="24" priority="9" stopIfTrue="1" operator="lessThanOrEqual">
      <formula>0</formula>
    </cfRule>
  </conditionalFormatting>
  <conditionalFormatting sqref="AI274">
    <cfRule type="cellIs" dxfId="23" priority="8" stopIfTrue="1" operator="lessThanOrEqual">
      <formula>0</formula>
    </cfRule>
  </conditionalFormatting>
  <conditionalFormatting sqref="AI286">
    <cfRule type="cellIs" dxfId="22" priority="7" stopIfTrue="1" operator="lessThanOrEqual">
      <formula>0</formula>
    </cfRule>
  </conditionalFormatting>
  <conditionalFormatting sqref="AI298">
    <cfRule type="cellIs" dxfId="21" priority="6" stopIfTrue="1" operator="lessThanOrEqual">
      <formula>0</formula>
    </cfRule>
  </conditionalFormatting>
  <conditionalFormatting sqref="AI310">
    <cfRule type="cellIs" dxfId="20" priority="5" stopIfTrue="1" operator="lessThanOrEqual">
      <formula>0</formula>
    </cfRule>
  </conditionalFormatting>
  <conditionalFormatting sqref="AI322">
    <cfRule type="cellIs" dxfId="19" priority="4" stopIfTrue="1" operator="lessThanOrEqual">
      <formula>0</formula>
    </cfRule>
  </conditionalFormatting>
  <conditionalFormatting sqref="AI334">
    <cfRule type="cellIs" dxfId="18" priority="3" stopIfTrue="1" operator="lessThanOrEqual">
      <formula>0</formula>
    </cfRule>
  </conditionalFormatting>
  <conditionalFormatting sqref="AI346">
    <cfRule type="cellIs" dxfId="17" priority="2" stopIfTrue="1" operator="lessThanOrEqual">
      <formula>0</formula>
    </cfRule>
  </conditionalFormatting>
  <conditionalFormatting sqref="AI358">
    <cfRule type="cellIs" dxfId="16" priority="1" stopIfTrue="1" operator="lessThanOrEqual">
      <formula>0</formula>
    </cfRule>
  </conditionalFormatting>
  <dataValidations count="4">
    <dataValidation type="list" allowBlank="1" showInputMessage="1" showErrorMessage="1" sqref="G18" xr:uid="{00000000-0002-0000-0200-000000000000}">
      <formula1>"10,15,20,25"</formula1>
    </dataValidation>
    <dataValidation type="list" allowBlank="1" showInputMessage="1" showErrorMessage="1" sqref="G20" xr:uid="{00000000-0002-0000-0200-000001000000}">
      <formula1>"1,2"</formula1>
    </dataValidation>
    <dataValidation type="list" allowBlank="1" showInputMessage="1" showErrorMessage="1" sqref="G23" xr:uid="{00000000-0002-0000-0200-000002000000}">
      <formula1>"Si,No"</formula1>
    </dataValidation>
    <dataValidation type="list" allowBlank="1" showInputMessage="1" showErrorMessage="1" sqref="M65" xr:uid="{00000000-0002-0000-0200-000003000000}">
      <formula1>$Z$60:$Z$61</formula1>
    </dataValidation>
  </dataValidations>
  <printOptions horizontalCentered="1"/>
  <pageMargins left="0.23622047244094491" right="0.23622047244094491" top="0.35433070866141736" bottom="0.35433070866141736" header="0.31496062992125984" footer="0.31496062992125984"/>
  <pageSetup scale="75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200-000004000000}">
          <x14:formula1>
            <xm:f>Adm!$B$3:$B$4</xm:f>
          </x14:formula1>
          <xm:sqref>G16</xm:sqref>
        </x14:dataValidation>
        <x14:dataValidation type="list" allowBlank="1" showInputMessage="1" showErrorMessage="1" xr:uid="{00000000-0002-0000-0200-000005000000}">
          <x14:formula1>
            <xm:f>Adm!$U$7:$U$8</xm:f>
          </x14:formula1>
          <xm:sqref>G22 G24</xm:sqref>
        </x14:dataValidation>
        <x14:dataValidation type="list" allowBlank="1" showInputMessage="1" showErrorMessage="1" xr:uid="{98C11688-CD15-4CB9-94EA-26506B95B8B0}">
          <x14:formula1>
            <xm:f>Adm!$E$3:$E$7</xm:f>
          </x14:formula1>
          <xm:sqref>K16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>
    <tabColor theme="7" tint="-0.249977111117893"/>
  </sheetPr>
  <dimension ref="A1:X349"/>
  <sheetViews>
    <sheetView showGridLines="0" showZeros="0" zoomScale="80" workbookViewId="0">
      <selection activeCell="D12" sqref="D12"/>
    </sheetView>
  </sheetViews>
  <sheetFormatPr baseColWidth="10" defaultRowHeight="12.5" zeroHeight="1"/>
  <cols>
    <col min="1" max="1" width="9.6328125" customWidth="1"/>
    <col min="2" max="2" width="13.453125" customWidth="1"/>
    <col min="3" max="3" width="22.453125" customWidth="1"/>
    <col min="4" max="4" width="18.08984375" style="106" customWidth="1"/>
    <col min="5" max="5" width="15.453125" style="106" customWidth="1"/>
    <col min="6" max="6" width="13.54296875" style="106" customWidth="1"/>
    <col min="7" max="7" width="15.6328125" style="106" customWidth="1"/>
    <col min="8" max="8" width="19.54296875" style="106" customWidth="1"/>
    <col min="9" max="9" width="17.6328125" style="106" customWidth="1"/>
    <col min="10" max="10" width="21.36328125" style="106" bestFit="1" customWidth="1"/>
    <col min="11" max="11" width="5.6328125" style="37" customWidth="1"/>
    <col min="12" max="12" width="20.90625" style="106" customWidth="1"/>
    <col min="14" max="14" width="17.54296875" customWidth="1"/>
    <col min="18" max="18" width="11.453125" style="154" customWidth="1"/>
    <col min="19" max="19" width="20" style="137" customWidth="1"/>
    <col min="20" max="22" width="11.453125" style="137" customWidth="1"/>
    <col min="23" max="24" width="11.453125" style="137"/>
  </cols>
  <sheetData>
    <row r="1" spans="1:24">
      <c r="A1" s="37"/>
      <c r="B1" s="38"/>
      <c r="C1" s="37"/>
      <c r="D1" s="37"/>
      <c r="E1" s="37"/>
      <c r="F1" s="37"/>
      <c r="G1" s="37"/>
      <c r="H1" s="37"/>
      <c r="I1" s="37"/>
      <c r="J1" s="37"/>
    </row>
    <row r="2" spans="1:24">
      <c r="A2" s="37"/>
      <c r="B2" s="38"/>
      <c r="C2" s="37"/>
      <c r="D2" s="37"/>
      <c r="E2" s="37"/>
      <c r="F2" s="37"/>
      <c r="G2" s="37"/>
      <c r="H2" s="37"/>
      <c r="I2" s="37"/>
      <c r="J2" s="37"/>
    </row>
    <row r="3" spans="1:24">
      <c r="A3" s="37"/>
      <c r="B3" s="38"/>
      <c r="C3" s="37"/>
      <c r="D3" s="37"/>
      <c r="E3" s="37"/>
      <c r="F3" s="37"/>
      <c r="G3" s="37"/>
      <c r="H3" s="37"/>
      <c r="I3" s="37"/>
      <c r="J3" s="37"/>
    </row>
    <row r="4" spans="1:24">
      <c r="A4" s="37"/>
      <c r="B4" s="38"/>
      <c r="C4" s="37"/>
      <c r="D4" s="37"/>
      <c r="E4" s="37"/>
      <c r="F4" s="37"/>
      <c r="G4" s="37"/>
      <c r="H4" s="37"/>
      <c r="I4" s="37"/>
      <c r="J4" s="37"/>
      <c r="L4" s="136"/>
    </row>
    <row r="5" spans="1:24" ht="21" customHeight="1">
      <c r="A5" s="141" t="s">
        <v>82</v>
      </c>
      <c r="B5" s="116"/>
      <c r="C5" s="116"/>
      <c r="D5" s="116"/>
      <c r="E5" s="116"/>
      <c r="F5" s="116"/>
      <c r="G5" s="116"/>
      <c r="H5" s="116"/>
      <c r="I5" s="116"/>
      <c r="J5" s="116"/>
      <c r="K5" s="39"/>
      <c r="L5" s="136"/>
    </row>
    <row r="6" spans="1:24">
      <c r="A6" s="37"/>
      <c r="B6" s="38"/>
      <c r="C6" s="37"/>
      <c r="D6" s="37"/>
      <c r="E6" s="37"/>
      <c r="F6" s="37"/>
      <c r="G6" s="37"/>
      <c r="H6" s="37"/>
      <c r="I6" s="40" t="s">
        <v>30</v>
      </c>
      <c r="J6" s="41">
        <f ca="1">TODAY()</f>
        <v>45884</v>
      </c>
      <c r="L6" s="15"/>
    </row>
    <row r="7" spans="1:24" ht="13">
      <c r="A7" s="37"/>
      <c r="B7" s="37" t="s">
        <v>29</v>
      </c>
      <c r="C7" s="37"/>
      <c r="D7" s="87">
        <f>Captura!E7</f>
        <v>0</v>
      </c>
      <c r="E7" s="87"/>
      <c r="F7" s="37"/>
      <c r="G7" s="37"/>
      <c r="H7" s="37"/>
      <c r="I7" s="40" t="s">
        <v>31</v>
      </c>
      <c r="J7" s="220">
        <f>Captura!G28</f>
        <v>0</v>
      </c>
      <c r="L7" s="15"/>
    </row>
    <row r="8" spans="1:24" ht="13">
      <c r="A8" s="37"/>
      <c r="B8" s="37" t="s">
        <v>68</v>
      </c>
      <c r="C8" s="42"/>
      <c r="D8" s="43">
        <f>Captura!E9</f>
        <v>0</v>
      </c>
      <c r="E8" s="43"/>
      <c r="F8" s="43"/>
      <c r="G8" s="44"/>
      <c r="H8" s="44"/>
      <c r="I8" s="178" t="s">
        <v>175</v>
      </c>
      <c r="J8" s="45">
        <f>Captura!G28*0.7</f>
        <v>0</v>
      </c>
      <c r="L8" s="46"/>
    </row>
    <row r="9" spans="1:24" ht="13">
      <c r="A9" s="37"/>
      <c r="B9" s="37" t="s">
        <v>28</v>
      </c>
      <c r="D9" s="43">
        <f>Captura!K9</f>
        <v>0</v>
      </c>
      <c r="E9" s="43"/>
      <c r="F9" s="43"/>
      <c r="G9" s="44"/>
      <c r="H9" s="44"/>
      <c r="I9" s="40" t="s">
        <v>33</v>
      </c>
      <c r="J9" s="45">
        <f>Captura!AF3</f>
        <v>0</v>
      </c>
      <c r="L9" s="136"/>
    </row>
    <row r="10" spans="1:24">
      <c r="A10" s="37"/>
      <c r="B10" s="37"/>
      <c r="C10" s="44"/>
      <c r="D10" s="44"/>
      <c r="E10" s="44"/>
      <c r="F10" s="44"/>
      <c r="G10" s="44"/>
      <c r="H10" s="44"/>
      <c r="I10" s="40" t="s">
        <v>34</v>
      </c>
      <c r="J10" s="57" t="e">
        <f>Adm!J2</f>
        <v>#N/A</v>
      </c>
      <c r="K10" s="48"/>
      <c r="L10" s="136"/>
    </row>
    <row r="11" spans="1:24" ht="13">
      <c r="A11" s="37"/>
      <c r="B11" s="37" t="s">
        <v>32</v>
      </c>
      <c r="C11" s="47" t="str">
        <f>IF(Adm!B2=1,Adm!B3,Adm!B4)</f>
        <v>Crecientes</v>
      </c>
      <c r="D11" s="44"/>
      <c r="E11" s="44"/>
      <c r="F11" s="44"/>
      <c r="G11" s="44"/>
      <c r="H11" s="44"/>
      <c r="I11" s="40" t="s">
        <v>35</v>
      </c>
      <c r="J11" s="50">
        <f>Adm!K2</f>
        <v>0</v>
      </c>
      <c r="L11" s="136"/>
    </row>
    <row r="12" spans="1:24" ht="13">
      <c r="A12" s="37"/>
      <c r="B12" s="49" t="s">
        <v>69</v>
      </c>
      <c r="C12" s="106"/>
      <c r="D12" s="142"/>
      <c r="E12" s="142"/>
      <c r="F12" s="142"/>
      <c r="G12" s="44"/>
      <c r="H12" s="44"/>
      <c r="I12" s="40" t="s">
        <v>36</v>
      </c>
      <c r="J12" s="51">
        <f>Adm!D2</f>
        <v>0</v>
      </c>
      <c r="K12" s="53"/>
    </row>
    <row r="13" spans="1:24">
      <c r="A13" s="37"/>
      <c r="D13" s="114"/>
      <c r="E13" s="44"/>
      <c r="F13" s="44"/>
      <c r="G13" s="44"/>
      <c r="H13" s="44"/>
      <c r="I13" s="52" t="s">
        <v>37</v>
      </c>
      <c r="J13" s="51">
        <f>Captura!G20</f>
        <v>1</v>
      </c>
      <c r="K13" s="53"/>
    </row>
    <row r="14" spans="1:24">
      <c r="A14" s="37"/>
      <c r="B14" s="37" t="s">
        <v>61</v>
      </c>
      <c r="D14" s="248">
        <f>Adm!Y2</f>
        <v>2000</v>
      </c>
      <c r="E14" s="114"/>
      <c r="F14" s="45"/>
      <c r="G14" s="54"/>
      <c r="H14" s="54"/>
      <c r="I14" s="52" t="s">
        <v>38</v>
      </c>
      <c r="J14" s="143">
        <f>Adm!O2</f>
        <v>0</v>
      </c>
    </row>
    <row r="15" spans="1:24">
      <c r="A15" s="37"/>
      <c r="B15" s="175" t="s">
        <v>121</v>
      </c>
      <c r="D15" s="218">
        <f>Captura!M44/1.16</f>
        <v>0</v>
      </c>
      <c r="E15" s="114"/>
      <c r="F15" s="45"/>
      <c r="G15" s="44"/>
      <c r="H15" s="44"/>
      <c r="I15" s="44"/>
      <c r="J15" s="56"/>
    </row>
    <row r="16" spans="1:24" s="106" customFormat="1" ht="13">
      <c r="A16" s="37"/>
      <c r="B16" s="118" t="s">
        <v>77</v>
      </c>
      <c r="C16" s="37"/>
      <c r="D16" s="219">
        <f>Captura!M46</f>
        <v>0</v>
      </c>
      <c r="E16" s="114"/>
      <c r="G16" s="144"/>
      <c r="H16" s="44"/>
      <c r="I16" s="44"/>
      <c r="J16" s="145"/>
      <c r="K16" s="37"/>
      <c r="R16" s="154"/>
      <c r="S16" s="186"/>
      <c r="T16" s="137"/>
      <c r="U16" s="137"/>
      <c r="V16" s="137"/>
      <c r="W16" s="137"/>
      <c r="X16" s="137"/>
    </row>
    <row r="17" spans="1:24" s="106" customFormat="1" ht="12.75" customHeight="1">
      <c r="A17" s="37"/>
      <c r="B17" s="37" t="s">
        <v>70</v>
      </c>
      <c r="C17" s="37"/>
      <c r="D17" s="217">
        <f>J9*Adm!S2</f>
        <v>0</v>
      </c>
      <c r="E17" s="114"/>
      <c r="F17" s="37"/>
      <c r="G17" s="44"/>
      <c r="H17" s="144"/>
      <c r="I17" s="144"/>
      <c r="J17" s="44"/>
      <c r="K17" s="58"/>
      <c r="R17" s="154"/>
      <c r="S17" s="137"/>
      <c r="T17" s="191"/>
      <c r="U17" s="137"/>
      <c r="V17" s="137"/>
      <c r="W17" s="137"/>
      <c r="X17" s="137"/>
    </row>
    <row r="18" spans="1:24" s="106" customFormat="1" ht="13">
      <c r="A18" s="37"/>
      <c r="C18" s="55" t="s">
        <v>71</v>
      </c>
      <c r="D18" s="115">
        <f>SUM(D13:D17)</f>
        <v>2000</v>
      </c>
      <c r="E18" s="115"/>
      <c r="F18" s="59"/>
      <c r="G18" s="44"/>
      <c r="H18" s="60"/>
      <c r="I18" s="44"/>
      <c r="K18" s="58"/>
      <c r="R18" s="154"/>
      <c r="S18" s="137"/>
      <c r="T18" s="192"/>
      <c r="U18" s="137"/>
      <c r="V18" s="137"/>
      <c r="W18" s="137"/>
      <c r="X18" s="137"/>
    </row>
    <row r="19" spans="1:24" s="106" customFormat="1" ht="20">
      <c r="A19" s="37"/>
      <c r="B19" s="117" t="s">
        <v>74</v>
      </c>
      <c r="C19" s="227" t="e">
        <f>S21</f>
        <v>#NUM!</v>
      </c>
      <c r="D19" s="146" t="s">
        <v>75</v>
      </c>
      <c r="E19" s="45"/>
      <c r="F19" s="45"/>
      <c r="G19" s="223">
        <f>Captura!I371</f>
        <v>0</v>
      </c>
      <c r="H19" s="223">
        <f>Captura!J371</f>
        <v>0</v>
      </c>
      <c r="I19" s="60">
        <f>SUM(I25:I324)</f>
        <v>0</v>
      </c>
      <c r="J19" s="44"/>
      <c r="K19" s="37"/>
      <c r="R19" s="154"/>
      <c r="S19" s="226">
        <f>SUM(S25:S324)</f>
        <v>0</v>
      </c>
      <c r="T19" s="193"/>
      <c r="U19" s="137"/>
      <c r="V19" s="137"/>
      <c r="W19" s="137"/>
      <c r="X19" s="137"/>
    </row>
    <row r="20" spans="1:24" s="106" customFormat="1" ht="13.5" thickBot="1">
      <c r="A20" s="111"/>
      <c r="B20" s="111"/>
      <c r="C20" s="111"/>
      <c r="D20" s="111"/>
      <c r="E20" s="111"/>
      <c r="F20" s="111"/>
      <c r="G20" s="222">
        <f>G25*(J12*12)</f>
        <v>0</v>
      </c>
      <c r="H20" s="111">
        <f>H25*(J12*12)</f>
        <v>0</v>
      </c>
      <c r="J20" s="111"/>
      <c r="K20" s="39"/>
      <c r="R20" s="154"/>
      <c r="S20" s="137"/>
      <c r="T20" s="137"/>
      <c r="U20" s="137"/>
      <c r="V20" s="137"/>
      <c r="W20" s="137"/>
      <c r="X20" s="137"/>
    </row>
    <row r="21" spans="1:24" ht="13">
      <c r="A21" s="37"/>
      <c r="B21" s="224">
        <f>SUM(B25:B324)</f>
        <v>0</v>
      </c>
      <c r="C21" s="224">
        <f t="shared" ref="C21:F21" si="0">SUM(C25:C324)</f>
        <v>0</v>
      </c>
      <c r="D21" s="224">
        <f t="shared" si="0"/>
        <v>0</v>
      </c>
      <c r="E21" s="224">
        <f t="shared" si="0"/>
        <v>0</v>
      </c>
      <c r="F21" s="224">
        <f t="shared" si="0"/>
        <v>0</v>
      </c>
      <c r="G21" s="185">
        <f>G19-G20</f>
        <v>0</v>
      </c>
      <c r="H21" s="225">
        <f>H19-H20</f>
        <v>0</v>
      </c>
      <c r="I21" s="221">
        <f>SUM(I25:I324)+G21+H21</f>
        <v>0</v>
      </c>
      <c r="J21" s="44"/>
      <c r="S21" s="187" t="e">
        <f>(1+IRR(S24:S324,0.01))^12-1</f>
        <v>#NUM!</v>
      </c>
      <c r="U21" s="194"/>
    </row>
    <row r="22" spans="1:24" ht="26">
      <c r="A22" s="61" t="s">
        <v>40</v>
      </c>
      <c r="B22" s="62" t="s">
        <v>41</v>
      </c>
      <c r="C22" s="62" t="s">
        <v>42</v>
      </c>
      <c r="D22" s="62" t="s">
        <v>43</v>
      </c>
      <c r="E22" s="62" t="str">
        <f>IF(Adm!A2=2,"Aportaciones Infonavit","")</f>
        <v/>
      </c>
      <c r="F22" s="62" t="s">
        <v>44</v>
      </c>
      <c r="G22" s="62" t="s">
        <v>45</v>
      </c>
      <c r="H22" s="62" t="s">
        <v>67</v>
      </c>
      <c r="I22" s="62" t="s">
        <v>46</v>
      </c>
      <c r="J22" s="62" t="s">
        <v>47</v>
      </c>
      <c r="N22" s="63" t="s">
        <v>25</v>
      </c>
      <c r="S22" s="188" t="s">
        <v>73</v>
      </c>
    </row>
    <row r="23" spans="1:24" ht="1.5" customHeight="1">
      <c r="A23" s="64"/>
      <c r="B23" s="65"/>
      <c r="C23" s="64"/>
      <c r="D23" s="65"/>
      <c r="E23" s="65"/>
      <c r="F23" s="65"/>
      <c r="G23" s="66"/>
      <c r="H23" s="64"/>
      <c r="I23" s="64"/>
      <c r="J23" s="64"/>
      <c r="O23" s="67" t="s">
        <v>39</v>
      </c>
      <c r="P23" s="68" t="s">
        <v>48</v>
      </c>
      <c r="S23" s="189"/>
    </row>
    <row r="24" spans="1:24" ht="13">
      <c r="A24" s="69">
        <v>0</v>
      </c>
      <c r="B24" s="70"/>
      <c r="C24" s="70"/>
      <c r="D24" s="70"/>
      <c r="E24" s="70"/>
      <c r="F24" s="70"/>
      <c r="G24" s="70"/>
      <c r="H24" s="70"/>
      <c r="I24" s="70"/>
      <c r="J24" s="71">
        <f>J9</f>
        <v>0</v>
      </c>
      <c r="O24" s="73">
        <v>12</v>
      </c>
      <c r="P24" s="74" t="s">
        <v>49</v>
      </c>
      <c r="S24" s="198">
        <f>-Captura!AF3+D18</f>
        <v>2000</v>
      </c>
    </row>
    <row r="25" spans="1:24">
      <c r="A25" s="140">
        <f>IF(J24&lt;0.01,0,1)</f>
        <v>0</v>
      </c>
      <c r="B25" s="138">
        <f t="shared" ref="B25:B88" si="1">IF(J24&lt;0.001,0,J24*$J$10/12)</f>
        <v>0</v>
      </c>
      <c r="C25" s="138">
        <f t="shared" ref="C25:C88" si="2">D25-B25</f>
        <v>0</v>
      </c>
      <c r="D25" s="138">
        <f>IF(Adm!B2=1,PMT(#REF!/12,#REF!*12,-J9),J9*J11/1000)</f>
        <v>0</v>
      </c>
      <c r="E25" s="138"/>
      <c r="F25" s="138">
        <f>IF(J24&lt;0.01,0,J24*Adm!$V$3)</f>
        <v>0</v>
      </c>
      <c r="G25" s="138">
        <f>IF(J24&lt;0.01,0,($J$8*Adm!$W$3/1.16))</f>
        <v>0</v>
      </c>
      <c r="H25" s="70">
        <f>IF(J24&lt;0.01,0,Adm!$AD$2)</f>
        <v>0</v>
      </c>
      <c r="I25" s="138">
        <f>IF(J24&lt;0.01,0,(D25+F25+G25+H25))</f>
        <v>0</v>
      </c>
      <c r="J25" s="139">
        <f>IF(J24&lt;0.01,0,(J24-C25-E25))</f>
        <v>0</v>
      </c>
      <c r="L25" s="106">
        <f>IF(J24&lt;0.01,0,1)</f>
        <v>0</v>
      </c>
      <c r="N25" s="72"/>
      <c r="O25" s="76">
        <f>IF(O24=12,1,O24+1)</f>
        <v>1</v>
      </c>
      <c r="P25" s="77"/>
      <c r="S25" s="190">
        <f>I25</f>
        <v>0</v>
      </c>
      <c r="T25" s="194"/>
    </row>
    <row r="26" spans="1:24">
      <c r="A26" s="69">
        <f t="shared" ref="A26:A89" si="3">IF(J25&lt;0.01,0,A25+1)</f>
        <v>0</v>
      </c>
      <c r="B26" s="70">
        <f t="shared" si="1"/>
        <v>0</v>
      </c>
      <c r="C26" s="70">
        <f t="shared" si="2"/>
        <v>0</v>
      </c>
      <c r="D26" s="70">
        <f t="shared" ref="D26:D89" si="4">IF(J25&lt;0.001,0,MIN(J25+B26,D25*(1+P26)))</f>
        <v>0</v>
      </c>
      <c r="E26" s="70"/>
      <c r="F26" s="70">
        <f>IF(J25&lt;0.01,0,J25*Adm!$V$3)</f>
        <v>0</v>
      </c>
      <c r="G26" s="70">
        <f>IF(J25&lt;0.01,0,$J$8*Adm!$W$3/1.16)</f>
        <v>0</v>
      </c>
      <c r="H26" s="70">
        <f>IF(J25&lt;0.01,0,Adm!$AD$2)</f>
        <v>0</v>
      </c>
      <c r="I26" s="70">
        <f>IF(J25&lt;0.01,0,(D26+F26+G26+H26))</f>
        <v>0</v>
      </c>
      <c r="J26" s="72">
        <f t="shared" ref="J26:J89" si="5">IF(J25&lt;0.01,0,(J25-C26-E26))</f>
        <v>0</v>
      </c>
      <c r="K26" s="78"/>
      <c r="L26" s="106">
        <f>IF(J25&lt;0.01,0,2)</f>
        <v>0</v>
      </c>
      <c r="N26" s="72"/>
      <c r="O26" s="76">
        <f t="shared" ref="O26:O89" si="6">IF(O25=12,1,O25+1)</f>
        <v>2</v>
      </c>
      <c r="P26" s="77">
        <f>IF(O26=1,$J$14,0)</f>
        <v>0</v>
      </c>
      <c r="S26" s="190">
        <f t="shared" ref="S26:S89" si="7">I26</f>
        <v>0</v>
      </c>
      <c r="T26" s="194"/>
    </row>
    <row r="27" spans="1:24">
      <c r="A27" s="69">
        <f t="shared" si="3"/>
        <v>0</v>
      </c>
      <c r="B27" s="70">
        <f t="shared" si="1"/>
        <v>0</v>
      </c>
      <c r="C27" s="70">
        <f t="shared" si="2"/>
        <v>0</v>
      </c>
      <c r="D27" s="70">
        <f t="shared" si="4"/>
        <v>0</v>
      </c>
      <c r="E27" s="70"/>
      <c r="F27" s="70">
        <f>IF(J26&lt;0.01,0,J26*Adm!$V$3)</f>
        <v>0</v>
      </c>
      <c r="G27" s="70">
        <f>IF(J26&lt;0.01,0,$J$8*Adm!$W$3/1.16)</f>
        <v>0</v>
      </c>
      <c r="H27" s="70">
        <f>IF(J26&lt;0.01,0,Adm!$AD$2)</f>
        <v>0</v>
      </c>
      <c r="I27" s="70">
        <f t="shared" ref="I27:I89" si="8">IF(J26&lt;0.01,0,(D27+F27+G27+H27))</f>
        <v>0</v>
      </c>
      <c r="J27" s="72">
        <f t="shared" si="5"/>
        <v>0</v>
      </c>
      <c r="L27" s="106">
        <f>IF(J26&lt;0.01,0,1)</f>
        <v>0</v>
      </c>
      <c r="N27" s="72"/>
      <c r="O27" s="76">
        <f t="shared" si="6"/>
        <v>3</v>
      </c>
      <c r="P27" s="77">
        <f t="shared" ref="P27:P90" si="9">IF(O27=1,$J$14,0)</f>
        <v>0</v>
      </c>
      <c r="S27" s="190">
        <f t="shared" si="7"/>
        <v>0</v>
      </c>
      <c r="T27" s="194"/>
    </row>
    <row r="28" spans="1:24">
      <c r="A28" s="69">
        <f t="shared" si="3"/>
        <v>0</v>
      </c>
      <c r="B28" s="70">
        <f t="shared" si="1"/>
        <v>0</v>
      </c>
      <c r="C28" s="70">
        <f t="shared" si="2"/>
        <v>0</v>
      </c>
      <c r="D28" s="70">
        <f t="shared" si="4"/>
        <v>0</v>
      </c>
      <c r="E28" s="70"/>
      <c r="F28" s="70">
        <f>IF(J27&lt;0.01,0,J27*Adm!$V$3)</f>
        <v>0</v>
      </c>
      <c r="G28" s="70">
        <f>IF(J27&lt;0.01,0,$J$8*Adm!$W$3/1.16)</f>
        <v>0</v>
      </c>
      <c r="H28" s="70">
        <f>IF(J27&lt;0.01,0,Adm!$AD$2)</f>
        <v>0</v>
      </c>
      <c r="I28" s="70">
        <f t="shared" si="8"/>
        <v>0</v>
      </c>
      <c r="J28" s="72">
        <f t="shared" si="5"/>
        <v>0</v>
      </c>
      <c r="L28" s="106">
        <f>IF(J27&lt;0.01,0,2)</f>
        <v>0</v>
      </c>
      <c r="N28" s="72"/>
      <c r="O28" s="76">
        <f t="shared" si="6"/>
        <v>4</v>
      </c>
      <c r="P28" s="77">
        <f t="shared" si="9"/>
        <v>0</v>
      </c>
      <c r="S28" s="190">
        <f t="shared" si="7"/>
        <v>0</v>
      </c>
      <c r="T28" s="194"/>
    </row>
    <row r="29" spans="1:24">
      <c r="A29" s="69">
        <f t="shared" si="3"/>
        <v>0</v>
      </c>
      <c r="B29" s="70">
        <f t="shared" si="1"/>
        <v>0</v>
      </c>
      <c r="C29" s="70">
        <f t="shared" si="2"/>
        <v>0</v>
      </c>
      <c r="D29" s="70">
        <f t="shared" si="4"/>
        <v>0</v>
      </c>
      <c r="E29" s="70"/>
      <c r="F29" s="70">
        <f>IF(J28&lt;0.01,0,J28*Adm!$V$3)</f>
        <v>0</v>
      </c>
      <c r="G29" s="70">
        <f>IF(J28&lt;0.01,0,$J$8*Adm!$W$3/1.16)</f>
        <v>0</v>
      </c>
      <c r="H29" s="70">
        <f>IF(J28&lt;0.01,0,Adm!$AD$2)</f>
        <v>0</v>
      </c>
      <c r="I29" s="70">
        <f t="shared" si="8"/>
        <v>0</v>
      </c>
      <c r="J29" s="72">
        <f t="shared" si="5"/>
        <v>0</v>
      </c>
      <c r="L29" s="106">
        <f>IF(J28&lt;0.01,0,1)</f>
        <v>0</v>
      </c>
      <c r="N29" s="72"/>
      <c r="O29" s="76">
        <f t="shared" si="6"/>
        <v>5</v>
      </c>
      <c r="P29" s="77">
        <f t="shared" si="9"/>
        <v>0</v>
      </c>
      <c r="S29" s="190">
        <f t="shared" si="7"/>
        <v>0</v>
      </c>
      <c r="T29" s="194"/>
    </row>
    <row r="30" spans="1:24">
      <c r="A30" s="69">
        <f t="shared" si="3"/>
        <v>0</v>
      </c>
      <c r="B30" s="70">
        <f t="shared" si="1"/>
        <v>0</v>
      </c>
      <c r="C30" s="70">
        <f t="shared" si="2"/>
        <v>0</v>
      </c>
      <c r="D30" s="70">
        <f t="shared" si="4"/>
        <v>0</v>
      </c>
      <c r="E30" s="70"/>
      <c r="F30" s="70">
        <f>IF(J29&lt;0.01,0,J29*Adm!$V$3)</f>
        <v>0</v>
      </c>
      <c r="G30" s="70">
        <f>IF(J29&lt;0.01,0,$J$8*Adm!$W$3/1.16)</f>
        <v>0</v>
      </c>
      <c r="H30" s="70">
        <f>IF(J29&lt;0.01,0,Adm!$AD$2)</f>
        <v>0</v>
      </c>
      <c r="I30" s="70">
        <f t="shared" si="8"/>
        <v>0</v>
      </c>
      <c r="J30" s="72">
        <f t="shared" si="5"/>
        <v>0</v>
      </c>
      <c r="L30" s="106">
        <f>IF(J29&lt;0.01,0,2)</f>
        <v>0</v>
      </c>
      <c r="N30" s="72"/>
      <c r="O30" s="76">
        <f t="shared" si="6"/>
        <v>6</v>
      </c>
      <c r="P30" s="77">
        <f t="shared" si="9"/>
        <v>0</v>
      </c>
      <c r="S30" s="190">
        <f t="shared" si="7"/>
        <v>0</v>
      </c>
      <c r="T30" s="194"/>
    </row>
    <row r="31" spans="1:24">
      <c r="A31" s="69">
        <f t="shared" si="3"/>
        <v>0</v>
      </c>
      <c r="B31" s="70">
        <f t="shared" si="1"/>
        <v>0</v>
      </c>
      <c r="C31" s="70">
        <f t="shared" si="2"/>
        <v>0</v>
      </c>
      <c r="D31" s="70">
        <f t="shared" si="4"/>
        <v>0</v>
      </c>
      <c r="E31" s="70"/>
      <c r="F31" s="70">
        <f>IF(J30&lt;0.01,0,J30*Adm!$V$3)</f>
        <v>0</v>
      </c>
      <c r="G31" s="70">
        <f>IF(J30&lt;0.01,0,$J$8*Adm!$W$3/1.16)</f>
        <v>0</v>
      </c>
      <c r="H31" s="70">
        <f>IF(J30&lt;0.01,0,Adm!$AD$2)</f>
        <v>0</v>
      </c>
      <c r="I31" s="70">
        <f t="shared" si="8"/>
        <v>0</v>
      </c>
      <c r="J31" s="72">
        <f t="shared" si="5"/>
        <v>0</v>
      </c>
      <c r="K31" s="79"/>
      <c r="L31" s="106">
        <f>IF(J30&lt;0.01,0,1)</f>
        <v>0</v>
      </c>
      <c r="N31" s="72"/>
      <c r="O31" s="76">
        <f t="shared" si="6"/>
        <v>7</v>
      </c>
      <c r="P31" s="77">
        <f t="shared" si="9"/>
        <v>0</v>
      </c>
      <c r="S31" s="190">
        <f t="shared" si="7"/>
        <v>0</v>
      </c>
      <c r="T31" s="194"/>
    </row>
    <row r="32" spans="1:24">
      <c r="A32" s="69">
        <f t="shared" si="3"/>
        <v>0</v>
      </c>
      <c r="B32" s="70">
        <f t="shared" si="1"/>
        <v>0</v>
      </c>
      <c r="C32" s="70">
        <f t="shared" si="2"/>
        <v>0</v>
      </c>
      <c r="D32" s="70">
        <f t="shared" si="4"/>
        <v>0</v>
      </c>
      <c r="E32" s="70"/>
      <c r="F32" s="70">
        <f>IF(J31&lt;0.01,0,J31*Adm!$V$3)</f>
        <v>0</v>
      </c>
      <c r="G32" s="70">
        <f>IF(J31&lt;0.01,0,$J$8*Adm!$W$3/1.16)</f>
        <v>0</v>
      </c>
      <c r="H32" s="70">
        <f>IF(J31&lt;0.01,0,Adm!$AD$2)</f>
        <v>0</v>
      </c>
      <c r="I32" s="70">
        <f t="shared" si="8"/>
        <v>0</v>
      </c>
      <c r="J32" s="72">
        <f t="shared" si="5"/>
        <v>0</v>
      </c>
      <c r="K32" s="80"/>
      <c r="L32" s="106">
        <f>IF(J31&lt;0.01,0,2)</f>
        <v>0</v>
      </c>
      <c r="N32" s="72"/>
      <c r="O32" s="76">
        <f t="shared" si="6"/>
        <v>8</v>
      </c>
      <c r="P32" s="77">
        <f t="shared" si="9"/>
        <v>0</v>
      </c>
      <c r="S32" s="190">
        <f t="shared" si="7"/>
        <v>0</v>
      </c>
      <c r="T32" s="194"/>
    </row>
    <row r="33" spans="1:20">
      <c r="A33" s="69">
        <f t="shared" si="3"/>
        <v>0</v>
      </c>
      <c r="B33" s="70">
        <f t="shared" si="1"/>
        <v>0</v>
      </c>
      <c r="C33" s="70">
        <f t="shared" si="2"/>
        <v>0</v>
      </c>
      <c r="D33" s="70">
        <f t="shared" si="4"/>
        <v>0</v>
      </c>
      <c r="E33" s="70"/>
      <c r="F33" s="70">
        <f>IF(J32&lt;0.01,0,J32*Adm!$V$3)</f>
        <v>0</v>
      </c>
      <c r="G33" s="70">
        <f>IF(J32&lt;0.01,0,$J$8*Adm!$W$3/1.16)</f>
        <v>0</v>
      </c>
      <c r="H33" s="70">
        <f>IF(J32&lt;0.01,0,Adm!$AD$2)</f>
        <v>0</v>
      </c>
      <c r="I33" s="70">
        <f t="shared" si="8"/>
        <v>0</v>
      </c>
      <c r="J33" s="72">
        <f t="shared" si="5"/>
        <v>0</v>
      </c>
      <c r="K33" s="80"/>
      <c r="L33" s="106">
        <f>IF(J32&lt;0.01,0,1)</f>
        <v>0</v>
      </c>
      <c r="N33" s="72"/>
      <c r="O33" s="76">
        <f t="shared" si="6"/>
        <v>9</v>
      </c>
      <c r="P33" s="77">
        <f t="shared" si="9"/>
        <v>0</v>
      </c>
      <c r="S33" s="190">
        <f t="shared" si="7"/>
        <v>0</v>
      </c>
      <c r="T33" s="194"/>
    </row>
    <row r="34" spans="1:20">
      <c r="A34" s="69">
        <f t="shared" si="3"/>
        <v>0</v>
      </c>
      <c r="B34" s="70">
        <f t="shared" si="1"/>
        <v>0</v>
      </c>
      <c r="C34" s="70">
        <f t="shared" si="2"/>
        <v>0</v>
      </c>
      <c r="D34" s="70">
        <f t="shared" si="4"/>
        <v>0</v>
      </c>
      <c r="E34" s="70"/>
      <c r="F34" s="70">
        <f>IF(J33&lt;0.01,0,J33*Adm!$V$3)</f>
        <v>0</v>
      </c>
      <c r="G34" s="70">
        <f>IF(J33&lt;0.01,0,$J$8*Adm!$W$3/1.16)</f>
        <v>0</v>
      </c>
      <c r="H34" s="70">
        <f>IF(J33&lt;0.01,0,Adm!$AD$2)</f>
        <v>0</v>
      </c>
      <c r="I34" s="70">
        <f t="shared" si="8"/>
        <v>0</v>
      </c>
      <c r="J34" s="72">
        <f t="shared" si="5"/>
        <v>0</v>
      </c>
      <c r="L34" s="106">
        <f>IF(J33&lt;0.01,0,2)</f>
        <v>0</v>
      </c>
      <c r="N34" s="72"/>
      <c r="O34" s="76">
        <f t="shared" si="6"/>
        <v>10</v>
      </c>
      <c r="P34" s="77">
        <f t="shared" si="9"/>
        <v>0</v>
      </c>
      <c r="S34" s="190">
        <f t="shared" si="7"/>
        <v>0</v>
      </c>
      <c r="T34" s="194"/>
    </row>
    <row r="35" spans="1:20">
      <c r="A35" s="69">
        <f t="shared" si="3"/>
        <v>0</v>
      </c>
      <c r="B35" s="70">
        <f t="shared" si="1"/>
        <v>0</v>
      </c>
      <c r="C35" s="70">
        <f t="shared" si="2"/>
        <v>0</v>
      </c>
      <c r="D35" s="70">
        <f t="shared" si="4"/>
        <v>0</v>
      </c>
      <c r="E35" s="70"/>
      <c r="F35" s="70">
        <f>IF(J34&lt;0.01,0,J34*Adm!$V$3)</f>
        <v>0</v>
      </c>
      <c r="G35" s="70">
        <f>IF(J34&lt;0.01,0,$J$8*Adm!$W$3/1.16)</f>
        <v>0</v>
      </c>
      <c r="H35" s="70">
        <f>IF(J34&lt;0.01,0,Adm!$AD$2)</f>
        <v>0</v>
      </c>
      <c r="I35" s="70">
        <f t="shared" si="8"/>
        <v>0</v>
      </c>
      <c r="J35" s="72">
        <f t="shared" si="5"/>
        <v>0</v>
      </c>
      <c r="L35" s="106">
        <f>IF(J34&lt;0.01,0,1)</f>
        <v>0</v>
      </c>
      <c r="N35" s="72"/>
      <c r="O35" s="76">
        <f t="shared" si="6"/>
        <v>11</v>
      </c>
      <c r="P35" s="77">
        <f t="shared" si="9"/>
        <v>0</v>
      </c>
      <c r="S35" s="190">
        <f t="shared" si="7"/>
        <v>0</v>
      </c>
      <c r="T35" s="194"/>
    </row>
    <row r="36" spans="1:20">
      <c r="A36" s="69">
        <f t="shared" si="3"/>
        <v>0</v>
      </c>
      <c r="B36" s="70">
        <f t="shared" si="1"/>
        <v>0</v>
      </c>
      <c r="C36" s="70">
        <f t="shared" si="2"/>
        <v>0</v>
      </c>
      <c r="D36" s="70">
        <f t="shared" si="4"/>
        <v>0</v>
      </c>
      <c r="E36" s="70"/>
      <c r="F36" s="70">
        <f>IF(J35&lt;0.01,0,J35*Adm!$V$3)</f>
        <v>0</v>
      </c>
      <c r="G36" s="70">
        <f>IF(J35&lt;0.01,0,$J$8*Adm!$W$3/1.16)</f>
        <v>0</v>
      </c>
      <c r="H36" s="70">
        <f>IF(J35&lt;0.01,0,Adm!$AD$2)</f>
        <v>0</v>
      </c>
      <c r="I36" s="70">
        <f t="shared" si="8"/>
        <v>0</v>
      </c>
      <c r="J36" s="72">
        <f t="shared" si="5"/>
        <v>0</v>
      </c>
      <c r="K36" s="44"/>
      <c r="L36" s="106">
        <f>IF(J35&lt;0.01,0,2)</f>
        <v>0</v>
      </c>
      <c r="N36" s="72"/>
      <c r="O36" s="76">
        <f t="shared" si="6"/>
        <v>12</v>
      </c>
      <c r="P36" s="77">
        <f t="shared" si="9"/>
        <v>0</v>
      </c>
      <c r="S36" s="190">
        <f t="shared" si="7"/>
        <v>0</v>
      </c>
      <c r="T36" s="194"/>
    </row>
    <row r="37" spans="1:20">
      <c r="A37" s="69">
        <f t="shared" si="3"/>
        <v>0</v>
      </c>
      <c r="B37" s="70">
        <f t="shared" si="1"/>
        <v>0</v>
      </c>
      <c r="C37" s="70">
        <f t="shared" si="2"/>
        <v>0</v>
      </c>
      <c r="D37" s="70">
        <f t="shared" si="4"/>
        <v>0</v>
      </c>
      <c r="E37" s="70"/>
      <c r="F37" s="70">
        <f>IF(J36&lt;0.01,0,J36*Adm!$V$3)</f>
        <v>0</v>
      </c>
      <c r="G37" s="70">
        <f>IF(J36&lt;0.01,0,$J$8*Adm!$W$3/1.16)</f>
        <v>0</v>
      </c>
      <c r="H37" s="70">
        <f>IF(J36&lt;0.01,0,Adm!$AD$2)</f>
        <v>0</v>
      </c>
      <c r="I37" s="70">
        <f t="shared" si="8"/>
        <v>0</v>
      </c>
      <c r="J37" s="72">
        <f t="shared" si="5"/>
        <v>0</v>
      </c>
      <c r="L37" s="106">
        <f>IF(J36&lt;0.01,0,1)</f>
        <v>0</v>
      </c>
      <c r="N37" s="72"/>
      <c r="O37" s="76">
        <f t="shared" si="6"/>
        <v>1</v>
      </c>
      <c r="P37" s="77">
        <f t="shared" si="9"/>
        <v>0</v>
      </c>
      <c r="S37" s="190">
        <f t="shared" si="7"/>
        <v>0</v>
      </c>
      <c r="T37" s="194"/>
    </row>
    <row r="38" spans="1:20">
      <c r="A38" s="69">
        <f t="shared" si="3"/>
        <v>0</v>
      </c>
      <c r="B38" s="70">
        <f t="shared" si="1"/>
        <v>0</v>
      </c>
      <c r="C38" s="70">
        <f t="shared" si="2"/>
        <v>0</v>
      </c>
      <c r="D38" s="70">
        <f t="shared" si="4"/>
        <v>0</v>
      </c>
      <c r="E38" s="70"/>
      <c r="F38" s="70">
        <f>IF(J37&lt;0.01,0,J37*Adm!$V$3)</f>
        <v>0</v>
      </c>
      <c r="G38" s="70">
        <f>IF(J37&lt;0.01,0,$J$8*Adm!$W$3/1.16)</f>
        <v>0</v>
      </c>
      <c r="H38" s="70">
        <f>IF(J37&lt;0.01,0,Adm!$AD$2)</f>
        <v>0</v>
      </c>
      <c r="I38" s="70">
        <f t="shared" si="8"/>
        <v>0</v>
      </c>
      <c r="J38" s="72">
        <f t="shared" si="5"/>
        <v>0</v>
      </c>
      <c r="L38" s="106">
        <f>IF(J37&lt;0.01,0,2)</f>
        <v>0</v>
      </c>
      <c r="N38" s="72"/>
      <c r="O38" s="76">
        <f t="shared" si="6"/>
        <v>2</v>
      </c>
      <c r="P38" s="77">
        <f t="shared" si="9"/>
        <v>0</v>
      </c>
      <c r="S38" s="190">
        <f t="shared" si="7"/>
        <v>0</v>
      </c>
      <c r="T38" s="194"/>
    </row>
    <row r="39" spans="1:20">
      <c r="A39" s="69">
        <f t="shared" si="3"/>
        <v>0</v>
      </c>
      <c r="B39" s="70">
        <f t="shared" si="1"/>
        <v>0</v>
      </c>
      <c r="C39" s="70">
        <f t="shared" si="2"/>
        <v>0</v>
      </c>
      <c r="D39" s="70">
        <f t="shared" si="4"/>
        <v>0</v>
      </c>
      <c r="E39" s="70"/>
      <c r="F39" s="70">
        <f>IF(J38&lt;0.01,0,J38*Adm!$V$3)</f>
        <v>0</v>
      </c>
      <c r="G39" s="70">
        <f>IF(J38&lt;0.01,0,$J$8*Adm!$W$3/1.16)</f>
        <v>0</v>
      </c>
      <c r="H39" s="70">
        <f>IF(J38&lt;0.01,0,Adm!$AD$2)</f>
        <v>0</v>
      </c>
      <c r="I39" s="70">
        <f t="shared" si="8"/>
        <v>0</v>
      </c>
      <c r="J39" s="72">
        <f t="shared" si="5"/>
        <v>0</v>
      </c>
      <c r="L39" s="106">
        <f>IF(J38&lt;0.01,0,1)</f>
        <v>0</v>
      </c>
      <c r="N39" s="72"/>
      <c r="O39" s="76">
        <f t="shared" si="6"/>
        <v>3</v>
      </c>
      <c r="P39" s="77">
        <f t="shared" si="9"/>
        <v>0</v>
      </c>
      <c r="S39" s="190">
        <f t="shared" si="7"/>
        <v>0</v>
      </c>
      <c r="T39" s="194"/>
    </row>
    <row r="40" spans="1:20">
      <c r="A40" s="69">
        <f t="shared" si="3"/>
        <v>0</v>
      </c>
      <c r="B40" s="70">
        <f t="shared" si="1"/>
        <v>0</v>
      </c>
      <c r="C40" s="70">
        <f t="shared" si="2"/>
        <v>0</v>
      </c>
      <c r="D40" s="70">
        <f t="shared" si="4"/>
        <v>0</v>
      </c>
      <c r="E40" s="70"/>
      <c r="F40" s="70">
        <f>IF(J39&lt;0.01,0,J39*Adm!$V$3)</f>
        <v>0</v>
      </c>
      <c r="G40" s="70">
        <f>IF(J39&lt;0.01,0,$J$8*Adm!$W$3/1.16)</f>
        <v>0</v>
      </c>
      <c r="H40" s="70">
        <f>IF(J39&lt;0.01,0,Adm!$AD$2)</f>
        <v>0</v>
      </c>
      <c r="I40" s="70">
        <f t="shared" si="8"/>
        <v>0</v>
      </c>
      <c r="J40" s="72">
        <f t="shared" si="5"/>
        <v>0</v>
      </c>
      <c r="L40" s="106">
        <f>IF(J39&lt;0.01,0,2)</f>
        <v>0</v>
      </c>
      <c r="N40" s="72"/>
      <c r="O40" s="76">
        <f t="shared" si="6"/>
        <v>4</v>
      </c>
      <c r="P40" s="77">
        <f t="shared" si="9"/>
        <v>0</v>
      </c>
      <c r="S40" s="190">
        <f t="shared" si="7"/>
        <v>0</v>
      </c>
      <c r="T40" s="194"/>
    </row>
    <row r="41" spans="1:20">
      <c r="A41" s="69">
        <f t="shared" si="3"/>
        <v>0</v>
      </c>
      <c r="B41" s="70">
        <f t="shared" si="1"/>
        <v>0</v>
      </c>
      <c r="C41" s="70">
        <f t="shared" si="2"/>
        <v>0</v>
      </c>
      <c r="D41" s="70">
        <f t="shared" si="4"/>
        <v>0</v>
      </c>
      <c r="E41" s="70"/>
      <c r="F41" s="70">
        <f>IF(J40&lt;0.01,0,J40*Adm!$V$3)</f>
        <v>0</v>
      </c>
      <c r="G41" s="70">
        <f>IF(J40&lt;0.01,0,$J$8*Adm!$W$3/1.16)</f>
        <v>0</v>
      </c>
      <c r="H41" s="70">
        <f>IF(J40&lt;0.01,0,Adm!$AD$2)</f>
        <v>0</v>
      </c>
      <c r="I41" s="70">
        <f t="shared" si="8"/>
        <v>0</v>
      </c>
      <c r="J41" s="72">
        <f t="shared" si="5"/>
        <v>0</v>
      </c>
      <c r="L41" s="106">
        <f>IF(J40&lt;0.01,0,1)</f>
        <v>0</v>
      </c>
      <c r="N41" s="72"/>
      <c r="O41" s="76">
        <f t="shared" si="6"/>
        <v>5</v>
      </c>
      <c r="P41" s="77">
        <f t="shared" si="9"/>
        <v>0</v>
      </c>
      <c r="S41" s="190">
        <f t="shared" si="7"/>
        <v>0</v>
      </c>
      <c r="T41" s="194"/>
    </row>
    <row r="42" spans="1:20">
      <c r="A42" s="69">
        <f t="shared" si="3"/>
        <v>0</v>
      </c>
      <c r="B42" s="70">
        <f t="shared" si="1"/>
        <v>0</v>
      </c>
      <c r="C42" s="70">
        <f t="shared" si="2"/>
        <v>0</v>
      </c>
      <c r="D42" s="70">
        <f t="shared" si="4"/>
        <v>0</v>
      </c>
      <c r="E42" s="70"/>
      <c r="F42" s="70">
        <f>IF(J41&lt;0.01,0,J41*Adm!$V$3)</f>
        <v>0</v>
      </c>
      <c r="G42" s="70">
        <f>IF(J41&lt;0.01,0,$J$8*Adm!$W$3/1.16)</f>
        <v>0</v>
      </c>
      <c r="H42" s="70">
        <f>IF(J41&lt;0.01,0,Adm!$AD$2)</f>
        <v>0</v>
      </c>
      <c r="I42" s="70">
        <f t="shared" si="8"/>
        <v>0</v>
      </c>
      <c r="J42" s="72">
        <f t="shared" si="5"/>
        <v>0</v>
      </c>
      <c r="L42" s="106">
        <f>IF(J41&lt;0.01,0,2)</f>
        <v>0</v>
      </c>
      <c r="N42" s="72"/>
      <c r="O42" s="76">
        <f t="shared" si="6"/>
        <v>6</v>
      </c>
      <c r="P42" s="77">
        <f t="shared" si="9"/>
        <v>0</v>
      </c>
      <c r="S42" s="190">
        <f t="shared" si="7"/>
        <v>0</v>
      </c>
      <c r="T42" s="194"/>
    </row>
    <row r="43" spans="1:20">
      <c r="A43" s="69">
        <f t="shared" si="3"/>
        <v>0</v>
      </c>
      <c r="B43" s="70">
        <f t="shared" si="1"/>
        <v>0</v>
      </c>
      <c r="C43" s="70">
        <f t="shared" si="2"/>
        <v>0</v>
      </c>
      <c r="D43" s="70">
        <f t="shared" si="4"/>
        <v>0</v>
      </c>
      <c r="E43" s="70"/>
      <c r="F43" s="70">
        <f>IF(J42&lt;0.01,0,J42*Adm!$V$3)</f>
        <v>0</v>
      </c>
      <c r="G43" s="70">
        <f>IF(J42&lt;0.01,0,$J$8*Adm!$W$3/1.16)</f>
        <v>0</v>
      </c>
      <c r="H43" s="70">
        <f>IF(J42&lt;0.01,0,Adm!$AD$2)</f>
        <v>0</v>
      </c>
      <c r="I43" s="70">
        <f t="shared" si="8"/>
        <v>0</v>
      </c>
      <c r="J43" s="72">
        <f t="shared" si="5"/>
        <v>0</v>
      </c>
      <c r="L43" s="106">
        <f>IF(J42&lt;0.01,0,1)</f>
        <v>0</v>
      </c>
      <c r="N43" s="72"/>
      <c r="O43" s="76">
        <f t="shared" si="6"/>
        <v>7</v>
      </c>
      <c r="P43" s="77">
        <f t="shared" si="9"/>
        <v>0</v>
      </c>
      <c r="S43" s="190">
        <f t="shared" si="7"/>
        <v>0</v>
      </c>
      <c r="T43" s="194"/>
    </row>
    <row r="44" spans="1:20">
      <c r="A44" s="69">
        <f t="shared" si="3"/>
        <v>0</v>
      </c>
      <c r="B44" s="70">
        <f t="shared" si="1"/>
        <v>0</v>
      </c>
      <c r="C44" s="70">
        <f t="shared" si="2"/>
        <v>0</v>
      </c>
      <c r="D44" s="70">
        <f t="shared" si="4"/>
        <v>0</v>
      </c>
      <c r="E44" s="70"/>
      <c r="F44" s="70">
        <f>IF(J43&lt;0.01,0,J43*Adm!$V$3)</f>
        <v>0</v>
      </c>
      <c r="G44" s="70">
        <f>IF(J43&lt;0.01,0,$J$8*Adm!$W$3/1.16)</f>
        <v>0</v>
      </c>
      <c r="H44" s="70">
        <f>IF(J43&lt;0.01,0,Adm!$AD$2)</f>
        <v>0</v>
      </c>
      <c r="I44" s="70">
        <f t="shared" si="8"/>
        <v>0</v>
      </c>
      <c r="J44" s="72">
        <f t="shared" si="5"/>
        <v>0</v>
      </c>
      <c r="L44" s="106">
        <f>IF(J43&lt;0.01,0,2)</f>
        <v>0</v>
      </c>
      <c r="N44" s="72"/>
      <c r="O44" s="76">
        <f t="shared" si="6"/>
        <v>8</v>
      </c>
      <c r="P44" s="77">
        <f t="shared" si="9"/>
        <v>0</v>
      </c>
      <c r="S44" s="190">
        <f t="shared" si="7"/>
        <v>0</v>
      </c>
      <c r="T44" s="194"/>
    </row>
    <row r="45" spans="1:20">
      <c r="A45" s="69">
        <f t="shared" si="3"/>
        <v>0</v>
      </c>
      <c r="B45" s="70">
        <f t="shared" si="1"/>
        <v>0</v>
      </c>
      <c r="C45" s="70">
        <f t="shared" si="2"/>
        <v>0</v>
      </c>
      <c r="D45" s="70">
        <f t="shared" si="4"/>
        <v>0</v>
      </c>
      <c r="E45" s="70"/>
      <c r="F45" s="70">
        <f>IF(J44&lt;0.01,0,J44*Adm!$V$3)</f>
        <v>0</v>
      </c>
      <c r="G45" s="70">
        <f>IF(J44&lt;0.01,0,$J$8*Adm!$W$3/1.16)</f>
        <v>0</v>
      </c>
      <c r="H45" s="70">
        <f>IF(J44&lt;0.01,0,Adm!$AD$2)</f>
        <v>0</v>
      </c>
      <c r="I45" s="70">
        <f t="shared" si="8"/>
        <v>0</v>
      </c>
      <c r="J45" s="72">
        <f t="shared" si="5"/>
        <v>0</v>
      </c>
      <c r="L45" s="106">
        <f>IF(J44&lt;0.01,0,1)</f>
        <v>0</v>
      </c>
      <c r="N45" s="72"/>
      <c r="O45" s="76">
        <f t="shared" si="6"/>
        <v>9</v>
      </c>
      <c r="P45" s="77">
        <f t="shared" si="9"/>
        <v>0</v>
      </c>
      <c r="S45" s="190">
        <f t="shared" si="7"/>
        <v>0</v>
      </c>
      <c r="T45" s="194"/>
    </row>
    <row r="46" spans="1:20">
      <c r="A46" s="69">
        <f t="shared" si="3"/>
        <v>0</v>
      </c>
      <c r="B46" s="70">
        <f t="shared" si="1"/>
        <v>0</v>
      </c>
      <c r="C46" s="70">
        <f t="shared" si="2"/>
        <v>0</v>
      </c>
      <c r="D46" s="70">
        <f t="shared" si="4"/>
        <v>0</v>
      </c>
      <c r="E46" s="70"/>
      <c r="F46" s="70">
        <f>IF(J45&lt;0.01,0,J45*Adm!$V$3)</f>
        <v>0</v>
      </c>
      <c r="G46" s="70">
        <f>IF(J45&lt;0.01,0,$J$8*Adm!$W$3/1.16)</f>
        <v>0</v>
      </c>
      <c r="H46" s="70">
        <f>IF(J45&lt;0.01,0,Adm!$AD$2)</f>
        <v>0</v>
      </c>
      <c r="I46" s="70">
        <f t="shared" si="8"/>
        <v>0</v>
      </c>
      <c r="J46" s="72">
        <f t="shared" si="5"/>
        <v>0</v>
      </c>
      <c r="L46" s="106">
        <f>IF(J45&lt;0.01,0,2)</f>
        <v>0</v>
      </c>
      <c r="N46" s="72"/>
      <c r="O46" s="76">
        <f t="shared" si="6"/>
        <v>10</v>
      </c>
      <c r="P46" s="77">
        <f t="shared" si="9"/>
        <v>0</v>
      </c>
      <c r="S46" s="190">
        <f t="shared" si="7"/>
        <v>0</v>
      </c>
      <c r="T46" s="194"/>
    </row>
    <row r="47" spans="1:20">
      <c r="A47" s="69">
        <f t="shared" si="3"/>
        <v>0</v>
      </c>
      <c r="B47" s="70">
        <f t="shared" si="1"/>
        <v>0</v>
      </c>
      <c r="C47" s="70">
        <f t="shared" si="2"/>
        <v>0</v>
      </c>
      <c r="D47" s="70">
        <f t="shared" si="4"/>
        <v>0</v>
      </c>
      <c r="E47" s="70"/>
      <c r="F47" s="70">
        <f>IF(J46&lt;0.01,0,J46*Adm!$V$3)</f>
        <v>0</v>
      </c>
      <c r="G47" s="70">
        <f>IF(J46&lt;0.01,0,$J$8*Adm!$W$3/1.16)</f>
        <v>0</v>
      </c>
      <c r="H47" s="70">
        <f>IF(J46&lt;0.01,0,Adm!$AD$2)</f>
        <v>0</v>
      </c>
      <c r="I47" s="70">
        <f t="shared" si="8"/>
        <v>0</v>
      </c>
      <c r="J47" s="72">
        <f t="shared" si="5"/>
        <v>0</v>
      </c>
      <c r="L47" s="106">
        <f>IF(J46&lt;0.01,0,1)</f>
        <v>0</v>
      </c>
      <c r="N47" s="72"/>
      <c r="O47" s="76">
        <f t="shared" si="6"/>
        <v>11</v>
      </c>
      <c r="P47" s="77">
        <f t="shared" si="9"/>
        <v>0</v>
      </c>
      <c r="S47" s="190">
        <f t="shared" si="7"/>
        <v>0</v>
      </c>
      <c r="T47" s="194"/>
    </row>
    <row r="48" spans="1:20">
      <c r="A48" s="69">
        <f t="shared" si="3"/>
        <v>0</v>
      </c>
      <c r="B48" s="70">
        <f t="shared" si="1"/>
        <v>0</v>
      </c>
      <c r="C48" s="70">
        <f t="shared" si="2"/>
        <v>0</v>
      </c>
      <c r="D48" s="70">
        <f t="shared" si="4"/>
        <v>0</v>
      </c>
      <c r="E48" s="70"/>
      <c r="F48" s="70">
        <f>IF(J47&lt;0.01,0,J47*Adm!$V$3)</f>
        <v>0</v>
      </c>
      <c r="G48" s="70">
        <f>IF(J47&lt;0.01,0,$J$8*Adm!$W$3/1.16)</f>
        <v>0</v>
      </c>
      <c r="H48" s="70">
        <f>IF(J47&lt;0.01,0,Adm!$AD$2)</f>
        <v>0</v>
      </c>
      <c r="I48" s="70">
        <f t="shared" si="8"/>
        <v>0</v>
      </c>
      <c r="J48" s="72">
        <f t="shared" si="5"/>
        <v>0</v>
      </c>
      <c r="L48" s="106">
        <f>IF(J47&lt;0.01,0,2)</f>
        <v>0</v>
      </c>
      <c r="N48" s="72"/>
      <c r="O48" s="76">
        <f t="shared" si="6"/>
        <v>12</v>
      </c>
      <c r="P48" s="77">
        <f t="shared" si="9"/>
        <v>0</v>
      </c>
      <c r="S48" s="190">
        <f t="shared" si="7"/>
        <v>0</v>
      </c>
      <c r="T48" s="194"/>
    </row>
    <row r="49" spans="1:20">
      <c r="A49" s="69">
        <f t="shared" si="3"/>
        <v>0</v>
      </c>
      <c r="B49" s="70">
        <f t="shared" si="1"/>
        <v>0</v>
      </c>
      <c r="C49" s="70">
        <f t="shared" si="2"/>
        <v>0</v>
      </c>
      <c r="D49" s="70">
        <f t="shared" si="4"/>
        <v>0</v>
      </c>
      <c r="E49" s="70"/>
      <c r="F49" s="70">
        <f>IF(J48&lt;0.01,0,J48*Adm!$V$3)</f>
        <v>0</v>
      </c>
      <c r="G49" s="70">
        <f>IF(J48&lt;0.01,0,$J$8*Adm!$W$3/1.16)</f>
        <v>0</v>
      </c>
      <c r="H49" s="70">
        <f>IF(J48&lt;0.01,0,Adm!$AD$2)</f>
        <v>0</v>
      </c>
      <c r="I49" s="70">
        <f t="shared" si="8"/>
        <v>0</v>
      </c>
      <c r="J49" s="72">
        <f t="shared" si="5"/>
        <v>0</v>
      </c>
      <c r="L49" s="106">
        <f>IF(J48&lt;0.01,0,1)</f>
        <v>0</v>
      </c>
      <c r="N49" s="72"/>
      <c r="O49" s="76">
        <f t="shared" si="6"/>
        <v>1</v>
      </c>
      <c r="P49" s="77">
        <f t="shared" si="9"/>
        <v>0</v>
      </c>
      <c r="S49" s="190">
        <f t="shared" si="7"/>
        <v>0</v>
      </c>
      <c r="T49" s="194"/>
    </row>
    <row r="50" spans="1:20">
      <c r="A50" s="69">
        <f t="shared" si="3"/>
        <v>0</v>
      </c>
      <c r="B50" s="70">
        <f t="shared" si="1"/>
        <v>0</v>
      </c>
      <c r="C50" s="70">
        <f t="shared" si="2"/>
        <v>0</v>
      </c>
      <c r="D50" s="70">
        <f t="shared" si="4"/>
        <v>0</v>
      </c>
      <c r="E50" s="70"/>
      <c r="F50" s="70">
        <f>IF(J49&lt;0.01,0,J49*Adm!$V$3)</f>
        <v>0</v>
      </c>
      <c r="G50" s="70">
        <f>IF(J49&lt;0.01,0,$J$8*Adm!$W$3/1.16)</f>
        <v>0</v>
      </c>
      <c r="H50" s="70">
        <f>IF(J49&lt;0.01,0,Adm!$AD$2)</f>
        <v>0</v>
      </c>
      <c r="I50" s="70">
        <f t="shared" si="8"/>
        <v>0</v>
      </c>
      <c r="J50" s="72">
        <f t="shared" si="5"/>
        <v>0</v>
      </c>
      <c r="L50" s="106">
        <f>IF(J49&lt;0.01,0,2)</f>
        <v>0</v>
      </c>
      <c r="N50" s="72"/>
      <c r="O50" s="76">
        <f t="shared" si="6"/>
        <v>2</v>
      </c>
      <c r="P50" s="77">
        <f t="shared" si="9"/>
        <v>0</v>
      </c>
      <c r="S50" s="190">
        <f t="shared" si="7"/>
        <v>0</v>
      </c>
      <c r="T50" s="194"/>
    </row>
    <row r="51" spans="1:20">
      <c r="A51" s="69">
        <f t="shared" si="3"/>
        <v>0</v>
      </c>
      <c r="B51" s="70">
        <f t="shared" si="1"/>
        <v>0</v>
      </c>
      <c r="C51" s="70">
        <f t="shared" si="2"/>
        <v>0</v>
      </c>
      <c r="D51" s="70">
        <f t="shared" si="4"/>
        <v>0</v>
      </c>
      <c r="E51" s="70"/>
      <c r="F51" s="70">
        <f>IF(J50&lt;0.01,0,J50*Adm!$V$3)</f>
        <v>0</v>
      </c>
      <c r="G51" s="70">
        <f>IF(J50&lt;0.01,0,$J$8*Adm!$W$3/1.16)</f>
        <v>0</v>
      </c>
      <c r="H51" s="70">
        <f>IF(J50&lt;0.01,0,Adm!$AD$2)</f>
        <v>0</v>
      </c>
      <c r="I51" s="70">
        <f t="shared" si="8"/>
        <v>0</v>
      </c>
      <c r="J51" s="72">
        <f t="shared" si="5"/>
        <v>0</v>
      </c>
      <c r="L51" s="106">
        <f>IF(J50&lt;0.01,0,1)</f>
        <v>0</v>
      </c>
      <c r="N51" s="72"/>
      <c r="O51" s="76">
        <f t="shared" si="6"/>
        <v>3</v>
      </c>
      <c r="P51" s="77">
        <f t="shared" si="9"/>
        <v>0</v>
      </c>
      <c r="S51" s="190">
        <f t="shared" si="7"/>
        <v>0</v>
      </c>
      <c r="T51" s="194"/>
    </row>
    <row r="52" spans="1:20">
      <c r="A52" s="69">
        <f t="shared" si="3"/>
        <v>0</v>
      </c>
      <c r="B52" s="70">
        <f t="shared" si="1"/>
        <v>0</v>
      </c>
      <c r="C52" s="70">
        <f t="shared" si="2"/>
        <v>0</v>
      </c>
      <c r="D52" s="70">
        <f t="shared" si="4"/>
        <v>0</v>
      </c>
      <c r="E52" s="70"/>
      <c r="F52" s="70">
        <f>IF(J51&lt;0.01,0,J51*Adm!$V$3)</f>
        <v>0</v>
      </c>
      <c r="G52" s="70">
        <f>IF(J51&lt;0.01,0,$J$8*Adm!$W$3/1.16)</f>
        <v>0</v>
      </c>
      <c r="H52" s="70">
        <f>IF(J51&lt;0.01,0,Adm!$AD$2)</f>
        <v>0</v>
      </c>
      <c r="I52" s="70">
        <f t="shared" si="8"/>
        <v>0</v>
      </c>
      <c r="J52" s="72">
        <f t="shared" si="5"/>
        <v>0</v>
      </c>
      <c r="L52" s="106">
        <f>IF(J51&lt;0.01,0,2)</f>
        <v>0</v>
      </c>
      <c r="N52" s="72"/>
      <c r="O52" s="76">
        <f t="shared" si="6"/>
        <v>4</v>
      </c>
      <c r="P52" s="77">
        <f t="shared" si="9"/>
        <v>0</v>
      </c>
      <c r="S52" s="190">
        <f t="shared" si="7"/>
        <v>0</v>
      </c>
      <c r="T52" s="194"/>
    </row>
    <row r="53" spans="1:20">
      <c r="A53" s="69">
        <f t="shared" si="3"/>
        <v>0</v>
      </c>
      <c r="B53" s="70">
        <f t="shared" si="1"/>
        <v>0</v>
      </c>
      <c r="C53" s="70">
        <f t="shared" si="2"/>
        <v>0</v>
      </c>
      <c r="D53" s="70">
        <f t="shared" si="4"/>
        <v>0</v>
      </c>
      <c r="E53" s="70"/>
      <c r="F53" s="70">
        <f>IF(J52&lt;0.01,0,J52*Adm!$V$3)</f>
        <v>0</v>
      </c>
      <c r="G53" s="70">
        <f>IF(J52&lt;0.01,0,$J$8*Adm!$W$3/1.16)</f>
        <v>0</v>
      </c>
      <c r="H53" s="70">
        <f>IF(J52&lt;0.01,0,Adm!$AD$2)</f>
        <v>0</v>
      </c>
      <c r="I53" s="70">
        <f t="shared" si="8"/>
        <v>0</v>
      </c>
      <c r="J53" s="72">
        <f t="shared" si="5"/>
        <v>0</v>
      </c>
      <c r="L53" s="106">
        <f>IF(J52&lt;0.01,0,1)</f>
        <v>0</v>
      </c>
      <c r="N53" s="72"/>
      <c r="O53" s="76">
        <f t="shared" si="6"/>
        <v>5</v>
      </c>
      <c r="P53" s="77">
        <f t="shared" si="9"/>
        <v>0</v>
      </c>
      <c r="S53" s="190">
        <f t="shared" si="7"/>
        <v>0</v>
      </c>
      <c r="T53" s="194"/>
    </row>
    <row r="54" spans="1:20">
      <c r="A54" s="69">
        <f t="shared" si="3"/>
        <v>0</v>
      </c>
      <c r="B54" s="70">
        <f t="shared" si="1"/>
        <v>0</v>
      </c>
      <c r="C54" s="70">
        <f t="shared" si="2"/>
        <v>0</v>
      </c>
      <c r="D54" s="70">
        <f t="shared" si="4"/>
        <v>0</v>
      </c>
      <c r="E54" s="70"/>
      <c r="F54" s="70">
        <f>IF(J53&lt;0.01,0,J53*Adm!$V$3)</f>
        <v>0</v>
      </c>
      <c r="G54" s="70">
        <f>IF(J53&lt;0.01,0,$J$8*Adm!$W$3/1.16)</f>
        <v>0</v>
      </c>
      <c r="H54" s="70">
        <f>IF(J53&lt;0.01,0,Adm!$AD$2)</f>
        <v>0</v>
      </c>
      <c r="I54" s="70">
        <f t="shared" si="8"/>
        <v>0</v>
      </c>
      <c r="J54" s="72">
        <f t="shared" si="5"/>
        <v>0</v>
      </c>
      <c r="L54" s="106">
        <f>IF(J53&lt;0.01,0,2)</f>
        <v>0</v>
      </c>
      <c r="N54" s="72"/>
      <c r="O54" s="76">
        <f t="shared" si="6"/>
        <v>6</v>
      </c>
      <c r="P54" s="77">
        <f t="shared" si="9"/>
        <v>0</v>
      </c>
      <c r="S54" s="190">
        <f t="shared" si="7"/>
        <v>0</v>
      </c>
      <c r="T54" s="194"/>
    </row>
    <row r="55" spans="1:20">
      <c r="A55" s="69">
        <f t="shared" si="3"/>
        <v>0</v>
      </c>
      <c r="B55" s="70">
        <f t="shared" si="1"/>
        <v>0</v>
      </c>
      <c r="C55" s="70">
        <f t="shared" si="2"/>
        <v>0</v>
      </c>
      <c r="D55" s="70">
        <f t="shared" si="4"/>
        <v>0</v>
      </c>
      <c r="E55" s="70"/>
      <c r="F55" s="70">
        <f>IF(J54&lt;0.01,0,J54*Adm!$V$3)</f>
        <v>0</v>
      </c>
      <c r="G55" s="70">
        <f>IF(J54&lt;0.01,0,$J$8*Adm!$W$3/1.16)</f>
        <v>0</v>
      </c>
      <c r="H55" s="70">
        <f>IF(J54&lt;0.01,0,Adm!$AD$2)</f>
        <v>0</v>
      </c>
      <c r="I55" s="70">
        <f t="shared" si="8"/>
        <v>0</v>
      </c>
      <c r="J55" s="72">
        <f t="shared" si="5"/>
        <v>0</v>
      </c>
      <c r="L55" s="106">
        <f>IF(J54&lt;0.01,0,1)</f>
        <v>0</v>
      </c>
      <c r="N55" s="72"/>
      <c r="O55" s="76">
        <f t="shared" si="6"/>
        <v>7</v>
      </c>
      <c r="P55" s="77">
        <f t="shared" si="9"/>
        <v>0</v>
      </c>
      <c r="S55" s="190">
        <f t="shared" si="7"/>
        <v>0</v>
      </c>
      <c r="T55" s="194"/>
    </row>
    <row r="56" spans="1:20">
      <c r="A56" s="69">
        <f t="shared" si="3"/>
        <v>0</v>
      </c>
      <c r="B56" s="70">
        <f t="shared" si="1"/>
        <v>0</v>
      </c>
      <c r="C56" s="70">
        <f t="shared" si="2"/>
        <v>0</v>
      </c>
      <c r="D56" s="70">
        <f t="shared" si="4"/>
        <v>0</v>
      </c>
      <c r="E56" s="70"/>
      <c r="F56" s="70">
        <f>IF(J55&lt;0.01,0,J55*Adm!$V$3)</f>
        <v>0</v>
      </c>
      <c r="G56" s="70">
        <f>IF(J55&lt;0.01,0,$J$8*Adm!$W$3/1.16)</f>
        <v>0</v>
      </c>
      <c r="H56" s="70">
        <f>IF(J55&lt;0.01,0,Adm!$AD$2)</f>
        <v>0</v>
      </c>
      <c r="I56" s="70">
        <f t="shared" si="8"/>
        <v>0</v>
      </c>
      <c r="J56" s="72">
        <f t="shared" si="5"/>
        <v>0</v>
      </c>
      <c r="L56" s="106">
        <f>IF(J55&lt;0.01,0,2)</f>
        <v>0</v>
      </c>
      <c r="N56" s="72"/>
      <c r="O56" s="76">
        <f t="shared" si="6"/>
        <v>8</v>
      </c>
      <c r="P56" s="77">
        <f t="shared" si="9"/>
        <v>0</v>
      </c>
      <c r="S56" s="190">
        <f t="shared" si="7"/>
        <v>0</v>
      </c>
      <c r="T56" s="194"/>
    </row>
    <row r="57" spans="1:20">
      <c r="A57" s="69">
        <f t="shared" si="3"/>
        <v>0</v>
      </c>
      <c r="B57" s="70">
        <f t="shared" si="1"/>
        <v>0</v>
      </c>
      <c r="C57" s="70">
        <f t="shared" si="2"/>
        <v>0</v>
      </c>
      <c r="D57" s="70">
        <f t="shared" si="4"/>
        <v>0</v>
      </c>
      <c r="E57" s="70"/>
      <c r="F57" s="70">
        <f>IF(J56&lt;0.01,0,J56*Adm!$V$3)</f>
        <v>0</v>
      </c>
      <c r="G57" s="70">
        <f>IF(J56&lt;0.01,0,$J$8*Adm!$W$3/1.16)</f>
        <v>0</v>
      </c>
      <c r="H57" s="70">
        <f>IF(J56&lt;0.01,0,Adm!$AD$2)</f>
        <v>0</v>
      </c>
      <c r="I57" s="70">
        <f t="shared" si="8"/>
        <v>0</v>
      </c>
      <c r="J57" s="72">
        <f t="shared" si="5"/>
        <v>0</v>
      </c>
      <c r="L57" s="106">
        <f>IF(J56&lt;0.01,0,1)</f>
        <v>0</v>
      </c>
      <c r="N57" s="72"/>
      <c r="O57" s="76">
        <f t="shared" si="6"/>
        <v>9</v>
      </c>
      <c r="P57" s="77">
        <f t="shared" si="9"/>
        <v>0</v>
      </c>
      <c r="S57" s="190">
        <f t="shared" si="7"/>
        <v>0</v>
      </c>
      <c r="T57" s="194"/>
    </row>
    <row r="58" spans="1:20">
      <c r="A58" s="69">
        <f t="shared" si="3"/>
        <v>0</v>
      </c>
      <c r="B58" s="70">
        <f t="shared" si="1"/>
        <v>0</v>
      </c>
      <c r="C58" s="70">
        <f t="shared" si="2"/>
        <v>0</v>
      </c>
      <c r="D58" s="70">
        <f t="shared" si="4"/>
        <v>0</v>
      </c>
      <c r="E58" s="70"/>
      <c r="F58" s="70">
        <f>IF(J57&lt;0.01,0,J57*Adm!$V$3)</f>
        <v>0</v>
      </c>
      <c r="G58" s="70">
        <f>IF(J57&lt;0.01,0,$J$8*Adm!$W$3/1.16)</f>
        <v>0</v>
      </c>
      <c r="H58" s="70">
        <f>IF(J57&lt;0.01,0,Adm!$AD$2)</f>
        <v>0</v>
      </c>
      <c r="I58" s="70">
        <f t="shared" si="8"/>
        <v>0</v>
      </c>
      <c r="J58" s="72">
        <f t="shared" si="5"/>
        <v>0</v>
      </c>
      <c r="L58" s="106">
        <f>IF(J57&lt;0.01,0,2)</f>
        <v>0</v>
      </c>
      <c r="N58" s="72"/>
      <c r="O58" s="76">
        <f t="shared" si="6"/>
        <v>10</v>
      </c>
      <c r="P58" s="77">
        <f t="shared" si="9"/>
        <v>0</v>
      </c>
      <c r="S58" s="190">
        <f t="shared" si="7"/>
        <v>0</v>
      </c>
      <c r="T58" s="194"/>
    </row>
    <row r="59" spans="1:20">
      <c r="A59" s="69">
        <f t="shared" si="3"/>
        <v>0</v>
      </c>
      <c r="B59" s="70">
        <f t="shared" si="1"/>
        <v>0</v>
      </c>
      <c r="C59" s="70">
        <f t="shared" si="2"/>
        <v>0</v>
      </c>
      <c r="D59" s="70">
        <f t="shared" si="4"/>
        <v>0</v>
      </c>
      <c r="E59" s="70"/>
      <c r="F59" s="70">
        <f>IF(J58&lt;0.01,0,J58*Adm!$V$3)</f>
        <v>0</v>
      </c>
      <c r="G59" s="70">
        <f>IF(J58&lt;0.01,0,$J$8*Adm!$W$3/1.16)</f>
        <v>0</v>
      </c>
      <c r="H59" s="70">
        <f>IF(J58&lt;0.01,0,Adm!$AD$2)</f>
        <v>0</v>
      </c>
      <c r="I59" s="70">
        <f t="shared" si="8"/>
        <v>0</v>
      </c>
      <c r="J59" s="72">
        <f t="shared" si="5"/>
        <v>0</v>
      </c>
      <c r="L59" s="106">
        <f>IF(J58&lt;0.01,0,1)</f>
        <v>0</v>
      </c>
      <c r="N59" s="72"/>
      <c r="O59" s="76">
        <f t="shared" si="6"/>
        <v>11</v>
      </c>
      <c r="P59" s="77">
        <f t="shared" si="9"/>
        <v>0</v>
      </c>
      <c r="S59" s="190">
        <f t="shared" si="7"/>
        <v>0</v>
      </c>
      <c r="T59" s="194"/>
    </row>
    <row r="60" spans="1:20">
      <c r="A60" s="69">
        <f t="shared" si="3"/>
        <v>0</v>
      </c>
      <c r="B60" s="70">
        <f t="shared" si="1"/>
        <v>0</v>
      </c>
      <c r="C60" s="70">
        <f t="shared" si="2"/>
        <v>0</v>
      </c>
      <c r="D60" s="70">
        <f t="shared" si="4"/>
        <v>0</v>
      </c>
      <c r="E60" s="70"/>
      <c r="F60" s="70">
        <f>IF(J59&lt;0.01,0,J59*Adm!$V$3)</f>
        <v>0</v>
      </c>
      <c r="G60" s="70">
        <f>IF(J59&lt;0.01,0,$J$8*Adm!$W$3/1.16)</f>
        <v>0</v>
      </c>
      <c r="H60" s="70">
        <f>IF(J59&lt;0.01,0,Adm!$AD$2)</f>
        <v>0</v>
      </c>
      <c r="I60" s="70">
        <f t="shared" si="8"/>
        <v>0</v>
      </c>
      <c r="J60" s="72">
        <f t="shared" si="5"/>
        <v>0</v>
      </c>
      <c r="L60" s="106">
        <f>IF(J59&lt;0.01,0,2)</f>
        <v>0</v>
      </c>
      <c r="N60" s="72"/>
      <c r="O60" s="76">
        <f t="shared" si="6"/>
        <v>12</v>
      </c>
      <c r="P60" s="77">
        <f t="shared" si="9"/>
        <v>0</v>
      </c>
      <c r="S60" s="190">
        <f t="shared" si="7"/>
        <v>0</v>
      </c>
      <c r="T60" s="194"/>
    </row>
    <row r="61" spans="1:20">
      <c r="A61" s="69">
        <f t="shared" si="3"/>
        <v>0</v>
      </c>
      <c r="B61" s="70">
        <f t="shared" si="1"/>
        <v>0</v>
      </c>
      <c r="C61" s="70">
        <f t="shared" si="2"/>
        <v>0</v>
      </c>
      <c r="D61" s="70">
        <f t="shared" si="4"/>
        <v>0</v>
      </c>
      <c r="E61" s="70"/>
      <c r="F61" s="70">
        <f>IF(J60&lt;0.01,0,J60*Adm!$V$3)</f>
        <v>0</v>
      </c>
      <c r="G61" s="70">
        <f>IF(J60&lt;0.01,0,$J$8*Adm!$W$3/1.16)</f>
        <v>0</v>
      </c>
      <c r="H61" s="70">
        <f>IF(J60&lt;0.01,0,Adm!$AD$2)</f>
        <v>0</v>
      </c>
      <c r="I61" s="70">
        <f t="shared" si="8"/>
        <v>0</v>
      </c>
      <c r="J61" s="72">
        <f t="shared" si="5"/>
        <v>0</v>
      </c>
      <c r="L61" s="106">
        <f>IF(J60&lt;0.01,0,1)</f>
        <v>0</v>
      </c>
      <c r="N61" s="72"/>
      <c r="O61" s="76">
        <f t="shared" si="6"/>
        <v>1</v>
      </c>
      <c r="P61" s="77">
        <f t="shared" si="9"/>
        <v>0</v>
      </c>
      <c r="S61" s="190">
        <f t="shared" si="7"/>
        <v>0</v>
      </c>
      <c r="T61" s="194"/>
    </row>
    <row r="62" spans="1:20">
      <c r="A62" s="69">
        <f t="shared" si="3"/>
        <v>0</v>
      </c>
      <c r="B62" s="70">
        <f t="shared" si="1"/>
        <v>0</v>
      </c>
      <c r="C62" s="70">
        <f t="shared" si="2"/>
        <v>0</v>
      </c>
      <c r="D62" s="70">
        <f t="shared" si="4"/>
        <v>0</v>
      </c>
      <c r="E62" s="70"/>
      <c r="F62" s="70">
        <f>IF(J61&lt;0.01,0,J61*Adm!$V$3)</f>
        <v>0</v>
      </c>
      <c r="G62" s="70">
        <f>IF(J61&lt;0.01,0,$J$8*Adm!$W$3/1.16)</f>
        <v>0</v>
      </c>
      <c r="H62" s="70">
        <f>IF(J61&lt;0.01,0,Adm!$AD$2)</f>
        <v>0</v>
      </c>
      <c r="I62" s="70">
        <f t="shared" si="8"/>
        <v>0</v>
      </c>
      <c r="J62" s="72">
        <f t="shared" si="5"/>
        <v>0</v>
      </c>
      <c r="L62" s="106">
        <f>IF(J61&lt;0.01,0,2)</f>
        <v>0</v>
      </c>
      <c r="N62" s="72"/>
      <c r="O62" s="76">
        <f t="shared" si="6"/>
        <v>2</v>
      </c>
      <c r="P62" s="77">
        <f t="shared" si="9"/>
        <v>0</v>
      </c>
      <c r="S62" s="190">
        <f t="shared" si="7"/>
        <v>0</v>
      </c>
      <c r="T62" s="194"/>
    </row>
    <row r="63" spans="1:20">
      <c r="A63" s="69">
        <f t="shared" si="3"/>
        <v>0</v>
      </c>
      <c r="B63" s="70">
        <f t="shared" si="1"/>
        <v>0</v>
      </c>
      <c r="C63" s="70">
        <f t="shared" si="2"/>
        <v>0</v>
      </c>
      <c r="D63" s="70">
        <f t="shared" si="4"/>
        <v>0</v>
      </c>
      <c r="E63" s="70"/>
      <c r="F63" s="70">
        <f>IF(J62&lt;0.01,0,J62*Adm!$V$3)</f>
        <v>0</v>
      </c>
      <c r="G63" s="70">
        <f>IF(J62&lt;0.01,0,$J$8*Adm!$W$3/1.16)</f>
        <v>0</v>
      </c>
      <c r="H63" s="70">
        <f>IF(J62&lt;0.01,0,Adm!$AD$2)</f>
        <v>0</v>
      </c>
      <c r="I63" s="70">
        <f t="shared" si="8"/>
        <v>0</v>
      </c>
      <c r="J63" s="72">
        <f t="shared" si="5"/>
        <v>0</v>
      </c>
      <c r="L63" s="106">
        <f>IF(J62&lt;0.01,0,1)</f>
        <v>0</v>
      </c>
      <c r="N63" s="72"/>
      <c r="O63" s="76">
        <f t="shared" si="6"/>
        <v>3</v>
      </c>
      <c r="P63" s="77">
        <f t="shared" si="9"/>
        <v>0</v>
      </c>
      <c r="S63" s="190">
        <f t="shared" si="7"/>
        <v>0</v>
      </c>
      <c r="T63" s="194"/>
    </row>
    <row r="64" spans="1:20">
      <c r="A64" s="69">
        <f t="shared" si="3"/>
        <v>0</v>
      </c>
      <c r="B64" s="70">
        <f t="shared" si="1"/>
        <v>0</v>
      </c>
      <c r="C64" s="70">
        <f t="shared" si="2"/>
        <v>0</v>
      </c>
      <c r="D64" s="70">
        <f t="shared" si="4"/>
        <v>0</v>
      </c>
      <c r="E64" s="70"/>
      <c r="F64" s="70">
        <f>IF(J63&lt;0.01,0,J63*Adm!$V$3)</f>
        <v>0</v>
      </c>
      <c r="G64" s="70">
        <f>IF(J63&lt;0.01,0,$J$8*Adm!$W$3/1.16)</f>
        <v>0</v>
      </c>
      <c r="H64" s="70">
        <f>IF(J63&lt;0.01,0,Adm!$AD$2)</f>
        <v>0</v>
      </c>
      <c r="I64" s="70">
        <f t="shared" si="8"/>
        <v>0</v>
      </c>
      <c r="J64" s="72">
        <f t="shared" si="5"/>
        <v>0</v>
      </c>
      <c r="L64" s="106">
        <f>IF(J63&lt;0.01,0,2)</f>
        <v>0</v>
      </c>
      <c r="N64" s="72"/>
      <c r="O64" s="76">
        <f t="shared" si="6"/>
        <v>4</v>
      </c>
      <c r="P64" s="77">
        <f t="shared" si="9"/>
        <v>0</v>
      </c>
      <c r="S64" s="190">
        <f t="shared" si="7"/>
        <v>0</v>
      </c>
      <c r="T64" s="194"/>
    </row>
    <row r="65" spans="1:20">
      <c r="A65" s="69">
        <f t="shared" si="3"/>
        <v>0</v>
      </c>
      <c r="B65" s="70">
        <f t="shared" si="1"/>
        <v>0</v>
      </c>
      <c r="C65" s="70">
        <f t="shared" si="2"/>
        <v>0</v>
      </c>
      <c r="D65" s="70">
        <f t="shared" si="4"/>
        <v>0</v>
      </c>
      <c r="E65" s="70"/>
      <c r="F65" s="70">
        <f>IF(J64&lt;0.01,0,J64*Adm!$V$3)</f>
        <v>0</v>
      </c>
      <c r="G65" s="70">
        <f>IF(J64&lt;0.01,0,$J$8*Adm!$W$3/1.16)</f>
        <v>0</v>
      </c>
      <c r="H65" s="70">
        <f>IF(J64&lt;0.01,0,Adm!$AD$2)</f>
        <v>0</v>
      </c>
      <c r="I65" s="70">
        <f t="shared" si="8"/>
        <v>0</v>
      </c>
      <c r="J65" s="72">
        <f t="shared" si="5"/>
        <v>0</v>
      </c>
      <c r="L65" s="106">
        <f>IF(J64&lt;0.01,0,1)</f>
        <v>0</v>
      </c>
      <c r="N65" s="72"/>
      <c r="O65" s="76">
        <f t="shared" si="6"/>
        <v>5</v>
      </c>
      <c r="P65" s="77">
        <f t="shared" si="9"/>
        <v>0</v>
      </c>
      <c r="S65" s="190">
        <f t="shared" si="7"/>
        <v>0</v>
      </c>
      <c r="T65" s="194"/>
    </row>
    <row r="66" spans="1:20">
      <c r="A66" s="69">
        <f t="shared" si="3"/>
        <v>0</v>
      </c>
      <c r="B66" s="70">
        <f t="shared" si="1"/>
        <v>0</v>
      </c>
      <c r="C66" s="70">
        <f t="shared" si="2"/>
        <v>0</v>
      </c>
      <c r="D66" s="70">
        <f t="shared" si="4"/>
        <v>0</v>
      </c>
      <c r="E66" s="70"/>
      <c r="F66" s="70">
        <f>IF(J65&lt;0.01,0,J65*Adm!$V$3)</f>
        <v>0</v>
      </c>
      <c r="G66" s="70">
        <f>IF(J65&lt;0.01,0,$J$8*Adm!$W$3/1.16)</f>
        <v>0</v>
      </c>
      <c r="H66" s="70">
        <f>IF(J65&lt;0.01,0,Adm!$AD$2)</f>
        <v>0</v>
      </c>
      <c r="I66" s="70">
        <f t="shared" si="8"/>
        <v>0</v>
      </c>
      <c r="J66" s="72">
        <f t="shared" si="5"/>
        <v>0</v>
      </c>
      <c r="L66" s="106">
        <f>IF(J65&lt;0.01,0,2)</f>
        <v>0</v>
      </c>
      <c r="N66" s="72"/>
      <c r="O66" s="76">
        <f t="shared" si="6"/>
        <v>6</v>
      </c>
      <c r="P66" s="77">
        <f t="shared" si="9"/>
        <v>0</v>
      </c>
      <c r="S66" s="190">
        <f t="shared" si="7"/>
        <v>0</v>
      </c>
      <c r="T66" s="194"/>
    </row>
    <row r="67" spans="1:20">
      <c r="A67" s="69">
        <f t="shared" si="3"/>
        <v>0</v>
      </c>
      <c r="B67" s="70">
        <f t="shared" si="1"/>
        <v>0</v>
      </c>
      <c r="C67" s="70">
        <f t="shared" si="2"/>
        <v>0</v>
      </c>
      <c r="D67" s="70">
        <f t="shared" si="4"/>
        <v>0</v>
      </c>
      <c r="E67" s="70"/>
      <c r="F67" s="70">
        <f>IF(J66&lt;0.01,0,J66*Adm!$V$3)</f>
        <v>0</v>
      </c>
      <c r="G67" s="70">
        <f>IF(J66&lt;0.01,0,$J$8*Adm!$W$3/1.16)</f>
        <v>0</v>
      </c>
      <c r="H67" s="70">
        <f>IF(J66&lt;0.01,0,Adm!$AD$2)</f>
        <v>0</v>
      </c>
      <c r="I67" s="70">
        <f t="shared" si="8"/>
        <v>0</v>
      </c>
      <c r="J67" s="72">
        <f t="shared" si="5"/>
        <v>0</v>
      </c>
      <c r="L67" s="106">
        <f>IF(J66&lt;0.01,0,1)</f>
        <v>0</v>
      </c>
      <c r="N67" s="72"/>
      <c r="O67" s="76">
        <f t="shared" si="6"/>
        <v>7</v>
      </c>
      <c r="P67" s="77">
        <f t="shared" si="9"/>
        <v>0</v>
      </c>
      <c r="S67" s="190">
        <f t="shared" si="7"/>
        <v>0</v>
      </c>
      <c r="T67" s="194"/>
    </row>
    <row r="68" spans="1:20">
      <c r="A68" s="69">
        <f t="shared" si="3"/>
        <v>0</v>
      </c>
      <c r="B68" s="70">
        <f t="shared" si="1"/>
        <v>0</v>
      </c>
      <c r="C68" s="70">
        <f t="shared" si="2"/>
        <v>0</v>
      </c>
      <c r="D68" s="70">
        <f t="shared" si="4"/>
        <v>0</v>
      </c>
      <c r="E68" s="70"/>
      <c r="F68" s="70">
        <f>IF(J67&lt;0.01,0,J67*Adm!$V$3)</f>
        <v>0</v>
      </c>
      <c r="G68" s="70">
        <f>IF(J67&lt;0.01,0,$J$8*Adm!$W$3/1.16)</f>
        <v>0</v>
      </c>
      <c r="H68" s="70">
        <f>IF(J67&lt;0.01,0,Adm!$AD$2)</f>
        <v>0</v>
      </c>
      <c r="I68" s="70">
        <f t="shared" si="8"/>
        <v>0</v>
      </c>
      <c r="J68" s="72">
        <f t="shared" si="5"/>
        <v>0</v>
      </c>
      <c r="L68" s="106">
        <f>IF(J67&lt;0.01,0,2)</f>
        <v>0</v>
      </c>
      <c r="N68" s="72"/>
      <c r="O68" s="76">
        <f t="shared" si="6"/>
        <v>8</v>
      </c>
      <c r="P68" s="77">
        <f t="shared" si="9"/>
        <v>0</v>
      </c>
      <c r="S68" s="190">
        <f t="shared" si="7"/>
        <v>0</v>
      </c>
      <c r="T68" s="194"/>
    </row>
    <row r="69" spans="1:20">
      <c r="A69" s="69">
        <f t="shared" si="3"/>
        <v>0</v>
      </c>
      <c r="B69" s="70">
        <f t="shared" si="1"/>
        <v>0</v>
      </c>
      <c r="C69" s="70">
        <f t="shared" si="2"/>
        <v>0</v>
      </c>
      <c r="D69" s="70">
        <f t="shared" si="4"/>
        <v>0</v>
      </c>
      <c r="E69" s="70"/>
      <c r="F69" s="70">
        <f>IF(J68&lt;0.01,0,J68*Adm!$V$3)</f>
        <v>0</v>
      </c>
      <c r="G69" s="70">
        <f>IF(J68&lt;0.01,0,$J$8*Adm!$W$3/1.16)</f>
        <v>0</v>
      </c>
      <c r="H69" s="70">
        <f>IF(J68&lt;0.01,0,Adm!$AD$2)</f>
        <v>0</v>
      </c>
      <c r="I69" s="70">
        <f t="shared" si="8"/>
        <v>0</v>
      </c>
      <c r="J69" s="72">
        <f t="shared" si="5"/>
        <v>0</v>
      </c>
      <c r="L69" s="106">
        <f>IF(J68&lt;0.01,0,1)</f>
        <v>0</v>
      </c>
      <c r="N69" s="72"/>
      <c r="O69" s="76">
        <f t="shared" si="6"/>
        <v>9</v>
      </c>
      <c r="P69" s="77">
        <f t="shared" si="9"/>
        <v>0</v>
      </c>
      <c r="S69" s="190">
        <f t="shared" si="7"/>
        <v>0</v>
      </c>
      <c r="T69" s="194"/>
    </row>
    <row r="70" spans="1:20">
      <c r="A70" s="69">
        <f t="shared" si="3"/>
        <v>0</v>
      </c>
      <c r="B70" s="70">
        <f t="shared" si="1"/>
        <v>0</v>
      </c>
      <c r="C70" s="70">
        <f t="shared" si="2"/>
        <v>0</v>
      </c>
      <c r="D70" s="70">
        <f t="shared" si="4"/>
        <v>0</v>
      </c>
      <c r="E70" s="70"/>
      <c r="F70" s="70">
        <f>IF(J69&lt;0.01,0,J69*Adm!$V$3)</f>
        <v>0</v>
      </c>
      <c r="G70" s="70">
        <f>IF(J69&lt;0.01,0,$J$8*Adm!$W$3/1.16)</f>
        <v>0</v>
      </c>
      <c r="H70" s="70">
        <f>IF(J69&lt;0.01,0,Adm!$AD$2)</f>
        <v>0</v>
      </c>
      <c r="I70" s="70">
        <f t="shared" si="8"/>
        <v>0</v>
      </c>
      <c r="J70" s="72">
        <f t="shared" si="5"/>
        <v>0</v>
      </c>
      <c r="L70" s="106">
        <f>IF(J69&lt;0.01,0,2)</f>
        <v>0</v>
      </c>
      <c r="N70" s="72"/>
      <c r="O70" s="76">
        <f t="shared" si="6"/>
        <v>10</v>
      </c>
      <c r="P70" s="77">
        <f t="shared" si="9"/>
        <v>0</v>
      </c>
      <c r="S70" s="190">
        <f t="shared" si="7"/>
        <v>0</v>
      </c>
      <c r="T70" s="194"/>
    </row>
    <row r="71" spans="1:20">
      <c r="A71" s="69">
        <f t="shared" si="3"/>
        <v>0</v>
      </c>
      <c r="B71" s="70">
        <f t="shared" si="1"/>
        <v>0</v>
      </c>
      <c r="C71" s="70">
        <f t="shared" si="2"/>
        <v>0</v>
      </c>
      <c r="D71" s="70">
        <f t="shared" si="4"/>
        <v>0</v>
      </c>
      <c r="E71" s="70"/>
      <c r="F71" s="70">
        <f>IF(J70&lt;0.01,0,J70*Adm!$V$3)</f>
        <v>0</v>
      </c>
      <c r="G71" s="70">
        <f>IF(J70&lt;0.01,0,$J$8*Adm!$W$3/1.16)</f>
        <v>0</v>
      </c>
      <c r="H71" s="70">
        <f>IF(J70&lt;0.01,0,Adm!$AD$2)</f>
        <v>0</v>
      </c>
      <c r="I71" s="70">
        <f t="shared" si="8"/>
        <v>0</v>
      </c>
      <c r="J71" s="72">
        <f t="shared" si="5"/>
        <v>0</v>
      </c>
      <c r="L71" s="106">
        <f>IF(J70&lt;0.01,0,1)</f>
        <v>0</v>
      </c>
      <c r="N71" s="72"/>
      <c r="O71" s="76">
        <f t="shared" si="6"/>
        <v>11</v>
      </c>
      <c r="P71" s="77">
        <f t="shared" si="9"/>
        <v>0</v>
      </c>
      <c r="S71" s="190">
        <f t="shared" si="7"/>
        <v>0</v>
      </c>
      <c r="T71" s="194"/>
    </row>
    <row r="72" spans="1:20">
      <c r="A72" s="69">
        <f t="shared" si="3"/>
        <v>0</v>
      </c>
      <c r="B72" s="70">
        <f t="shared" si="1"/>
        <v>0</v>
      </c>
      <c r="C72" s="70">
        <f t="shared" si="2"/>
        <v>0</v>
      </c>
      <c r="D72" s="70">
        <f t="shared" si="4"/>
        <v>0</v>
      </c>
      <c r="E72" s="70"/>
      <c r="F72" s="70">
        <f>IF(J71&lt;0.01,0,J71*Adm!$V$3)</f>
        <v>0</v>
      </c>
      <c r="G72" s="70">
        <f>IF(J71&lt;0.01,0,$J$8*Adm!$W$3/1.16)</f>
        <v>0</v>
      </c>
      <c r="H72" s="70">
        <f>IF(J71&lt;0.01,0,Adm!$AD$2)</f>
        <v>0</v>
      </c>
      <c r="I72" s="70">
        <f t="shared" si="8"/>
        <v>0</v>
      </c>
      <c r="J72" s="72">
        <f t="shared" si="5"/>
        <v>0</v>
      </c>
      <c r="L72" s="106">
        <f>IF(J71&lt;0.01,0,2)</f>
        <v>0</v>
      </c>
      <c r="N72" s="72"/>
      <c r="O72" s="76">
        <f t="shared" si="6"/>
        <v>12</v>
      </c>
      <c r="P72" s="77">
        <f t="shared" si="9"/>
        <v>0</v>
      </c>
      <c r="S72" s="190">
        <f t="shared" si="7"/>
        <v>0</v>
      </c>
      <c r="T72" s="194"/>
    </row>
    <row r="73" spans="1:20">
      <c r="A73" s="69">
        <f t="shared" si="3"/>
        <v>0</v>
      </c>
      <c r="B73" s="70">
        <f t="shared" si="1"/>
        <v>0</v>
      </c>
      <c r="C73" s="70">
        <f t="shared" si="2"/>
        <v>0</v>
      </c>
      <c r="D73" s="70">
        <f t="shared" si="4"/>
        <v>0</v>
      </c>
      <c r="E73" s="70"/>
      <c r="F73" s="70">
        <f>IF(J72&lt;0.01,0,J72*Adm!$V$3)</f>
        <v>0</v>
      </c>
      <c r="G73" s="70">
        <f>IF(J72&lt;0.01,0,$J$8*Adm!$W$3/1.16)</f>
        <v>0</v>
      </c>
      <c r="H73" s="70">
        <f>IF(J72&lt;0.01,0,Adm!$AD$2)</f>
        <v>0</v>
      </c>
      <c r="I73" s="70">
        <f t="shared" si="8"/>
        <v>0</v>
      </c>
      <c r="J73" s="72">
        <f t="shared" si="5"/>
        <v>0</v>
      </c>
      <c r="L73" s="106">
        <f>IF(J72&lt;0.01,0,1)</f>
        <v>0</v>
      </c>
      <c r="N73" s="72"/>
      <c r="O73" s="76">
        <f t="shared" si="6"/>
        <v>1</v>
      </c>
      <c r="P73" s="77">
        <f t="shared" si="9"/>
        <v>0</v>
      </c>
      <c r="S73" s="190">
        <f t="shared" si="7"/>
        <v>0</v>
      </c>
      <c r="T73" s="194"/>
    </row>
    <row r="74" spans="1:20">
      <c r="A74" s="69">
        <f t="shared" si="3"/>
        <v>0</v>
      </c>
      <c r="B74" s="70">
        <f t="shared" si="1"/>
        <v>0</v>
      </c>
      <c r="C74" s="70">
        <f t="shared" si="2"/>
        <v>0</v>
      </c>
      <c r="D74" s="70">
        <f t="shared" si="4"/>
        <v>0</v>
      </c>
      <c r="E74" s="70"/>
      <c r="F74" s="70">
        <f>IF(J73&lt;0.01,0,J73*Adm!$V$3)</f>
        <v>0</v>
      </c>
      <c r="G74" s="70">
        <f>IF(J73&lt;0.01,0,$J$8*Adm!$W$3/1.16)</f>
        <v>0</v>
      </c>
      <c r="H74" s="70">
        <f>IF(J73&lt;0.01,0,Adm!$AD$2)</f>
        <v>0</v>
      </c>
      <c r="I74" s="70">
        <f t="shared" si="8"/>
        <v>0</v>
      </c>
      <c r="J74" s="72">
        <f t="shared" si="5"/>
        <v>0</v>
      </c>
      <c r="L74" s="106">
        <f>IF(J73&lt;0.01,0,2)</f>
        <v>0</v>
      </c>
      <c r="N74" s="72"/>
      <c r="O74" s="76">
        <f t="shared" si="6"/>
        <v>2</v>
      </c>
      <c r="P74" s="77">
        <f t="shared" si="9"/>
        <v>0</v>
      </c>
      <c r="S74" s="190">
        <f t="shared" si="7"/>
        <v>0</v>
      </c>
      <c r="T74" s="194"/>
    </row>
    <row r="75" spans="1:20">
      <c r="A75" s="69">
        <f t="shared" si="3"/>
        <v>0</v>
      </c>
      <c r="B75" s="70">
        <f t="shared" si="1"/>
        <v>0</v>
      </c>
      <c r="C75" s="70">
        <f t="shared" si="2"/>
        <v>0</v>
      </c>
      <c r="D75" s="70">
        <f t="shared" si="4"/>
        <v>0</v>
      </c>
      <c r="E75" s="70"/>
      <c r="F75" s="70">
        <f>IF(J74&lt;0.01,0,J74*Adm!$V$3)</f>
        <v>0</v>
      </c>
      <c r="G75" s="70">
        <f>IF(J74&lt;0.01,0,$J$8*Adm!$W$3/1.16)</f>
        <v>0</v>
      </c>
      <c r="H75" s="70">
        <f>IF(J74&lt;0.01,0,Adm!$AD$2)</f>
        <v>0</v>
      </c>
      <c r="I75" s="70">
        <f t="shared" si="8"/>
        <v>0</v>
      </c>
      <c r="J75" s="72">
        <f t="shared" si="5"/>
        <v>0</v>
      </c>
      <c r="L75" s="106">
        <f>IF(J74&lt;0.01,0,1)</f>
        <v>0</v>
      </c>
      <c r="N75" s="72"/>
      <c r="O75" s="76">
        <f t="shared" si="6"/>
        <v>3</v>
      </c>
      <c r="P75" s="77">
        <f t="shared" si="9"/>
        <v>0</v>
      </c>
      <c r="S75" s="190">
        <f t="shared" si="7"/>
        <v>0</v>
      </c>
      <c r="T75" s="194"/>
    </row>
    <row r="76" spans="1:20">
      <c r="A76" s="69">
        <f t="shared" si="3"/>
        <v>0</v>
      </c>
      <c r="B76" s="70">
        <f t="shared" si="1"/>
        <v>0</v>
      </c>
      <c r="C76" s="70">
        <f t="shared" si="2"/>
        <v>0</v>
      </c>
      <c r="D76" s="70">
        <f t="shared" si="4"/>
        <v>0</v>
      </c>
      <c r="E76" s="70"/>
      <c r="F76" s="70">
        <f>IF(J75&lt;0.01,0,J75*Adm!$V$3)</f>
        <v>0</v>
      </c>
      <c r="G76" s="70">
        <f>IF(J75&lt;0.01,0,$J$8*Adm!$W$3/1.16)</f>
        <v>0</v>
      </c>
      <c r="H76" s="70">
        <f>IF(J75&lt;0.01,0,Adm!$AD$2)</f>
        <v>0</v>
      </c>
      <c r="I76" s="70">
        <f t="shared" si="8"/>
        <v>0</v>
      </c>
      <c r="J76" s="72">
        <f t="shared" si="5"/>
        <v>0</v>
      </c>
      <c r="L76" s="106">
        <f>IF(J75&lt;0.01,0,2)</f>
        <v>0</v>
      </c>
      <c r="N76" s="72"/>
      <c r="O76" s="76">
        <f t="shared" si="6"/>
        <v>4</v>
      </c>
      <c r="P76" s="77">
        <f t="shared" si="9"/>
        <v>0</v>
      </c>
      <c r="S76" s="190">
        <f t="shared" si="7"/>
        <v>0</v>
      </c>
      <c r="T76" s="194"/>
    </row>
    <row r="77" spans="1:20">
      <c r="A77" s="69">
        <f t="shared" si="3"/>
        <v>0</v>
      </c>
      <c r="B77" s="70">
        <f t="shared" si="1"/>
        <v>0</v>
      </c>
      <c r="C77" s="70">
        <f t="shared" si="2"/>
        <v>0</v>
      </c>
      <c r="D77" s="70">
        <f t="shared" si="4"/>
        <v>0</v>
      </c>
      <c r="E77" s="70"/>
      <c r="F77" s="70">
        <f>IF(J76&lt;0.01,0,J76*Adm!$V$3)</f>
        <v>0</v>
      </c>
      <c r="G77" s="70">
        <f>IF(J76&lt;0.01,0,$J$8*Adm!$W$3/1.16)</f>
        <v>0</v>
      </c>
      <c r="H77" s="70">
        <f>IF(J76&lt;0.01,0,Adm!$AD$2)</f>
        <v>0</v>
      </c>
      <c r="I77" s="70">
        <f t="shared" si="8"/>
        <v>0</v>
      </c>
      <c r="J77" s="72">
        <f t="shared" si="5"/>
        <v>0</v>
      </c>
      <c r="L77" s="106">
        <f>IF(J76&lt;0.01,0,1)</f>
        <v>0</v>
      </c>
      <c r="N77" s="72"/>
      <c r="O77" s="76">
        <f t="shared" si="6"/>
        <v>5</v>
      </c>
      <c r="P77" s="77">
        <f t="shared" si="9"/>
        <v>0</v>
      </c>
      <c r="S77" s="190">
        <f t="shared" si="7"/>
        <v>0</v>
      </c>
      <c r="T77" s="194"/>
    </row>
    <row r="78" spans="1:20">
      <c r="A78" s="69">
        <f t="shared" si="3"/>
        <v>0</v>
      </c>
      <c r="B78" s="70">
        <f t="shared" si="1"/>
        <v>0</v>
      </c>
      <c r="C78" s="70">
        <f t="shared" si="2"/>
        <v>0</v>
      </c>
      <c r="D78" s="70">
        <f t="shared" si="4"/>
        <v>0</v>
      </c>
      <c r="E78" s="70"/>
      <c r="F78" s="70">
        <f>IF(J77&lt;0.01,0,J77*Adm!$V$3)</f>
        <v>0</v>
      </c>
      <c r="G78" s="70">
        <f>IF(J77&lt;0.01,0,$J$8*Adm!$W$3/1.16)</f>
        <v>0</v>
      </c>
      <c r="H78" s="70">
        <f>IF(J77&lt;0.01,0,Adm!$AD$2)</f>
        <v>0</v>
      </c>
      <c r="I78" s="70">
        <f t="shared" si="8"/>
        <v>0</v>
      </c>
      <c r="J78" s="72">
        <f t="shared" si="5"/>
        <v>0</v>
      </c>
      <c r="L78" s="106">
        <f>IF(J77&lt;0.01,0,2)</f>
        <v>0</v>
      </c>
      <c r="N78" s="72"/>
      <c r="O78" s="76">
        <f t="shared" si="6"/>
        <v>6</v>
      </c>
      <c r="P78" s="77">
        <f t="shared" si="9"/>
        <v>0</v>
      </c>
      <c r="S78" s="190">
        <f t="shared" si="7"/>
        <v>0</v>
      </c>
      <c r="T78" s="194"/>
    </row>
    <row r="79" spans="1:20">
      <c r="A79" s="69">
        <f t="shared" si="3"/>
        <v>0</v>
      </c>
      <c r="B79" s="70">
        <f t="shared" si="1"/>
        <v>0</v>
      </c>
      <c r="C79" s="70">
        <f t="shared" si="2"/>
        <v>0</v>
      </c>
      <c r="D79" s="70">
        <f t="shared" si="4"/>
        <v>0</v>
      </c>
      <c r="E79" s="70"/>
      <c r="F79" s="70">
        <f>IF(J78&lt;0.01,0,J78*Adm!$V$3)</f>
        <v>0</v>
      </c>
      <c r="G79" s="70">
        <f>IF(J78&lt;0.01,0,$J$8*Adm!$W$3/1.16)</f>
        <v>0</v>
      </c>
      <c r="H79" s="70">
        <f>IF(J78&lt;0.01,0,Adm!$AD$2)</f>
        <v>0</v>
      </c>
      <c r="I79" s="70">
        <f t="shared" si="8"/>
        <v>0</v>
      </c>
      <c r="J79" s="72">
        <f t="shared" si="5"/>
        <v>0</v>
      </c>
      <c r="L79" s="106">
        <f>IF(J78&lt;0.01,0,1)</f>
        <v>0</v>
      </c>
      <c r="N79" s="72"/>
      <c r="O79" s="76">
        <f t="shared" si="6"/>
        <v>7</v>
      </c>
      <c r="P79" s="77">
        <f t="shared" si="9"/>
        <v>0</v>
      </c>
      <c r="S79" s="190">
        <f t="shared" si="7"/>
        <v>0</v>
      </c>
      <c r="T79" s="194"/>
    </row>
    <row r="80" spans="1:20">
      <c r="A80" s="69">
        <f t="shared" si="3"/>
        <v>0</v>
      </c>
      <c r="B80" s="70">
        <f t="shared" si="1"/>
        <v>0</v>
      </c>
      <c r="C80" s="70">
        <f t="shared" si="2"/>
        <v>0</v>
      </c>
      <c r="D80" s="70">
        <f t="shared" si="4"/>
        <v>0</v>
      </c>
      <c r="E80" s="70"/>
      <c r="F80" s="70">
        <f>IF(J79&lt;0.01,0,J79*Adm!$V$3)</f>
        <v>0</v>
      </c>
      <c r="G80" s="70">
        <f>IF(J79&lt;0.01,0,$J$8*Adm!$W$3/1.16)</f>
        <v>0</v>
      </c>
      <c r="H80" s="70">
        <f>IF(J79&lt;0.01,0,Adm!$AD$2)</f>
        <v>0</v>
      </c>
      <c r="I80" s="70">
        <f t="shared" si="8"/>
        <v>0</v>
      </c>
      <c r="J80" s="72">
        <f t="shared" si="5"/>
        <v>0</v>
      </c>
      <c r="L80" s="106">
        <f>IF(J79&lt;0.01,0,2)</f>
        <v>0</v>
      </c>
      <c r="N80" s="72"/>
      <c r="O80" s="76">
        <f t="shared" si="6"/>
        <v>8</v>
      </c>
      <c r="P80" s="77">
        <f t="shared" si="9"/>
        <v>0</v>
      </c>
      <c r="S80" s="190">
        <f t="shared" si="7"/>
        <v>0</v>
      </c>
      <c r="T80" s="194"/>
    </row>
    <row r="81" spans="1:20">
      <c r="A81" s="69">
        <f t="shared" si="3"/>
        <v>0</v>
      </c>
      <c r="B81" s="70">
        <f t="shared" si="1"/>
        <v>0</v>
      </c>
      <c r="C81" s="70">
        <f t="shared" si="2"/>
        <v>0</v>
      </c>
      <c r="D81" s="70">
        <f t="shared" si="4"/>
        <v>0</v>
      </c>
      <c r="E81" s="70"/>
      <c r="F81" s="70">
        <f>IF(J80&lt;0.01,0,J80*Adm!$V$3)</f>
        <v>0</v>
      </c>
      <c r="G81" s="70">
        <f>IF(J80&lt;0.01,0,$J$8*Adm!$W$3/1.16)</f>
        <v>0</v>
      </c>
      <c r="H81" s="70">
        <f>IF(J80&lt;0.01,0,Adm!$AD$2)</f>
        <v>0</v>
      </c>
      <c r="I81" s="70">
        <f t="shared" si="8"/>
        <v>0</v>
      </c>
      <c r="J81" s="72">
        <f t="shared" si="5"/>
        <v>0</v>
      </c>
      <c r="L81" s="106">
        <f>IF(J80&lt;0.01,0,1)</f>
        <v>0</v>
      </c>
      <c r="N81" s="72"/>
      <c r="O81" s="76">
        <f t="shared" si="6"/>
        <v>9</v>
      </c>
      <c r="P81" s="77">
        <f t="shared" si="9"/>
        <v>0</v>
      </c>
      <c r="S81" s="190">
        <f t="shared" si="7"/>
        <v>0</v>
      </c>
      <c r="T81" s="194"/>
    </row>
    <row r="82" spans="1:20">
      <c r="A82" s="69">
        <f t="shared" si="3"/>
        <v>0</v>
      </c>
      <c r="B82" s="70">
        <f t="shared" si="1"/>
        <v>0</v>
      </c>
      <c r="C82" s="70">
        <f t="shared" si="2"/>
        <v>0</v>
      </c>
      <c r="D82" s="70">
        <f t="shared" si="4"/>
        <v>0</v>
      </c>
      <c r="E82" s="70"/>
      <c r="F82" s="70">
        <f>IF(J81&lt;0.01,0,J81*Adm!$V$3)</f>
        <v>0</v>
      </c>
      <c r="G82" s="70">
        <f>IF(J81&lt;0.01,0,$J$8*Adm!$W$3/1.16)</f>
        <v>0</v>
      </c>
      <c r="H82" s="70">
        <f>IF(J81&lt;0.01,0,Adm!$AD$2)</f>
        <v>0</v>
      </c>
      <c r="I82" s="70">
        <f t="shared" si="8"/>
        <v>0</v>
      </c>
      <c r="J82" s="72">
        <f t="shared" si="5"/>
        <v>0</v>
      </c>
      <c r="L82" s="106">
        <f>IF(J81&lt;0.01,0,2)</f>
        <v>0</v>
      </c>
      <c r="N82" s="72"/>
      <c r="O82" s="76">
        <f t="shared" si="6"/>
        <v>10</v>
      </c>
      <c r="P82" s="77">
        <f t="shared" si="9"/>
        <v>0</v>
      </c>
      <c r="S82" s="190">
        <f t="shared" si="7"/>
        <v>0</v>
      </c>
      <c r="T82" s="194"/>
    </row>
    <row r="83" spans="1:20">
      <c r="A83" s="69">
        <f t="shared" si="3"/>
        <v>0</v>
      </c>
      <c r="B83" s="70">
        <f t="shared" si="1"/>
        <v>0</v>
      </c>
      <c r="C83" s="70">
        <f t="shared" si="2"/>
        <v>0</v>
      </c>
      <c r="D83" s="70">
        <f t="shared" si="4"/>
        <v>0</v>
      </c>
      <c r="E83" s="70"/>
      <c r="F83" s="70">
        <f>IF(J82&lt;0.01,0,J82*Adm!$V$3)</f>
        <v>0</v>
      </c>
      <c r="G83" s="70">
        <f>IF(J82&lt;0.01,0,$J$8*Adm!$W$3/1.16)</f>
        <v>0</v>
      </c>
      <c r="H83" s="70">
        <f>IF(J82&lt;0.01,0,Adm!$AD$2)</f>
        <v>0</v>
      </c>
      <c r="I83" s="70">
        <f t="shared" si="8"/>
        <v>0</v>
      </c>
      <c r="J83" s="72">
        <f t="shared" si="5"/>
        <v>0</v>
      </c>
      <c r="L83" s="106">
        <f>IF(J82&lt;0.01,0,1)</f>
        <v>0</v>
      </c>
      <c r="N83" s="72"/>
      <c r="O83" s="76">
        <f t="shared" si="6"/>
        <v>11</v>
      </c>
      <c r="P83" s="77">
        <f t="shared" si="9"/>
        <v>0</v>
      </c>
      <c r="S83" s="190">
        <f t="shared" si="7"/>
        <v>0</v>
      </c>
      <c r="T83" s="194"/>
    </row>
    <row r="84" spans="1:20">
      <c r="A84" s="69">
        <f t="shared" si="3"/>
        <v>0</v>
      </c>
      <c r="B84" s="70">
        <f t="shared" si="1"/>
        <v>0</v>
      </c>
      <c r="C84" s="70">
        <f t="shared" si="2"/>
        <v>0</v>
      </c>
      <c r="D84" s="70">
        <f t="shared" si="4"/>
        <v>0</v>
      </c>
      <c r="E84" s="70"/>
      <c r="F84" s="70">
        <f>IF(J83&lt;0.01,0,J83*Adm!$V$3)</f>
        <v>0</v>
      </c>
      <c r="G84" s="70">
        <f>IF(J83&lt;0.01,0,$J$8*Adm!$W$3/1.16)</f>
        <v>0</v>
      </c>
      <c r="H84" s="70">
        <f>IF(J83&lt;0.01,0,Adm!$AD$2)</f>
        <v>0</v>
      </c>
      <c r="I84" s="70">
        <f t="shared" si="8"/>
        <v>0</v>
      </c>
      <c r="J84" s="72">
        <f t="shared" si="5"/>
        <v>0</v>
      </c>
      <c r="L84" s="106">
        <f>IF(J83&lt;0.01,0,2)</f>
        <v>0</v>
      </c>
      <c r="N84" s="72"/>
      <c r="O84" s="76">
        <f t="shared" si="6"/>
        <v>12</v>
      </c>
      <c r="P84" s="77">
        <f t="shared" si="9"/>
        <v>0</v>
      </c>
      <c r="S84" s="190">
        <f t="shared" si="7"/>
        <v>0</v>
      </c>
      <c r="T84" s="194"/>
    </row>
    <row r="85" spans="1:20">
      <c r="A85" s="69">
        <f t="shared" si="3"/>
        <v>0</v>
      </c>
      <c r="B85" s="70">
        <f t="shared" si="1"/>
        <v>0</v>
      </c>
      <c r="C85" s="70">
        <f t="shared" si="2"/>
        <v>0</v>
      </c>
      <c r="D85" s="70">
        <f t="shared" si="4"/>
        <v>0</v>
      </c>
      <c r="E85" s="70"/>
      <c r="F85" s="70">
        <f>IF(J84&lt;0.01,0,J84*Adm!$V$3)</f>
        <v>0</v>
      </c>
      <c r="G85" s="70">
        <f>IF(J84&lt;0.01,0,$J$8*Adm!$W$3/1.16)</f>
        <v>0</v>
      </c>
      <c r="H85" s="70">
        <f>IF(J84&lt;0.01,0,Adm!$AD$2)</f>
        <v>0</v>
      </c>
      <c r="I85" s="70">
        <f t="shared" si="8"/>
        <v>0</v>
      </c>
      <c r="J85" s="72">
        <f t="shared" si="5"/>
        <v>0</v>
      </c>
      <c r="L85" s="106">
        <f>IF(J84&lt;0.01,0,1)</f>
        <v>0</v>
      </c>
      <c r="N85" s="72"/>
      <c r="O85" s="76">
        <f t="shared" si="6"/>
        <v>1</v>
      </c>
      <c r="P85" s="77">
        <f t="shared" si="9"/>
        <v>0</v>
      </c>
      <c r="S85" s="190">
        <f t="shared" si="7"/>
        <v>0</v>
      </c>
      <c r="T85" s="194"/>
    </row>
    <row r="86" spans="1:20">
      <c r="A86" s="69">
        <f t="shared" si="3"/>
        <v>0</v>
      </c>
      <c r="B86" s="70">
        <f t="shared" si="1"/>
        <v>0</v>
      </c>
      <c r="C86" s="70">
        <f t="shared" si="2"/>
        <v>0</v>
      </c>
      <c r="D86" s="70">
        <f t="shared" si="4"/>
        <v>0</v>
      </c>
      <c r="E86" s="70"/>
      <c r="F86" s="70">
        <f>IF(J85&lt;0.01,0,J85*Adm!$V$3)</f>
        <v>0</v>
      </c>
      <c r="G86" s="70">
        <f>IF(J85&lt;0.01,0,$J$8*Adm!$W$3/1.16)</f>
        <v>0</v>
      </c>
      <c r="H86" s="70">
        <f>IF(J85&lt;0.01,0,Adm!$AD$2)</f>
        <v>0</v>
      </c>
      <c r="I86" s="70">
        <f t="shared" si="8"/>
        <v>0</v>
      </c>
      <c r="J86" s="72">
        <f t="shared" si="5"/>
        <v>0</v>
      </c>
      <c r="L86" s="106">
        <f>IF(J85&lt;0.01,0,2)</f>
        <v>0</v>
      </c>
      <c r="N86" s="72"/>
      <c r="O86" s="76">
        <f t="shared" si="6"/>
        <v>2</v>
      </c>
      <c r="P86" s="77">
        <f t="shared" si="9"/>
        <v>0</v>
      </c>
      <c r="S86" s="190">
        <f t="shared" si="7"/>
        <v>0</v>
      </c>
      <c r="T86" s="194"/>
    </row>
    <row r="87" spans="1:20">
      <c r="A87" s="69">
        <f t="shared" si="3"/>
        <v>0</v>
      </c>
      <c r="B87" s="70">
        <f t="shared" si="1"/>
        <v>0</v>
      </c>
      <c r="C87" s="70">
        <f t="shared" si="2"/>
        <v>0</v>
      </c>
      <c r="D87" s="70">
        <f t="shared" si="4"/>
        <v>0</v>
      </c>
      <c r="E87" s="70"/>
      <c r="F87" s="70">
        <f>IF(J86&lt;0.01,0,J86*Adm!$V$3)</f>
        <v>0</v>
      </c>
      <c r="G87" s="70">
        <f>IF(J86&lt;0.01,0,$J$8*Adm!$W$3/1.16)</f>
        <v>0</v>
      </c>
      <c r="H87" s="70">
        <f>IF(J86&lt;0.01,0,Adm!$AD$2)</f>
        <v>0</v>
      </c>
      <c r="I87" s="70">
        <f t="shared" si="8"/>
        <v>0</v>
      </c>
      <c r="J87" s="72">
        <f t="shared" si="5"/>
        <v>0</v>
      </c>
      <c r="L87" s="106">
        <f>IF(J86&lt;0.01,0,1)</f>
        <v>0</v>
      </c>
      <c r="N87" s="72"/>
      <c r="O87" s="76">
        <f t="shared" si="6"/>
        <v>3</v>
      </c>
      <c r="P87" s="77">
        <f t="shared" si="9"/>
        <v>0</v>
      </c>
      <c r="S87" s="190">
        <f t="shared" si="7"/>
        <v>0</v>
      </c>
      <c r="T87" s="194"/>
    </row>
    <row r="88" spans="1:20">
      <c r="A88" s="69">
        <f t="shared" si="3"/>
        <v>0</v>
      </c>
      <c r="B88" s="70">
        <f t="shared" si="1"/>
        <v>0</v>
      </c>
      <c r="C88" s="70">
        <f t="shared" si="2"/>
        <v>0</v>
      </c>
      <c r="D88" s="70">
        <f t="shared" si="4"/>
        <v>0</v>
      </c>
      <c r="E88" s="70"/>
      <c r="F88" s="70">
        <f>IF(J87&lt;0.01,0,J87*Adm!$V$3)</f>
        <v>0</v>
      </c>
      <c r="G88" s="70">
        <f>IF(J87&lt;0.01,0,$J$8*Adm!$W$3/1.16)</f>
        <v>0</v>
      </c>
      <c r="H88" s="70">
        <f>IF(J87&lt;0.01,0,Adm!$AD$2)</f>
        <v>0</v>
      </c>
      <c r="I88" s="70">
        <f t="shared" si="8"/>
        <v>0</v>
      </c>
      <c r="J88" s="72">
        <f t="shared" si="5"/>
        <v>0</v>
      </c>
      <c r="L88" s="106">
        <f>IF(J87&lt;0.01,0,2)</f>
        <v>0</v>
      </c>
      <c r="N88" s="72"/>
      <c r="O88" s="76">
        <f t="shared" si="6"/>
        <v>4</v>
      </c>
      <c r="P88" s="77">
        <f t="shared" si="9"/>
        <v>0</v>
      </c>
      <c r="S88" s="190">
        <f t="shared" si="7"/>
        <v>0</v>
      </c>
      <c r="T88" s="194"/>
    </row>
    <row r="89" spans="1:20">
      <c r="A89" s="69">
        <f t="shared" si="3"/>
        <v>0</v>
      </c>
      <c r="B89" s="70">
        <f t="shared" ref="B89:B152" si="10">IF(J88&lt;0.001,0,J88*$J$10/12)</f>
        <v>0</v>
      </c>
      <c r="C89" s="70">
        <f t="shared" ref="C89:C152" si="11">D89-B89</f>
        <v>0</v>
      </c>
      <c r="D89" s="70">
        <f t="shared" si="4"/>
        <v>0</v>
      </c>
      <c r="E89" s="70"/>
      <c r="F89" s="70">
        <f>IF(J88&lt;0.01,0,J88*Adm!$V$3)</f>
        <v>0</v>
      </c>
      <c r="G89" s="70">
        <f>IF(J88&lt;0.01,0,$J$8*Adm!$W$3/1.16)</f>
        <v>0</v>
      </c>
      <c r="H89" s="70">
        <f>IF(J88&lt;0.01,0,Adm!$AD$2)</f>
        <v>0</v>
      </c>
      <c r="I89" s="70">
        <f t="shared" si="8"/>
        <v>0</v>
      </c>
      <c r="J89" s="72">
        <f t="shared" si="5"/>
        <v>0</v>
      </c>
      <c r="L89" s="106">
        <f>IF(J88&lt;0.01,0,1)</f>
        <v>0</v>
      </c>
      <c r="N89" s="72"/>
      <c r="O89" s="76">
        <f t="shared" si="6"/>
        <v>5</v>
      </c>
      <c r="P89" s="77">
        <f t="shared" si="9"/>
        <v>0</v>
      </c>
      <c r="S89" s="190">
        <f t="shared" si="7"/>
        <v>0</v>
      </c>
      <c r="T89" s="194"/>
    </row>
    <row r="90" spans="1:20">
      <c r="A90" s="69">
        <f t="shared" ref="A90:A153" si="12">IF(J89&lt;0.01,0,A89+1)</f>
        <v>0</v>
      </c>
      <c r="B90" s="70">
        <f t="shared" si="10"/>
        <v>0</v>
      </c>
      <c r="C90" s="70">
        <f t="shared" si="11"/>
        <v>0</v>
      </c>
      <c r="D90" s="70">
        <f t="shared" ref="D90:D153" si="13">IF(J89&lt;0.001,0,MIN(J89+B90,D89*(1+P90)))</f>
        <v>0</v>
      </c>
      <c r="E90" s="70"/>
      <c r="F90" s="70">
        <f>IF(J89&lt;0.01,0,J89*Adm!$V$3)</f>
        <v>0</v>
      </c>
      <c r="G90" s="70">
        <f>IF(J89&lt;0.01,0,$J$8*Adm!$W$3/1.16)</f>
        <v>0</v>
      </c>
      <c r="H90" s="70">
        <f>IF(J89&lt;0.01,0,Adm!$AD$2)</f>
        <v>0</v>
      </c>
      <c r="I90" s="70">
        <f t="shared" ref="I90:I153" si="14">IF(J89&lt;0.01,0,(D90+F90+G90+H90))</f>
        <v>0</v>
      </c>
      <c r="J90" s="72">
        <f t="shared" ref="J90:J153" si="15">IF(J89&lt;0.01,0,(J89-C90-E90))</f>
        <v>0</v>
      </c>
      <c r="L90" s="106">
        <f>IF(J89&lt;0.01,0,2)</f>
        <v>0</v>
      </c>
      <c r="N90" s="72"/>
      <c r="O90" s="76">
        <f t="shared" ref="O90:O153" si="16">IF(O89=12,1,O89+1)</f>
        <v>6</v>
      </c>
      <c r="P90" s="77">
        <f t="shared" si="9"/>
        <v>0</v>
      </c>
      <c r="S90" s="190">
        <f t="shared" ref="S90:S153" si="17">I90</f>
        <v>0</v>
      </c>
      <c r="T90" s="194"/>
    </row>
    <row r="91" spans="1:20">
      <c r="A91" s="69">
        <f t="shared" si="12"/>
        <v>0</v>
      </c>
      <c r="B91" s="70">
        <f t="shared" si="10"/>
        <v>0</v>
      </c>
      <c r="C91" s="70">
        <f t="shared" si="11"/>
        <v>0</v>
      </c>
      <c r="D91" s="70">
        <f t="shared" si="13"/>
        <v>0</v>
      </c>
      <c r="E91" s="70"/>
      <c r="F91" s="70">
        <f>IF(J90&lt;0.01,0,J90*Adm!$V$3)</f>
        <v>0</v>
      </c>
      <c r="G91" s="70">
        <f>IF(J90&lt;0.01,0,$J$8*Adm!$W$3/1.16)</f>
        <v>0</v>
      </c>
      <c r="H91" s="70">
        <f>IF(J90&lt;0.01,0,Adm!$AD$2)</f>
        <v>0</v>
      </c>
      <c r="I91" s="70">
        <f t="shared" si="14"/>
        <v>0</v>
      </c>
      <c r="J91" s="72">
        <f t="shared" si="15"/>
        <v>0</v>
      </c>
      <c r="L91" s="106">
        <f>IF(J90&lt;0.01,0,1)</f>
        <v>0</v>
      </c>
      <c r="N91" s="72"/>
      <c r="O91" s="76">
        <f t="shared" si="16"/>
        <v>7</v>
      </c>
      <c r="P91" s="77">
        <f t="shared" ref="P91:P154" si="18">IF(O91=1,$J$14,0)</f>
        <v>0</v>
      </c>
      <c r="S91" s="190">
        <f t="shared" si="17"/>
        <v>0</v>
      </c>
      <c r="T91" s="194"/>
    </row>
    <row r="92" spans="1:20">
      <c r="A92" s="69">
        <f t="shared" si="12"/>
        <v>0</v>
      </c>
      <c r="B92" s="70">
        <f t="shared" si="10"/>
        <v>0</v>
      </c>
      <c r="C92" s="70">
        <f t="shared" si="11"/>
        <v>0</v>
      </c>
      <c r="D92" s="70">
        <f t="shared" si="13"/>
        <v>0</v>
      </c>
      <c r="E92" s="70"/>
      <c r="F92" s="70">
        <f>IF(J91&lt;0.01,0,J91*Adm!$V$3)</f>
        <v>0</v>
      </c>
      <c r="G92" s="70">
        <f>IF(J91&lt;0.01,0,$J$8*Adm!$W$3/1.16)</f>
        <v>0</v>
      </c>
      <c r="H92" s="70">
        <f>IF(J91&lt;0.01,0,Adm!$AD$2)</f>
        <v>0</v>
      </c>
      <c r="I92" s="70">
        <f t="shared" si="14"/>
        <v>0</v>
      </c>
      <c r="J92" s="72">
        <f t="shared" si="15"/>
        <v>0</v>
      </c>
      <c r="L92" s="106">
        <f>IF(J91&lt;0.01,0,2)</f>
        <v>0</v>
      </c>
      <c r="N92" s="72"/>
      <c r="O92" s="76">
        <f t="shared" si="16"/>
        <v>8</v>
      </c>
      <c r="P92" s="77">
        <f t="shared" si="18"/>
        <v>0</v>
      </c>
      <c r="S92" s="190">
        <f t="shared" si="17"/>
        <v>0</v>
      </c>
      <c r="T92" s="194"/>
    </row>
    <row r="93" spans="1:20">
      <c r="A93" s="69">
        <f t="shared" si="12"/>
        <v>0</v>
      </c>
      <c r="B93" s="70">
        <f t="shared" si="10"/>
        <v>0</v>
      </c>
      <c r="C93" s="70">
        <f t="shared" si="11"/>
        <v>0</v>
      </c>
      <c r="D93" s="70">
        <f t="shared" si="13"/>
        <v>0</v>
      </c>
      <c r="E93" s="70"/>
      <c r="F93" s="70">
        <f>IF(J92&lt;0.01,0,J92*Adm!$V$3)</f>
        <v>0</v>
      </c>
      <c r="G93" s="70">
        <f>IF(J92&lt;0.01,0,$J$8*Adm!$W$3/1.16)</f>
        <v>0</v>
      </c>
      <c r="H93" s="70">
        <f>IF(J92&lt;0.01,0,Adm!$AD$2)</f>
        <v>0</v>
      </c>
      <c r="I93" s="70">
        <f t="shared" si="14"/>
        <v>0</v>
      </c>
      <c r="J93" s="72">
        <f t="shared" si="15"/>
        <v>0</v>
      </c>
      <c r="L93" s="106">
        <f>IF(J92&lt;0.01,0,1)</f>
        <v>0</v>
      </c>
      <c r="N93" s="72"/>
      <c r="O93" s="76">
        <f t="shared" si="16"/>
        <v>9</v>
      </c>
      <c r="P93" s="77">
        <f t="shared" si="18"/>
        <v>0</v>
      </c>
      <c r="S93" s="190">
        <f t="shared" si="17"/>
        <v>0</v>
      </c>
      <c r="T93" s="194"/>
    </row>
    <row r="94" spans="1:20">
      <c r="A94" s="69">
        <f t="shared" si="12"/>
        <v>0</v>
      </c>
      <c r="B94" s="70">
        <f t="shared" si="10"/>
        <v>0</v>
      </c>
      <c r="C94" s="70">
        <f t="shared" si="11"/>
        <v>0</v>
      </c>
      <c r="D94" s="70">
        <f t="shared" si="13"/>
        <v>0</v>
      </c>
      <c r="E94" s="70"/>
      <c r="F94" s="70">
        <f>IF(J93&lt;0.01,0,J93*Adm!$V$3)</f>
        <v>0</v>
      </c>
      <c r="G94" s="70">
        <f>IF(J93&lt;0.01,0,$J$8*Adm!$W$3/1.16)</f>
        <v>0</v>
      </c>
      <c r="H94" s="70">
        <f>IF(J93&lt;0.01,0,Adm!$AD$2)</f>
        <v>0</v>
      </c>
      <c r="I94" s="70">
        <f t="shared" si="14"/>
        <v>0</v>
      </c>
      <c r="J94" s="72">
        <f t="shared" si="15"/>
        <v>0</v>
      </c>
      <c r="L94" s="106">
        <f>IF(J93&lt;0.01,0,2)</f>
        <v>0</v>
      </c>
      <c r="N94" s="72"/>
      <c r="O94" s="76">
        <f t="shared" si="16"/>
        <v>10</v>
      </c>
      <c r="P94" s="77">
        <f t="shared" si="18"/>
        <v>0</v>
      </c>
      <c r="S94" s="190">
        <f t="shared" si="17"/>
        <v>0</v>
      </c>
      <c r="T94" s="194"/>
    </row>
    <row r="95" spans="1:20">
      <c r="A95" s="69">
        <f t="shared" si="12"/>
        <v>0</v>
      </c>
      <c r="B95" s="70">
        <f t="shared" si="10"/>
        <v>0</v>
      </c>
      <c r="C95" s="70">
        <f t="shared" si="11"/>
        <v>0</v>
      </c>
      <c r="D95" s="70">
        <f t="shared" si="13"/>
        <v>0</v>
      </c>
      <c r="E95" s="70"/>
      <c r="F95" s="70">
        <f>IF(J94&lt;0.01,0,J94*Adm!$V$3)</f>
        <v>0</v>
      </c>
      <c r="G95" s="70">
        <f>IF(J94&lt;0.01,0,$J$8*Adm!$W$3/1.16)</f>
        <v>0</v>
      </c>
      <c r="H95" s="70">
        <f>IF(J94&lt;0.01,0,Adm!$AD$2)</f>
        <v>0</v>
      </c>
      <c r="I95" s="70">
        <f t="shared" si="14"/>
        <v>0</v>
      </c>
      <c r="J95" s="72">
        <f t="shared" si="15"/>
        <v>0</v>
      </c>
      <c r="L95" s="106">
        <f>IF(J94&lt;0.01,0,1)</f>
        <v>0</v>
      </c>
      <c r="N95" s="72"/>
      <c r="O95" s="76">
        <f t="shared" si="16"/>
        <v>11</v>
      </c>
      <c r="P95" s="77">
        <f t="shared" si="18"/>
        <v>0</v>
      </c>
      <c r="S95" s="190">
        <f t="shared" si="17"/>
        <v>0</v>
      </c>
      <c r="T95" s="194"/>
    </row>
    <row r="96" spans="1:20">
      <c r="A96" s="69">
        <f t="shared" si="12"/>
        <v>0</v>
      </c>
      <c r="B96" s="70">
        <f t="shared" si="10"/>
        <v>0</v>
      </c>
      <c r="C96" s="70">
        <f t="shared" si="11"/>
        <v>0</v>
      </c>
      <c r="D96" s="70">
        <f t="shared" si="13"/>
        <v>0</v>
      </c>
      <c r="E96" s="70"/>
      <c r="F96" s="70">
        <f>IF(J95&lt;0.01,0,J95*Adm!$V$3)</f>
        <v>0</v>
      </c>
      <c r="G96" s="70">
        <f>IF(J95&lt;0.01,0,$J$8*Adm!$W$3/1.16)</f>
        <v>0</v>
      </c>
      <c r="H96" s="70">
        <f>IF(J95&lt;0.01,0,Adm!$AD$2)</f>
        <v>0</v>
      </c>
      <c r="I96" s="70">
        <f t="shared" si="14"/>
        <v>0</v>
      </c>
      <c r="J96" s="72">
        <f t="shared" si="15"/>
        <v>0</v>
      </c>
      <c r="L96" s="106">
        <f>IF(J95&lt;0.01,0,2)</f>
        <v>0</v>
      </c>
      <c r="N96" s="72"/>
      <c r="O96" s="76">
        <f t="shared" si="16"/>
        <v>12</v>
      </c>
      <c r="P96" s="77">
        <f t="shared" si="18"/>
        <v>0</v>
      </c>
      <c r="S96" s="190">
        <f t="shared" si="17"/>
        <v>0</v>
      </c>
      <c r="T96" s="194"/>
    </row>
    <row r="97" spans="1:20">
      <c r="A97" s="69">
        <f t="shared" si="12"/>
        <v>0</v>
      </c>
      <c r="B97" s="70">
        <f t="shared" si="10"/>
        <v>0</v>
      </c>
      <c r="C97" s="70">
        <f t="shared" si="11"/>
        <v>0</v>
      </c>
      <c r="D97" s="70">
        <f t="shared" si="13"/>
        <v>0</v>
      </c>
      <c r="E97" s="70"/>
      <c r="F97" s="70">
        <f>IF(J96&lt;0.01,0,J96*Adm!$V$3)</f>
        <v>0</v>
      </c>
      <c r="G97" s="70">
        <f>IF(J96&lt;0.01,0,$J$8*Adm!$W$3/1.16)</f>
        <v>0</v>
      </c>
      <c r="H97" s="70">
        <f>IF(J96&lt;0.01,0,Adm!$AD$2)</f>
        <v>0</v>
      </c>
      <c r="I97" s="70">
        <f t="shared" si="14"/>
        <v>0</v>
      </c>
      <c r="J97" s="72">
        <f t="shared" si="15"/>
        <v>0</v>
      </c>
      <c r="L97" s="106">
        <f>IF(J96&lt;0.01,0,1)</f>
        <v>0</v>
      </c>
      <c r="N97" s="72"/>
      <c r="O97" s="76">
        <f t="shared" si="16"/>
        <v>1</v>
      </c>
      <c r="P97" s="77">
        <f t="shared" si="18"/>
        <v>0</v>
      </c>
      <c r="S97" s="190">
        <f t="shared" si="17"/>
        <v>0</v>
      </c>
      <c r="T97" s="194"/>
    </row>
    <row r="98" spans="1:20">
      <c r="A98" s="69">
        <f t="shared" si="12"/>
        <v>0</v>
      </c>
      <c r="B98" s="70">
        <f t="shared" si="10"/>
        <v>0</v>
      </c>
      <c r="C98" s="70">
        <f t="shared" si="11"/>
        <v>0</v>
      </c>
      <c r="D98" s="70">
        <f t="shared" si="13"/>
        <v>0</v>
      </c>
      <c r="E98" s="70"/>
      <c r="F98" s="70">
        <f>IF(J97&lt;0.01,0,J97*Adm!$V$3)</f>
        <v>0</v>
      </c>
      <c r="G98" s="70">
        <f>IF(J97&lt;0.01,0,$J$8*Adm!$W$3/1.16)</f>
        <v>0</v>
      </c>
      <c r="H98" s="70">
        <f>IF(J97&lt;0.01,0,Adm!$AD$2)</f>
        <v>0</v>
      </c>
      <c r="I98" s="70">
        <f t="shared" si="14"/>
        <v>0</v>
      </c>
      <c r="J98" s="72">
        <f t="shared" si="15"/>
        <v>0</v>
      </c>
      <c r="L98" s="106">
        <f>IF(J97&lt;0.01,0,2)</f>
        <v>0</v>
      </c>
      <c r="N98" s="72"/>
      <c r="O98" s="76">
        <f t="shared" si="16"/>
        <v>2</v>
      </c>
      <c r="P98" s="77">
        <f t="shared" si="18"/>
        <v>0</v>
      </c>
      <c r="S98" s="190">
        <f t="shared" si="17"/>
        <v>0</v>
      </c>
      <c r="T98" s="194"/>
    </row>
    <row r="99" spans="1:20">
      <c r="A99" s="69">
        <f t="shared" si="12"/>
        <v>0</v>
      </c>
      <c r="B99" s="70">
        <f t="shared" si="10"/>
        <v>0</v>
      </c>
      <c r="C99" s="70">
        <f t="shared" si="11"/>
        <v>0</v>
      </c>
      <c r="D99" s="70">
        <f t="shared" si="13"/>
        <v>0</v>
      </c>
      <c r="E99" s="70"/>
      <c r="F99" s="70">
        <f>IF(J98&lt;0.01,0,J98*Adm!$V$3)</f>
        <v>0</v>
      </c>
      <c r="G99" s="70">
        <f>IF(J98&lt;0.01,0,$J$8*Adm!$W$3/1.16)</f>
        <v>0</v>
      </c>
      <c r="H99" s="70">
        <f>IF(J98&lt;0.01,0,Adm!$AD$2)</f>
        <v>0</v>
      </c>
      <c r="I99" s="70">
        <f t="shared" si="14"/>
        <v>0</v>
      </c>
      <c r="J99" s="72">
        <f t="shared" si="15"/>
        <v>0</v>
      </c>
      <c r="L99" s="106">
        <f>IF(J98&lt;0.01,0,1)</f>
        <v>0</v>
      </c>
      <c r="N99" s="72"/>
      <c r="O99" s="76">
        <f t="shared" si="16"/>
        <v>3</v>
      </c>
      <c r="P99" s="77">
        <f t="shared" si="18"/>
        <v>0</v>
      </c>
      <c r="S99" s="190">
        <f t="shared" si="17"/>
        <v>0</v>
      </c>
      <c r="T99" s="194"/>
    </row>
    <row r="100" spans="1:20">
      <c r="A100" s="69">
        <f t="shared" si="12"/>
        <v>0</v>
      </c>
      <c r="B100" s="70">
        <f t="shared" si="10"/>
        <v>0</v>
      </c>
      <c r="C100" s="70">
        <f t="shared" si="11"/>
        <v>0</v>
      </c>
      <c r="D100" s="70">
        <f t="shared" si="13"/>
        <v>0</v>
      </c>
      <c r="E100" s="70"/>
      <c r="F100" s="70">
        <f>IF(J99&lt;0.01,0,J99*Adm!$V$3)</f>
        <v>0</v>
      </c>
      <c r="G100" s="70">
        <f>IF(J99&lt;0.01,0,$J$8*Adm!$W$3/1.16)</f>
        <v>0</v>
      </c>
      <c r="H100" s="70">
        <f>IF(J99&lt;0.01,0,Adm!$AD$2)</f>
        <v>0</v>
      </c>
      <c r="I100" s="70">
        <f t="shared" si="14"/>
        <v>0</v>
      </c>
      <c r="J100" s="72">
        <f t="shared" si="15"/>
        <v>0</v>
      </c>
      <c r="L100" s="106">
        <f>IF(J99&lt;0.01,0,2)</f>
        <v>0</v>
      </c>
      <c r="N100" s="72"/>
      <c r="O100" s="76">
        <f t="shared" si="16"/>
        <v>4</v>
      </c>
      <c r="P100" s="77">
        <f t="shared" si="18"/>
        <v>0</v>
      </c>
      <c r="S100" s="190">
        <f t="shared" si="17"/>
        <v>0</v>
      </c>
      <c r="T100" s="194"/>
    </row>
    <row r="101" spans="1:20">
      <c r="A101" s="69">
        <f t="shared" si="12"/>
        <v>0</v>
      </c>
      <c r="B101" s="70">
        <f t="shared" si="10"/>
        <v>0</v>
      </c>
      <c r="C101" s="70">
        <f t="shared" si="11"/>
        <v>0</v>
      </c>
      <c r="D101" s="70">
        <f t="shared" si="13"/>
        <v>0</v>
      </c>
      <c r="E101" s="70"/>
      <c r="F101" s="70">
        <f>IF(J100&lt;0.01,0,J100*Adm!$V$3)</f>
        <v>0</v>
      </c>
      <c r="G101" s="70">
        <f>IF(J100&lt;0.01,0,$J$8*Adm!$W$3/1.16)</f>
        <v>0</v>
      </c>
      <c r="H101" s="70">
        <f>IF(J100&lt;0.01,0,Adm!$AD$2)</f>
        <v>0</v>
      </c>
      <c r="I101" s="70">
        <f t="shared" si="14"/>
        <v>0</v>
      </c>
      <c r="J101" s="72">
        <f t="shared" si="15"/>
        <v>0</v>
      </c>
      <c r="L101" s="106">
        <f>IF(J100&lt;0.01,0,1)</f>
        <v>0</v>
      </c>
      <c r="N101" s="72"/>
      <c r="O101" s="76">
        <f t="shared" si="16"/>
        <v>5</v>
      </c>
      <c r="P101" s="77">
        <f t="shared" si="18"/>
        <v>0</v>
      </c>
      <c r="S101" s="190">
        <f t="shared" si="17"/>
        <v>0</v>
      </c>
      <c r="T101" s="194"/>
    </row>
    <row r="102" spans="1:20">
      <c r="A102" s="69">
        <f t="shared" si="12"/>
        <v>0</v>
      </c>
      <c r="B102" s="70">
        <f t="shared" si="10"/>
        <v>0</v>
      </c>
      <c r="C102" s="70">
        <f t="shared" si="11"/>
        <v>0</v>
      </c>
      <c r="D102" s="70">
        <f t="shared" si="13"/>
        <v>0</v>
      </c>
      <c r="E102" s="70"/>
      <c r="F102" s="70">
        <f>IF(J101&lt;0.01,0,J101*Adm!$V$3)</f>
        <v>0</v>
      </c>
      <c r="G102" s="70">
        <f>IF(J101&lt;0.01,0,$J$8*Adm!$W$3/1.16)</f>
        <v>0</v>
      </c>
      <c r="H102" s="70">
        <f>IF(J101&lt;0.01,0,Adm!$AD$2)</f>
        <v>0</v>
      </c>
      <c r="I102" s="70">
        <f t="shared" si="14"/>
        <v>0</v>
      </c>
      <c r="J102" s="72">
        <f t="shared" si="15"/>
        <v>0</v>
      </c>
      <c r="L102" s="106">
        <f>IF(J101&lt;0.01,0,2)</f>
        <v>0</v>
      </c>
      <c r="N102" s="72"/>
      <c r="O102" s="76">
        <f t="shared" si="16"/>
        <v>6</v>
      </c>
      <c r="P102" s="77">
        <f t="shared" si="18"/>
        <v>0</v>
      </c>
      <c r="S102" s="190">
        <f t="shared" si="17"/>
        <v>0</v>
      </c>
      <c r="T102" s="194"/>
    </row>
    <row r="103" spans="1:20">
      <c r="A103" s="69">
        <f t="shared" si="12"/>
        <v>0</v>
      </c>
      <c r="B103" s="70">
        <f t="shared" si="10"/>
        <v>0</v>
      </c>
      <c r="C103" s="70">
        <f t="shared" si="11"/>
        <v>0</v>
      </c>
      <c r="D103" s="70">
        <f t="shared" si="13"/>
        <v>0</v>
      </c>
      <c r="E103" s="70"/>
      <c r="F103" s="70">
        <f>IF(J102&lt;0.01,0,J102*Adm!$V$3)</f>
        <v>0</v>
      </c>
      <c r="G103" s="70">
        <f>IF(J102&lt;0.01,0,$J$8*Adm!$W$3/1.16)</f>
        <v>0</v>
      </c>
      <c r="H103" s="70">
        <f>IF(J102&lt;0.01,0,Adm!$AD$2)</f>
        <v>0</v>
      </c>
      <c r="I103" s="70">
        <f t="shared" si="14"/>
        <v>0</v>
      </c>
      <c r="J103" s="72">
        <f t="shared" si="15"/>
        <v>0</v>
      </c>
      <c r="L103" s="106">
        <f>IF(J102&lt;0.01,0,1)</f>
        <v>0</v>
      </c>
      <c r="N103" s="72"/>
      <c r="O103" s="76">
        <f t="shared" si="16"/>
        <v>7</v>
      </c>
      <c r="P103" s="77">
        <f t="shared" si="18"/>
        <v>0</v>
      </c>
      <c r="S103" s="190">
        <f t="shared" si="17"/>
        <v>0</v>
      </c>
      <c r="T103" s="194"/>
    </row>
    <row r="104" spans="1:20">
      <c r="A104" s="69">
        <f t="shared" si="12"/>
        <v>0</v>
      </c>
      <c r="B104" s="70">
        <f t="shared" si="10"/>
        <v>0</v>
      </c>
      <c r="C104" s="70">
        <f t="shared" si="11"/>
        <v>0</v>
      </c>
      <c r="D104" s="70">
        <f t="shared" si="13"/>
        <v>0</v>
      </c>
      <c r="E104" s="70"/>
      <c r="F104" s="70">
        <f>IF(J103&lt;0.01,0,J103*Adm!$V$3)</f>
        <v>0</v>
      </c>
      <c r="G104" s="70">
        <f>IF(J103&lt;0.01,0,$J$8*Adm!$W$3/1.16)</f>
        <v>0</v>
      </c>
      <c r="H104" s="70">
        <f>IF(J103&lt;0.01,0,Adm!$AD$2)</f>
        <v>0</v>
      </c>
      <c r="I104" s="70">
        <f t="shared" si="14"/>
        <v>0</v>
      </c>
      <c r="J104" s="72">
        <f t="shared" si="15"/>
        <v>0</v>
      </c>
      <c r="L104" s="106">
        <f>IF(J103&lt;0.01,0,2)</f>
        <v>0</v>
      </c>
      <c r="N104" s="72"/>
      <c r="O104" s="76">
        <f t="shared" si="16"/>
        <v>8</v>
      </c>
      <c r="P104" s="77">
        <f t="shared" si="18"/>
        <v>0</v>
      </c>
      <c r="S104" s="190">
        <f t="shared" si="17"/>
        <v>0</v>
      </c>
      <c r="T104" s="194"/>
    </row>
    <row r="105" spans="1:20">
      <c r="A105" s="69">
        <f t="shared" si="12"/>
        <v>0</v>
      </c>
      <c r="B105" s="70">
        <f t="shared" si="10"/>
        <v>0</v>
      </c>
      <c r="C105" s="70">
        <f t="shared" si="11"/>
        <v>0</v>
      </c>
      <c r="D105" s="70">
        <f t="shared" si="13"/>
        <v>0</v>
      </c>
      <c r="E105" s="70"/>
      <c r="F105" s="70">
        <f>IF(J104&lt;0.01,0,J104*Adm!$V$3)</f>
        <v>0</v>
      </c>
      <c r="G105" s="70">
        <f>IF(J104&lt;0.01,0,$J$8*Adm!$W$3/1.16)</f>
        <v>0</v>
      </c>
      <c r="H105" s="70">
        <f>IF(J104&lt;0.01,0,Adm!$AD$2)</f>
        <v>0</v>
      </c>
      <c r="I105" s="70">
        <f t="shared" si="14"/>
        <v>0</v>
      </c>
      <c r="J105" s="72">
        <f t="shared" si="15"/>
        <v>0</v>
      </c>
      <c r="L105" s="106">
        <f>IF(J104&lt;0.01,0,1)</f>
        <v>0</v>
      </c>
      <c r="N105" s="72"/>
      <c r="O105" s="76">
        <f t="shared" si="16"/>
        <v>9</v>
      </c>
      <c r="P105" s="77">
        <f t="shared" si="18"/>
        <v>0</v>
      </c>
      <c r="S105" s="190">
        <f t="shared" si="17"/>
        <v>0</v>
      </c>
      <c r="T105" s="194"/>
    </row>
    <row r="106" spans="1:20">
      <c r="A106" s="69">
        <f t="shared" si="12"/>
        <v>0</v>
      </c>
      <c r="B106" s="70">
        <f t="shared" si="10"/>
        <v>0</v>
      </c>
      <c r="C106" s="70">
        <f t="shared" si="11"/>
        <v>0</v>
      </c>
      <c r="D106" s="70">
        <f t="shared" si="13"/>
        <v>0</v>
      </c>
      <c r="E106" s="70"/>
      <c r="F106" s="70">
        <f>IF(J105&lt;0.01,0,J105*Adm!$V$3)</f>
        <v>0</v>
      </c>
      <c r="G106" s="70">
        <f>IF(J105&lt;0.01,0,$J$8*Adm!$W$3/1.16)</f>
        <v>0</v>
      </c>
      <c r="H106" s="70">
        <f>IF(J105&lt;0.01,0,Adm!$AD$2)</f>
        <v>0</v>
      </c>
      <c r="I106" s="70">
        <f t="shared" si="14"/>
        <v>0</v>
      </c>
      <c r="J106" s="72">
        <f t="shared" si="15"/>
        <v>0</v>
      </c>
      <c r="L106" s="106">
        <f>IF(J105&lt;0.01,0,2)</f>
        <v>0</v>
      </c>
      <c r="N106" s="72"/>
      <c r="O106" s="76">
        <f t="shared" si="16"/>
        <v>10</v>
      </c>
      <c r="P106" s="77">
        <f t="shared" si="18"/>
        <v>0</v>
      </c>
      <c r="S106" s="190">
        <f t="shared" si="17"/>
        <v>0</v>
      </c>
      <c r="T106" s="194"/>
    </row>
    <row r="107" spans="1:20">
      <c r="A107" s="69">
        <f t="shared" si="12"/>
        <v>0</v>
      </c>
      <c r="B107" s="70">
        <f t="shared" si="10"/>
        <v>0</v>
      </c>
      <c r="C107" s="70">
        <f t="shared" si="11"/>
        <v>0</v>
      </c>
      <c r="D107" s="70">
        <f t="shared" si="13"/>
        <v>0</v>
      </c>
      <c r="E107" s="70"/>
      <c r="F107" s="70">
        <f>IF(J106&lt;0.01,0,J106*Adm!$V$3)</f>
        <v>0</v>
      </c>
      <c r="G107" s="70">
        <f>IF(J106&lt;0.01,0,$J$8*Adm!$W$3/1.16)</f>
        <v>0</v>
      </c>
      <c r="H107" s="70">
        <f>IF(J106&lt;0.01,0,Adm!$AD$2)</f>
        <v>0</v>
      </c>
      <c r="I107" s="70">
        <f t="shared" si="14"/>
        <v>0</v>
      </c>
      <c r="J107" s="72">
        <f t="shared" si="15"/>
        <v>0</v>
      </c>
      <c r="L107" s="106">
        <f>IF(J106&lt;0.01,0,1)</f>
        <v>0</v>
      </c>
      <c r="N107" s="72"/>
      <c r="O107" s="76">
        <f t="shared" si="16"/>
        <v>11</v>
      </c>
      <c r="P107" s="77">
        <f t="shared" si="18"/>
        <v>0</v>
      </c>
      <c r="S107" s="190">
        <f t="shared" si="17"/>
        <v>0</v>
      </c>
      <c r="T107" s="194"/>
    </row>
    <row r="108" spans="1:20">
      <c r="A108" s="69">
        <f t="shared" si="12"/>
        <v>0</v>
      </c>
      <c r="B108" s="70">
        <f t="shared" si="10"/>
        <v>0</v>
      </c>
      <c r="C108" s="70">
        <f t="shared" si="11"/>
        <v>0</v>
      </c>
      <c r="D108" s="70">
        <f t="shared" si="13"/>
        <v>0</v>
      </c>
      <c r="E108" s="70"/>
      <c r="F108" s="70">
        <f>IF(J107&lt;0.01,0,J107*Adm!$V$3)</f>
        <v>0</v>
      </c>
      <c r="G108" s="70">
        <f>IF(J107&lt;0.01,0,$J$8*Adm!$W$3/1.16)</f>
        <v>0</v>
      </c>
      <c r="H108" s="70">
        <f>IF(J107&lt;0.01,0,Adm!$AD$2)</f>
        <v>0</v>
      </c>
      <c r="I108" s="70">
        <f t="shared" si="14"/>
        <v>0</v>
      </c>
      <c r="J108" s="72">
        <f t="shared" si="15"/>
        <v>0</v>
      </c>
      <c r="L108" s="106">
        <f>IF(J107&lt;0.01,0,2)</f>
        <v>0</v>
      </c>
      <c r="N108" s="72"/>
      <c r="O108" s="76">
        <f t="shared" si="16"/>
        <v>12</v>
      </c>
      <c r="P108" s="77">
        <f t="shared" si="18"/>
        <v>0</v>
      </c>
      <c r="S108" s="190">
        <f t="shared" si="17"/>
        <v>0</v>
      </c>
      <c r="T108" s="194"/>
    </row>
    <row r="109" spans="1:20">
      <c r="A109" s="69">
        <f t="shared" si="12"/>
        <v>0</v>
      </c>
      <c r="B109" s="70">
        <f t="shared" si="10"/>
        <v>0</v>
      </c>
      <c r="C109" s="70">
        <f t="shared" si="11"/>
        <v>0</v>
      </c>
      <c r="D109" s="70">
        <f t="shared" si="13"/>
        <v>0</v>
      </c>
      <c r="E109" s="70"/>
      <c r="F109" s="70">
        <f>IF(J108&lt;0.01,0,J108*Adm!$V$3)</f>
        <v>0</v>
      </c>
      <c r="G109" s="70">
        <f>IF(J108&lt;0.01,0,$J$8*Adm!$W$3/1.16)</f>
        <v>0</v>
      </c>
      <c r="H109" s="70">
        <f>IF(J108&lt;0.01,0,Adm!$AD$2)</f>
        <v>0</v>
      </c>
      <c r="I109" s="70">
        <f t="shared" si="14"/>
        <v>0</v>
      </c>
      <c r="J109" s="72">
        <f t="shared" si="15"/>
        <v>0</v>
      </c>
      <c r="L109" s="106">
        <f>IF(J108&lt;0.01,0,1)</f>
        <v>0</v>
      </c>
      <c r="N109" s="72"/>
      <c r="O109" s="76">
        <f t="shared" si="16"/>
        <v>1</v>
      </c>
      <c r="P109" s="77">
        <f t="shared" si="18"/>
        <v>0</v>
      </c>
      <c r="S109" s="190">
        <f t="shared" si="17"/>
        <v>0</v>
      </c>
      <c r="T109" s="194"/>
    </row>
    <row r="110" spans="1:20">
      <c r="A110" s="69">
        <f t="shared" si="12"/>
        <v>0</v>
      </c>
      <c r="B110" s="70">
        <f t="shared" si="10"/>
        <v>0</v>
      </c>
      <c r="C110" s="70">
        <f t="shared" si="11"/>
        <v>0</v>
      </c>
      <c r="D110" s="70">
        <f t="shared" si="13"/>
        <v>0</v>
      </c>
      <c r="E110" s="70"/>
      <c r="F110" s="70">
        <f>IF(J109&lt;0.01,0,J109*Adm!$V$3)</f>
        <v>0</v>
      </c>
      <c r="G110" s="70">
        <f>IF(J109&lt;0.01,0,$J$8*Adm!$W$3/1.16)</f>
        <v>0</v>
      </c>
      <c r="H110" s="70">
        <f>IF(J109&lt;0.01,0,Adm!$AD$2)</f>
        <v>0</v>
      </c>
      <c r="I110" s="70">
        <f t="shared" si="14"/>
        <v>0</v>
      </c>
      <c r="J110" s="72">
        <f t="shared" si="15"/>
        <v>0</v>
      </c>
      <c r="L110" s="106">
        <f>IF(J109&lt;0.01,0,2)</f>
        <v>0</v>
      </c>
      <c r="N110" s="72"/>
      <c r="O110" s="76">
        <f t="shared" si="16"/>
        <v>2</v>
      </c>
      <c r="P110" s="77">
        <f t="shared" si="18"/>
        <v>0</v>
      </c>
      <c r="S110" s="190">
        <f t="shared" si="17"/>
        <v>0</v>
      </c>
      <c r="T110" s="194"/>
    </row>
    <row r="111" spans="1:20">
      <c r="A111" s="69">
        <f t="shared" si="12"/>
        <v>0</v>
      </c>
      <c r="B111" s="70">
        <f t="shared" si="10"/>
        <v>0</v>
      </c>
      <c r="C111" s="70">
        <f t="shared" si="11"/>
        <v>0</v>
      </c>
      <c r="D111" s="70">
        <f t="shared" si="13"/>
        <v>0</v>
      </c>
      <c r="E111" s="70"/>
      <c r="F111" s="70">
        <f>IF(J110&lt;0.01,0,J110*Adm!$V$3)</f>
        <v>0</v>
      </c>
      <c r="G111" s="70">
        <f>IF(J110&lt;0.01,0,$J$8*Adm!$W$3/1.16)</f>
        <v>0</v>
      </c>
      <c r="H111" s="70">
        <f>IF(J110&lt;0.01,0,Adm!$AD$2)</f>
        <v>0</v>
      </c>
      <c r="I111" s="70">
        <f t="shared" si="14"/>
        <v>0</v>
      </c>
      <c r="J111" s="72">
        <f t="shared" si="15"/>
        <v>0</v>
      </c>
      <c r="L111" s="106">
        <f>IF(J110&lt;0.01,0,1)</f>
        <v>0</v>
      </c>
      <c r="N111" s="72"/>
      <c r="O111" s="76">
        <f t="shared" si="16"/>
        <v>3</v>
      </c>
      <c r="P111" s="77">
        <f t="shared" si="18"/>
        <v>0</v>
      </c>
      <c r="S111" s="190">
        <f t="shared" si="17"/>
        <v>0</v>
      </c>
      <c r="T111" s="194"/>
    </row>
    <row r="112" spans="1:20">
      <c r="A112" s="69">
        <f t="shared" si="12"/>
        <v>0</v>
      </c>
      <c r="B112" s="70">
        <f t="shared" si="10"/>
        <v>0</v>
      </c>
      <c r="C112" s="70">
        <f t="shared" si="11"/>
        <v>0</v>
      </c>
      <c r="D112" s="70">
        <f t="shared" si="13"/>
        <v>0</v>
      </c>
      <c r="E112" s="70"/>
      <c r="F112" s="70">
        <f>IF(J111&lt;0.01,0,J111*Adm!$V$3)</f>
        <v>0</v>
      </c>
      <c r="G112" s="70">
        <f>IF(J111&lt;0.01,0,$J$8*Adm!$W$3/1.16)</f>
        <v>0</v>
      </c>
      <c r="H112" s="70">
        <f>IF(J111&lt;0.01,0,Adm!$AD$2)</f>
        <v>0</v>
      </c>
      <c r="I112" s="70">
        <f t="shared" si="14"/>
        <v>0</v>
      </c>
      <c r="J112" s="72">
        <f t="shared" si="15"/>
        <v>0</v>
      </c>
      <c r="L112" s="106">
        <f>IF(J111&lt;0.01,0,2)</f>
        <v>0</v>
      </c>
      <c r="N112" s="72"/>
      <c r="O112" s="76">
        <f t="shared" si="16"/>
        <v>4</v>
      </c>
      <c r="P112" s="77">
        <f t="shared" si="18"/>
        <v>0</v>
      </c>
      <c r="S112" s="190">
        <f t="shared" si="17"/>
        <v>0</v>
      </c>
      <c r="T112" s="194"/>
    </row>
    <row r="113" spans="1:20">
      <c r="A113" s="69">
        <f t="shared" si="12"/>
        <v>0</v>
      </c>
      <c r="B113" s="70">
        <f t="shared" si="10"/>
        <v>0</v>
      </c>
      <c r="C113" s="70">
        <f t="shared" si="11"/>
        <v>0</v>
      </c>
      <c r="D113" s="70">
        <f t="shared" si="13"/>
        <v>0</v>
      </c>
      <c r="E113" s="70"/>
      <c r="F113" s="70">
        <f>IF(J112&lt;0.01,0,J112*Adm!$V$3)</f>
        <v>0</v>
      </c>
      <c r="G113" s="70">
        <f>IF(J112&lt;0.01,0,$J$8*Adm!$W$3/1.16)</f>
        <v>0</v>
      </c>
      <c r="H113" s="70">
        <f>IF(J112&lt;0.01,0,Adm!$AD$2)</f>
        <v>0</v>
      </c>
      <c r="I113" s="70">
        <f t="shared" si="14"/>
        <v>0</v>
      </c>
      <c r="J113" s="72">
        <f t="shared" si="15"/>
        <v>0</v>
      </c>
      <c r="L113" s="106">
        <f>IF(J112&lt;0.01,0,1)</f>
        <v>0</v>
      </c>
      <c r="N113" s="72"/>
      <c r="O113" s="76">
        <f t="shared" si="16"/>
        <v>5</v>
      </c>
      <c r="P113" s="77">
        <f t="shared" si="18"/>
        <v>0</v>
      </c>
      <c r="S113" s="190">
        <f t="shared" si="17"/>
        <v>0</v>
      </c>
      <c r="T113" s="194"/>
    </row>
    <row r="114" spans="1:20">
      <c r="A114" s="69">
        <f t="shared" si="12"/>
        <v>0</v>
      </c>
      <c r="B114" s="70">
        <f t="shared" si="10"/>
        <v>0</v>
      </c>
      <c r="C114" s="70">
        <f t="shared" si="11"/>
        <v>0</v>
      </c>
      <c r="D114" s="70">
        <f t="shared" si="13"/>
        <v>0</v>
      </c>
      <c r="E114" s="70"/>
      <c r="F114" s="70">
        <f>IF(J113&lt;0.01,0,J113*Adm!$V$3)</f>
        <v>0</v>
      </c>
      <c r="G114" s="70">
        <f>IF(J113&lt;0.01,0,$J$8*Adm!$W$3/1.16)</f>
        <v>0</v>
      </c>
      <c r="H114" s="70">
        <f>IF(J113&lt;0.01,0,Adm!$AD$2)</f>
        <v>0</v>
      </c>
      <c r="I114" s="70">
        <f t="shared" si="14"/>
        <v>0</v>
      </c>
      <c r="J114" s="72">
        <f t="shared" si="15"/>
        <v>0</v>
      </c>
      <c r="L114" s="106">
        <f>IF(J113&lt;0.01,0,2)</f>
        <v>0</v>
      </c>
      <c r="N114" s="72"/>
      <c r="O114" s="76">
        <f t="shared" si="16"/>
        <v>6</v>
      </c>
      <c r="P114" s="77">
        <f t="shared" si="18"/>
        <v>0</v>
      </c>
      <c r="S114" s="190">
        <f t="shared" si="17"/>
        <v>0</v>
      </c>
      <c r="T114" s="194"/>
    </row>
    <row r="115" spans="1:20">
      <c r="A115" s="69">
        <f t="shared" si="12"/>
        <v>0</v>
      </c>
      <c r="B115" s="70">
        <f t="shared" si="10"/>
        <v>0</v>
      </c>
      <c r="C115" s="70">
        <f t="shared" si="11"/>
        <v>0</v>
      </c>
      <c r="D115" s="70">
        <f t="shared" si="13"/>
        <v>0</v>
      </c>
      <c r="E115" s="70"/>
      <c r="F115" s="70">
        <f>IF(J114&lt;0.01,0,J114*Adm!$V$3)</f>
        <v>0</v>
      </c>
      <c r="G115" s="70">
        <f>IF(J114&lt;0.01,0,$J$8*Adm!$W$3/1.16)</f>
        <v>0</v>
      </c>
      <c r="H115" s="70">
        <f>IF(J114&lt;0.01,0,Adm!$AD$2)</f>
        <v>0</v>
      </c>
      <c r="I115" s="70">
        <f t="shared" si="14"/>
        <v>0</v>
      </c>
      <c r="J115" s="72">
        <f t="shared" si="15"/>
        <v>0</v>
      </c>
      <c r="L115" s="106">
        <f>IF(J114&lt;0.01,0,1)</f>
        <v>0</v>
      </c>
      <c r="N115" s="72"/>
      <c r="O115" s="76">
        <f t="shared" si="16"/>
        <v>7</v>
      </c>
      <c r="P115" s="77">
        <f t="shared" si="18"/>
        <v>0</v>
      </c>
      <c r="S115" s="190">
        <f t="shared" si="17"/>
        <v>0</v>
      </c>
      <c r="T115" s="194"/>
    </row>
    <row r="116" spans="1:20">
      <c r="A116" s="69">
        <f t="shared" si="12"/>
        <v>0</v>
      </c>
      <c r="B116" s="70">
        <f t="shared" si="10"/>
        <v>0</v>
      </c>
      <c r="C116" s="70">
        <f t="shared" si="11"/>
        <v>0</v>
      </c>
      <c r="D116" s="70">
        <f t="shared" si="13"/>
        <v>0</v>
      </c>
      <c r="E116" s="70"/>
      <c r="F116" s="70">
        <f>IF(J115&lt;0.01,0,J115*Adm!$V$3)</f>
        <v>0</v>
      </c>
      <c r="G116" s="70">
        <f>IF(J115&lt;0.01,0,$J$8*Adm!$W$3/1.16)</f>
        <v>0</v>
      </c>
      <c r="H116" s="70">
        <f>IF(J115&lt;0.01,0,Adm!$AD$2)</f>
        <v>0</v>
      </c>
      <c r="I116" s="70">
        <f t="shared" si="14"/>
        <v>0</v>
      </c>
      <c r="J116" s="72">
        <f t="shared" si="15"/>
        <v>0</v>
      </c>
      <c r="L116" s="106">
        <f>IF(J115&lt;0.01,0,2)</f>
        <v>0</v>
      </c>
      <c r="N116" s="72"/>
      <c r="O116" s="76">
        <f t="shared" si="16"/>
        <v>8</v>
      </c>
      <c r="P116" s="77">
        <f t="shared" si="18"/>
        <v>0</v>
      </c>
      <c r="S116" s="190">
        <f t="shared" si="17"/>
        <v>0</v>
      </c>
      <c r="T116" s="194"/>
    </row>
    <row r="117" spans="1:20">
      <c r="A117" s="69">
        <f t="shared" si="12"/>
        <v>0</v>
      </c>
      <c r="B117" s="70">
        <f t="shared" si="10"/>
        <v>0</v>
      </c>
      <c r="C117" s="70">
        <f t="shared" si="11"/>
        <v>0</v>
      </c>
      <c r="D117" s="70">
        <f t="shared" si="13"/>
        <v>0</v>
      </c>
      <c r="E117" s="70"/>
      <c r="F117" s="70">
        <f>IF(J116&lt;0.01,0,J116*Adm!$V$3)</f>
        <v>0</v>
      </c>
      <c r="G117" s="70">
        <f>IF(J116&lt;0.01,0,$J$8*Adm!$W$3/1.16)</f>
        <v>0</v>
      </c>
      <c r="H117" s="70">
        <f>IF(J116&lt;0.01,0,Adm!$AD$2)</f>
        <v>0</v>
      </c>
      <c r="I117" s="70">
        <f t="shared" si="14"/>
        <v>0</v>
      </c>
      <c r="J117" s="72">
        <f t="shared" si="15"/>
        <v>0</v>
      </c>
      <c r="L117" s="106">
        <f>IF(J116&lt;0.01,0,1)</f>
        <v>0</v>
      </c>
      <c r="N117" s="72"/>
      <c r="O117" s="76">
        <f t="shared" si="16"/>
        <v>9</v>
      </c>
      <c r="P117" s="77">
        <f t="shared" si="18"/>
        <v>0</v>
      </c>
      <c r="S117" s="190">
        <f t="shared" si="17"/>
        <v>0</v>
      </c>
      <c r="T117" s="194"/>
    </row>
    <row r="118" spans="1:20">
      <c r="A118" s="69">
        <f t="shared" si="12"/>
        <v>0</v>
      </c>
      <c r="B118" s="70">
        <f t="shared" si="10"/>
        <v>0</v>
      </c>
      <c r="C118" s="70">
        <f t="shared" si="11"/>
        <v>0</v>
      </c>
      <c r="D118" s="70">
        <f t="shared" si="13"/>
        <v>0</v>
      </c>
      <c r="E118" s="70"/>
      <c r="F118" s="70">
        <f>IF(J117&lt;0.01,0,J117*Adm!$V$3)</f>
        <v>0</v>
      </c>
      <c r="G118" s="70">
        <f>IF(J117&lt;0.01,0,$J$8*Adm!$W$3/1.16)</f>
        <v>0</v>
      </c>
      <c r="H118" s="70">
        <f>IF(J117&lt;0.01,0,Adm!$AD$2)</f>
        <v>0</v>
      </c>
      <c r="I118" s="70">
        <f t="shared" si="14"/>
        <v>0</v>
      </c>
      <c r="J118" s="72">
        <f t="shared" si="15"/>
        <v>0</v>
      </c>
      <c r="L118" s="106">
        <f>IF(J117&lt;0.01,0,2)</f>
        <v>0</v>
      </c>
      <c r="N118" s="72"/>
      <c r="O118" s="76">
        <f t="shared" si="16"/>
        <v>10</v>
      </c>
      <c r="P118" s="77">
        <f t="shared" si="18"/>
        <v>0</v>
      </c>
      <c r="S118" s="190">
        <f t="shared" si="17"/>
        <v>0</v>
      </c>
      <c r="T118" s="194"/>
    </row>
    <row r="119" spans="1:20">
      <c r="A119" s="69">
        <f t="shared" si="12"/>
        <v>0</v>
      </c>
      <c r="B119" s="70">
        <f t="shared" si="10"/>
        <v>0</v>
      </c>
      <c r="C119" s="70">
        <f t="shared" si="11"/>
        <v>0</v>
      </c>
      <c r="D119" s="70">
        <f t="shared" si="13"/>
        <v>0</v>
      </c>
      <c r="E119" s="70"/>
      <c r="F119" s="70">
        <f>IF(J118&lt;0.01,0,J118*Adm!$V$3)</f>
        <v>0</v>
      </c>
      <c r="G119" s="70">
        <f>IF(J118&lt;0.01,0,$J$8*Adm!$W$3/1.16)</f>
        <v>0</v>
      </c>
      <c r="H119" s="70">
        <f>IF(J118&lt;0.01,0,Adm!$AD$2)</f>
        <v>0</v>
      </c>
      <c r="I119" s="70">
        <f t="shared" si="14"/>
        <v>0</v>
      </c>
      <c r="J119" s="72">
        <f t="shared" si="15"/>
        <v>0</v>
      </c>
      <c r="L119" s="106">
        <f>IF(J118&lt;0.01,0,1)</f>
        <v>0</v>
      </c>
      <c r="N119" s="72"/>
      <c r="O119" s="76">
        <f t="shared" si="16"/>
        <v>11</v>
      </c>
      <c r="P119" s="77">
        <f t="shared" si="18"/>
        <v>0</v>
      </c>
      <c r="S119" s="190">
        <f t="shared" si="17"/>
        <v>0</v>
      </c>
      <c r="T119" s="194"/>
    </row>
    <row r="120" spans="1:20">
      <c r="A120" s="69">
        <f t="shared" si="12"/>
        <v>0</v>
      </c>
      <c r="B120" s="70">
        <f t="shared" si="10"/>
        <v>0</v>
      </c>
      <c r="C120" s="70">
        <f t="shared" si="11"/>
        <v>0</v>
      </c>
      <c r="D120" s="70">
        <f t="shared" si="13"/>
        <v>0</v>
      </c>
      <c r="E120" s="70"/>
      <c r="F120" s="70">
        <f>IF(J119&lt;0.01,0,J119*Adm!$V$3)</f>
        <v>0</v>
      </c>
      <c r="G120" s="70">
        <f>IF(J119&lt;0.01,0,$J$8*Adm!$W$3/1.16)</f>
        <v>0</v>
      </c>
      <c r="H120" s="70">
        <f>IF(J119&lt;0.01,0,Adm!$AD$2)</f>
        <v>0</v>
      </c>
      <c r="I120" s="70">
        <f t="shared" si="14"/>
        <v>0</v>
      </c>
      <c r="J120" s="72">
        <f t="shared" si="15"/>
        <v>0</v>
      </c>
      <c r="L120" s="106">
        <f>IF(J119&lt;0.01,0,2)</f>
        <v>0</v>
      </c>
      <c r="N120" s="72"/>
      <c r="O120" s="76">
        <f t="shared" si="16"/>
        <v>12</v>
      </c>
      <c r="P120" s="77">
        <f t="shared" si="18"/>
        <v>0</v>
      </c>
      <c r="S120" s="190">
        <f t="shared" si="17"/>
        <v>0</v>
      </c>
      <c r="T120" s="194"/>
    </row>
    <row r="121" spans="1:20">
      <c r="A121" s="69">
        <f t="shared" si="12"/>
        <v>0</v>
      </c>
      <c r="B121" s="70">
        <f t="shared" si="10"/>
        <v>0</v>
      </c>
      <c r="C121" s="70">
        <f t="shared" si="11"/>
        <v>0</v>
      </c>
      <c r="D121" s="70">
        <f t="shared" si="13"/>
        <v>0</v>
      </c>
      <c r="E121" s="70"/>
      <c r="F121" s="70">
        <f>IF(J120&lt;0.01,0,J120*Adm!$V$3)</f>
        <v>0</v>
      </c>
      <c r="G121" s="70">
        <f>IF(J120&lt;0.01,0,$J$8*Adm!$W$3/1.16)</f>
        <v>0</v>
      </c>
      <c r="H121" s="70">
        <f>IF(J120&lt;0.01,0,Adm!$AD$2)</f>
        <v>0</v>
      </c>
      <c r="I121" s="70">
        <f t="shared" si="14"/>
        <v>0</v>
      </c>
      <c r="J121" s="72">
        <f t="shared" si="15"/>
        <v>0</v>
      </c>
      <c r="L121" s="106">
        <f>IF(J120&lt;0.01,0,1)</f>
        <v>0</v>
      </c>
      <c r="N121" s="72"/>
      <c r="O121" s="76">
        <f t="shared" si="16"/>
        <v>1</v>
      </c>
      <c r="P121" s="77">
        <f t="shared" si="18"/>
        <v>0</v>
      </c>
      <c r="S121" s="190">
        <f t="shared" si="17"/>
        <v>0</v>
      </c>
      <c r="T121" s="194"/>
    </row>
    <row r="122" spans="1:20">
      <c r="A122" s="69">
        <f t="shared" si="12"/>
        <v>0</v>
      </c>
      <c r="B122" s="70">
        <f t="shared" si="10"/>
        <v>0</v>
      </c>
      <c r="C122" s="70">
        <f t="shared" si="11"/>
        <v>0</v>
      </c>
      <c r="D122" s="70">
        <f t="shared" si="13"/>
        <v>0</v>
      </c>
      <c r="E122" s="70"/>
      <c r="F122" s="70">
        <f>IF(J121&lt;0.01,0,J121*Adm!$V$3)</f>
        <v>0</v>
      </c>
      <c r="G122" s="70">
        <f>IF(J121&lt;0.01,0,$J$8*Adm!$W$3/1.16)</f>
        <v>0</v>
      </c>
      <c r="H122" s="70">
        <f>IF(J121&lt;0.01,0,Adm!$AD$2)</f>
        <v>0</v>
      </c>
      <c r="I122" s="70">
        <f t="shared" si="14"/>
        <v>0</v>
      </c>
      <c r="J122" s="72">
        <f t="shared" si="15"/>
        <v>0</v>
      </c>
      <c r="L122" s="106">
        <f>IF(J121&lt;0.01,0,2)</f>
        <v>0</v>
      </c>
      <c r="N122" s="72"/>
      <c r="O122" s="76">
        <f t="shared" si="16"/>
        <v>2</v>
      </c>
      <c r="P122" s="77">
        <f t="shared" si="18"/>
        <v>0</v>
      </c>
      <c r="S122" s="190">
        <f t="shared" si="17"/>
        <v>0</v>
      </c>
      <c r="T122" s="194"/>
    </row>
    <row r="123" spans="1:20">
      <c r="A123" s="69">
        <f t="shared" si="12"/>
        <v>0</v>
      </c>
      <c r="B123" s="70">
        <f t="shared" si="10"/>
        <v>0</v>
      </c>
      <c r="C123" s="70">
        <f t="shared" si="11"/>
        <v>0</v>
      </c>
      <c r="D123" s="70">
        <f t="shared" si="13"/>
        <v>0</v>
      </c>
      <c r="E123" s="70"/>
      <c r="F123" s="70">
        <f>IF(J122&lt;0.01,0,J122*Adm!$V$3)</f>
        <v>0</v>
      </c>
      <c r="G123" s="70">
        <f>IF(J122&lt;0.01,0,$J$8*Adm!$W$3/1.16)</f>
        <v>0</v>
      </c>
      <c r="H123" s="70">
        <f>IF(J122&lt;0.01,0,Adm!$AD$2)</f>
        <v>0</v>
      </c>
      <c r="I123" s="70">
        <f t="shared" si="14"/>
        <v>0</v>
      </c>
      <c r="J123" s="72">
        <f t="shared" si="15"/>
        <v>0</v>
      </c>
      <c r="L123" s="106">
        <f>IF(J122&lt;0.01,0,1)</f>
        <v>0</v>
      </c>
      <c r="N123" s="72"/>
      <c r="O123" s="76">
        <f t="shared" si="16"/>
        <v>3</v>
      </c>
      <c r="P123" s="77">
        <f t="shared" si="18"/>
        <v>0</v>
      </c>
      <c r="S123" s="190">
        <f t="shared" si="17"/>
        <v>0</v>
      </c>
      <c r="T123" s="194"/>
    </row>
    <row r="124" spans="1:20">
      <c r="A124" s="69">
        <f t="shared" si="12"/>
        <v>0</v>
      </c>
      <c r="B124" s="70">
        <f t="shared" si="10"/>
        <v>0</v>
      </c>
      <c r="C124" s="70">
        <f t="shared" si="11"/>
        <v>0</v>
      </c>
      <c r="D124" s="70">
        <f t="shared" si="13"/>
        <v>0</v>
      </c>
      <c r="E124" s="70"/>
      <c r="F124" s="70">
        <f>IF(J123&lt;0.01,0,J123*Adm!$V$3)</f>
        <v>0</v>
      </c>
      <c r="G124" s="70">
        <f>IF(J123&lt;0.01,0,$J$8*Adm!$W$3/1.16)</f>
        <v>0</v>
      </c>
      <c r="H124" s="70">
        <f>IF(J123&lt;0.01,0,Adm!$AD$2)</f>
        <v>0</v>
      </c>
      <c r="I124" s="70">
        <f t="shared" si="14"/>
        <v>0</v>
      </c>
      <c r="J124" s="72">
        <f t="shared" si="15"/>
        <v>0</v>
      </c>
      <c r="L124" s="106">
        <f>IF(J123&lt;0.01,0,2)</f>
        <v>0</v>
      </c>
      <c r="N124" s="72"/>
      <c r="O124" s="76">
        <f t="shared" si="16"/>
        <v>4</v>
      </c>
      <c r="P124" s="77">
        <f t="shared" si="18"/>
        <v>0</v>
      </c>
      <c r="S124" s="190">
        <f t="shared" si="17"/>
        <v>0</v>
      </c>
      <c r="T124" s="194"/>
    </row>
    <row r="125" spans="1:20">
      <c r="A125" s="69">
        <f t="shared" si="12"/>
        <v>0</v>
      </c>
      <c r="B125" s="70">
        <f t="shared" si="10"/>
        <v>0</v>
      </c>
      <c r="C125" s="70">
        <f t="shared" si="11"/>
        <v>0</v>
      </c>
      <c r="D125" s="70">
        <f t="shared" si="13"/>
        <v>0</v>
      </c>
      <c r="E125" s="70"/>
      <c r="F125" s="70">
        <f>IF(J124&lt;0.01,0,J124*Adm!$V$3)</f>
        <v>0</v>
      </c>
      <c r="G125" s="70">
        <f>IF(J124&lt;0.01,0,$J$8*Adm!$W$3/1.16)</f>
        <v>0</v>
      </c>
      <c r="H125" s="70">
        <f>IF(J124&lt;0.01,0,Adm!$AD$2)</f>
        <v>0</v>
      </c>
      <c r="I125" s="70">
        <f t="shared" si="14"/>
        <v>0</v>
      </c>
      <c r="J125" s="72">
        <f t="shared" si="15"/>
        <v>0</v>
      </c>
      <c r="L125" s="106">
        <f>IF(J124&lt;0.01,0,1)</f>
        <v>0</v>
      </c>
      <c r="N125" s="72"/>
      <c r="O125" s="76">
        <f t="shared" si="16"/>
        <v>5</v>
      </c>
      <c r="P125" s="77">
        <f t="shared" si="18"/>
        <v>0</v>
      </c>
      <c r="S125" s="190">
        <f t="shared" si="17"/>
        <v>0</v>
      </c>
      <c r="T125" s="194"/>
    </row>
    <row r="126" spans="1:20">
      <c r="A126" s="69">
        <f t="shared" si="12"/>
        <v>0</v>
      </c>
      <c r="B126" s="70">
        <f t="shared" si="10"/>
        <v>0</v>
      </c>
      <c r="C126" s="70">
        <f t="shared" si="11"/>
        <v>0</v>
      </c>
      <c r="D126" s="70">
        <f t="shared" si="13"/>
        <v>0</v>
      </c>
      <c r="E126" s="70"/>
      <c r="F126" s="70">
        <f>IF(J125&lt;0.01,0,J125*Adm!$V$3)</f>
        <v>0</v>
      </c>
      <c r="G126" s="70">
        <f>IF(J125&lt;0.01,0,$J$8*Adm!$W$3/1.16)</f>
        <v>0</v>
      </c>
      <c r="H126" s="70">
        <f>IF(J125&lt;0.01,0,Adm!$AD$2)</f>
        <v>0</v>
      </c>
      <c r="I126" s="70">
        <f t="shared" si="14"/>
        <v>0</v>
      </c>
      <c r="J126" s="72">
        <f t="shared" si="15"/>
        <v>0</v>
      </c>
      <c r="L126" s="106">
        <f>IF(J125&lt;0.01,0,2)</f>
        <v>0</v>
      </c>
      <c r="N126" s="72"/>
      <c r="O126" s="76">
        <f t="shared" si="16"/>
        <v>6</v>
      </c>
      <c r="P126" s="77">
        <f t="shared" si="18"/>
        <v>0</v>
      </c>
      <c r="S126" s="190">
        <f t="shared" si="17"/>
        <v>0</v>
      </c>
      <c r="T126" s="194"/>
    </row>
    <row r="127" spans="1:20">
      <c r="A127" s="69">
        <f t="shared" si="12"/>
        <v>0</v>
      </c>
      <c r="B127" s="70">
        <f t="shared" si="10"/>
        <v>0</v>
      </c>
      <c r="C127" s="70">
        <f t="shared" si="11"/>
        <v>0</v>
      </c>
      <c r="D127" s="70">
        <f t="shared" si="13"/>
        <v>0</v>
      </c>
      <c r="E127" s="70"/>
      <c r="F127" s="70">
        <f>IF(J126&lt;0.01,0,J126*Adm!$V$3)</f>
        <v>0</v>
      </c>
      <c r="G127" s="70">
        <f>IF(J126&lt;0.01,0,$J$8*Adm!$W$3/1.16)</f>
        <v>0</v>
      </c>
      <c r="H127" s="70">
        <f>IF(J126&lt;0.01,0,Adm!$AD$2)</f>
        <v>0</v>
      </c>
      <c r="I127" s="70">
        <f t="shared" si="14"/>
        <v>0</v>
      </c>
      <c r="J127" s="72">
        <f t="shared" si="15"/>
        <v>0</v>
      </c>
      <c r="L127" s="106">
        <f>IF(J126&lt;0.01,0,1)</f>
        <v>0</v>
      </c>
      <c r="N127" s="72"/>
      <c r="O127" s="76">
        <f t="shared" si="16"/>
        <v>7</v>
      </c>
      <c r="P127" s="77">
        <f t="shared" si="18"/>
        <v>0</v>
      </c>
      <c r="S127" s="190">
        <f t="shared" si="17"/>
        <v>0</v>
      </c>
      <c r="T127" s="194"/>
    </row>
    <row r="128" spans="1:20">
      <c r="A128" s="69">
        <f t="shared" si="12"/>
        <v>0</v>
      </c>
      <c r="B128" s="70">
        <f t="shared" si="10"/>
        <v>0</v>
      </c>
      <c r="C128" s="70">
        <f t="shared" si="11"/>
        <v>0</v>
      </c>
      <c r="D128" s="70">
        <f t="shared" si="13"/>
        <v>0</v>
      </c>
      <c r="E128" s="70"/>
      <c r="F128" s="70">
        <f>IF(J127&lt;0.01,0,J127*Adm!$V$3)</f>
        <v>0</v>
      </c>
      <c r="G128" s="70">
        <f>IF(J127&lt;0.01,0,$J$8*Adm!$W$3/1.16)</f>
        <v>0</v>
      </c>
      <c r="H128" s="70">
        <f>IF(J127&lt;0.01,0,Adm!$AD$2)</f>
        <v>0</v>
      </c>
      <c r="I128" s="70">
        <f t="shared" si="14"/>
        <v>0</v>
      </c>
      <c r="J128" s="72">
        <f t="shared" si="15"/>
        <v>0</v>
      </c>
      <c r="L128" s="106">
        <f>IF(J127&lt;0.01,0,2)</f>
        <v>0</v>
      </c>
      <c r="N128" s="72"/>
      <c r="O128" s="76">
        <f t="shared" si="16"/>
        <v>8</v>
      </c>
      <c r="P128" s="77">
        <f t="shared" si="18"/>
        <v>0</v>
      </c>
      <c r="S128" s="190">
        <f t="shared" si="17"/>
        <v>0</v>
      </c>
      <c r="T128" s="194"/>
    </row>
    <row r="129" spans="1:20">
      <c r="A129" s="69">
        <f t="shared" si="12"/>
        <v>0</v>
      </c>
      <c r="B129" s="70">
        <f t="shared" si="10"/>
        <v>0</v>
      </c>
      <c r="C129" s="70">
        <f t="shared" si="11"/>
        <v>0</v>
      </c>
      <c r="D129" s="70">
        <f t="shared" si="13"/>
        <v>0</v>
      </c>
      <c r="E129" s="70"/>
      <c r="F129" s="70">
        <f>IF(J128&lt;0.01,0,J128*Adm!$V$3)</f>
        <v>0</v>
      </c>
      <c r="G129" s="70">
        <f>IF(J128&lt;0.01,0,$J$8*Adm!$W$3/1.16)</f>
        <v>0</v>
      </c>
      <c r="H129" s="70">
        <f>IF(J128&lt;0.01,0,Adm!$AD$2)</f>
        <v>0</v>
      </c>
      <c r="I129" s="70">
        <f t="shared" si="14"/>
        <v>0</v>
      </c>
      <c r="J129" s="72">
        <f t="shared" si="15"/>
        <v>0</v>
      </c>
      <c r="L129" s="106">
        <f>IF(J128&lt;0.01,0,1)</f>
        <v>0</v>
      </c>
      <c r="N129" s="72"/>
      <c r="O129" s="76">
        <f t="shared" si="16"/>
        <v>9</v>
      </c>
      <c r="P129" s="77">
        <f t="shared" si="18"/>
        <v>0</v>
      </c>
      <c r="S129" s="190">
        <f t="shared" si="17"/>
        <v>0</v>
      </c>
      <c r="T129" s="194"/>
    </row>
    <row r="130" spans="1:20">
      <c r="A130" s="69">
        <f t="shared" si="12"/>
        <v>0</v>
      </c>
      <c r="B130" s="70">
        <f t="shared" si="10"/>
        <v>0</v>
      </c>
      <c r="C130" s="70">
        <f t="shared" si="11"/>
        <v>0</v>
      </c>
      <c r="D130" s="70">
        <f t="shared" si="13"/>
        <v>0</v>
      </c>
      <c r="E130" s="70"/>
      <c r="F130" s="70">
        <f>IF(J129&lt;0.01,0,J129*Adm!$V$3)</f>
        <v>0</v>
      </c>
      <c r="G130" s="70">
        <f>IF(J129&lt;0.01,0,$J$8*Adm!$W$3/1.16)</f>
        <v>0</v>
      </c>
      <c r="H130" s="70">
        <f>IF(J129&lt;0.01,0,Adm!$AD$2)</f>
        <v>0</v>
      </c>
      <c r="I130" s="70">
        <f t="shared" si="14"/>
        <v>0</v>
      </c>
      <c r="J130" s="72">
        <f t="shared" si="15"/>
        <v>0</v>
      </c>
      <c r="L130" s="106">
        <f>IF(J129&lt;0.01,0,2)</f>
        <v>0</v>
      </c>
      <c r="N130" s="72"/>
      <c r="O130" s="76">
        <f t="shared" si="16"/>
        <v>10</v>
      </c>
      <c r="P130" s="77">
        <f t="shared" si="18"/>
        <v>0</v>
      </c>
      <c r="S130" s="190">
        <f t="shared" si="17"/>
        <v>0</v>
      </c>
      <c r="T130" s="194"/>
    </row>
    <row r="131" spans="1:20">
      <c r="A131" s="69">
        <f t="shared" si="12"/>
        <v>0</v>
      </c>
      <c r="B131" s="70">
        <f t="shared" si="10"/>
        <v>0</v>
      </c>
      <c r="C131" s="70">
        <f t="shared" si="11"/>
        <v>0</v>
      </c>
      <c r="D131" s="70">
        <f t="shared" si="13"/>
        <v>0</v>
      </c>
      <c r="E131" s="70"/>
      <c r="F131" s="70">
        <f>IF(J130&lt;0.01,0,J130*Adm!$V$3)</f>
        <v>0</v>
      </c>
      <c r="G131" s="70">
        <f>IF(J130&lt;0.01,0,$J$8*Adm!$W$3/1.16)</f>
        <v>0</v>
      </c>
      <c r="H131" s="70">
        <f>IF(J130&lt;0.01,0,Adm!$AD$2)</f>
        <v>0</v>
      </c>
      <c r="I131" s="70">
        <f t="shared" si="14"/>
        <v>0</v>
      </c>
      <c r="J131" s="72">
        <f t="shared" si="15"/>
        <v>0</v>
      </c>
      <c r="L131" s="106">
        <f>IF(J130&lt;0.01,0,1)</f>
        <v>0</v>
      </c>
      <c r="N131" s="72"/>
      <c r="O131" s="76">
        <f t="shared" si="16"/>
        <v>11</v>
      </c>
      <c r="P131" s="77">
        <f t="shared" si="18"/>
        <v>0</v>
      </c>
      <c r="S131" s="190">
        <f t="shared" si="17"/>
        <v>0</v>
      </c>
      <c r="T131" s="194"/>
    </row>
    <row r="132" spans="1:20">
      <c r="A132" s="69">
        <f t="shared" si="12"/>
        <v>0</v>
      </c>
      <c r="B132" s="70">
        <f t="shared" si="10"/>
        <v>0</v>
      </c>
      <c r="C132" s="70">
        <f t="shared" si="11"/>
        <v>0</v>
      </c>
      <c r="D132" s="70">
        <f t="shared" si="13"/>
        <v>0</v>
      </c>
      <c r="E132" s="70"/>
      <c r="F132" s="70">
        <f>IF(J131&lt;0.01,0,J131*Adm!$V$3)</f>
        <v>0</v>
      </c>
      <c r="G132" s="70">
        <f>IF(J131&lt;0.01,0,$J$8*Adm!$W$3/1.16)</f>
        <v>0</v>
      </c>
      <c r="H132" s="70">
        <f>IF(J131&lt;0.01,0,Adm!$AD$2)</f>
        <v>0</v>
      </c>
      <c r="I132" s="70">
        <f t="shared" si="14"/>
        <v>0</v>
      </c>
      <c r="J132" s="72">
        <f t="shared" si="15"/>
        <v>0</v>
      </c>
      <c r="L132" s="106">
        <f>IF(J131&lt;0.01,0,2)</f>
        <v>0</v>
      </c>
      <c r="N132" s="72"/>
      <c r="O132" s="76">
        <f t="shared" si="16"/>
        <v>12</v>
      </c>
      <c r="P132" s="77">
        <f t="shared" si="18"/>
        <v>0</v>
      </c>
      <c r="S132" s="190">
        <f t="shared" si="17"/>
        <v>0</v>
      </c>
      <c r="T132" s="194"/>
    </row>
    <row r="133" spans="1:20">
      <c r="A133" s="69">
        <f t="shared" si="12"/>
        <v>0</v>
      </c>
      <c r="B133" s="70">
        <f t="shared" si="10"/>
        <v>0</v>
      </c>
      <c r="C133" s="70">
        <f t="shared" si="11"/>
        <v>0</v>
      </c>
      <c r="D133" s="70">
        <f t="shared" si="13"/>
        <v>0</v>
      </c>
      <c r="E133" s="70"/>
      <c r="F133" s="70">
        <f>IF(J132&lt;0.01,0,J132*Adm!$V$3)</f>
        <v>0</v>
      </c>
      <c r="G133" s="70">
        <f>IF(J132&lt;0.01,0,$J$8*Adm!$W$3/1.16)</f>
        <v>0</v>
      </c>
      <c r="H133" s="70">
        <f>IF(J132&lt;0.01,0,Adm!$AD$2)</f>
        <v>0</v>
      </c>
      <c r="I133" s="70">
        <f t="shared" si="14"/>
        <v>0</v>
      </c>
      <c r="J133" s="72">
        <f t="shared" si="15"/>
        <v>0</v>
      </c>
      <c r="L133" s="106">
        <f>IF(J132&lt;0.01,0,1)</f>
        <v>0</v>
      </c>
      <c r="N133" s="72"/>
      <c r="O133" s="76">
        <f t="shared" si="16"/>
        <v>1</v>
      </c>
      <c r="P133" s="77">
        <f t="shared" si="18"/>
        <v>0</v>
      </c>
      <c r="S133" s="190">
        <f t="shared" si="17"/>
        <v>0</v>
      </c>
      <c r="T133" s="194"/>
    </row>
    <row r="134" spans="1:20">
      <c r="A134" s="69">
        <f t="shared" si="12"/>
        <v>0</v>
      </c>
      <c r="B134" s="70">
        <f t="shared" si="10"/>
        <v>0</v>
      </c>
      <c r="C134" s="70">
        <f t="shared" si="11"/>
        <v>0</v>
      </c>
      <c r="D134" s="70">
        <f t="shared" si="13"/>
        <v>0</v>
      </c>
      <c r="E134" s="70"/>
      <c r="F134" s="70">
        <f>IF(J133&lt;0.01,0,J133*Adm!$V$3)</f>
        <v>0</v>
      </c>
      <c r="G134" s="70">
        <f>IF(J133&lt;0.01,0,$J$8*Adm!$W$3/1.16)</f>
        <v>0</v>
      </c>
      <c r="H134" s="70">
        <f>IF(J133&lt;0.01,0,Adm!$AD$2)</f>
        <v>0</v>
      </c>
      <c r="I134" s="70">
        <f t="shared" si="14"/>
        <v>0</v>
      </c>
      <c r="J134" s="72">
        <f t="shared" si="15"/>
        <v>0</v>
      </c>
      <c r="L134" s="106">
        <f>IF(J133&lt;0.01,0,2)</f>
        <v>0</v>
      </c>
      <c r="N134" s="72"/>
      <c r="O134" s="76">
        <f t="shared" si="16"/>
        <v>2</v>
      </c>
      <c r="P134" s="77">
        <f t="shared" si="18"/>
        <v>0</v>
      </c>
      <c r="S134" s="190">
        <f t="shared" si="17"/>
        <v>0</v>
      </c>
      <c r="T134" s="194"/>
    </row>
    <row r="135" spans="1:20">
      <c r="A135" s="69">
        <f t="shared" si="12"/>
        <v>0</v>
      </c>
      <c r="B135" s="70">
        <f t="shared" si="10"/>
        <v>0</v>
      </c>
      <c r="C135" s="70">
        <f t="shared" si="11"/>
        <v>0</v>
      </c>
      <c r="D135" s="70">
        <f t="shared" si="13"/>
        <v>0</v>
      </c>
      <c r="E135" s="70"/>
      <c r="F135" s="70">
        <f>IF(J134&lt;0.01,0,J134*Adm!$V$3)</f>
        <v>0</v>
      </c>
      <c r="G135" s="70">
        <f>IF(J134&lt;0.01,0,$J$8*Adm!$W$3/1.16)</f>
        <v>0</v>
      </c>
      <c r="H135" s="70">
        <f>IF(J134&lt;0.01,0,Adm!$AD$2)</f>
        <v>0</v>
      </c>
      <c r="I135" s="70">
        <f t="shared" si="14"/>
        <v>0</v>
      </c>
      <c r="J135" s="72">
        <f t="shared" si="15"/>
        <v>0</v>
      </c>
      <c r="L135" s="106">
        <f>IF(J134&lt;0.01,0,1)</f>
        <v>0</v>
      </c>
      <c r="N135" s="72"/>
      <c r="O135" s="76">
        <f t="shared" si="16"/>
        <v>3</v>
      </c>
      <c r="P135" s="77">
        <f t="shared" si="18"/>
        <v>0</v>
      </c>
      <c r="S135" s="190">
        <f t="shared" si="17"/>
        <v>0</v>
      </c>
      <c r="T135" s="194"/>
    </row>
    <row r="136" spans="1:20">
      <c r="A136" s="69">
        <f t="shared" si="12"/>
        <v>0</v>
      </c>
      <c r="B136" s="70">
        <f t="shared" si="10"/>
        <v>0</v>
      </c>
      <c r="C136" s="70">
        <f t="shared" si="11"/>
        <v>0</v>
      </c>
      <c r="D136" s="70">
        <f t="shared" si="13"/>
        <v>0</v>
      </c>
      <c r="E136" s="70"/>
      <c r="F136" s="70">
        <f>IF(J135&lt;0.01,0,J135*Adm!$V$3)</f>
        <v>0</v>
      </c>
      <c r="G136" s="70">
        <f>IF(J135&lt;0.01,0,$J$8*Adm!$W$3/1.16)</f>
        <v>0</v>
      </c>
      <c r="H136" s="70">
        <f>IF(J135&lt;0.01,0,Adm!$AD$2)</f>
        <v>0</v>
      </c>
      <c r="I136" s="70">
        <f t="shared" si="14"/>
        <v>0</v>
      </c>
      <c r="J136" s="72">
        <f t="shared" si="15"/>
        <v>0</v>
      </c>
      <c r="L136" s="106">
        <f>IF(J135&lt;0.01,0,2)</f>
        <v>0</v>
      </c>
      <c r="N136" s="72"/>
      <c r="O136" s="76">
        <f t="shared" si="16"/>
        <v>4</v>
      </c>
      <c r="P136" s="77">
        <f t="shared" si="18"/>
        <v>0</v>
      </c>
      <c r="S136" s="190">
        <f t="shared" si="17"/>
        <v>0</v>
      </c>
      <c r="T136" s="194"/>
    </row>
    <row r="137" spans="1:20">
      <c r="A137" s="69">
        <f t="shared" si="12"/>
        <v>0</v>
      </c>
      <c r="B137" s="70">
        <f t="shared" si="10"/>
        <v>0</v>
      </c>
      <c r="C137" s="70">
        <f t="shared" si="11"/>
        <v>0</v>
      </c>
      <c r="D137" s="70">
        <f t="shared" si="13"/>
        <v>0</v>
      </c>
      <c r="E137" s="70"/>
      <c r="F137" s="70">
        <f>IF(J136&lt;0.01,0,J136*Adm!$V$3)</f>
        <v>0</v>
      </c>
      <c r="G137" s="70">
        <f>IF(J136&lt;0.01,0,$J$8*Adm!$W$3/1.16)</f>
        <v>0</v>
      </c>
      <c r="H137" s="70">
        <f>IF(J136&lt;0.01,0,Adm!$AD$2)</f>
        <v>0</v>
      </c>
      <c r="I137" s="70">
        <f t="shared" si="14"/>
        <v>0</v>
      </c>
      <c r="J137" s="72">
        <f t="shared" si="15"/>
        <v>0</v>
      </c>
      <c r="L137" s="106">
        <f>IF(J136&lt;0.01,0,1)</f>
        <v>0</v>
      </c>
      <c r="N137" s="72"/>
      <c r="O137" s="76">
        <f t="shared" si="16"/>
        <v>5</v>
      </c>
      <c r="P137" s="77">
        <f t="shared" si="18"/>
        <v>0</v>
      </c>
      <c r="S137" s="190">
        <f t="shared" si="17"/>
        <v>0</v>
      </c>
      <c r="T137" s="194"/>
    </row>
    <row r="138" spans="1:20">
      <c r="A138" s="69">
        <f t="shared" si="12"/>
        <v>0</v>
      </c>
      <c r="B138" s="70">
        <f t="shared" si="10"/>
        <v>0</v>
      </c>
      <c r="C138" s="70">
        <f t="shared" si="11"/>
        <v>0</v>
      </c>
      <c r="D138" s="70">
        <f t="shared" si="13"/>
        <v>0</v>
      </c>
      <c r="E138" s="70"/>
      <c r="F138" s="70">
        <f>IF(J137&lt;0.01,0,J137*Adm!$V$3)</f>
        <v>0</v>
      </c>
      <c r="G138" s="70">
        <f>IF(J137&lt;0.01,0,$J$8*Adm!$W$3/1.16)</f>
        <v>0</v>
      </c>
      <c r="H138" s="70">
        <f>IF(J137&lt;0.01,0,Adm!$AD$2)</f>
        <v>0</v>
      </c>
      <c r="I138" s="70">
        <f t="shared" si="14"/>
        <v>0</v>
      </c>
      <c r="J138" s="72">
        <f t="shared" si="15"/>
        <v>0</v>
      </c>
      <c r="L138" s="106">
        <f>IF(J137&lt;0.01,0,2)</f>
        <v>0</v>
      </c>
      <c r="N138" s="72"/>
      <c r="O138" s="76">
        <f t="shared" si="16"/>
        <v>6</v>
      </c>
      <c r="P138" s="77">
        <f t="shared" si="18"/>
        <v>0</v>
      </c>
      <c r="S138" s="190">
        <f t="shared" si="17"/>
        <v>0</v>
      </c>
      <c r="T138" s="194"/>
    </row>
    <row r="139" spans="1:20">
      <c r="A139" s="69">
        <f t="shared" si="12"/>
        <v>0</v>
      </c>
      <c r="B139" s="70">
        <f t="shared" si="10"/>
        <v>0</v>
      </c>
      <c r="C139" s="70">
        <f t="shared" si="11"/>
        <v>0</v>
      </c>
      <c r="D139" s="70">
        <f t="shared" si="13"/>
        <v>0</v>
      </c>
      <c r="E139" s="70"/>
      <c r="F139" s="70">
        <f>IF(J138&lt;0.01,0,J138*Adm!$V$3)</f>
        <v>0</v>
      </c>
      <c r="G139" s="70">
        <f>IF(J138&lt;0.01,0,$J$8*Adm!$W$3/1.16)</f>
        <v>0</v>
      </c>
      <c r="H139" s="70">
        <f>IF(J138&lt;0.01,0,Adm!$AD$2)</f>
        <v>0</v>
      </c>
      <c r="I139" s="70">
        <f t="shared" si="14"/>
        <v>0</v>
      </c>
      <c r="J139" s="72">
        <f t="shared" si="15"/>
        <v>0</v>
      </c>
      <c r="L139" s="106">
        <f>IF(J138&lt;0.01,0,1)</f>
        <v>0</v>
      </c>
      <c r="N139" s="72"/>
      <c r="O139" s="76">
        <f t="shared" si="16"/>
        <v>7</v>
      </c>
      <c r="P139" s="77">
        <f t="shared" si="18"/>
        <v>0</v>
      </c>
      <c r="S139" s="190">
        <f t="shared" si="17"/>
        <v>0</v>
      </c>
      <c r="T139" s="194"/>
    </row>
    <row r="140" spans="1:20">
      <c r="A140" s="69">
        <f t="shared" si="12"/>
        <v>0</v>
      </c>
      <c r="B140" s="70">
        <f t="shared" si="10"/>
        <v>0</v>
      </c>
      <c r="C140" s="70">
        <f t="shared" si="11"/>
        <v>0</v>
      </c>
      <c r="D140" s="70">
        <f t="shared" si="13"/>
        <v>0</v>
      </c>
      <c r="E140" s="70"/>
      <c r="F140" s="70">
        <f>IF(J139&lt;0.01,0,J139*Adm!$V$3)</f>
        <v>0</v>
      </c>
      <c r="G140" s="70">
        <f>IF(J139&lt;0.01,0,$J$8*Adm!$W$3/1.16)</f>
        <v>0</v>
      </c>
      <c r="H140" s="70">
        <f>IF(J139&lt;0.01,0,Adm!$AD$2)</f>
        <v>0</v>
      </c>
      <c r="I140" s="70">
        <f t="shared" si="14"/>
        <v>0</v>
      </c>
      <c r="J140" s="72">
        <f t="shared" si="15"/>
        <v>0</v>
      </c>
      <c r="L140" s="106">
        <f>IF(J139&lt;0.01,0,2)</f>
        <v>0</v>
      </c>
      <c r="N140" s="72"/>
      <c r="O140" s="76">
        <f t="shared" si="16"/>
        <v>8</v>
      </c>
      <c r="P140" s="77">
        <f t="shared" si="18"/>
        <v>0</v>
      </c>
      <c r="S140" s="190">
        <f t="shared" si="17"/>
        <v>0</v>
      </c>
      <c r="T140" s="194"/>
    </row>
    <row r="141" spans="1:20">
      <c r="A141" s="69">
        <f t="shared" si="12"/>
        <v>0</v>
      </c>
      <c r="B141" s="70">
        <f t="shared" si="10"/>
        <v>0</v>
      </c>
      <c r="C141" s="70">
        <f t="shared" si="11"/>
        <v>0</v>
      </c>
      <c r="D141" s="70">
        <f t="shared" si="13"/>
        <v>0</v>
      </c>
      <c r="E141" s="70"/>
      <c r="F141" s="70">
        <f>IF(J140&lt;0.01,0,J140*Adm!$V$3)</f>
        <v>0</v>
      </c>
      <c r="G141" s="70">
        <f>IF(J140&lt;0.01,0,$J$8*Adm!$W$3/1.16)</f>
        <v>0</v>
      </c>
      <c r="H141" s="70">
        <f>IF(J140&lt;0.01,0,Adm!$AD$2)</f>
        <v>0</v>
      </c>
      <c r="I141" s="70">
        <f t="shared" si="14"/>
        <v>0</v>
      </c>
      <c r="J141" s="72">
        <f t="shared" si="15"/>
        <v>0</v>
      </c>
      <c r="L141" s="106">
        <f>IF(J140&lt;0.01,0,1)</f>
        <v>0</v>
      </c>
      <c r="N141" s="72"/>
      <c r="O141" s="76">
        <f t="shared" si="16"/>
        <v>9</v>
      </c>
      <c r="P141" s="77">
        <f t="shared" si="18"/>
        <v>0</v>
      </c>
      <c r="S141" s="190">
        <f t="shared" si="17"/>
        <v>0</v>
      </c>
      <c r="T141" s="194"/>
    </row>
    <row r="142" spans="1:20">
      <c r="A142" s="69">
        <f t="shared" si="12"/>
        <v>0</v>
      </c>
      <c r="B142" s="70">
        <f t="shared" si="10"/>
        <v>0</v>
      </c>
      <c r="C142" s="70">
        <f t="shared" si="11"/>
        <v>0</v>
      </c>
      <c r="D142" s="70">
        <f t="shared" si="13"/>
        <v>0</v>
      </c>
      <c r="E142" s="70"/>
      <c r="F142" s="70">
        <f>IF(J141&lt;0.01,0,J141*Adm!$V$3)</f>
        <v>0</v>
      </c>
      <c r="G142" s="70">
        <f>IF(J141&lt;0.01,0,$J$8*Adm!$W$3/1.16)</f>
        <v>0</v>
      </c>
      <c r="H142" s="70">
        <f>IF(J141&lt;0.01,0,Adm!$AD$2)</f>
        <v>0</v>
      </c>
      <c r="I142" s="70">
        <f t="shared" si="14"/>
        <v>0</v>
      </c>
      <c r="J142" s="72">
        <f t="shared" si="15"/>
        <v>0</v>
      </c>
      <c r="L142" s="106">
        <f>IF(J141&lt;0.01,0,2)</f>
        <v>0</v>
      </c>
      <c r="N142" s="72"/>
      <c r="O142" s="76">
        <f t="shared" si="16"/>
        <v>10</v>
      </c>
      <c r="P142" s="77">
        <f t="shared" si="18"/>
        <v>0</v>
      </c>
      <c r="S142" s="190">
        <f t="shared" si="17"/>
        <v>0</v>
      </c>
      <c r="T142" s="194"/>
    </row>
    <row r="143" spans="1:20">
      <c r="A143" s="69">
        <f t="shared" si="12"/>
        <v>0</v>
      </c>
      <c r="B143" s="70">
        <f t="shared" si="10"/>
        <v>0</v>
      </c>
      <c r="C143" s="70">
        <f t="shared" si="11"/>
        <v>0</v>
      </c>
      <c r="D143" s="70">
        <f t="shared" si="13"/>
        <v>0</v>
      </c>
      <c r="E143" s="70"/>
      <c r="F143" s="70">
        <f>IF(J142&lt;0.01,0,J142*Adm!$V$3)</f>
        <v>0</v>
      </c>
      <c r="G143" s="70">
        <f>IF(J142&lt;0.01,0,$J$8*Adm!$W$3/1.16)</f>
        <v>0</v>
      </c>
      <c r="H143" s="70">
        <f>IF(J142&lt;0.01,0,Adm!$AD$2)</f>
        <v>0</v>
      </c>
      <c r="I143" s="70">
        <f t="shared" si="14"/>
        <v>0</v>
      </c>
      <c r="J143" s="72">
        <f t="shared" si="15"/>
        <v>0</v>
      </c>
      <c r="L143" s="106">
        <f>IF(J142&lt;0.01,0,1)</f>
        <v>0</v>
      </c>
      <c r="N143" s="72"/>
      <c r="O143" s="76">
        <f t="shared" si="16"/>
        <v>11</v>
      </c>
      <c r="P143" s="77">
        <f t="shared" si="18"/>
        <v>0</v>
      </c>
      <c r="S143" s="190">
        <f t="shared" si="17"/>
        <v>0</v>
      </c>
      <c r="T143" s="194"/>
    </row>
    <row r="144" spans="1:20">
      <c r="A144" s="69">
        <f t="shared" si="12"/>
        <v>0</v>
      </c>
      <c r="B144" s="70">
        <f t="shared" si="10"/>
        <v>0</v>
      </c>
      <c r="C144" s="70">
        <f t="shared" si="11"/>
        <v>0</v>
      </c>
      <c r="D144" s="70">
        <f t="shared" si="13"/>
        <v>0</v>
      </c>
      <c r="E144" s="70"/>
      <c r="F144" s="70">
        <f>IF(J143&lt;0.01,0,J143*Adm!$V$3)</f>
        <v>0</v>
      </c>
      <c r="G144" s="70">
        <f>IF(J143&lt;0.01,0,$J$8*Adm!$W$3/1.16)</f>
        <v>0</v>
      </c>
      <c r="H144" s="70">
        <f>IF(J143&lt;0.01,0,Adm!$AD$2)</f>
        <v>0</v>
      </c>
      <c r="I144" s="70">
        <f t="shared" si="14"/>
        <v>0</v>
      </c>
      <c r="J144" s="72">
        <f t="shared" si="15"/>
        <v>0</v>
      </c>
      <c r="L144" s="106">
        <f>IF(J143&lt;0.01,0,2)</f>
        <v>0</v>
      </c>
      <c r="N144" s="72"/>
      <c r="O144" s="76">
        <f t="shared" si="16"/>
        <v>12</v>
      </c>
      <c r="P144" s="77">
        <f t="shared" si="18"/>
        <v>0</v>
      </c>
      <c r="S144" s="190">
        <f t="shared" si="17"/>
        <v>0</v>
      </c>
      <c r="T144" s="194"/>
    </row>
    <row r="145" spans="1:20">
      <c r="A145" s="69">
        <f t="shared" si="12"/>
        <v>0</v>
      </c>
      <c r="B145" s="70">
        <f t="shared" si="10"/>
        <v>0</v>
      </c>
      <c r="C145" s="70">
        <f t="shared" si="11"/>
        <v>0</v>
      </c>
      <c r="D145" s="70">
        <f t="shared" si="13"/>
        <v>0</v>
      </c>
      <c r="E145" s="70"/>
      <c r="F145" s="70">
        <f>IF(J144&lt;0.01,0,J144*Adm!$V$3)</f>
        <v>0</v>
      </c>
      <c r="G145" s="70">
        <f>IF(J144&lt;0.01,0,$J$8*Adm!$W$3/1.16)</f>
        <v>0</v>
      </c>
      <c r="H145" s="70">
        <f>IF(J144&lt;0.01,0,Adm!$AD$2)</f>
        <v>0</v>
      </c>
      <c r="I145" s="70">
        <f t="shared" si="14"/>
        <v>0</v>
      </c>
      <c r="J145" s="72">
        <f t="shared" si="15"/>
        <v>0</v>
      </c>
      <c r="L145" s="106">
        <f>IF(J144&lt;0.01,0,1)</f>
        <v>0</v>
      </c>
      <c r="N145" s="72"/>
      <c r="O145" s="76">
        <f t="shared" si="16"/>
        <v>1</v>
      </c>
      <c r="P145" s="77">
        <f t="shared" si="18"/>
        <v>0</v>
      </c>
      <c r="S145" s="190">
        <f t="shared" si="17"/>
        <v>0</v>
      </c>
      <c r="T145" s="194"/>
    </row>
    <row r="146" spans="1:20">
      <c r="A146" s="69">
        <f t="shared" si="12"/>
        <v>0</v>
      </c>
      <c r="B146" s="70">
        <f t="shared" si="10"/>
        <v>0</v>
      </c>
      <c r="C146" s="70">
        <f t="shared" si="11"/>
        <v>0</v>
      </c>
      <c r="D146" s="70">
        <f t="shared" si="13"/>
        <v>0</v>
      </c>
      <c r="E146" s="70"/>
      <c r="F146" s="70">
        <f>IF(J145&lt;0.01,0,J145*Adm!$V$3)</f>
        <v>0</v>
      </c>
      <c r="G146" s="70">
        <f>IF(J145&lt;0.01,0,$J$8*Adm!$W$3/1.16)</f>
        <v>0</v>
      </c>
      <c r="H146" s="70">
        <f>IF(J145&lt;0.01,0,Adm!$AD$2)</f>
        <v>0</v>
      </c>
      <c r="I146" s="70">
        <f t="shared" si="14"/>
        <v>0</v>
      </c>
      <c r="J146" s="72">
        <f t="shared" si="15"/>
        <v>0</v>
      </c>
      <c r="L146" s="106">
        <f>IF(J145&lt;0.01,0,2)</f>
        <v>0</v>
      </c>
      <c r="N146" s="72"/>
      <c r="O146" s="76">
        <f t="shared" si="16"/>
        <v>2</v>
      </c>
      <c r="P146" s="77">
        <f t="shared" si="18"/>
        <v>0</v>
      </c>
      <c r="S146" s="190">
        <f t="shared" si="17"/>
        <v>0</v>
      </c>
      <c r="T146" s="194"/>
    </row>
    <row r="147" spans="1:20">
      <c r="A147" s="69">
        <f t="shared" si="12"/>
        <v>0</v>
      </c>
      <c r="B147" s="70">
        <f t="shared" si="10"/>
        <v>0</v>
      </c>
      <c r="C147" s="70">
        <f t="shared" si="11"/>
        <v>0</v>
      </c>
      <c r="D147" s="70">
        <f t="shared" si="13"/>
        <v>0</v>
      </c>
      <c r="E147" s="70"/>
      <c r="F147" s="70">
        <f>IF(J146&lt;0.01,0,J146*Adm!$V$3)</f>
        <v>0</v>
      </c>
      <c r="G147" s="70">
        <f>IF(J146&lt;0.01,0,$J$8*Adm!$W$3/1.16)</f>
        <v>0</v>
      </c>
      <c r="H147" s="70">
        <f>IF(J146&lt;0.01,0,Adm!$AD$2)</f>
        <v>0</v>
      </c>
      <c r="I147" s="70">
        <f t="shared" si="14"/>
        <v>0</v>
      </c>
      <c r="J147" s="72">
        <f t="shared" si="15"/>
        <v>0</v>
      </c>
      <c r="L147" s="106">
        <f>IF(J146&lt;0.01,0,1)</f>
        <v>0</v>
      </c>
      <c r="N147" s="72"/>
      <c r="O147" s="76">
        <f t="shared" si="16"/>
        <v>3</v>
      </c>
      <c r="P147" s="77">
        <f t="shared" si="18"/>
        <v>0</v>
      </c>
      <c r="S147" s="190">
        <f t="shared" si="17"/>
        <v>0</v>
      </c>
      <c r="T147" s="194"/>
    </row>
    <row r="148" spans="1:20">
      <c r="A148" s="69">
        <f t="shared" si="12"/>
        <v>0</v>
      </c>
      <c r="B148" s="70">
        <f t="shared" si="10"/>
        <v>0</v>
      </c>
      <c r="C148" s="70">
        <f t="shared" si="11"/>
        <v>0</v>
      </c>
      <c r="D148" s="70">
        <f t="shared" si="13"/>
        <v>0</v>
      </c>
      <c r="E148" s="70"/>
      <c r="F148" s="70">
        <f>IF(J147&lt;0.01,0,J147*Adm!$V$3)</f>
        <v>0</v>
      </c>
      <c r="G148" s="70">
        <f>IF(J147&lt;0.01,0,$J$8*Adm!$W$3/1.16)</f>
        <v>0</v>
      </c>
      <c r="H148" s="70">
        <f>IF(J147&lt;0.01,0,Adm!$AD$2)</f>
        <v>0</v>
      </c>
      <c r="I148" s="70">
        <f t="shared" si="14"/>
        <v>0</v>
      </c>
      <c r="J148" s="72">
        <f t="shared" si="15"/>
        <v>0</v>
      </c>
      <c r="L148" s="106">
        <f>IF(J147&lt;0.01,0,2)</f>
        <v>0</v>
      </c>
      <c r="N148" s="72"/>
      <c r="O148" s="76">
        <f t="shared" si="16"/>
        <v>4</v>
      </c>
      <c r="P148" s="77">
        <f t="shared" si="18"/>
        <v>0</v>
      </c>
      <c r="S148" s="190">
        <f t="shared" si="17"/>
        <v>0</v>
      </c>
      <c r="T148" s="194"/>
    </row>
    <row r="149" spans="1:20">
      <c r="A149" s="69">
        <f t="shared" si="12"/>
        <v>0</v>
      </c>
      <c r="B149" s="70">
        <f t="shared" si="10"/>
        <v>0</v>
      </c>
      <c r="C149" s="70">
        <f t="shared" si="11"/>
        <v>0</v>
      </c>
      <c r="D149" s="70">
        <f t="shared" si="13"/>
        <v>0</v>
      </c>
      <c r="E149" s="70"/>
      <c r="F149" s="70">
        <f>IF(J148&lt;0.01,0,J148*Adm!$V$3)</f>
        <v>0</v>
      </c>
      <c r="G149" s="70">
        <f>IF(J148&lt;0.01,0,$J$8*Adm!$W$3/1.16)</f>
        <v>0</v>
      </c>
      <c r="H149" s="70">
        <f>IF(J148&lt;0.01,0,Adm!$AD$2)</f>
        <v>0</v>
      </c>
      <c r="I149" s="70">
        <f t="shared" si="14"/>
        <v>0</v>
      </c>
      <c r="J149" s="72">
        <f t="shared" si="15"/>
        <v>0</v>
      </c>
      <c r="L149" s="106">
        <f>IF(J148&lt;0.01,0,1)</f>
        <v>0</v>
      </c>
      <c r="N149" s="72"/>
      <c r="O149" s="76">
        <f t="shared" si="16"/>
        <v>5</v>
      </c>
      <c r="P149" s="77">
        <f t="shared" si="18"/>
        <v>0</v>
      </c>
      <c r="S149" s="190">
        <f t="shared" si="17"/>
        <v>0</v>
      </c>
      <c r="T149" s="194"/>
    </row>
    <row r="150" spans="1:20">
      <c r="A150" s="69">
        <f t="shared" si="12"/>
        <v>0</v>
      </c>
      <c r="B150" s="70">
        <f t="shared" si="10"/>
        <v>0</v>
      </c>
      <c r="C150" s="70">
        <f t="shared" si="11"/>
        <v>0</v>
      </c>
      <c r="D150" s="70">
        <f t="shared" si="13"/>
        <v>0</v>
      </c>
      <c r="E150" s="70"/>
      <c r="F150" s="70">
        <f>IF(J149&lt;0.01,0,J149*Adm!$V$3)</f>
        <v>0</v>
      </c>
      <c r="G150" s="70">
        <f>IF(J149&lt;0.01,0,$J$8*Adm!$W$3/1.16)</f>
        <v>0</v>
      </c>
      <c r="H150" s="70">
        <f>IF(J149&lt;0.01,0,Adm!$AD$2)</f>
        <v>0</v>
      </c>
      <c r="I150" s="70">
        <f t="shared" si="14"/>
        <v>0</v>
      </c>
      <c r="J150" s="72">
        <f t="shared" si="15"/>
        <v>0</v>
      </c>
      <c r="L150" s="106">
        <f>IF(J149&lt;0.01,0,2)</f>
        <v>0</v>
      </c>
      <c r="N150" s="72"/>
      <c r="O150" s="76">
        <f t="shared" si="16"/>
        <v>6</v>
      </c>
      <c r="P150" s="77">
        <f t="shared" si="18"/>
        <v>0</v>
      </c>
      <c r="S150" s="190">
        <f t="shared" si="17"/>
        <v>0</v>
      </c>
      <c r="T150" s="194"/>
    </row>
    <row r="151" spans="1:20">
      <c r="A151" s="69">
        <f t="shared" si="12"/>
        <v>0</v>
      </c>
      <c r="B151" s="70">
        <f t="shared" si="10"/>
        <v>0</v>
      </c>
      <c r="C151" s="70">
        <f t="shared" si="11"/>
        <v>0</v>
      </c>
      <c r="D151" s="70">
        <f t="shared" si="13"/>
        <v>0</v>
      </c>
      <c r="E151" s="70"/>
      <c r="F151" s="70">
        <f>IF(J150&lt;0.01,0,J150*Adm!$V$3)</f>
        <v>0</v>
      </c>
      <c r="G151" s="70">
        <f>IF(J150&lt;0.01,0,$J$8*Adm!$W$3/1.16)</f>
        <v>0</v>
      </c>
      <c r="H151" s="70">
        <f>IF(J150&lt;0.01,0,Adm!$AD$2)</f>
        <v>0</v>
      </c>
      <c r="I151" s="70">
        <f t="shared" si="14"/>
        <v>0</v>
      </c>
      <c r="J151" s="72">
        <f t="shared" si="15"/>
        <v>0</v>
      </c>
      <c r="L151" s="106">
        <f>IF(J150&lt;0.01,0,1)</f>
        <v>0</v>
      </c>
      <c r="N151" s="72"/>
      <c r="O151" s="76">
        <f t="shared" si="16"/>
        <v>7</v>
      </c>
      <c r="P151" s="77">
        <f t="shared" si="18"/>
        <v>0</v>
      </c>
      <c r="S151" s="190">
        <f t="shared" si="17"/>
        <v>0</v>
      </c>
      <c r="T151" s="194"/>
    </row>
    <row r="152" spans="1:20">
      <c r="A152" s="69">
        <f t="shared" si="12"/>
        <v>0</v>
      </c>
      <c r="B152" s="70">
        <f t="shared" si="10"/>
        <v>0</v>
      </c>
      <c r="C152" s="70">
        <f t="shared" si="11"/>
        <v>0</v>
      </c>
      <c r="D152" s="70">
        <f t="shared" si="13"/>
        <v>0</v>
      </c>
      <c r="E152" s="70"/>
      <c r="F152" s="70">
        <f>IF(J151&lt;0.01,0,J151*Adm!$V$3)</f>
        <v>0</v>
      </c>
      <c r="G152" s="70">
        <f>IF(J151&lt;0.01,0,$J$8*Adm!$W$3/1.16)</f>
        <v>0</v>
      </c>
      <c r="H152" s="70">
        <f>IF(J151&lt;0.01,0,Adm!$AD$2)</f>
        <v>0</v>
      </c>
      <c r="I152" s="70">
        <f t="shared" si="14"/>
        <v>0</v>
      </c>
      <c r="J152" s="72">
        <f t="shared" si="15"/>
        <v>0</v>
      </c>
      <c r="L152" s="106">
        <f>IF(J151&lt;0.01,0,2)</f>
        <v>0</v>
      </c>
      <c r="N152" s="72"/>
      <c r="O152" s="76">
        <f t="shared" si="16"/>
        <v>8</v>
      </c>
      <c r="P152" s="77">
        <f t="shared" si="18"/>
        <v>0</v>
      </c>
      <c r="S152" s="190">
        <f t="shared" si="17"/>
        <v>0</v>
      </c>
      <c r="T152" s="194"/>
    </row>
    <row r="153" spans="1:20">
      <c r="A153" s="69">
        <f t="shared" si="12"/>
        <v>0</v>
      </c>
      <c r="B153" s="70">
        <f t="shared" ref="B153:B216" si="19">IF(J152&lt;0.001,0,J152*$J$10/12)</f>
        <v>0</v>
      </c>
      <c r="C153" s="70">
        <f t="shared" ref="C153:C216" si="20">D153-B153</f>
        <v>0</v>
      </c>
      <c r="D153" s="70">
        <f t="shared" si="13"/>
        <v>0</v>
      </c>
      <c r="E153" s="70"/>
      <c r="F153" s="70">
        <f>IF(J152&lt;0.01,0,J152*Adm!$V$3)</f>
        <v>0</v>
      </c>
      <c r="G153" s="70">
        <f>IF(J152&lt;0.01,0,$J$8*Adm!$W$3/1.16)</f>
        <v>0</v>
      </c>
      <c r="H153" s="70">
        <f>IF(J152&lt;0.01,0,Adm!$AD$2)</f>
        <v>0</v>
      </c>
      <c r="I153" s="70">
        <f t="shared" si="14"/>
        <v>0</v>
      </c>
      <c r="J153" s="72">
        <f t="shared" si="15"/>
        <v>0</v>
      </c>
      <c r="L153" s="106">
        <f>IF(J152&lt;0.01,0,1)</f>
        <v>0</v>
      </c>
      <c r="N153" s="72"/>
      <c r="O153" s="76">
        <f t="shared" si="16"/>
        <v>9</v>
      </c>
      <c r="P153" s="77">
        <f t="shared" si="18"/>
        <v>0</v>
      </c>
      <c r="S153" s="190">
        <f t="shared" si="17"/>
        <v>0</v>
      </c>
      <c r="T153" s="194"/>
    </row>
    <row r="154" spans="1:20">
      <c r="A154" s="69">
        <f t="shared" ref="A154:A217" si="21">IF(J153&lt;0.01,0,A153+1)</f>
        <v>0</v>
      </c>
      <c r="B154" s="70">
        <f t="shared" si="19"/>
        <v>0</v>
      </c>
      <c r="C154" s="70">
        <f t="shared" si="20"/>
        <v>0</v>
      </c>
      <c r="D154" s="70">
        <f t="shared" ref="D154:D217" si="22">IF(J153&lt;0.001,0,MIN(J153+B154,D153*(1+P154)))</f>
        <v>0</v>
      </c>
      <c r="E154" s="70"/>
      <c r="F154" s="70">
        <f>IF(J153&lt;0.01,0,J153*Adm!$V$3)</f>
        <v>0</v>
      </c>
      <c r="G154" s="70">
        <f>IF(J153&lt;0.01,0,$J$8*Adm!$W$3/1.16)</f>
        <v>0</v>
      </c>
      <c r="H154" s="70">
        <f>IF(J153&lt;0.01,0,Adm!$AD$2)</f>
        <v>0</v>
      </c>
      <c r="I154" s="70">
        <f t="shared" ref="I154:I217" si="23">IF(J153&lt;0.01,0,(D154+F154+G154+H154))</f>
        <v>0</v>
      </c>
      <c r="J154" s="72">
        <f t="shared" ref="J154:J217" si="24">IF(J153&lt;0.01,0,(J153-C154-E154))</f>
        <v>0</v>
      </c>
      <c r="L154" s="106">
        <f>IF(J153&lt;0.01,0,2)</f>
        <v>0</v>
      </c>
      <c r="N154" s="72"/>
      <c r="O154" s="76">
        <f t="shared" ref="O154:O217" si="25">IF(O153=12,1,O153+1)</f>
        <v>10</v>
      </c>
      <c r="P154" s="77">
        <f t="shared" si="18"/>
        <v>0</v>
      </c>
      <c r="S154" s="190">
        <f t="shared" ref="S154:S217" si="26">I154</f>
        <v>0</v>
      </c>
      <c r="T154" s="194"/>
    </row>
    <row r="155" spans="1:20">
      <c r="A155" s="69">
        <f t="shared" si="21"/>
        <v>0</v>
      </c>
      <c r="B155" s="70">
        <f t="shared" si="19"/>
        <v>0</v>
      </c>
      <c r="C155" s="70">
        <f t="shared" si="20"/>
        <v>0</v>
      </c>
      <c r="D155" s="70">
        <f t="shared" si="22"/>
        <v>0</v>
      </c>
      <c r="E155" s="70"/>
      <c r="F155" s="70">
        <f>IF(J154&lt;0.01,0,J154*Adm!$V$3)</f>
        <v>0</v>
      </c>
      <c r="G155" s="70">
        <f>IF(J154&lt;0.01,0,$J$8*Adm!$W$3/1.16)</f>
        <v>0</v>
      </c>
      <c r="H155" s="70">
        <f>IF(J154&lt;0.01,0,Adm!$AD$2)</f>
        <v>0</v>
      </c>
      <c r="I155" s="70">
        <f t="shared" si="23"/>
        <v>0</v>
      </c>
      <c r="J155" s="72">
        <f t="shared" si="24"/>
        <v>0</v>
      </c>
      <c r="L155" s="106">
        <f>IF(J154&lt;0.01,0,1)</f>
        <v>0</v>
      </c>
      <c r="N155" s="72"/>
      <c r="O155" s="76">
        <f t="shared" si="25"/>
        <v>11</v>
      </c>
      <c r="P155" s="77">
        <f t="shared" ref="P155:P218" si="27">IF(O155=1,$J$14,0)</f>
        <v>0</v>
      </c>
      <c r="S155" s="190">
        <f t="shared" si="26"/>
        <v>0</v>
      </c>
      <c r="T155" s="194"/>
    </row>
    <row r="156" spans="1:20">
      <c r="A156" s="69">
        <f t="shared" si="21"/>
        <v>0</v>
      </c>
      <c r="B156" s="70">
        <f t="shared" si="19"/>
        <v>0</v>
      </c>
      <c r="C156" s="70">
        <f t="shared" si="20"/>
        <v>0</v>
      </c>
      <c r="D156" s="70">
        <f t="shared" si="22"/>
        <v>0</v>
      </c>
      <c r="E156" s="70"/>
      <c r="F156" s="70">
        <f>IF(J155&lt;0.01,0,J155*Adm!$V$3)</f>
        <v>0</v>
      </c>
      <c r="G156" s="70">
        <f>IF(J155&lt;0.01,0,$J$8*Adm!$W$3/1.16)</f>
        <v>0</v>
      </c>
      <c r="H156" s="70">
        <f>IF(J155&lt;0.01,0,Adm!$AD$2)</f>
        <v>0</v>
      </c>
      <c r="I156" s="70">
        <f t="shared" si="23"/>
        <v>0</v>
      </c>
      <c r="J156" s="72">
        <f t="shared" si="24"/>
        <v>0</v>
      </c>
      <c r="L156" s="106">
        <f>IF(J155&lt;0.01,0,2)</f>
        <v>0</v>
      </c>
      <c r="N156" s="72"/>
      <c r="O156" s="76">
        <f t="shared" si="25"/>
        <v>12</v>
      </c>
      <c r="P156" s="77">
        <f t="shared" si="27"/>
        <v>0</v>
      </c>
      <c r="S156" s="190">
        <f t="shared" si="26"/>
        <v>0</v>
      </c>
      <c r="T156" s="194"/>
    </row>
    <row r="157" spans="1:20">
      <c r="A157" s="69">
        <f t="shared" si="21"/>
        <v>0</v>
      </c>
      <c r="B157" s="70">
        <f t="shared" si="19"/>
        <v>0</v>
      </c>
      <c r="C157" s="70">
        <f t="shared" si="20"/>
        <v>0</v>
      </c>
      <c r="D157" s="70">
        <f t="shared" si="22"/>
        <v>0</v>
      </c>
      <c r="E157" s="70"/>
      <c r="F157" s="70">
        <f>IF(J156&lt;0.01,0,J156*Adm!$V$3)</f>
        <v>0</v>
      </c>
      <c r="G157" s="70">
        <f>IF(J156&lt;0.01,0,$J$8*Adm!$W$3/1.16)</f>
        <v>0</v>
      </c>
      <c r="H157" s="70">
        <f>IF(J156&lt;0.01,0,Adm!$AD$2)</f>
        <v>0</v>
      </c>
      <c r="I157" s="70">
        <f t="shared" si="23"/>
        <v>0</v>
      </c>
      <c r="J157" s="72">
        <f t="shared" si="24"/>
        <v>0</v>
      </c>
      <c r="L157" s="106">
        <f>IF(J156&lt;0.01,0,1)</f>
        <v>0</v>
      </c>
      <c r="N157" s="72"/>
      <c r="O157" s="76">
        <f t="shared" si="25"/>
        <v>1</v>
      </c>
      <c r="P157" s="77">
        <f t="shared" si="27"/>
        <v>0</v>
      </c>
      <c r="S157" s="190">
        <f t="shared" si="26"/>
        <v>0</v>
      </c>
      <c r="T157" s="194"/>
    </row>
    <row r="158" spans="1:20">
      <c r="A158" s="69">
        <f t="shared" si="21"/>
        <v>0</v>
      </c>
      <c r="B158" s="70">
        <f t="shared" si="19"/>
        <v>0</v>
      </c>
      <c r="C158" s="70">
        <f t="shared" si="20"/>
        <v>0</v>
      </c>
      <c r="D158" s="70">
        <f t="shared" si="22"/>
        <v>0</v>
      </c>
      <c r="E158" s="70"/>
      <c r="F158" s="70">
        <f>IF(J157&lt;0.01,0,J157*Adm!$V$3)</f>
        <v>0</v>
      </c>
      <c r="G158" s="70">
        <f>IF(J157&lt;0.01,0,$J$8*Adm!$W$3/1.16)</f>
        <v>0</v>
      </c>
      <c r="H158" s="70">
        <f>IF(J157&lt;0.01,0,Adm!$AD$2)</f>
        <v>0</v>
      </c>
      <c r="I158" s="70">
        <f t="shared" si="23"/>
        <v>0</v>
      </c>
      <c r="J158" s="72">
        <f t="shared" si="24"/>
        <v>0</v>
      </c>
      <c r="L158" s="106">
        <f>IF(J157&lt;0.01,0,2)</f>
        <v>0</v>
      </c>
      <c r="N158" s="72"/>
      <c r="O158" s="76">
        <f t="shared" si="25"/>
        <v>2</v>
      </c>
      <c r="P158" s="77">
        <f t="shared" si="27"/>
        <v>0</v>
      </c>
      <c r="S158" s="190">
        <f t="shared" si="26"/>
        <v>0</v>
      </c>
      <c r="T158" s="194"/>
    </row>
    <row r="159" spans="1:20">
      <c r="A159" s="69">
        <f t="shared" si="21"/>
        <v>0</v>
      </c>
      <c r="B159" s="70">
        <f t="shared" si="19"/>
        <v>0</v>
      </c>
      <c r="C159" s="70">
        <f t="shared" si="20"/>
        <v>0</v>
      </c>
      <c r="D159" s="70">
        <f t="shared" si="22"/>
        <v>0</v>
      </c>
      <c r="E159" s="70"/>
      <c r="F159" s="70">
        <f>IF(J158&lt;0.01,0,J158*Adm!$V$3)</f>
        <v>0</v>
      </c>
      <c r="G159" s="70">
        <f>IF(J158&lt;0.01,0,$J$8*Adm!$W$3/1.16)</f>
        <v>0</v>
      </c>
      <c r="H159" s="70">
        <f>IF(J158&lt;0.01,0,Adm!$AD$2)</f>
        <v>0</v>
      </c>
      <c r="I159" s="70">
        <f t="shared" si="23"/>
        <v>0</v>
      </c>
      <c r="J159" s="72">
        <f t="shared" si="24"/>
        <v>0</v>
      </c>
      <c r="L159" s="106">
        <f>IF(J158&lt;0.01,0,1)</f>
        <v>0</v>
      </c>
      <c r="N159" s="72"/>
      <c r="O159" s="76">
        <f t="shared" si="25"/>
        <v>3</v>
      </c>
      <c r="P159" s="77">
        <f t="shared" si="27"/>
        <v>0</v>
      </c>
      <c r="S159" s="190">
        <f t="shared" si="26"/>
        <v>0</v>
      </c>
      <c r="T159" s="194"/>
    </row>
    <row r="160" spans="1:20">
      <c r="A160" s="69">
        <f t="shared" si="21"/>
        <v>0</v>
      </c>
      <c r="B160" s="70">
        <f t="shared" si="19"/>
        <v>0</v>
      </c>
      <c r="C160" s="70">
        <f t="shared" si="20"/>
        <v>0</v>
      </c>
      <c r="D160" s="70">
        <f t="shared" si="22"/>
        <v>0</v>
      </c>
      <c r="E160" s="70"/>
      <c r="F160" s="70">
        <f>IF(J159&lt;0.01,0,J159*Adm!$V$3)</f>
        <v>0</v>
      </c>
      <c r="G160" s="70">
        <f>IF(J159&lt;0.01,0,$J$8*Adm!$W$3/1.16)</f>
        <v>0</v>
      </c>
      <c r="H160" s="70">
        <f>IF(J159&lt;0.01,0,Adm!$AD$2)</f>
        <v>0</v>
      </c>
      <c r="I160" s="70">
        <f t="shared" si="23"/>
        <v>0</v>
      </c>
      <c r="J160" s="72">
        <f t="shared" si="24"/>
        <v>0</v>
      </c>
      <c r="L160" s="106">
        <f>IF(J159&lt;0.01,0,2)</f>
        <v>0</v>
      </c>
      <c r="N160" s="72"/>
      <c r="O160" s="76">
        <f t="shared" si="25"/>
        <v>4</v>
      </c>
      <c r="P160" s="77">
        <f t="shared" si="27"/>
        <v>0</v>
      </c>
      <c r="S160" s="190">
        <f t="shared" si="26"/>
        <v>0</v>
      </c>
      <c r="T160" s="194"/>
    </row>
    <row r="161" spans="1:20">
      <c r="A161" s="69">
        <f t="shared" si="21"/>
        <v>0</v>
      </c>
      <c r="B161" s="70">
        <f t="shared" si="19"/>
        <v>0</v>
      </c>
      <c r="C161" s="70">
        <f t="shared" si="20"/>
        <v>0</v>
      </c>
      <c r="D161" s="70">
        <f t="shared" si="22"/>
        <v>0</v>
      </c>
      <c r="E161" s="70"/>
      <c r="F161" s="70">
        <f>IF(J160&lt;0.01,0,J160*Adm!$V$3)</f>
        <v>0</v>
      </c>
      <c r="G161" s="70">
        <f>IF(J160&lt;0.01,0,$J$8*Adm!$W$3/1.16)</f>
        <v>0</v>
      </c>
      <c r="H161" s="70">
        <f>IF(J160&lt;0.01,0,Adm!$AD$2)</f>
        <v>0</v>
      </c>
      <c r="I161" s="70">
        <f t="shared" si="23"/>
        <v>0</v>
      </c>
      <c r="J161" s="72">
        <f t="shared" si="24"/>
        <v>0</v>
      </c>
      <c r="L161" s="106">
        <f>IF(J160&lt;0.01,0,1)</f>
        <v>0</v>
      </c>
      <c r="N161" s="72"/>
      <c r="O161" s="76">
        <f t="shared" si="25"/>
        <v>5</v>
      </c>
      <c r="P161" s="77">
        <f t="shared" si="27"/>
        <v>0</v>
      </c>
      <c r="S161" s="190">
        <f t="shared" si="26"/>
        <v>0</v>
      </c>
      <c r="T161" s="194"/>
    </row>
    <row r="162" spans="1:20">
      <c r="A162" s="69">
        <f t="shared" si="21"/>
        <v>0</v>
      </c>
      <c r="B162" s="70">
        <f t="shared" si="19"/>
        <v>0</v>
      </c>
      <c r="C162" s="70">
        <f t="shared" si="20"/>
        <v>0</v>
      </c>
      <c r="D162" s="70">
        <f t="shared" si="22"/>
        <v>0</v>
      </c>
      <c r="E162" s="70"/>
      <c r="F162" s="70">
        <f>IF(J161&lt;0.01,0,J161*Adm!$V$3)</f>
        <v>0</v>
      </c>
      <c r="G162" s="70">
        <f>IF(J161&lt;0.01,0,$J$8*Adm!$W$3/1.16)</f>
        <v>0</v>
      </c>
      <c r="H162" s="70">
        <f>IF(J161&lt;0.01,0,Adm!$AD$2)</f>
        <v>0</v>
      </c>
      <c r="I162" s="70">
        <f t="shared" si="23"/>
        <v>0</v>
      </c>
      <c r="J162" s="72">
        <f t="shared" si="24"/>
        <v>0</v>
      </c>
      <c r="L162" s="106">
        <f>IF(J161&lt;0.01,0,2)</f>
        <v>0</v>
      </c>
      <c r="N162" s="72"/>
      <c r="O162" s="76">
        <f t="shared" si="25"/>
        <v>6</v>
      </c>
      <c r="P162" s="77">
        <f t="shared" si="27"/>
        <v>0</v>
      </c>
      <c r="S162" s="190">
        <f t="shared" si="26"/>
        <v>0</v>
      </c>
      <c r="T162" s="194"/>
    </row>
    <row r="163" spans="1:20">
      <c r="A163" s="69">
        <f t="shared" si="21"/>
        <v>0</v>
      </c>
      <c r="B163" s="70">
        <f t="shared" si="19"/>
        <v>0</v>
      </c>
      <c r="C163" s="70">
        <f t="shared" si="20"/>
        <v>0</v>
      </c>
      <c r="D163" s="70">
        <f t="shared" si="22"/>
        <v>0</v>
      </c>
      <c r="E163" s="70"/>
      <c r="F163" s="70">
        <f>IF(J162&lt;0.01,0,J162*Adm!$V$3)</f>
        <v>0</v>
      </c>
      <c r="G163" s="70">
        <f>IF(J162&lt;0.01,0,$J$8*Adm!$W$3/1.16)</f>
        <v>0</v>
      </c>
      <c r="H163" s="70">
        <f>IF(J162&lt;0.01,0,Adm!$AD$2)</f>
        <v>0</v>
      </c>
      <c r="I163" s="70">
        <f t="shared" si="23"/>
        <v>0</v>
      </c>
      <c r="J163" s="72">
        <f t="shared" si="24"/>
        <v>0</v>
      </c>
      <c r="L163" s="106">
        <f>IF(J162&lt;0.01,0,1)</f>
        <v>0</v>
      </c>
      <c r="N163" s="72"/>
      <c r="O163" s="76">
        <f t="shared" si="25"/>
        <v>7</v>
      </c>
      <c r="P163" s="77">
        <f t="shared" si="27"/>
        <v>0</v>
      </c>
      <c r="S163" s="190">
        <f t="shared" si="26"/>
        <v>0</v>
      </c>
      <c r="T163" s="194"/>
    </row>
    <row r="164" spans="1:20">
      <c r="A164" s="69">
        <f t="shared" si="21"/>
        <v>0</v>
      </c>
      <c r="B164" s="70">
        <f t="shared" si="19"/>
        <v>0</v>
      </c>
      <c r="C164" s="70">
        <f t="shared" si="20"/>
        <v>0</v>
      </c>
      <c r="D164" s="70">
        <f t="shared" si="22"/>
        <v>0</v>
      </c>
      <c r="E164" s="70"/>
      <c r="F164" s="70">
        <f>IF(J163&lt;0.01,0,J163*Adm!$V$3)</f>
        <v>0</v>
      </c>
      <c r="G164" s="70">
        <f>IF(J163&lt;0.01,0,$J$8*Adm!$W$3/1.16)</f>
        <v>0</v>
      </c>
      <c r="H164" s="70">
        <f>IF(J163&lt;0.01,0,Adm!$AD$2)</f>
        <v>0</v>
      </c>
      <c r="I164" s="70">
        <f t="shared" si="23"/>
        <v>0</v>
      </c>
      <c r="J164" s="72">
        <f t="shared" si="24"/>
        <v>0</v>
      </c>
      <c r="L164" s="106">
        <f>IF(J163&lt;0.01,0,2)</f>
        <v>0</v>
      </c>
      <c r="N164" s="72"/>
      <c r="O164" s="76">
        <f t="shared" si="25"/>
        <v>8</v>
      </c>
      <c r="P164" s="77">
        <f t="shared" si="27"/>
        <v>0</v>
      </c>
      <c r="S164" s="190">
        <f t="shared" si="26"/>
        <v>0</v>
      </c>
      <c r="T164" s="194"/>
    </row>
    <row r="165" spans="1:20">
      <c r="A165" s="69">
        <f t="shared" si="21"/>
        <v>0</v>
      </c>
      <c r="B165" s="70">
        <f t="shared" si="19"/>
        <v>0</v>
      </c>
      <c r="C165" s="70">
        <f t="shared" si="20"/>
        <v>0</v>
      </c>
      <c r="D165" s="70">
        <f t="shared" si="22"/>
        <v>0</v>
      </c>
      <c r="E165" s="70"/>
      <c r="F165" s="70">
        <f>IF(J164&lt;0.01,0,J164*Adm!$V$3)</f>
        <v>0</v>
      </c>
      <c r="G165" s="70">
        <f>IF(J164&lt;0.01,0,$J$8*Adm!$W$3/1.16)</f>
        <v>0</v>
      </c>
      <c r="H165" s="70">
        <f>IF(J164&lt;0.01,0,Adm!$AD$2)</f>
        <v>0</v>
      </c>
      <c r="I165" s="70">
        <f t="shared" si="23"/>
        <v>0</v>
      </c>
      <c r="J165" s="72">
        <f t="shared" si="24"/>
        <v>0</v>
      </c>
      <c r="L165" s="106">
        <f>IF(J164&lt;0.01,0,1)</f>
        <v>0</v>
      </c>
      <c r="N165" s="72"/>
      <c r="O165" s="76">
        <f t="shared" si="25"/>
        <v>9</v>
      </c>
      <c r="P165" s="77">
        <f t="shared" si="27"/>
        <v>0</v>
      </c>
      <c r="S165" s="190">
        <f t="shared" si="26"/>
        <v>0</v>
      </c>
      <c r="T165" s="194"/>
    </row>
    <row r="166" spans="1:20">
      <c r="A166" s="69">
        <f t="shared" si="21"/>
        <v>0</v>
      </c>
      <c r="B166" s="70">
        <f t="shared" si="19"/>
        <v>0</v>
      </c>
      <c r="C166" s="70">
        <f t="shared" si="20"/>
        <v>0</v>
      </c>
      <c r="D166" s="70">
        <f t="shared" si="22"/>
        <v>0</v>
      </c>
      <c r="E166" s="70"/>
      <c r="F166" s="70">
        <f>IF(J165&lt;0.01,0,J165*Adm!$V$3)</f>
        <v>0</v>
      </c>
      <c r="G166" s="70">
        <f>IF(J165&lt;0.01,0,$J$8*Adm!$W$3/1.16)</f>
        <v>0</v>
      </c>
      <c r="H166" s="70">
        <f>IF(J165&lt;0.01,0,Adm!$AD$2)</f>
        <v>0</v>
      </c>
      <c r="I166" s="70">
        <f t="shared" si="23"/>
        <v>0</v>
      </c>
      <c r="J166" s="72">
        <f t="shared" si="24"/>
        <v>0</v>
      </c>
      <c r="L166" s="106">
        <f>IF(J165&lt;0.01,0,2)</f>
        <v>0</v>
      </c>
      <c r="N166" s="72"/>
      <c r="O166" s="76">
        <f t="shared" si="25"/>
        <v>10</v>
      </c>
      <c r="P166" s="77">
        <f t="shared" si="27"/>
        <v>0</v>
      </c>
      <c r="S166" s="190">
        <f t="shared" si="26"/>
        <v>0</v>
      </c>
      <c r="T166" s="194"/>
    </row>
    <row r="167" spans="1:20">
      <c r="A167" s="69">
        <f t="shared" si="21"/>
        <v>0</v>
      </c>
      <c r="B167" s="70">
        <f t="shared" si="19"/>
        <v>0</v>
      </c>
      <c r="C167" s="70">
        <f t="shared" si="20"/>
        <v>0</v>
      </c>
      <c r="D167" s="70">
        <f t="shared" si="22"/>
        <v>0</v>
      </c>
      <c r="E167" s="70"/>
      <c r="F167" s="70">
        <f>IF(J166&lt;0.01,0,J166*Adm!$V$3)</f>
        <v>0</v>
      </c>
      <c r="G167" s="70">
        <f>IF(J166&lt;0.01,0,$J$8*Adm!$W$3/1.16)</f>
        <v>0</v>
      </c>
      <c r="H167" s="70">
        <f>IF(J166&lt;0.01,0,Adm!$AD$2)</f>
        <v>0</v>
      </c>
      <c r="I167" s="70">
        <f t="shared" si="23"/>
        <v>0</v>
      </c>
      <c r="J167" s="72">
        <f t="shared" si="24"/>
        <v>0</v>
      </c>
      <c r="L167" s="106">
        <f>IF(J166&lt;0.01,0,1)</f>
        <v>0</v>
      </c>
      <c r="N167" s="72"/>
      <c r="O167" s="76">
        <f t="shared" si="25"/>
        <v>11</v>
      </c>
      <c r="P167" s="77">
        <f t="shared" si="27"/>
        <v>0</v>
      </c>
      <c r="S167" s="190">
        <f t="shared" si="26"/>
        <v>0</v>
      </c>
      <c r="T167" s="194"/>
    </row>
    <row r="168" spans="1:20">
      <c r="A168" s="69">
        <f t="shared" si="21"/>
        <v>0</v>
      </c>
      <c r="B168" s="70">
        <f t="shared" si="19"/>
        <v>0</v>
      </c>
      <c r="C168" s="70">
        <f t="shared" si="20"/>
        <v>0</v>
      </c>
      <c r="D168" s="70">
        <f t="shared" si="22"/>
        <v>0</v>
      </c>
      <c r="E168" s="70"/>
      <c r="F168" s="70">
        <f>IF(J167&lt;0.01,0,J167*Adm!$V$3)</f>
        <v>0</v>
      </c>
      <c r="G168" s="70">
        <f>IF(J167&lt;0.01,0,$J$8*Adm!$W$3/1.16)</f>
        <v>0</v>
      </c>
      <c r="H168" s="70">
        <f>IF(J167&lt;0.01,0,Adm!$AD$2)</f>
        <v>0</v>
      </c>
      <c r="I168" s="70">
        <f t="shared" si="23"/>
        <v>0</v>
      </c>
      <c r="J168" s="72">
        <f t="shared" si="24"/>
        <v>0</v>
      </c>
      <c r="L168" s="106">
        <f>IF(J167&lt;0.01,0,2)</f>
        <v>0</v>
      </c>
      <c r="N168" s="72"/>
      <c r="O168" s="76">
        <f t="shared" si="25"/>
        <v>12</v>
      </c>
      <c r="P168" s="77">
        <f t="shared" si="27"/>
        <v>0</v>
      </c>
      <c r="S168" s="190">
        <f t="shared" si="26"/>
        <v>0</v>
      </c>
      <c r="T168" s="194"/>
    </row>
    <row r="169" spans="1:20">
      <c r="A169" s="69">
        <f t="shared" si="21"/>
        <v>0</v>
      </c>
      <c r="B169" s="70">
        <f t="shared" si="19"/>
        <v>0</v>
      </c>
      <c r="C169" s="70">
        <f t="shared" si="20"/>
        <v>0</v>
      </c>
      <c r="D169" s="70">
        <f t="shared" si="22"/>
        <v>0</v>
      </c>
      <c r="E169" s="70"/>
      <c r="F169" s="70">
        <f>IF(J168&lt;0.01,0,J168*Adm!$V$3)</f>
        <v>0</v>
      </c>
      <c r="G169" s="70">
        <f>IF(J168&lt;0.01,0,$J$8*Adm!$W$3/1.16)</f>
        <v>0</v>
      </c>
      <c r="H169" s="70">
        <f>IF(J168&lt;0.01,0,Adm!$AD$2)</f>
        <v>0</v>
      </c>
      <c r="I169" s="70">
        <f t="shared" si="23"/>
        <v>0</v>
      </c>
      <c r="J169" s="72">
        <f t="shared" si="24"/>
        <v>0</v>
      </c>
      <c r="L169" s="106">
        <f>IF(J168&lt;0.01,0,1)</f>
        <v>0</v>
      </c>
      <c r="N169" s="72"/>
      <c r="O169" s="76">
        <f t="shared" si="25"/>
        <v>1</v>
      </c>
      <c r="P169" s="77">
        <f t="shared" si="27"/>
        <v>0</v>
      </c>
      <c r="S169" s="190">
        <f t="shared" si="26"/>
        <v>0</v>
      </c>
      <c r="T169" s="194"/>
    </row>
    <row r="170" spans="1:20">
      <c r="A170" s="69">
        <f t="shared" si="21"/>
        <v>0</v>
      </c>
      <c r="B170" s="70">
        <f t="shared" si="19"/>
        <v>0</v>
      </c>
      <c r="C170" s="70">
        <f t="shared" si="20"/>
        <v>0</v>
      </c>
      <c r="D170" s="70">
        <f t="shared" si="22"/>
        <v>0</v>
      </c>
      <c r="E170" s="70"/>
      <c r="F170" s="70">
        <f>IF(J169&lt;0.01,0,J169*Adm!$V$3)</f>
        <v>0</v>
      </c>
      <c r="G170" s="70">
        <f>IF(J169&lt;0.01,0,$J$8*Adm!$W$3/1.16)</f>
        <v>0</v>
      </c>
      <c r="H170" s="70">
        <f>IF(J169&lt;0.01,0,Adm!$AD$2)</f>
        <v>0</v>
      </c>
      <c r="I170" s="70">
        <f t="shared" si="23"/>
        <v>0</v>
      </c>
      <c r="J170" s="72">
        <f t="shared" si="24"/>
        <v>0</v>
      </c>
      <c r="L170" s="106">
        <f>IF(J169&lt;0.01,0,2)</f>
        <v>0</v>
      </c>
      <c r="N170" s="72"/>
      <c r="O170" s="76">
        <f t="shared" si="25"/>
        <v>2</v>
      </c>
      <c r="P170" s="77">
        <f t="shared" si="27"/>
        <v>0</v>
      </c>
      <c r="S170" s="190">
        <f t="shared" si="26"/>
        <v>0</v>
      </c>
      <c r="T170" s="194"/>
    </row>
    <row r="171" spans="1:20">
      <c r="A171" s="69">
        <f t="shared" si="21"/>
        <v>0</v>
      </c>
      <c r="B171" s="70">
        <f t="shared" si="19"/>
        <v>0</v>
      </c>
      <c r="C171" s="70">
        <f t="shared" si="20"/>
        <v>0</v>
      </c>
      <c r="D171" s="70">
        <f t="shared" si="22"/>
        <v>0</v>
      </c>
      <c r="E171" s="70"/>
      <c r="F171" s="70">
        <f>IF(J170&lt;0.01,0,J170*Adm!$V$3)</f>
        <v>0</v>
      </c>
      <c r="G171" s="70">
        <f>IF(J170&lt;0.01,0,$J$8*Adm!$W$3/1.16)</f>
        <v>0</v>
      </c>
      <c r="H171" s="70">
        <f>IF(J170&lt;0.01,0,Adm!$AD$2)</f>
        <v>0</v>
      </c>
      <c r="I171" s="70">
        <f t="shared" si="23"/>
        <v>0</v>
      </c>
      <c r="J171" s="72">
        <f t="shared" si="24"/>
        <v>0</v>
      </c>
      <c r="L171" s="106">
        <f>IF(J170&lt;0.01,0,1)</f>
        <v>0</v>
      </c>
      <c r="N171" s="72"/>
      <c r="O171" s="76">
        <f t="shared" si="25"/>
        <v>3</v>
      </c>
      <c r="P171" s="77">
        <f t="shared" si="27"/>
        <v>0</v>
      </c>
      <c r="S171" s="190">
        <f t="shared" si="26"/>
        <v>0</v>
      </c>
      <c r="T171" s="194"/>
    </row>
    <row r="172" spans="1:20">
      <c r="A172" s="69">
        <f t="shared" si="21"/>
        <v>0</v>
      </c>
      <c r="B172" s="70">
        <f t="shared" si="19"/>
        <v>0</v>
      </c>
      <c r="C172" s="70">
        <f t="shared" si="20"/>
        <v>0</v>
      </c>
      <c r="D172" s="70">
        <f t="shared" si="22"/>
        <v>0</v>
      </c>
      <c r="E172" s="70"/>
      <c r="F172" s="70">
        <f>IF(J171&lt;0.01,0,J171*Adm!$V$3)</f>
        <v>0</v>
      </c>
      <c r="G172" s="70">
        <f>IF(J171&lt;0.01,0,$J$8*Adm!$W$3/1.16)</f>
        <v>0</v>
      </c>
      <c r="H172" s="70">
        <f>IF(J171&lt;0.01,0,Adm!$AD$2)</f>
        <v>0</v>
      </c>
      <c r="I172" s="70">
        <f t="shared" si="23"/>
        <v>0</v>
      </c>
      <c r="J172" s="72">
        <f t="shared" si="24"/>
        <v>0</v>
      </c>
      <c r="L172" s="106">
        <f>IF(J171&lt;0.01,0,2)</f>
        <v>0</v>
      </c>
      <c r="N172" s="72"/>
      <c r="O172" s="76">
        <f t="shared" si="25"/>
        <v>4</v>
      </c>
      <c r="P172" s="77">
        <f t="shared" si="27"/>
        <v>0</v>
      </c>
      <c r="S172" s="190">
        <f t="shared" si="26"/>
        <v>0</v>
      </c>
      <c r="T172" s="194"/>
    </row>
    <row r="173" spans="1:20">
      <c r="A173" s="69">
        <f t="shared" si="21"/>
        <v>0</v>
      </c>
      <c r="B173" s="70">
        <f t="shared" si="19"/>
        <v>0</v>
      </c>
      <c r="C173" s="70">
        <f t="shared" si="20"/>
        <v>0</v>
      </c>
      <c r="D173" s="70">
        <f t="shared" si="22"/>
        <v>0</v>
      </c>
      <c r="E173" s="70"/>
      <c r="F173" s="70">
        <f>IF(J172&lt;0.01,0,J172*Adm!$V$3)</f>
        <v>0</v>
      </c>
      <c r="G173" s="70">
        <f>IF(J172&lt;0.01,0,$J$8*Adm!$W$3/1.16)</f>
        <v>0</v>
      </c>
      <c r="H173" s="70">
        <f>IF(J172&lt;0.01,0,Adm!$AD$2)</f>
        <v>0</v>
      </c>
      <c r="I173" s="70">
        <f t="shared" si="23"/>
        <v>0</v>
      </c>
      <c r="J173" s="72">
        <f t="shared" si="24"/>
        <v>0</v>
      </c>
      <c r="L173" s="106">
        <f>IF(J172&lt;0.01,0,1)</f>
        <v>0</v>
      </c>
      <c r="N173" s="72"/>
      <c r="O173" s="76">
        <f t="shared" si="25"/>
        <v>5</v>
      </c>
      <c r="P173" s="77">
        <f t="shared" si="27"/>
        <v>0</v>
      </c>
      <c r="S173" s="190">
        <f t="shared" si="26"/>
        <v>0</v>
      </c>
      <c r="T173" s="194"/>
    </row>
    <row r="174" spans="1:20">
      <c r="A174" s="69">
        <f t="shared" si="21"/>
        <v>0</v>
      </c>
      <c r="B174" s="70">
        <f t="shared" si="19"/>
        <v>0</v>
      </c>
      <c r="C174" s="70">
        <f t="shared" si="20"/>
        <v>0</v>
      </c>
      <c r="D174" s="70">
        <f t="shared" si="22"/>
        <v>0</v>
      </c>
      <c r="E174" s="70"/>
      <c r="F174" s="70">
        <f>IF(J173&lt;0.01,0,J173*Adm!$V$3)</f>
        <v>0</v>
      </c>
      <c r="G174" s="70">
        <f>IF(J173&lt;0.01,0,$J$8*Adm!$W$3/1.16)</f>
        <v>0</v>
      </c>
      <c r="H174" s="70">
        <f>IF(J173&lt;0.01,0,Adm!$AD$2)</f>
        <v>0</v>
      </c>
      <c r="I174" s="70">
        <f t="shared" si="23"/>
        <v>0</v>
      </c>
      <c r="J174" s="72">
        <f t="shared" si="24"/>
        <v>0</v>
      </c>
      <c r="L174" s="106">
        <f>IF(J173&lt;0.01,0,2)</f>
        <v>0</v>
      </c>
      <c r="N174" s="72"/>
      <c r="O174" s="76">
        <f t="shared" si="25"/>
        <v>6</v>
      </c>
      <c r="P174" s="77">
        <f t="shared" si="27"/>
        <v>0</v>
      </c>
      <c r="S174" s="190">
        <f t="shared" si="26"/>
        <v>0</v>
      </c>
      <c r="T174" s="194"/>
    </row>
    <row r="175" spans="1:20">
      <c r="A175" s="69">
        <f t="shared" si="21"/>
        <v>0</v>
      </c>
      <c r="B175" s="70">
        <f t="shared" si="19"/>
        <v>0</v>
      </c>
      <c r="C175" s="70">
        <f t="shared" si="20"/>
        <v>0</v>
      </c>
      <c r="D175" s="70">
        <f t="shared" si="22"/>
        <v>0</v>
      </c>
      <c r="E175" s="70"/>
      <c r="F175" s="70">
        <f>IF(J174&lt;0.01,0,J174*Adm!$V$3)</f>
        <v>0</v>
      </c>
      <c r="G175" s="70">
        <f>IF(J174&lt;0.01,0,$J$8*Adm!$W$3/1.16)</f>
        <v>0</v>
      </c>
      <c r="H175" s="70">
        <f>IF(J174&lt;0.01,0,Adm!$AD$2)</f>
        <v>0</v>
      </c>
      <c r="I175" s="70">
        <f t="shared" si="23"/>
        <v>0</v>
      </c>
      <c r="J175" s="72">
        <f t="shared" si="24"/>
        <v>0</v>
      </c>
      <c r="L175" s="106">
        <f>IF(J174&lt;0.01,0,1)</f>
        <v>0</v>
      </c>
      <c r="N175" s="72"/>
      <c r="O175" s="76">
        <f t="shared" si="25"/>
        <v>7</v>
      </c>
      <c r="P175" s="77">
        <f t="shared" si="27"/>
        <v>0</v>
      </c>
      <c r="S175" s="190">
        <f t="shared" si="26"/>
        <v>0</v>
      </c>
      <c r="T175" s="194"/>
    </row>
    <row r="176" spans="1:20">
      <c r="A176" s="69">
        <f t="shared" si="21"/>
        <v>0</v>
      </c>
      <c r="B176" s="70">
        <f t="shared" si="19"/>
        <v>0</v>
      </c>
      <c r="C176" s="70">
        <f t="shared" si="20"/>
        <v>0</v>
      </c>
      <c r="D176" s="70">
        <f t="shared" si="22"/>
        <v>0</v>
      </c>
      <c r="E176" s="70"/>
      <c r="F176" s="70">
        <f>IF(J175&lt;0.01,0,J175*Adm!$V$3)</f>
        <v>0</v>
      </c>
      <c r="G176" s="70">
        <f>IF(J175&lt;0.01,0,$J$8*Adm!$W$3/1.16)</f>
        <v>0</v>
      </c>
      <c r="H176" s="70">
        <f>IF(J175&lt;0.01,0,Adm!$AD$2)</f>
        <v>0</v>
      </c>
      <c r="I176" s="70">
        <f t="shared" si="23"/>
        <v>0</v>
      </c>
      <c r="J176" s="72">
        <f t="shared" si="24"/>
        <v>0</v>
      </c>
      <c r="L176" s="106">
        <f>IF(J175&lt;0.01,0,2)</f>
        <v>0</v>
      </c>
      <c r="N176" s="72"/>
      <c r="O176" s="76">
        <f t="shared" si="25"/>
        <v>8</v>
      </c>
      <c r="P176" s="77">
        <f t="shared" si="27"/>
        <v>0</v>
      </c>
      <c r="S176" s="190">
        <f t="shared" si="26"/>
        <v>0</v>
      </c>
      <c r="T176" s="194"/>
    </row>
    <row r="177" spans="1:20">
      <c r="A177" s="69">
        <f t="shared" si="21"/>
        <v>0</v>
      </c>
      <c r="B177" s="70">
        <f t="shared" si="19"/>
        <v>0</v>
      </c>
      <c r="C177" s="70">
        <f t="shared" si="20"/>
        <v>0</v>
      </c>
      <c r="D177" s="70">
        <f t="shared" si="22"/>
        <v>0</v>
      </c>
      <c r="E177" s="70"/>
      <c r="F177" s="70">
        <f>IF(J176&lt;0.01,0,J176*Adm!$V$3)</f>
        <v>0</v>
      </c>
      <c r="G177" s="70">
        <f>IF(J176&lt;0.01,0,$J$8*Adm!$W$3/1.16)</f>
        <v>0</v>
      </c>
      <c r="H177" s="70">
        <f>IF(J176&lt;0.01,0,Adm!$AD$2)</f>
        <v>0</v>
      </c>
      <c r="I177" s="70">
        <f t="shared" si="23"/>
        <v>0</v>
      </c>
      <c r="J177" s="72">
        <f t="shared" si="24"/>
        <v>0</v>
      </c>
      <c r="L177" s="106">
        <f>IF(J176&lt;0.01,0,1)</f>
        <v>0</v>
      </c>
      <c r="N177" s="72"/>
      <c r="O177" s="76">
        <f t="shared" si="25"/>
        <v>9</v>
      </c>
      <c r="P177" s="77">
        <f t="shared" si="27"/>
        <v>0</v>
      </c>
      <c r="S177" s="190">
        <f t="shared" si="26"/>
        <v>0</v>
      </c>
      <c r="T177" s="194"/>
    </row>
    <row r="178" spans="1:20">
      <c r="A178" s="69">
        <f t="shared" si="21"/>
        <v>0</v>
      </c>
      <c r="B178" s="70">
        <f t="shared" si="19"/>
        <v>0</v>
      </c>
      <c r="C178" s="70">
        <f t="shared" si="20"/>
        <v>0</v>
      </c>
      <c r="D178" s="70">
        <f t="shared" si="22"/>
        <v>0</v>
      </c>
      <c r="E178" s="70"/>
      <c r="F178" s="70">
        <f>IF(J177&lt;0.01,0,J177*Adm!$V$3)</f>
        <v>0</v>
      </c>
      <c r="G178" s="70">
        <f>IF(J177&lt;0.01,0,$J$8*Adm!$W$3/1.16)</f>
        <v>0</v>
      </c>
      <c r="H178" s="70">
        <f>IF(J177&lt;0.01,0,Adm!$AD$2)</f>
        <v>0</v>
      </c>
      <c r="I178" s="70">
        <f t="shared" si="23"/>
        <v>0</v>
      </c>
      <c r="J178" s="72">
        <f t="shared" si="24"/>
        <v>0</v>
      </c>
      <c r="L178" s="106">
        <f>IF(J177&lt;0.01,0,2)</f>
        <v>0</v>
      </c>
      <c r="N178" s="72"/>
      <c r="O178" s="76">
        <f t="shared" si="25"/>
        <v>10</v>
      </c>
      <c r="P178" s="77">
        <f t="shared" si="27"/>
        <v>0</v>
      </c>
      <c r="S178" s="190">
        <f t="shared" si="26"/>
        <v>0</v>
      </c>
      <c r="T178" s="194"/>
    </row>
    <row r="179" spans="1:20">
      <c r="A179" s="69">
        <f t="shared" si="21"/>
        <v>0</v>
      </c>
      <c r="B179" s="70">
        <f t="shared" si="19"/>
        <v>0</v>
      </c>
      <c r="C179" s="70">
        <f t="shared" si="20"/>
        <v>0</v>
      </c>
      <c r="D179" s="70">
        <f t="shared" si="22"/>
        <v>0</v>
      </c>
      <c r="E179" s="70"/>
      <c r="F179" s="70">
        <f>IF(J178&lt;0.01,0,J178*Adm!$V$3)</f>
        <v>0</v>
      </c>
      <c r="G179" s="70">
        <f>IF(J178&lt;0.01,0,$J$8*Adm!$W$3/1.16)</f>
        <v>0</v>
      </c>
      <c r="H179" s="70">
        <f>IF(J178&lt;0.01,0,Adm!$AD$2)</f>
        <v>0</v>
      </c>
      <c r="I179" s="70">
        <f t="shared" si="23"/>
        <v>0</v>
      </c>
      <c r="J179" s="72">
        <f t="shared" si="24"/>
        <v>0</v>
      </c>
      <c r="L179" s="106">
        <f>IF(J178&lt;0.01,0,1)</f>
        <v>0</v>
      </c>
      <c r="N179" s="72"/>
      <c r="O179" s="76">
        <f t="shared" si="25"/>
        <v>11</v>
      </c>
      <c r="P179" s="77">
        <f t="shared" si="27"/>
        <v>0</v>
      </c>
      <c r="S179" s="190">
        <f t="shared" si="26"/>
        <v>0</v>
      </c>
      <c r="T179" s="194"/>
    </row>
    <row r="180" spans="1:20">
      <c r="A180" s="69">
        <f t="shared" si="21"/>
        <v>0</v>
      </c>
      <c r="B180" s="70">
        <f t="shared" si="19"/>
        <v>0</v>
      </c>
      <c r="C180" s="70">
        <f t="shared" si="20"/>
        <v>0</v>
      </c>
      <c r="D180" s="70">
        <f t="shared" si="22"/>
        <v>0</v>
      </c>
      <c r="E180" s="70"/>
      <c r="F180" s="70">
        <f>IF(J179&lt;0.01,0,J179*Adm!$V$3)</f>
        <v>0</v>
      </c>
      <c r="G180" s="70">
        <f>IF(J179&lt;0.01,0,$J$8*Adm!$W$3/1.16)</f>
        <v>0</v>
      </c>
      <c r="H180" s="70">
        <f>IF(J179&lt;0.01,0,Adm!$AD$2)</f>
        <v>0</v>
      </c>
      <c r="I180" s="70">
        <f t="shared" si="23"/>
        <v>0</v>
      </c>
      <c r="J180" s="72">
        <f t="shared" si="24"/>
        <v>0</v>
      </c>
      <c r="L180" s="106">
        <f>IF(J179&lt;0.01,0,2)</f>
        <v>0</v>
      </c>
      <c r="N180" s="72"/>
      <c r="O180" s="76">
        <f t="shared" si="25"/>
        <v>12</v>
      </c>
      <c r="P180" s="77">
        <f t="shared" si="27"/>
        <v>0</v>
      </c>
      <c r="S180" s="190">
        <f t="shared" si="26"/>
        <v>0</v>
      </c>
      <c r="T180" s="194"/>
    </row>
    <row r="181" spans="1:20">
      <c r="A181" s="69">
        <f t="shared" si="21"/>
        <v>0</v>
      </c>
      <c r="B181" s="70">
        <f t="shared" si="19"/>
        <v>0</v>
      </c>
      <c r="C181" s="70">
        <f t="shared" si="20"/>
        <v>0</v>
      </c>
      <c r="D181" s="70">
        <f t="shared" si="22"/>
        <v>0</v>
      </c>
      <c r="E181" s="70"/>
      <c r="F181" s="70">
        <f>IF(J180&lt;0.01,0,J180*Adm!$V$3)</f>
        <v>0</v>
      </c>
      <c r="G181" s="70">
        <f>IF(J180&lt;0.01,0,$J$8*Adm!$W$3/1.16)</f>
        <v>0</v>
      </c>
      <c r="H181" s="70">
        <f>IF(J180&lt;0.01,0,Adm!$AD$2)</f>
        <v>0</v>
      </c>
      <c r="I181" s="70">
        <f t="shared" si="23"/>
        <v>0</v>
      </c>
      <c r="J181" s="72">
        <f t="shared" si="24"/>
        <v>0</v>
      </c>
      <c r="L181" s="106">
        <f>IF(J180&lt;0.01,0,1)</f>
        <v>0</v>
      </c>
      <c r="N181" s="72"/>
      <c r="O181" s="76">
        <f t="shared" si="25"/>
        <v>1</v>
      </c>
      <c r="P181" s="77">
        <f t="shared" si="27"/>
        <v>0</v>
      </c>
      <c r="S181" s="190">
        <f t="shared" si="26"/>
        <v>0</v>
      </c>
      <c r="T181" s="194"/>
    </row>
    <row r="182" spans="1:20">
      <c r="A182" s="69">
        <f t="shared" si="21"/>
        <v>0</v>
      </c>
      <c r="B182" s="70">
        <f t="shared" si="19"/>
        <v>0</v>
      </c>
      <c r="C182" s="70">
        <f t="shared" si="20"/>
        <v>0</v>
      </c>
      <c r="D182" s="70">
        <f t="shared" si="22"/>
        <v>0</v>
      </c>
      <c r="E182" s="70"/>
      <c r="F182" s="70">
        <f>IF(J181&lt;0.01,0,J181*Adm!$V$3)</f>
        <v>0</v>
      </c>
      <c r="G182" s="70">
        <f>IF(J181&lt;0.01,0,$J$8*Adm!$W$3/1.16)</f>
        <v>0</v>
      </c>
      <c r="H182" s="70">
        <f>IF(J181&lt;0.01,0,Adm!$AD$2)</f>
        <v>0</v>
      </c>
      <c r="I182" s="70">
        <f t="shared" si="23"/>
        <v>0</v>
      </c>
      <c r="J182" s="72">
        <f t="shared" si="24"/>
        <v>0</v>
      </c>
      <c r="L182" s="106">
        <f>IF(J181&lt;0.01,0,2)</f>
        <v>0</v>
      </c>
      <c r="N182" s="72"/>
      <c r="O182" s="76">
        <f t="shared" si="25"/>
        <v>2</v>
      </c>
      <c r="P182" s="77">
        <f t="shared" si="27"/>
        <v>0</v>
      </c>
      <c r="S182" s="190">
        <f t="shared" si="26"/>
        <v>0</v>
      </c>
      <c r="T182" s="194"/>
    </row>
    <row r="183" spans="1:20">
      <c r="A183" s="69">
        <f t="shared" si="21"/>
        <v>0</v>
      </c>
      <c r="B183" s="70">
        <f t="shared" si="19"/>
        <v>0</v>
      </c>
      <c r="C183" s="70">
        <f t="shared" si="20"/>
        <v>0</v>
      </c>
      <c r="D183" s="70">
        <f t="shared" si="22"/>
        <v>0</v>
      </c>
      <c r="E183" s="70"/>
      <c r="F183" s="70">
        <f>IF(J182&lt;0.01,0,J182*Adm!$V$3)</f>
        <v>0</v>
      </c>
      <c r="G183" s="70">
        <f>IF(J182&lt;0.01,0,$J$8*Adm!$W$3/1.16)</f>
        <v>0</v>
      </c>
      <c r="H183" s="70">
        <f>IF(J182&lt;0.01,0,Adm!$AD$2)</f>
        <v>0</v>
      </c>
      <c r="I183" s="70">
        <f t="shared" si="23"/>
        <v>0</v>
      </c>
      <c r="J183" s="72">
        <f t="shared" si="24"/>
        <v>0</v>
      </c>
      <c r="L183" s="106">
        <f>IF(J182&lt;0.01,0,1)</f>
        <v>0</v>
      </c>
      <c r="N183" s="72"/>
      <c r="O183" s="76">
        <f t="shared" si="25"/>
        <v>3</v>
      </c>
      <c r="P183" s="77">
        <f t="shared" si="27"/>
        <v>0</v>
      </c>
      <c r="S183" s="190">
        <f t="shared" si="26"/>
        <v>0</v>
      </c>
      <c r="T183" s="194"/>
    </row>
    <row r="184" spans="1:20">
      <c r="A184" s="69">
        <f t="shared" si="21"/>
        <v>0</v>
      </c>
      <c r="B184" s="70">
        <f t="shared" si="19"/>
        <v>0</v>
      </c>
      <c r="C184" s="70">
        <f t="shared" si="20"/>
        <v>0</v>
      </c>
      <c r="D184" s="70">
        <f t="shared" si="22"/>
        <v>0</v>
      </c>
      <c r="E184" s="70"/>
      <c r="F184" s="70">
        <f>IF(J183&lt;0.01,0,J183*Adm!$V$3)</f>
        <v>0</v>
      </c>
      <c r="G184" s="70">
        <f>IF(J183&lt;0.01,0,$J$8*Adm!$W$3/1.16)</f>
        <v>0</v>
      </c>
      <c r="H184" s="70">
        <f>IF(J183&lt;0.01,0,Adm!$AD$2)</f>
        <v>0</v>
      </c>
      <c r="I184" s="70">
        <f t="shared" si="23"/>
        <v>0</v>
      </c>
      <c r="J184" s="72">
        <f t="shared" si="24"/>
        <v>0</v>
      </c>
      <c r="L184" s="106">
        <f>IF(J183&lt;0.01,0,2)</f>
        <v>0</v>
      </c>
      <c r="N184" s="72"/>
      <c r="O184" s="76">
        <f t="shared" si="25"/>
        <v>4</v>
      </c>
      <c r="P184" s="77">
        <f t="shared" si="27"/>
        <v>0</v>
      </c>
      <c r="S184" s="190">
        <f t="shared" si="26"/>
        <v>0</v>
      </c>
      <c r="T184" s="194"/>
    </row>
    <row r="185" spans="1:20">
      <c r="A185" s="69">
        <f t="shared" si="21"/>
        <v>0</v>
      </c>
      <c r="B185" s="70">
        <f t="shared" si="19"/>
        <v>0</v>
      </c>
      <c r="C185" s="70">
        <f t="shared" si="20"/>
        <v>0</v>
      </c>
      <c r="D185" s="70">
        <f t="shared" si="22"/>
        <v>0</v>
      </c>
      <c r="E185" s="70"/>
      <c r="F185" s="70">
        <f>IF(J184&lt;0.01,0,J184*Adm!$V$3)</f>
        <v>0</v>
      </c>
      <c r="G185" s="70">
        <f>IF(J184&lt;0.01,0,$J$8*Adm!$W$3/1.16)</f>
        <v>0</v>
      </c>
      <c r="H185" s="70">
        <f>IF(J184&lt;0.01,0,Adm!$AD$2)</f>
        <v>0</v>
      </c>
      <c r="I185" s="70">
        <f t="shared" si="23"/>
        <v>0</v>
      </c>
      <c r="J185" s="72">
        <f t="shared" si="24"/>
        <v>0</v>
      </c>
      <c r="L185" s="106">
        <f>IF(J184&lt;0.01,0,1)</f>
        <v>0</v>
      </c>
      <c r="N185" s="72"/>
      <c r="O185" s="76">
        <f t="shared" si="25"/>
        <v>5</v>
      </c>
      <c r="P185" s="77">
        <f t="shared" si="27"/>
        <v>0</v>
      </c>
      <c r="S185" s="190">
        <f t="shared" si="26"/>
        <v>0</v>
      </c>
      <c r="T185" s="194"/>
    </row>
    <row r="186" spans="1:20">
      <c r="A186" s="69">
        <f t="shared" si="21"/>
        <v>0</v>
      </c>
      <c r="B186" s="70">
        <f t="shared" si="19"/>
        <v>0</v>
      </c>
      <c r="C186" s="70">
        <f t="shared" si="20"/>
        <v>0</v>
      </c>
      <c r="D186" s="70">
        <f t="shared" si="22"/>
        <v>0</v>
      </c>
      <c r="E186" s="70"/>
      <c r="F186" s="70">
        <f>IF(J185&lt;0.01,0,J185*Adm!$V$3)</f>
        <v>0</v>
      </c>
      <c r="G186" s="70">
        <f>IF(J185&lt;0.01,0,$J$8*Adm!$W$3/1.16)</f>
        <v>0</v>
      </c>
      <c r="H186" s="70">
        <f>IF(J185&lt;0.01,0,Adm!$AD$2)</f>
        <v>0</v>
      </c>
      <c r="I186" s="70">
        <f t="shared" si="23"/>
        <v>0</v>
      </c>
      <c r="J186" s="72">
        <f t="shared" si="24"/>
        <v>0</v>
      </c>
      <c r="L186" s="106">
        <f>IF(J185&lt;0.01,0,2)</f>
        <v>0</v>
      </c>
      <c r="N186" s="72"/>
      <c r="O186" s="76">
        <f t="shared" si="25"/>
        <v>6</v>
      </c>
      <c r="P186" s="77">
        <f t="shared" si="27"/>
        <v>0</v>
      </c>
      <c r="S186" s="190">
        <f t="shared" si="26"/>
        <v>0</v>
      </c>
      <c r="T186" s="194"/>
    </row>
    <row r="187" spans="1:20">
      <c r="A187" s="69">
        <f t="shared" si="21"/>
        <v>0</v>
      </c>
      <c r="B187" s="70">
        <f t="shared" si="19"/>
        <v>0</v>
      </c>
      <c r="C187" s="70">
        <f t="shared" si="20"/>
        <v>0</v>
      </c>
      <c r="D187" s="70">
        <f t="shared" si="22"/>
        <v>0</v>
      </c>
      <c r="E187" s="70"/>
      <c r="F187" s="70">
        <f>IF(J186&lt;0.01,0,J186*Adm!$V$3)</f>
        <v>0</v>
      </c>
      <c r="G187" s="70">
        <f>IF(J186&lt;0.01,0,$J$8*Adm!$W$3/1.16)</f>
        <v>0</v>
      </c>
      <c r="H187" s="70">
        <f>IF(J186&lt;0.01,0,Adm!$AD$2)</f>
        <v>0</v>
      </c>
      <c r="I187" s="70">
        <f t="shared" si="23"/>
        <v>0</v>
      </c>
      <c r="J187" s="72">
        <f t="shared" si="24"/>
        <v>0</v>
      </c>
      <c r="L187" s="106">
        <f>IF(J186&lt;0.01,0,1)</f>
        <v>0</v>
      </c>
      <c r="N187" s="72"/>
      <c r="O187" s="76">
        <f t="shared" si="25"/>
        <v>7</v>
      </c>
      <c r="P187" s="77">
        <f t="shared" si="27"/>
        <v>0</v>
      </c>
      <c r="S187" s="190">
        <f t="shared" si="26"/>
        <v>0</v>
      </c>
      <c r="T187" s="194"/>
    </row>
    <row r="188" spans="1:20">
      <c r="A188" s="69">
        <f t="shared" si="21"/>
        <v>0</v>
      </c>
      <c r="B188" s="70">
        <f t="shared" si="19"/>
        <v>0</v>
      </c>
      <c r="C188" s="70">
        <f t="shared" si="20"/>
        <v>0</v>
      </c>
      <c r="D188" s="70">
        <f t="shared" si="22"/>
        <v>0</v>
      </c>
      <c r="E188" s="70"/>
      <c r="F188" s="70">
        <f>IF(J187&lt;0.01,0,J187*Adm!$V$3)</f>
        <v>0</v>
      </c>
      <c r="G188" s="70">
        <f>IF(J187&lt;0.01,0,$J$8*Adm!$W$3/1.16)</f>
        <v>0</v>
      </c>
      <c r="H188" s="70">
        <f>IF(J187&lt;0.01,0,Adm!$AD$2)</f>
        <v>0</v>
      </c>
      <c r="I188" s="70">
        <f t="shared" si="23"/>
        <v>0</v>
      </c>
      <c r="J188" s="72">
        <f t="shared" si="24"/>
        <v>0</v>
      </c>
      <c r="L188" s="106">
        <f>IF(J187&lt;0.01,0,2)</f>
        <v>0</v>
      </c>
      <c r="N188" s="72"/>
      <c r="O188" s="76">
        <f t="shared" si="25"/>
        <v>8</v>
      </c>
      <c r="P188" s="77">
        <f t="shared" si="27"/>
        <v>0</v>
      </c>
      <c r="S188" s="190">
        <f t="shared" si="26"/>
        <v>0</v>
      </c>
      <c r="T188" s="194"/>
    </row>
    <row r="189" spans="1:20">
      <c r="A189" s="69">
        <f t="shared" si="21"/>
        <v>0</v>
      </c>
      <c r="B189" s="70">
        <f t="shared" si="19"/>
        <v>0</v>
      </c>
      <c r="C189" s="70">
        <f t="shared" si="20"/>
        <v>0</v>
      </c>
      <c r="D189" s="70">
        <f t="shared" si="22"/>
        <v>0</v>
      </c>
      <c r="E189" s="70"/>
      <c r="F189" s="70">
        <f>IF(J188&lt;0.01,0,J188*Adm!$V$3)</f>
        <v>0</v>
      </c>
      <c r="G189" s="70">
        <f>IF(J188&lt;0.01,0,$J$8*Adm!$W$3/1.16)</f>
        <v>0</v>
      </c>
      <c r="H189" s="70">
        <f>IF(J188&lt;0.01,0,Adm!$AD$2)</f>
        <v>0</v>
      </c>
      <c r="I189" s="70">
        <f t="shared" si="23"/>
        <v>0</v>
      </c>
      <c r="J189" s="72">
        <f t="shared" si="24"/>
        <v>0</v>
      </c>
      <c r="L189" s="106">
        <f>IF(J188&lt;0.01,0,1)</f>
        <v>0</v>
      </c>
      <c r="N189" s="72"/>
      <c r="O189" s="76">
        <f t="shared" si="25"/>
        <v>9</v>
      </c>
      <c r="P189" s="77">
        <f t="shared" si="27"/>
        <v>0</v>
      </c>
      <c r="S189" s="190">
        <f t="shared" si="26"/>
        <v>0</v>
      </c>
      <c r="T189" s="194"/>
    </row>
    <row r="190" spans="1:20">
      <c r="A190" s="69">
        <f t="shared" si="21"/>
        <v>0</v>
      </c>
      <c r="B190" s="70">
        <f t="shared" si="19"/>
        <v>0</v>
      </c>
      <c r="C190" s="70">
        <f t="shared" si="20"/>
        <v>0</v>
      </c>
      <c r="D190" s="70">
        <f t="shared" si="22"/>
        <v>0</v>
      </c>
      <c r="E190" s="70"/>
      <c r="F190" s="70">
        <f>IF(J189&lt;0.01,0,J189*Adm!$V$3)</f>
        <v>0</v>
      </c>
      <c r="G190" s="70">
        <f>IF(J189&lt;0.01,0,$J$8*Adm!$W$3/1.16)</f>
        <v>0</v>
      </c>
      <c r="H190" s="70">
        <f>IF(J189&lt;0.01,0,Adm!$AD$2)</f>
        <v>0</v>
      </c>
      <c r="I190" s="70">
        <f t="shared" si="23"/>
        <v>0</v>
      </c>
      <c r="J190" s="72">
        <f t="shared" si="24"/>
        <v>0</v>
      </c>
      <c r="L190" s="106">
        <f>IF(J189&lt;0.01,0,2)</f>
        <v>0</v>
      </c>
      <c r="N190" s="72"/>
      <c r="O190" s="76">
        <f t="shared" si="25"/>
        <v>10</v>
      </c>
      <c r="P190" s="77">
        <f t="shared" si="27"/>
        <v>0</v>
      </c>
      <c r="S190" s="190">
        <f t="shared" si="26"/>
        <v>0</v>
      </c>
      <c r="T190" s="194"/>
    </row>
    <row r="191" spans="1:20">
      <c r="A191" s="69">
        <f t="shared" si="21"/>
        <v>0</v>
      </c>
      <c r="B191" s="70">
        <f t="shared" si="19"/>
        <v>0</v>
      </c>
      <c r="C191" s="70">
        <f t="shared" si="20"/>
        <v>0</v>
      </c>
      <c r="D191" s="70">
        <f t="shared" si="22"/>
        <v>0</v>
      </c>
      <c r="E191" s="70"/>
      <c r="F191" s="70">
        <f>IF(J190&lt;0.01,0,J190*Adm!$V$3)</f>
        <v>0</v>
      </c>
      <c r="G191" s="70">
        <f>IF(J190&lt;0.01,0,$J$8*Adm!$W$3/1.16)</f>
        <v>0</v>
      </c>
      <c r="H191" s="70">
        <f>IF(J190&lt;0.01,0,Adm!$AD$2)</f>
        <v>0</v>
      </c>
      <c r="I191" s="70">
        <f t="shared" si="23"/>
        <v>0</v>
      </c>
      <c r="J191" s="72">
        <f t="shared" si="24"/>
        <v>0</v>
      </c>
      <c r="L191" s="106">
        <f>IF(J190&lt;0.01,0,1)</f>
        <v>0</v>
      </c>
      <c r="N191" s="72"/>
      <c r="O191" s="76">
        <f t="shared" si="25"/>
        <v>11</v>
      </c>
      <c r="P191" s="77">
        <f t="shared" si="27"/>
        <v>0</v>
      </c>
      <c r="S191" s="190">
        <f t="shared" si="26"/>
        <v>0</v>
      </c>
      <c r="T191" s="194"/>
    </row>
    <row r="192" spans="1:20">
      <c r="A192" s="69">
        <f t="shared" si="21"/>
        <v>0</v>
      </c>
      <c r="B192" s="70">
        <f t="shared" si="19"/>
        <v>0</v>
      </c>
      <c r="C192" s="70">
        <f t="shared" si="20"/>
        <v>0</v>
      </c>
      <c r="D192" s="70">
        <f t="shared" si="22"/>
        <v>0</v>
      </c>
      <c r="E192" s="70"/>
      <c r="F192" s="70">
        <f>IF(J191&lt;0.01,0,J191*Adm!$V$3)</f>
        <v>0</v>
      </c>
      <c r="G192" s="70">
        <f>IF(J191&lt;0.01,0,$J$8*Adm!$W$3/1.16)</f>
        <v>0</v>
      </c>
      <c r="H192" s="70">
        <f>IF(J191&lt;0.01,0,Adm!$AD$2)</f>
        <v>0</v>
      </c>
      <c r="I192" s="70">
        <f t="shared" si="23"/>
        <v>0</v>
      </c>
      <c r="J192" s="72">
        <f t="shared" si="24"/>
        <v>0</v>
      </c>
      <c r="L192" s="106">
        <f>IF(J191&lt;0.01,0,2)</f>
        <v>0</v>
      </c>
      <c r="N192" s="72"/>
      <c r="O192" s="76">
        <f t="shared" si="25"/>
        <v>12</v>
      </c>
      <c r="P192" s="77">
        <f t="shared" si="27"/>
        <v>0</v>
      </c>
      <c r="S192" s="190">
        <f t="shared" si="26"/>
        <v>0</v>
      </c>
      <c r="T192" s="194"/>
    </row>
    <row r="193" spans="1:20">
      <c r="A193" s="69">
        <f t="shared" si="21"/>
        <v>0</v>
      </c>
      <c r="B193" s="70">
        <f t="shared" si="19"/>
        <v>0</v>
      </c>
      <c r="C193" s="70">
        <f t="shared" si="20"/>
        <v>0</v>
      </c>
      <c r="D193" s="70">
        <f t="shared" si="22"/>
        <v>0</v>
      </c>
      <c r="E193" s="70"/>
      <c r="F193" s="70">
        <f>IF(J192&lt;0.01,0,J192*Adm!$V$3)</f>
        <v>0</v>
      </c>
      <c r="G193" s="70">
        <f>IF(J192&lt;0.01,0,$J$8*Adm!$W$3/1.16)</f>
        <v>0</v>
      </c>
      <c r="H193" s="70">
        <f>IF(J192&lt;0.01,0,Adm!$AD$2)</f>
        <v>0</v>
      </c>
      <c r="I193" s="70">
        <f t="shared" si="23"/>
        <v>0</v>
      </c>
      <c r="J193" s="72">
        <f t="shared" si="24"/>
        <v>0</v>
      </c>
      <c r="L193" s="106">
        <f>IF(J192&lt;0.01,0,1)</f>
        <v>0</v>
      </c>
      <c r="N193" s="72"/>
      <c r="O193" s="76">
        <f t="shared" si="25"/>
        <v>1</v>
      </c>
      <c r="P193" s="77">
        <f t="shared" si="27"/>
        <v>0</v>
      </c>
      <c r="S193" s="190">
        <f t="shared" si="26"/>
        <v>0</v>
      </c>
      <c r="T193" s="194"/>
    </row>
    <row r="194" spans="1:20">
      <c r="A194" s="69">
        <f t="shared" si="21"/>
        <v>0</v>
      </c>
      <c r="B194" s="70">
        <f t="shared" si="19"/>
        <v>0</v>
      </c>
      <c r="C194" s="70">
        <f t="shared" si="20"/>
        <v>0</v>
      </c>
      <c r="D194" s="70">
        <f t="shared" si="22"/>
        <v>0</v>
      </c>
      <c r="E194" s="70"/>
      <c r="F194" s="70">
        <f>IF(J193&lt;0.01,0,J193*Adm!$V$3)</f>
        <v>0</v>
      </c>
      <c r="G194" s="70">
        <f>IF(J193&lt;0.01,0,$J$8*Adm!$W$3/1.16)</f>
        <v>0</v>
      </c>
      <c r="H194" s="70">
        <f>IF(J193&lt;0.01,0,Adm!$AD$2)</f>
        <v>0</v>
      </c>
      <c r="I194" s="70">
        <f t="shared" si="23"/>
        <v>0</v>
      </c>
      <c r="J194" s="72">
        <f t="shared" si="24"/>
        <v>0</v>
      </c>
      <c r="L194" s="106">
        <f>IF(J193&lt;0.01,0,2)</f>
        <v>0</v>
      </c>
      <c r="N194" s="72"/>
      <c r="O194" s="76">
        <f t="shared" si="25"/>
        <v>2</v>
      </c>
      <c r="P194" s="77">
        <f t="shared" si="27"/>
        <v>0</v>
      </c>
      <c r="S194" s="190">
        <f t="shared" si="26"/>
        <v>0</v>
      </c>
      <c r="T194" s="194"/>
    </row>
    <row r="195" spans="1:20">
      <c r="A195" s="69">
        <f t="shared" si="21"/>
        <v>0</v>
      </c>
      <c r="B195" s="70">
        <f t="shared" si="19"/>
        <v>0</v>
      </c>
      <c r="C195" s="70">
        <f t="shared" si="20"/>
        <v>0</v>
      </c>
      <c r="D195" s="70">
        <f t="shared" si="22"/>
        <v>0</v>
      </c>
      <c r="E195" s="70"/>
      <c r="F195" s="70">
        <f>IF(J194&lt;0.01,0,J194*Adm!$V$3)</f>
        <v>0</v>
      </c>
      <c r="G195" s="70">
        <f>IF(J194&lt;0.01,0,$J$8*Adm!$W$3/1.16)</f>
        <v>0</v>
      </c>
      <c r="H195" s="70">
        <f>IF(J194&lt;0.01,0,Adm!$AD$2)</f>
        <v>0</v>
      </c>
      <c r="I195" s="70">
        <f t="shared" si="23"/>
        <v>0</v>
      </c>
      <c r="J195" s="72">
        <f t="shared" si="24"/>
        <v>0</v>
      </c>
      <c r="L195" s="106">
        <f>IF(J194&lt;0.01,0,1)</f>
        <v>0</v>
      </c>
      <c r="N195" s="72"/>
      <c r="O195" s="76">
        <f t="shared" si="25"/>
        <v>3</v>
      </c>
      <c r="P195" s="77">
        <f t="shared" si="27"/>
        <v>0</v>
      </c>
      <c r="S195" s="190">
        <f t="shared" si="26"/>
        <v>0</v>
      </c>
      <c r="T195" s="194"/>
    </row>
    <row r="196" spans="1:20">
      <c r="A196" s="69">
        <f t="shared" si="21"/>
        <v>0</v>
      </c>
      <c r="B196" s="70">
        <f t="shared" si="19"/>
        <v>0</v>
      </c>
      <c r="C196" s="70">
        <f t="shared" si="20"/>
        <v>0</v>
      </c>
      <c r="D196" s="70">
        <f t="shared" si="22"/>
        <v>0</v>
      </c>
      <c r="E196" s="70"/>
      <c r="F196" s="70">
        <f>IF(J195&lt;0.01,0,J195*Adm!$V$3)</f>
        <v>0</v>
      </c>
      <c r="G196" s="70">
        <f>IF(J195&lt;0.01,0,$J$8*Adm!$W$3/1.16)</f>
        <v>0</v>
      </c>
      <c r="H196" s="70">
        <f>IF(J195&lt;0.01,0,Adm!$AD$2)</f>
        <v>0</v>
      </c>
      <c r="I196" s="70">
        <f t="shared" si="23"/>
        <v>0</v>
      </c>
      <c r="J196" s="72">
        <f t="shared" si="24"/>
        <v>0</v>
      </c>
      <c r="L196" s="106">
        <f>IF(J195&lt;0.01,0,2)</f>
        <v>0</v>
      </c>
      <c r="N196" s="72"/>
      <c r="O196" s="76">
        <f t="shared" si="25"/>
        <v>4</v>
      </c>
      <c r="P196" s="77">
        <f t="shared" si="27"/>
        <v>0</v>
      </c>
      <c r="S196" s="190">
        <f t="shared" si="26"/>
        <v>0</v>
      </c>
      <c r="T196" s="194"/>
    </row>
    <row r="197" spans="1:20">
      <c r="A197" s="69">
        <f t="shared" si="21"/>
        <v>0</v>
      </c>
      <c r="B197" s="70">
        <f t="shared" si="19"/>
        <v>0</v>
      </c>
      <c r="C197" s="70">
        <f t="shared" si="20"/>
        <v>0</v>
      </c>
      <c r="D197" s="70">
        <f t="shared" si="22"/>
        <v>0</v>
      </c>
      <c r="E197" s="70"/>
      <c r="F197" s="70">
        <f>IF(J196&lt;0.01,0,J196*Adm!$V$3)</f>
        <v>0</v>
      </c>
      <c r="G197" s="70">
        <f>IF(J196&lt;0.01,0,$J$8*Adm!$W$3/1.16)</f>
        <v>0</v>
      </c>
      <c r="H197" s="70">
        <f>IF(J196&lt;0.01,0,Adm!$AD$2)</f>
        <v>0</v>
      </c>
      <c r="I197" s="70">
        <f t="shared" si="23"/>
        <v>0</v>
      </c>
      <c r="J197" s="72">
        <f t="shared" si="24"/>
        <v>0</v>
      </c>
      <c r="L197" s="106">
        <f>IF(J196&lt;0.01,0,1)</f>
        <v>0</v>
      </c>
      <c r="N197" s="72"/>
      <c r="O197" s="76">
        <f t="shared" si="25"/>
        <v>5</v>
      </c>
      <c r="P197" s="77">
        <f t="shared" si="27"/>
        <v>0</v>
      </c>
      <c r="S197" s="190">
        <f t="shared" si="26"/>
        <v>0</v>
      </c>
      <c r="T197" s="194"/>
    </row>
    <row r="198" spans="1:20">
      <c r="A198" s="69">
        <f t="shared" si="21"/>
        <v>0</v>
      </c>
      <c r="B198" s="70">
        <f t="shared" si="19"/>
        <v>0</v>
      </c>
      <c r="C198" s="70">
        <f t="shared" si="20"/>
        <v>0</v>
      </c>
      <c r="D198" s="70">
        <f t="shared" si="22"/>
        <v>0</v>
      </c>
      <c r="E198" s="70"/>
      <c r="F198" s="70">
        <f>IF(J197&lt;0.01,0,J197*Adm!$V$3)</f>
        <v>0</v>
      </c>
      <c r="G198" s="70">
        <f>IF(J197&lt;0.01,0,$J$8*Adm!$W$3/1.16)</f>
        <v>0</v>
      </c>
      <c r="H198" s="70">
        <f>IF(J197&lt;0.01,0,Adm!$AD$2)</f>
        <v>0</v>
      </c>
      <c r="I198" s="70">
        <f t="shared" si="23"/>
        <v>0</v>
      </c>
      <c r="J198" s="72">
        <f t="shared" si="24"/>
        <v>0</v>
      </c>
      <c r="L198" s="106">
        <f>IF(J197&lt;0.01,0,2)</f>
        <v>0</v>
      </c>
      <c r="N198" s="72"/>
      <c r="O198" s="76">
        <f t="shared" si="25"/>
        <v>6</v>
      </c>
      <c r="P198" s="77">
        <f t="shared" si="27"/>
        <v>0</v>
      </c>
      <c r="S198" s="190">
        <f t="shared" si="26"/>
        <v>0</v>
      </c>
      <c r="T198" s="194"/>
    </row>
    <row r="199" spans="1:20">
      <c r="A199" s="69">
        <f t="shared" si="21"/>
        <v>0</v>
      </c>
      <c r="B199" s="70">
        <f t="shared" si="19"/>
        <v>0</v>
      </c>
      <c r="C199" s="70">
        <f t="shared" si="20"/>
        <v>0</v>
      </c>
      <c r="D199" s="70">
        <f t="shared" si="22"/>
        <v>0</v>
      </c>
      <c r="E199" s="70"/>
      <c r="F199" s="70">
        <f>IF(J198&lt;0.01,0,J198*Adm!$V$3)</f>
        <v>0</v>
      </c>
      <c r="G199" s="70">
        <f>IF(J198&lt;0.01,0,$J$8*Adm!$W$3/1.16)</f>
        <v>0</v>
      </c>
      <c r="H199" s="70">
        <f>IF(J198&lt;0.01,0,Adm!$AD$2)</f>
        <v>0</v>
      </c>
      <c r="I199" s="70">
        <f t="shared" si="23"/>
        <v>0</v>
      </c>
      <c r="J199" s="72">
        <f t="shared" si="24"/>
        <v>0</v>
      </c>
      <c r="L199" s="106">
        <f>IF(J198&lt;0.01,0,1)</f>
        <v>0</v>
      </c>
      <c r="N199" s="72"/>
      <c r="O199" s="76">
        <f t="shared" si="25"/>
        <v>7</v>
      </c>
      <c r="P199" s="77">
        <f t="shared" si="27"/>
        <v>0</v>
      </c>
      <c r="S199" s="190">
        <f t="shared" si="26"/>
        <v>0</v>
      </c>
      <c r="T199" s="194"/>
    </row>
    <row r="200" spans="1:20">
      <c r="A200" s="69">
        <f t="shared" si="21"/>
        <v>0</v>
      </c>
      <c r="B200" s="70">
        <f t="shared" si="19"/>
        <v>0</v>
      </c>
      <c r="C200" s="70">
        <f t="shared" si="20"/>
        <v>0</v>
      </c>
      <c r="D200" s="70">
        <f t="shared" si="22"/>
        <v>0</v>
      </c>
      <c r="E200" s="70"/>
      <c r="F200" s="70">
        <f>IF(J199&lt;0.01,0,J199*Adm!$V$3)</f>
        <v>0</v>
      </c>
      <c r="G200" s="70">
        <f>IF(J199&lt;0.01,0,$J$8*Adm!$W$3/1.16)</f>
        <v>0</v>
      </c>
      <c r="H200" s="70">
        <f>IF(J199&lt;0.01,0,Adm!$AD$2)</f>
        <v>0</v>
      </c>
      <c r="I200" s="70">
        <f t="shared" si="23"/>
        <v>0</v>
      </c>
      <c r="J200" s="72">
        <f t="shared" si="24"/>
        <v>0</v>
      </c>
      <c r="L200" s="106">
        <f>IF(J199&lt;0.01,0,2)</f>
        <v>0</v>
      </c>
      <c r="N200" s="72"/>
      <c r="O200" s="76">
        <f t="shared" si="25"/>
        <v>8</v>
      </c>
      <c r="P200" s="77">
        <f t="shared" si="27"/>
        <v>0</v>
      </c>
      <c r="S200" s="190">
        <f t="shared" si="26"/>
        <v>0</v>
      </c>
      <c r="T200" s="194"/>
    </row>
    <row r="201" spans="1:20">
      <c r="A201" s="69">
        <f t="shared" si="21"/>
        <v>0</v>
      </c>
      <c r="B201" s="70">
        <f t="shared" si="19"/>
        <v>0</v>
      </c>
      <c r="C201" s="70">
        <f t="shared" si="20"/>
        <v>0</v>
      </c>
      <c r="D201" s="70">
        <f t="shared" si="22"/>
        <v>0</v>
      </c>
      <c r="E201" s="70"/>
      <c r="F201" s="70">
        <f>IF(J200&lt;0.01,0,J200*Adm!$V$3)</f>
        <v>0</v>
      </c>
      <c r="G201" s="70">
        <f>IF(J200&lt;0.01,0,$J$8*Adm!$W$3/1.16)</f>
        <v>0</v>
      </c>
      <c r="H201" s="70">
        <f>IF(J200&lt;0.01,0,Adm!$AD$2)</f>
        <v>0</v>
      </c>
      <c r="I201" s="70">
        <f t="shared" si="23"/>
        <v>0</v>
      </c>
      <c r="J201" s="72">
        <f t="shared" si="24"/>
        <v>0</v>
      </c>
      <c r="L201" s="106">
        <f>IF(J200&lt;0.01,0,1)</f>
        <v>0</v>
      </c>
      <c r="N201" s="72"/>
      <c r="O201" s="76">
        <f t="shared" si="25"/>
        <v>9</v>
      </c>
      <c r="P201" s="77">
        <f t="shared" si="27"/>
        <v>0</v>
      </c>
      <c r="S201" s="190">
        <f t="shared" si="26"/>
        <v>0</v>
      </c>
      <c r="T201" s="194"/>
    </row>
    <row r="202" spans="1:20">
      <c r="A202" s="69">
        <f t="shared" si="21"/>
        <v>0</v>
      </c>
      <c r="B202" s="70">
        <f t="shared" si="19"/>
        <v>0</v>
      </c>
      <c r="C202" s="70">
        <f t="shared" si="20"/>
        <v>0</v>
      </c>
      <c r="D202" s="70">
        <f t="shared" si="22"/>
        <v>0</v>
      </c>
      <c r="E202" s="70"/>
      <c r="F202" s="70">
        <f>IF(J201&lt;0.01,0,J201*Adm!$V$3)</f>
        <v>0</v>
      </c>
      <c r="G202" s="70">
        <f>IF(J201&lt;0.01,0,$J$8*Adm!$W$3/1.16)</f>
        <v>0</v>
      </c>
      <c r="H202" s="70">
        <f>IF(J201&lt;0.01,0,Adm!$AD$2)</f>
        <v>0</v>
      </c>
      <c r="I202" s="70">
        <f t="shared" si="23"/>
        <v>0</v>
      </c>
      <c r="J202" s="72">
        <f t="shared" si="24"/>
        <v>0</v>
      </c>
      <c r="L202" s="106">
        <f>IF(J201&lt;0.01,0,2)</f>
        <v>0</v>
      </c>
      <c r="N202" s="72"/>
      <c r="O202" s="76">
        <f t="shared" si="25"/>
        <v>10</v>
      </c>
      <c r="P202" s="77">
        <f t="shared" si="27"/>
        <v>0</v>
      </c>
      <c r="S202" s="190">
        <f t="shared" si="26"/>
        <v>0</v>
      </c>
      <c r="T202" s="194"/>
    </row>
    <row r="203" spans="1:20">
      <c r="A203" s="69">
        <f t="shared" si="21"/>
        <v>0</v>
      </c>
      <c r="B203" s="70">
        <f t="shared" si="19"/>
        <v>0</v>
      </c>
      <c r="C203" s="70">
        <f t="shared" si="20"/>
        <v>0</v>
      </c>
      <c r="D203" s="70">
        <f t="shared" si="22"/>
        <v>0</v>
      </c>
      <c r="E203" s="70"/>
      <c r="F203" s="70">
        <f>IF(J202&lt;0.01,0,J202*Adm!$V$3)</f>
        <v>0</v>
      </c>
      <c r="G203" s="70">
        <f>IF(J202&lt;0.01,0,$J$8*Adm!$W$3/1.16)</f>
        <v>0</v>
      </c>
      <c r="H203" s="70">
        <f>IF(J202&lt;0.01,0,Adm!$AD$2)</f>
        <v>0</v>
      </c>
      <c r="I203" s="70">
        <f t="shared" si="23"/>
        <v>0</v>
      </c>
      <c r="J203" s="72">
        <f t="shared" si="24"/>
        <v>0</v>
      </c>
      <c r="L203" s="106">
        <f>IF(J202&lt;0.01,0,1)</f>
        <v>0</v>
      </c>
      <c r="N203" s="72"/>
      <c r="O203" s="76">
        <f t="shared" si="25"/>
        <v>11</v>
      </c>
      <c r="P203" s="77">
        <f t="shared" si="27"/>
        <v>0</v>
      </c>
      <c r="S203" s="190">
        <f t="shared" si="26"/>
        <v>0</v>
      </c>
      <c r="T203" s="194"/>
    </row>
    <row r="204" spans="1:20">
      <c r="A204" s="69">
        <f t="shared" si="21"/>
        <v>0</v>
      </c>
      <c r="B204" s="70">
        <f t="shared" si="19"/>
        <v>0</v>
      </c>
      <c r="C204" s="70">
        <f t="shared" si="20"/>
        <v>0</v>
      </c>
      <c r="D204" s="70">
        <f t="shared" si="22"/>
        <v>0</v>
      </c>
      <c r="E204" s="70"/>
      <c r="F204" s="70">
        <f>IF(J203&lt;0.01,0,J203*Adm!$V$3)</f>
        <v>0</v>
      </c>
      <c r="G204" s="70">
        <f>IF(J203&lt;0.01,0,$J$8*Adm!$W$3/1.16)</f>
        <v>0</v>
      </c>
      <c r="H204" s="70">
        <f>IF(J203&lt;0.01,0,Adm!$AD$2)</f>
        <v>0</v>
      </c>
      <c r="I204" s="70">
        <f t="shared" si="23"/>
        <v>0</v>
      </c>
      <c r="J204" s="72">
        <f t="shared" si="24"/>
        <v>0</v>
      </c>
      <c r="L204" s="106">
        <f>IF(J203&lt;0.01,0,2)</f>
        <v>0</v>
      </c>
      <c r="N204" s="72"/>
      <c r="O204" s="76">
        <f t="shared" si="25"/>
        <v>12</v>
      </c>
      <c r="P204" s="77">
        <f t="shared" si="27"/>
        <v>0</v>
      </c>
      <c r="S204" s="190">
        <f t="shared" si="26"/>
        <v>0</v>
      </c>
      <c r="T204" s="194"/>
    </row>
    <row r="205" spans="1:20">
      <c r="A205" s="69">
        <f t="shared" si="21"/>
        <v>0</v>
      </c>
      <c r="B205" s="70">
        <f t="shared" si="19"/>
        <v>0</v>
      </c>
      <c r="C205" s="70">
        <f t="shared" si="20"/>
        <v>0</v>
      </c>
      <c r="D205" s="70">
        <f t="shared" si="22"/>
        <v>0</v>
      </c>
      <c r="E205" s="70"/>
      <c r="F205" s="70">
        <f>IF(J204&lt;0.01,0,J204*Adm!$V$3)</f>
        <v>0</v>
      </c>
      <c r="G205" s="70">
        <f>IF(J204&lt;0.01,0,$J$8*Adm!$W$3/1.16)</f>
        <v>0</v>
      </c>
      <c r="H205" s="70">
        <f>IF(J204&lt;0.01,0,Adm!$AD$2)</f>
        <v>0</v>
      </c>
      <c r="I205" s="70">
        <f t="shared" si="23"/>
        <v>0</v>
      </c>
      <c r="J205" s="72">
        <f t="shared" si="24"/>
        <v>0</v>
      </c>
      <c r="L205" s="106">
        <f>IF(J204&lt;0.01,0,1)</f>
        <v>0</v>
      </c>
      <c r="N205" s="72"/>
      <c r="O205" s="76">
        <f t="shared" si="25"/>
        <v>1</v>
      </c>
      <c r="P205" s="77">
        <f t="shared" si="27"/>
        <v>0</v>
      </c>
      <c r="S205" s="190">
        <f t="shared" si="26"/>
        <v>0</v>
      </c>
      <c r="T205" s="194"/>
    </row>
    <row r="206" spans="1:20">
      <c r="A206" s="69">
        <f t="shared" si="21"/>
        <v>0</v>
      </c>
      <c r="B206" s="70">
        <f t="shared" si="19"/>
        <v>0</v>
      </c>
      <c r="C206" s="70">
        <f t="shared" si="20"/>
        <v>0</v>
      </c>
      <c r="D206" s="70">
        <f t="shared" si="22"/>
        <v>0</v>
      </c>
      <c r="E206" s="70"/>
      <c r="F206" s="70">
        <f>IF(J205&lt;0.01,0,J205*Adm!$V$3)</f>
        <v>0</v>
      </c>
      <c r="G206" s="70">
        <f>IF(J205&lt;0.01,0,$J$8*Adm!$W$3/1.16)</f>
        <v>0</v>
      </c>
      <c r="H206" s="70">
        <f>IF(J205&lt;0.01,0,Adm!$AD$2)</f>
        <v>0</v>
      </c>
      <c r="I206" s="70">
        <f t="shared" si="23"/>
        <v>0</v>
      </c>
      <c r="J206" s="72">
        <f t="shared" si="24"/>
        <v>0</v>
      </c>
      <c r="L206" s="106">
        <f>IF(J205&lt;0.01,0,2)</f>
        <v>0</v>
      </c>
      <c r="N206" s="72"/>
      <c r="O206" s="76">
        <f t="shared" si="25"/>
        <v>2</v>
      </c>
      <c r="P206" s="77">
        <f t="shared" si="27"/>
        <v>0</v>
      </c>
      <c r="S206" s="190">
        <f t="shared" si="26"/>
        <v>0</v>
      </c>
      <c r="T206" s="194"/>
    </row>
    <row r="207" spans="1:20">
      <c r="A207" s="69">
        <f t="shared" si="21"/>
        <v>0</v>
      </c>
      <c r="B207" s="70">
        <f t="shared" si="19"/>
        <v>0</v>
      </c>
      <c r="C207" s="70">
        <f t="shared" si="20"/>
        <v>0</v>
      </c>
      <c r="D207" s="70">
        <f t="shared" si="22"/>
        <v>0</v>
      </c>
      <c r="E207" s="70"/>
      <c r="F207" s="70">
        <f>IF(J206&lt;0.01,0,J206*Adm!$V$3)</f>
        <v>0</v>
      </c>
      <c r="G207" s="70">
        <f>IF(J206&lt;0.01,0,$J$8*Adm!$W$3/1.16)</f>
        <v>0</v>
      </c>
      <c r="H207" s="70">
        <f>IF(J206&lt;0.01,0,Adm!$AD$2)</f>
        <v>0</v>
      </c>
      <c r="I207" s="70">
        <f t="shared" si="23"/>
        <v>0</v>
      </c>
      <c r="J207" s="72">
        <f t="shared" si="24"/>
        <v>0</v>
      </c>
      <c r="L207" s="106">
        <f>IF(J206&lt;0.01,0,1)</f>
        <v>0</v>
      </c>
      <c r="N207" s="72"/>
      <c r="O207" s="76">
        <f t="shared" si="25"/>
        <v>3</v>
      </c>
      <c r="P207" s="77">
        <f t="shared" si="27"/>
        <v>0</v>
      </c>
      <c r="S207" s="190">
        <f t="shared" si="26"/>
        <v>0</v>
      </c>
      <c r="T207" s="194"/>
    </row>
    <row r="208" spans="1:20">
      <c r="A208" s="69">
        <f t="shared" si="21"/>
        <v>0</v>
      </c>
      <c r="B208" s="70">
        <f t="shared" si="19"/>
        <v>0</v>
      </c>
      <c r="C208" s="70">
        <f t="shared" si="20"/>
        <v>0</v>
      </c>
      <c r="D208" s="70">
        <f t="shared" si="22"/>
        <v>0</v>
      </c>
      <c r="E208" s="70"/>
      <c r="F208" s="70">
        <f>IF(J207&lt;0.01,0,J207*Adm!$V$3)</f>
        <v>0</v>
      </c>
      <c r="G208" s="70">
        <f>IF(J207&lt;0.01,0,$J$8*Adm!$W$3/1.16)</f>
        <v>0</v>
      </c>
      <c r="H208" s="70">
        <f>IF(J207&lt;0.01,0,Adm!$AD$2)</f>
        <v>0</v>
      </c>
      <c r="I208" s="70">
        <f t="shared" si="23"/>
        <v>0</v>
      </c>
      <c r="J208" s="72">
        <f t="shared" si="24"/>
        <v>0</v>
      </c>
      <c r="L208" s="106">
        <f>IF(J207&lt;0.01,0,2)</f>
        <v>0</v>
      </c>
      <c r="N208" s="72"/>
      <c r="O208" s="76">
        <f t="shared" si="25"/>
        <v>4</v>
      </c>
      <c r="P208" s="77">
        <f t="shared" si="27"/>
        <v>0</v>
      </c>
      <c r="S208" s="190">
        <f t="shared" si="26"/>
        <v>0</v>
      </c>
      <c r="T208" s="194"/>
    </row>
    <row r="209" spans="1:20">
      <c r="A209" s="69">
        <f t="shared" si="21"/>
        <v>0</v>
      </c>
      <c r="B209" s="70">
        <f t="shared" si="19"/>
        <v>0</v>
      </c>
      <c r="C209" s="70">
        <f t="shared" si="20"/>
        <v>0</v>
      </c>
      <c r="D209" s="70">
        <f t="shared" si="22"/>
        <v>0</v>
      </c>
      <c r="E209" s="70"/>
      <c r="F209" s="70">
        <f>IF(J208&lt;0.01,0,J208*Adm!$V$3)</f>
        <v>0</v>
      </c>
      <c r="G209" s="70">
        <f>IF(J208&lt;0.01,0,$J$8*Adm!$W$3/1.16)</f>
        <v>0</v>
      </c>
      <c r="H209" s="70">
        <f>IF(J208&lt;0.01,0,Adm!$AD$2)</f>
        <v>0</v>
      </c>
      <c r="I209" s="70">
        <f t="shared" si="23"/>
        <v>0</v>
      </c>
      <c r="J209" s="72">
        <f t="shared" si="24"/>
        <v>0</v>
      </c>
      <c r="L209" s="106">
        <f>IF(J208&lt;0.01,0,1)</f>
        <v>0</v>
      </c>
      <c r="N209" s="72"/>
      <c r="O209" s="76">
        <f t="shared" si="25"/>
        <v>5</v>
      </c>
      <c r="P209" s="77">
        <f t="shared" si="27"/>
        <v>0</v>
      </c>
      <c r="S209" s="190">
        <f t="shared" si="26"/>
        <v>0</v>
      </c>
      <c r="T209" s="194"/>
    </row>
    <row r="210" spans="1:20">
      <c r="A210" s="69">
        <f t="shared" si="21"/>
        <v>0</v>
      </c>
      <c r="B210" s="70">
        <f t="shared" si="19"/>
        <v>0</v>
      </c>
      <c r="C210" s="70">
        <f t="shared" si="20"/>
        <v>0</v>
      </c>
      <c r="D210" s="70">
        <f t="shared" si="22"/>
        <v>0</v>
      </c>
      <c r="E210" s="70"/>
      <c r="F210" s="70">
        <f>IF(J209&lt;0.01,0,J209*Adm!$V$3)</f>
        <v>0</v>
      </c>
      <c r="G210" s="70">
        <f>IF(J209&lt;0.01,0,$J$8*Adm!$W$3/1.16)</f>
        <v>0</v>
      </c>
      <c r="H210" s="70">
        <f>IF(J209&lt;0.01,0,Adm!$AD$2)</f>
        <v>0</v>
      </c>
      <c r="I210" s="70">
        <f t="shared" si="23"/>
        <v>0</v>
      </c>
      <c r="J210" s="72">
        <f t="shared" si="24"/>
        <v>0</v>
      </c>
      <c r="L210" s="106">
        <f>IF(J209&lt;0.01,0,2)</f>
        <v>0</v>
      </c>
      <c r="N210" s="72"/>
      <c r="O210" s="76">
        <f t="shared" si="25"/>
        <v>6</v>
      </c>
      <c r="P210" s="77">
        <f t="shared" si="27"/>
        <v>0</v>
      </c>
      <c r="S210" s="190">
        <f t="shared" si="26"/>
        <v>0</v>
      </c>
      <c r="T210" s="194"/>
    </row>
    <row r="211" spans="1:20">
      <c r="A211" s="69">
        <f t="shared" si="21"/>
        <v>0</v>
      </c>
      <c r="B211" s="70">
        <f t="shared" si="19"/>
        <v>0</v>
      </c>
      <c r="C211" s="70">
        <f t="shared" si="20"/>
        <v>0</v>
      </c>
      <c r="D211" s="70">
        <f t="shared" si="22"/>
        <v>0</v>
      </c>
      <c r="E211" s="70"/>
      <c r="F211" s="70">
        <f>IF(J210&lt;0.01,0,J210*Adm!$V$3)</f>
        <v>0</v>
      </c>
      <c r="G211" s="70">
        <f>IF(J210&lt;0.01,0,$J$8*Adm!$W$3/1.16)</f>
        <v>0</v>
      </c>
      <c r="H211" s="70">
        <f>IF(J210&lt;0.01,0,Adm!$AD$2)</f>
        <v>0</v>
      </c>
      <c r="I211" s="70">
        <f t="shared" si="23"/>
        <v>0</v>
      </c>
      <c r="J211" s="72">
        <f t="shared" si="24"/>
        <v>0</v>
      </c>
      <c r="L211" s="106">
        <f>IF(J210&lt;0.01,0,1)</f>
        <v>0</v>
      </c>
      <c r="N211" s="72"/>
      <c r="O211" s="76">
        <f t="shared" si="25"/>
        <v>7</v>
      </c>
      <c r="P211" s="77">
        <f t="shared" si="27"/>
        <v>0</v>
      </c>
      <c r="S211" s="190">
        <f t="shared" si="26"/>
        <v>0</v>
      </c>
      <c r="T211" s="194"/>
    </row>
    <row r="212" spans="1:20">
      <c r="A212" s="69">
        <f t="shared" si="21"/>
        <v>0</v>
      </c>
      <c r="B212" s="70">
        <f t="shared" si="19"/>
        <v>0</v>
      </c>
      <c r="C212" s="70">
        <f t="shared" si="20"/>
        <v>0</v>
      </c>
      <c r="D212" s="70">
        <f t="shared" si="22"/>
        <v>0</v>
      </c>
      <c r="E212" s="70"/>
      <c r="F212" s="70">
        <f>IF(J211&lt;0.01,0,J211*Adm!$V$3)</f>
        <v>0</v>
      </c>
      <c r="G212" s="70">
        <f>IF(J211&lt;0.01,0,$J$8*Adm!$W$3/1.16)</f>
        <v>0</v>
      </c>
      <c r="H212" s="70">
        <f>IF(J211&lt;0.01,0,Adm!$AD$2)</f>
        <v>0</v>
      </c>
      <c r="I212" s="70">
        <f t="shared" si="23"/>
        <v>0</v>
      </c>
      <c r="J212" s="72">
        <f t="shared" si="24"/>
        <v>0</v>
      </c>
      <c r="L212" s="106">
        <f>IF(J211&lt;0.01,0,2)</f>
        <v>0</v>
      </c>
      <c r="N212" s="72"/>
      <c r="O212" s="76">
        <f t="shared" si="25"/>
        <v>8</v>
      </c>
      <c r="P212" s="77">
        <f t="shared" si="27"/>
        <v>0</v>
      </c>
      <c r="S212" s="190">
        <f t="shared" si="26"/>
        <v>0</v>
      </c>
      <c r="T212" s="194"/>
    </row>
    <row r="213" spans="1:20">
      <c r="A213" s="69">
        <f t="shared" si="21"/>
        <v>0</v>
      </c>
      <c r="B213" s="70">
        <f t="shared" si="19"/>
        <v>0</v>
      </c>
      <c r="C213" s="70">
        <f t="shared" si="20"/>
        <v>0</v>
      </c>
      <c r="D213" s="70">
        <f t="shared" si="22"/>
        <v>0</v>
      </c>
      <c r="E213" s="70"/>
      <c r="F213" s="70">
        <f>IF(J212&lt;0.01,0,J212*Adm!$V$3)</f>
        <v>0</v>
      </c>
      <c r="G213" s="70">
        <f>IF(J212&lt;0.01,0,$J$8*Adm!$W$3/1.16)</f>
        <v>0</v>
      </c>
      <c r="H213" s="70">
        <f>IF(J212&lt;0.01,0,Adm!$AD$2)</f>
        <v>0</v>
      </c>
      <c r="I213" s="70">
        <f t="shared" si="23"/>
        <v>0</v>
      </c>
      <c r="J213" s="72">
        <f t="shared" si="24"/>
        <v>0</v>
      </c>
      <c r="L213" s="106">
        <f>IF(J212&lt;0.01,0,1)</f>
        <v>0</v>
      </c>
      <c r="N213" s="72"/>
      <c r="O213" s="76">
        <f t="shared" si="25"/>
        <v>9</v>
      </c>
      <c r="P213" s="77">
        <f t="shared" si="27"/>
        <v>0</v>
      </c>
      <c r="S213" s="190">
        <f t="shared" si="26"/>
        <v>0</v>
      </c>
      <c r="T213" s="194"/>
    </row>
    <row r="214" spans="1:20">
      <c r="A214" s="69">
        <f t="shared" si="21"/>
        <v>0</v>
      </c>
      <c r="B214" s="70">
        <f t="shared" si="19"/>
        <v>0</v>
      </c>
      <c r="C214" s="70">
        <f t="shared" si="20"/>
        <v>0</v>
      </c>
      <c r="D214" s="70">
        <f t="shared" si="22"/>
        <v>0</v>
      </c>
      <c r="E214" s="70"/>
      <c r="F214" s="70">
        <f>IF(J213&lt;0.01,0,J213*Adm!$V$3)</f>
        <v>0</v>
      </c>
      <c r="G214" s="70">
        <f>IF(J213&lt;0.01,0,$J$8*Adm!$W$3/1.16)</f>
        <v>0</v>
      </c>
      <c r="H214" s="70">
        <f>IF(J213&lt;0.01,0,Adm!$AD$2)</f>
        <v>0</v>
      </c>
      <c r="I214" s="70">
        <f t="shared" si="23"/>
        <v>0</v>
      </c>
      <c r="J214" s="72">
        <f t="shared" si="24"/>
        <v>0</v>
      </c>
      <c r="L214" s="106">
        <f>IF(J213&lt;0.01,0,2)</f>
        <v>0</v>
      </c>
      <c r="N214" s="72"/>
      <c r="O214" s="76">
        <f t="shared" si="25"/>
        <v>10</v>
      </c>
      <c r="P214" s="77">
        <f t="shared" si="27"/>
        <v>0</v>
      </c>
      <c r="S214" s="190">
        <f t="shared" si="26"/>
        <v>0</v>
      </c>
      <c r="T214" s="194"/>
    </row>
    <row r="215" spans="1:20">
      <c r="A215" s="69">
        <f t="shared" si="21"/>
        <v>0</v>
      </c>
      <c r="B215" s="70">
        <f t="shared" si="19"/>
        <v>0</v>
      </c>
      <c r="C215" s="70">
        <f t="shared" si="20"/>
        <v>0</v>
      </c>
      <c r="D215" s="70">
        <f t="shared" si="22"/>
        <v>0</v>
      </c>
      <c r="E215" s="70"/>
      <c r="F215" s="70">
        <f>IF(J214&lt;0.01,0,J214*Adm!$V$3)</f>
        <v>0</v>
      </c>
      <c r="G215" s="70">
        <f>IF(J214&lt;0.01,0,$J$8*Adm!$W$3/1.16)</f>
        <v>0</v>
      </c>
      <c r="H215" s="70">
        <f>IF(J214&lt;0.01,0,Adm!$AD$2)</f>
        <v>0</v>
      </c>
      <c r="I215" s="70">
        <f t="shared" si="23"/>
        <v>0</v>
      </c>
      <c r="J215" s="72">
        <f t="shared" si="24"/>
        <v>0</v>
      </c>
      <c r="L215" s="106">
        <f>IF(J214&lt;0.01,0,1)</f>
        <v>0</v>
      </c>
      <c r="N215" s="72"/>
      <c r="O215" s="76">
        <f t="shared" si="25"/>
        <v>11</v>
      </c>
      <c r="P215" s="77">
        <f t="shared" si="27"/>
        <v>0</v>
      </c>
      <c r="S215" s="190">
        <f t="shared" si="26"/>
        <v>0</v>
      </c>
      <c r="T215" s="194"/>
    </row>
    <row r="216" spans="1:20">
      <c r="A216" s="69">
        <f t="shared" si="21"/>
        <v>0</v>
      </c>
      <c r="B216" s="70">
        <f t="shared" si="19"/>
        <v>0</v>
      </c>
      <c r="C216" s="70">
        <f t="shared" si="20"/>
        <v>0</v>
      </c>
      <c r="D216" s="70">
        <f t="shared" si="22"/>
        <v>0</v>
      </c>
      <c r="E216" s="70"/>
      <c r="F216" s="70">
        <f>IF(J215&lt;0.01,0,J215*Adm!$V$3)</f>
        <v>0</v>
      </c>
      <c r="G216" s="70">
        <f>IF(J215&lt;0.01,0,$J$8*Adm!$W$3/1.16)</f>
        <v>0</v>
      </c>
      <c r="H216" s="70">
        <f>IF(J215&lt;0.01,0,Adm!$AD$2)</f>
        <v>0</v>
      </c>
      <c r="I216" s="70">
        <f t="shared" si="23"/>
        <v>0</v>
      </c>
      <c r="J216" s="72">
        <f t="shared" si="24"/>
        <v>0</v>
      </c>
      <c r="L216" s="106">
        <f>IF(J215&lt;0.01,0,2)</f>
        <v>0</v>
      </c>
      <c r="N216" s="72"/>
      <c r="O216" s="76">
        <f t="shared" si="25"/>
        <v>12</v>
      </c>
      <c r="P216" s="77">
        <f t="shared" si="27"/>
        <v>0</v>
      </c>
      <c r="S216" s="190">
        <f t="shared" si="26"/>
        <v>0</v>
      </c>
      <c r="T216" s="194"/>
    </row>
    <row r="217" spans="1:20">
      <c r="A217" s="69">
        <f t="shared" si="21"/>
        <v>0</v>
      </c>
      <c r="B217" s="70">
        <f t="shared" ref="B217:B280" si="28">IF(J216&lt;0.001,0,J216*$J$10/12)</f>
        <v>0</v>
      </c>
      <c r="C217" s="70">
        <f t="shared" ref="C217:C280" si="29">D217-B217</f>
        <v>0</v>
      </c>
      <c r="D217" s="70">
        <f t="shared" si="22"/>
        <v>0</v>
      </c>
      <c r="E217" s="70"/>
      <c r="F217" s="70">
        <f>IF(J216&lt;0.01,0,J216*Adm!$V$3)</f>
        <v>0</v>
      </c>
      <c r="G217" s="70">
        <f>IF(J216&lt;0.01,0,$J$8*Adm!$W$3/1.16)</f>
        <v>0</v>
      </c>
      <c r="H217" s="70">
        <f>IF(J216&lt;0.01,0,Adm!$AD$2)</f>
        <v>0</v>
      </c>
      <c r="I217" s="70">
        <f t="shared" si="23"/>
        <v>0</v>
      </c>
      <c r="J217" s="72">
        <f t="shared" si="24"/>
        <v>0</v>
      </c>
      <c r="L217" s="106">
        <f>IF(J216&lt;0.01,0,1)</f>
        <v>0</v>
      </c>
      <c r="N217" s="72"/>
      <c r="O217" s="76">
        <f t="shared" si="25"/>
        <v>1</v>
      </c>
      <c r="P217" s="77">
        <f t="shared" si="27"/>
        <v>0</v>
      </c>
      <c r="S217" s="190">
        <f t="shared" si="26"/>
        <v>0</v>
      </c>
      <c r="T217" s="194"/>
    </row>
    <row r="218" spans="1:20">
      <c r="A218" s="69">
        <f t="shared" ref="A218:A281" si="30">IF(J217&lt;0.01,0,A217+1)</f>
        <v>0</v>
      </c>
      <c r="B218" s="70">
        <f t="shared" si="28"/>
        <v>0</v>
      </c>
      <c r="C218" s="70">
        <f t="shared" si="29"/>
        <v>0</v>
      </c>
      <c r="D218" s="70">
        <f t="shared" ref="D218:D281" si="31">IF(J217&lt;0.001,0,MIN(J217+B218,D217*(1+P218)))</f>
        <v>0</v>
      </c>
      <c r="E218" s="70">
        <f>IF(Adm!$A$2=2,MIN(J217+B218+F218+G218+H218-I218,#REF!),0)</f>
        <v>0</v>
      </c>
      <c r="F218" s="70">
        <f>IF(J217&lt;0.01,0,J217*Adm!$V$3)</f>
        <v>0</v>
      </c>
      <c r="G218" s="70">
        <f>IF(J217&lt;0.01,0,$J$8*Adm!$W$3/1.16)</f>
        <v>0</v>
      </c>
      <c r="H218" s="70">
        <f>IF(J217&lt;0.01,0,Adm!$AD$2)</f>
        <v>0</v>
      </c>
      <c r="I218" s="70">
        <f t="shared" ref="I218:I281" si="32">IF(J217&lt;0.01,0,(D218+F218+G218+H218))</f>
        <v>0</v>
      </c>
      <c r="J218" s="72">
        <f t="shared" ref="J218:J281" si="33">IF(J217&lt;0.01,0,(J217-C218-E218))</f>
        <v>0</v>
      </c>
      <c r="L218" s="106">
        <f>IF(J217&lt;0.01,0,2)</f>
        <v>0</v>
      </c>
      <c r="N218" s="72"/>
      <c r="O218" s="76">
        <f t="shared" ref="O218:O281" si="34">IF(O217=12,1,O217+1)</f>
        <v>2</v>
      </c>
      <c r="P218" s="77">
        <f t="shared" si="27"/>
        <v>0</v>
      </c>
      <c r="S218" s="190">
        <f t="shared" ref="S218:S281" si="35">I218</f>
        <v>0</v>
      </c>
      <c r="T218" s="194"/>
    </row>
    <row r="219" spans="1:20">
      <c r="A219" s="69">
        <f t="shared" si="30"/>
        <v>0</v>
      </c>
      <c r="B219" s="70">
        <f t="shared" si="28"/>
        <v>0</v>
      </c>
      <c r="C219" s="70">
        <f t="shared" si="29"/>
        <v>0</v>
      </c>
      <c r="D219" s="70">
        <f t="shared" si="31"/>
        <v>0</v>
      </c>
      <c r="E219" s="70">
        <f>IF(Adm!$A$2=2,MIN(J218+B219+F219+G219+H219-I219,#REF!),0)</f>
        <v>0</v>
      </c>
      <c r="F219" s="70">
        <f>IF(J218&lt;0.01,0,J218*Adm!$V$3)</f>
        <v>0</v>
      </c>
      <c r="G219" s="70">
        <f>IF(J218&lt;0.01,0,$J$8*Adm!$W$3/1.16)</f>
        <v>0</v>
      </c>
      <c r="H219" s="70">
        <f>IF(J218&lt;0.01,0,Adm!$AD$2)</f>
        <v>0</v>
      </c>
      <c r="I219" s="70">
        <f t="shared" si="32"/>
        <v>0</v>
      </c>
      <c r="J219" s="72">
        <f t="shared" si="33"/>
        <v>0</v>
      </c>
      <c r="L219" s="106">
        <f>IF(J218&lt;0.01,0,1)</f>
        <v>0</v>
      </c>
      <c r="N219" s="72"/>
      <c r="O219" s="76">
        <f t="shared" si="34"/>
        <v>3</v>
      </c>
      <c r="P219" s="77">
        <f t="shared" ref="P219:P282" si="36">IF(O219=1,$J$14,0)</f>
        <v>0</v>
      </c>
      <c r="S219" s="190">
        <f t="shared" si="35"/>
        <v>0</v>
      </c>
      <c r="T219" s="194"/>
    </row>
    <row r="220" spans="1:20">
      <c r="A220" s="69">
        <f t="shared" si="30"/>
        <v>0</v>
      </c>
      <c r="B220" s="70">
        <f t="shared" si="28"/>
        <v>0</v>
      </c>
      <c r="C220" s="70">
        <f t="shared" si="29"/>
        <v>0</v>
      </c>
      <c r="D220" s="70">
        <f t="shared" si="31"/>
        <v>0</v>
      </c>
      <c r="E220" s="70">
        <f>IF(Adm!$A$2=2,MIN(J219+B220+F220+G220+H220-I220,#REF!),0)</f>
        <v>0</v>
      </c>
      <c r="F220" s="70">
        <f>IF(J219&lt;0.01,0,J219*Adm!$V$3)</f>
        <v>0</v>
      </c>
      <c r="G220" s="70">
        <f>IF(J219&lt;0.01,0,$J$8*Adm!$W$3/1.16)</f>
        <v>0</v>
      </c>
      <c r="H220" s="70">
        <f>IF(J219&lt;0.01,0,Adm!$AD$2)</f>
        <v>0</v>
      </c>
      <c r="I220" s="70">
        <f t="shared" si="32"/>
        <v>0</v>
      </c>
      <c r="J220" s="72">
        <f t="shared" si="33"/>
        <v>0</v>
      </c>
      <c r="L220" s="106">
        <f>IF(J219&lt;0.01,0,2)</f>
        <v>0</v>
      </c>
      <c r="N220" s="72"/>
      <c r="O220" s="76">
        <f t="shared" si="34"/>
        <v>4</v>
      </c>
      <c r="P220" s="77">
        <f t="shared" si="36"/>
        <v>0</v>
      </c>
      <c r="S220" s="190">
        <f t="shared" si="35"/>
        <v>0</v>
      </c>
      <c r="T220" s="194"/>
    </row>
    <row r="221" spans="1:20">
      <c r="A221" s="69">
        <f t="shared" si="30"/>
        <v>0</v>
      </c>
      <c r="B221" s="70">
        <f t="shared" si="28"/>
        <v>0</v>
      </c>
      <c r="C221" s="70">
        <f t="shared" si="29"/>
        <v>0</v>
      </c>
      <c r="D221" s="70">
        <f t="shared" si="31"/>
        <v>0</v>
      </c>
      <c r="E221" s="70">
        <f>IF(Adm!$A$2=2,MIN(J220+B221+F221+G221+H221-I221,#REF!),0)</f>
        <v>0</v>
      </c>
      <c r="F221" s="70">
        <f>IF(J220&lt;0.01,0,J220*Adm!$V$3)</f>
        <v>0</v>
      </c>
      <c r="G221" s="70">
        <f>IF(J220&lt;0.01,0,$J$8*Adm!$W$3/1.16)</f>
        <v>0</v>
      </c>
      <c r="H221" s="70">
        <f>IF(J220&lt;0.01,0,Adm!$AD$2)</f>
        <v>0</v>
      </c>
      <c r="I221" s="70">
        <f t="shared" si="32"/>
        <v>0</v>
      </c>
      <c r="J221" s="72">
        <f t="shared" si="33"/>
        <v>0</v>
      </c>
      <c r="L221" s="106">
        <f>IF(J220&lt;0.01,0,1)</f>
        <v>0</v>
      </c>
      <c r="N221" s="72"/>
      <c r="O221" s="76">
        <f t="shared" si="34"/>
        <v>5</v>
      </c>
      <c r="P221" s="77">
        <f t="shared" si="36"/>
        <v>0</v>
      </c>
      <c r="S221" s="190">
        <f t="shared" si="35"/>
        <v>0</v>
      </c>
      <c r="T221" s="194"/>
    </row>
    <row r="222" spans="1:20">
      <c r="A222" s="69">
        <f t="shared" si="30"/>
        <v>0</v>
      </c>
      <c r="B222" s="70">
        <f t="shared" si="28"/>
        <v>0</v>
      </c>
      <c r="C222" s="70">
        <f t="shared" si="29"/>
        <v>0</v>
      </c>
      <c r="D222" s="70">
        <f t="shared" si="31"/>
        <v>0</v>
      </c>
      <c r="E222" s="70">
        <f>IF(Adm!$A$2=2,MIN(J221+B222+F222+G222+H222-I222,#REF!),0)</f>
        <v>0</v>
      </c>
      <c r="F222" s="70">
        <f>IF(J221&lt;0.01,0,J221*Adm!$V$3)</f>
        <v>0</v>
      </c>
      <c r="G222" s="70">
        <f>IF(J221&lt;0.01,0,$J$8*Adm!$W$3/1.16)</f>
        <v>0</v>
      </c>
      <c r="H222" s="70">
        <f>IF(J221&lt;0.01,0,Adm!$AD$2)</f>
        <v>0</v>
      </c>
      <c r="I222" s="70">
        <f t="shared" si="32"/>
        <v>0</v>
      </c>
      <c r="J222" s="72">
        <f t="shared" si="33"/>
        <v>0</v>
      </c>
      <c r="L222" s="106">
        <f>IF(J221&lt;0.01,0,2)</f>
        <v>0</v>
      </c>
      <c r="N222" s="72"/>
      <c r="O222" s="76">
        <f t="shared" si="34"/>
        <v>6</v>
      </c>
      <c r="P222" s="77">
        <f t="shared" si="36"/>
        <v>0</v>
      </c>
      <c r="S222" s="190">
        <f t="shared" si="35"/>
        <v>0</v>
      </c>
      <c r="T222" s="194"/>
    </row>
    <row r="223" spans="1:20">
      <c r="A223" s="69">
        <f t="shared" si="30"/>
        <v>0</v>
      </c>
      <c r="B223" s="70">
        <f t="shared" si="28"/>
        <v>0</v>
      </c>
      <c r="C223" s="70">
        <f t="shared" si="29"/>
        <v>0</v>
      </c>
      <c r="D223" s="70">
        <f t="shared" si="31"/>
        <v>0</v>
      </c>
      <c r="E223" s="70">
        <f>IF(Adm!$A$2=2,MIN(J222+B223+F223+G223+H223-I223,#REF!),0)</f>
        <v>0</v>
      </c>
      <c r="F223" s="70">
        <f>IF(J222&lt;0.01,0,J222*Adm!$V$3)</f>
        <v>0</v>
      </c>
      <c r="G223" s="70">
        <f>IF(J222&lt;0.01,0,$J$8*Adm!$W$3/1.16)</f>
        <v>0</v>
      </c>
      <c r="H223" s="70">
        <f>IF(J222&lt;0.01,0,Adm!$AD$2)</f>
        <v>0</v>
      </c>
      <c r="I223" s="70">
        <f t="shared" si="32"/>
        <v>0</v>
      </c>
      <c r="J223" s="72">
        <f t="shared" si="33"/>
        <v>0</v>
      </c>
      <c r="L223" s="106">
        <f>IF(J222&lt;0.01,0,1)</f>
        <v>0</v>
      </c>
      <c r="N223" s="72"/>
      <c r="O223" s="76">
        <f t="shared" si="34"/>
        <v>7</v>
      </c>
      <c r="P223" s="77">
        <f t="shared" si="36"/>
        <v>0</v>
      </c>
      <c r="S223" s="190">
        <f t="shared" si="35"/>
        <v>0</v>
      </c>
      <c r="T223" s="194"/>
    </row>
    <row r="224" spans="1:20">
      <c r="A224" s="69">
        <f t="shared" si="30"/>
        <v>0</v>
      </c>
      <c r="B224" s="70">
        <f t="shared" si="28"/>
        <v>0</v>
      </c>
      <c r="C224" s="70">
        <f t="shared" si="29"/>
        <v>0</v>
      </c>
      <c r="D224" s="70">
        <f t="shared" si="31"/>
        <v>0</v>
      </c>
      <c r="E224" s="70">
        <f>IF(Adm!$A$2=2,MIN(J223+B224+F224+G224+H224-I224,#REF!),0)</f>
        <v>0</v>
      </c>
      <c r="F224" s="70">
        <f>IF(J223&lt;0.01,0,J223*Adm!$V$3)</f>
        <v>0</v>
      </c>
      <c r="G224" s="70">
        <f>IF(J223&lt;0.01,0,$J$8*Adm!$W$3/1.16)</f>
        <v>0</v>
      </c>
      <c r="H224" s="70">
        <f>IF(J223&lt;0.01,0,Adm!$AD$2)</f>
        <v>0</v>
      </c>
      <c r="I224" s="70">
        <f t="shared" si="32"/>
        <v>0</v>
      </c>
      <c r="J224" s="72">
        <f t="shared" si="33"/>
        <v>0</v>
      </c>
      <c r="L224" s="106">
        <f>IF(J223&lt;0.01,0,2)</f>
        <v>0</v>
      </c>
      <c r="N224" s="72"/>
      <c r="O224" s="76">
        <f t="shared" si="34"/>
        <v>8</v>
      </c>
      <c r="P224" s="77">
        <f t="shared" si="36"/>
        <v>0</v>
      </c>
      <c r="S224" s="190">
        <f t="shared" si="35"/>
        <v>0</v>
      </c>
      <c r="T224" s="194"/>
    </row>
    <row r="225" spans="1:20">
      <c r="A225" s="69">
        <f t="shared" si="30"/>
        <v>0</v>
      </c>
      <c r="B225" s="70">
        <f t="shared" si="28"/>
        <v>0</v>
      </c>
      <c r="C225" s="70">
        <f t="shared" si="29"/>
        <v>0</v>
      </c>
      <c r="D225" s="70">
        <f t="shared" si="31"/>
        <v>0</v>
      </c>
      <c r="E225" s="70">
        <f>IF(Adm!$A$2=2,MIN(J224+B225+F225+G225+H225-I225,#REF!),0)</f>
        <v>0</v>
      </c>
      <c r="F225" s="70">
        <f>IF(J224&lt;0.01,0,J224*Adm!$V$3)</f>
        <v>0</v>
      </c>
      <c r="G225" s="70">
        <f>IF(J224&lt;0.01,0,$J$8*Adm!$W$3/1.16)</f>
        <v>0</v>
      </c>
      <c r="H225" s="70">
        <f>IF(J224&lt;0.01,0,Adm!$AD$2)</f>
        <v>0</v>
      </c>
      <c r="I225" s="70">
        <f t="shared" si="32"/>
        <v>0</v>
      </c>
      <c r="J225" s="72">
        <f t="shared" si="33"/>
        <v>0</v>
      </c>
      <c r="L225" s="106">
        <f>IF(J224&lt;0.01,0,1)</f>
        <v>0</v>
      </c>
      <c r="N225" s="72"/>
      <c r="O225" s="76">
        <f t="shared" si="34"/>
        <v>9</v>
      </c>
      <c r="P225" s="77">
        <f t="shared" si="36"/>
        <v>0</v>
      </c>
      <c r="S225" s="190">
        <f t="shared" si="35"/>
        <v>0</v>
      </c>
      <c r="T225" s="194"/>
    </row>
    <row r="226" spans="1:20">
      <c r="A226" s="69">
        <f t="shared" si="30"/>
        <v>0</v>
      </c>
      <c r="B226" s="70">
        <f t="shared" si="28"/>
        <v>0</v>
      </c>
      <c r="C226" s="70">
        <f t="shared" si="29"/>
        <v>0</v>
      </c>
      <c r="D226" s="70">
        <f t="shared" si="31"/>
        <v>0</v>
      </c>
      <c r="E226" s="70">
        <f>IF(Adm!$A$2=2,MIN(J225+B226+F226+G226+H226-I226,#REF!),0)</f>
        <v>0</v>
      </c>
      <c r="F226" s="70">
        <f>IF(J225&lt;0.01,0,J225*Adm!$V$3)</f>
        <v>0</v>
      </c>
      <c r="G226" s="70">
        <f>IF(J225&lt;0.01,0,$J$8*Adm!$W$3/1.16)</f>
        <v>0</v>
      </c>
      <c r="H226" s="70">
        <f>IF(J225&lt;0.01,0,Adm!$AD$2)</f>
        <v>0</v>
      </c>
      <c r="I226" s="70">
        <f t="shared" si="32"/>
        <v>0</v>
      </c>
      <c r="J226" s="72">
        <f t="shared" si="33"/>
        <v>0</v>
      </c>
      <c r="L226" s="106">
        <f>IF(J225&lt;0.01,0,2)</f>
        <v>0</v>
      </c>
      <c r="N226" s="72"/>
      <c r="O226" s="76">
        <f t="shared" si="34"/>
        <v>10</v>
      </c>
      <c r="P226" s="77">
        <f t="shared" si="36"/>
        <v>0</v>
      </c>
      <c r="S226" s="190">
        <f t="shared" si="35"/>
        <v>0</v>
      </c>
      <c r="T226" s="194"/>
    </row>
    <row r="227" spans="1:20">
      <c r="A227" s="69">
        <f t="shared" si="30"/>
        <v>0</v>
      </c>
      <c r="B227" s="70">
        <f t="shared" si="28"/>
        <v>0</v>
      </c>
      <c r="C227" s="70">
        <f t="shared" si="29"/>
        <v>0</v>
      </c>
      <c r="D227" s="70">
        <f t="shared" si="31"/>
        <v>0</v>
      </c>
      <c r="E227" s="70">
        <f>IF(Adm!$A$2=2,MIN(J226+B227+F227+G227+H227-I227,#REF!),0)</f>
        <v>0</v>
      </c>
      <c r="F227" s="70">
        <f>IF(J226&lt;0.01,0,J226*Adm!$V$3)</f>
        <v>0</v>
      </c>
      <c r="G227" s="70">
        <f>IF(J226&lt;0.01,0,$J$8*Adm!$W$3/1.16)</f>
        <v>0</v>
      </c>
      <c r="H227" s="70">
        <f>IF(J226&lt;0.01,0,Adm!$AD$2)</f>
        <v>0</v>
      </c>
      <c r="I227" s="70">
        <f t="shared" si="32"/>
        <v>0</v>
      </c>
      <c r="J227" s="72">
        <f t="shared" si="33"/>
        <v>0</v>
      </c>
      <c r="L227" s="106">
        <f>IF(J226&lt;0.01,0,1)</f>
        <v>0</v>
      </c>
      <c r="N227" s="72"/>
      <c r="O227" s="76">
        <f t="shared" si="34"/>
        <v>11</v>
      </c>
      <c r="P227" s="77">
        <f t="shared" si="36"/>
        <v>0</v>
      </c>
      <c r="S227" s="190">
        <f t="shared" si="35"/>
        <v>0</v>
      </c>
      <c r="T227" s="194"/>
    </row>
    <row r="228" spans="1:20">
      <c r="A228" s="69">
        <f t="shared" si="30"/>
        <v>0</v>
      </c>
      <c r="B228" s="70">
        <f t="shared" si="28"/>
        <v>0</v>
      </c>
      <c r="C228" s="70">
        <f t="shared" si="29"/>
        <v>0</v>
      </c>
      <c r="D228" s="70">
        <f t="shared" si="31"/>
        <v>0</v>
      </c>
      <c r="E228" s="70">
        <f>IF(Adm!$A$2=2,MIN(J227+B228+F228+G228+H228-I228,#REF!),0)</f>
        <v>0</v>
      </c>
      <c r="F228" s="70">
        <f>IF(J227&lt;0.01,0,J227*Adm!$V$3)</f>
        <v>0</v>
      </c>
      <c r="G228" s="70">
        <f>IF(J227&lt;0.01,0,$J$8*Adm!$W$3/1.16)</f>
        <v>0</v>
      </c>
      <c r="H228" s="70">
        <f>IF(J227&lt;0.01,0,Adm!$AD$2)</f>
        <v>0</v>
      </c>
      <c r="I228" s="70">
        <f t="shared" si="32"/>
        <v>0</v>
      </c>
      <c r="J228" s="72">
        <f t="shared" si="33"/>
        <v>0</v>
      </c>
      <c r="L228" s="106">
        <f>IF(J227&lt;0.01,0,2)</f>
        <v>0</v>
      </c>
      <c r="N228" s="72"/>
      <c r="O228" s="76">
        <f t="shared" si="34"/>
        <v>12</v>
      </c>
      <c r="P228" s="77">
        <f t="shared" si="36"/>
        <v>0</v>
      </c>
      <c r="S228" s="190">
        <f t="shared" si="35"/>
        <v>0</v>
      </c>
      <c r="T228" s="194"/>
    </row>
    <row r="229" spans="1:20">
      <c r="A229" s="69">
        <f t="shared" si="30"/>
        <v>0</v>
      </c>
      <c r="B229" s="70">
        <f t="shared" si="28"/>
        <v>0</v>
      </c>
      <c r="C229" s="70">
        <f t="shared" si="29"/>
        <v>0</v>
      </c>
      <c r="D229" s="70">
        <f t="shared" si="31"/>
        <v>0</v>
      </c>
      <c r="E229" s="70">
        <f>IF(Adm!$A$2=2,MIN(J228+B229+F229+G229+H229-I229,#REF!),0)</f>
        <v>0</v>
      </c>
      <c r="F229" s="70">
        <f>IF(J228&lt;0.01,0,J228*Adm!$V$3)</f>
        <v>0</v>
      </c>
      <c r="G229" s="70">
        <f>IF(J228&lt;0.01,0,$J$8*Adm!$W$3/1.16)</f>
        <v>0</v>
      </c>
      <c r="H229" s="70">
        <f>IF(J228&lt;0.01,0,Adm!$AD$2)</f>
        <v>0</v>
      </c>
      <c r="I229" s="70">
        <f t="shared" si="32"/>
        <v>0</v>
      </c>
      <c r="J229" s="72">
        <f t="shared" si="33"/>
        <v>0</v>
      </c>
      <c r="L229" s="106">
        <f>IF(J228&lt;0.01,0,1)</f>
        <v>0</v>
      </c>
      <c r="N229" s="72"/>
      <c r="O229" s="76">
        <f t="shared" si="34"/>
        <v>1</v>
      </c>
      <c r="P229" s="77">
        <f t="shared" si="36"/>
        <v>0</v>
      </c>
      <c r="S229" s="190">
        <f t="shared" si="35"/>
        <v>0</v>
      </c>
      <c r="T229" s="194"/>
    </row>
    <row r="230" spans="1:20">
      <c r="A230" s="69">
        <f t="shared" si="30"/>
        <v>0</v>
      </c>
      <c r="B230" s="70">
        <f t="shared" si="28"/>
        <v>0</v>
      </c>
      <c r="C230" s="70">
        <f t="shared" si="29"/>
        <v>0</v>
      </c>
      <c r="D230" s="70">
        <f t="shared" si="31"/>
        <v>0</v>
      </c>
      <c r="E230" s="70">
        <f>IF(Adm!$A$2=2,MIN(J229+B230+F230+G230+H230-I230,#REF!),0)</f>
        <v>0</v>
      </c>
      <c r="F230" s="70">
        <f>IF(J229&lt;0.01,0,J229*Adm!$V$3)</f>
        <v>0</v>
      </c>
      <c r="G230" s="70">
        <f>IF(J229&lt;0.01,0,$J$8*Adm!$W$3/1.16)</f>
        <v>0</v>
      </c>
      <c r="H230" s="70">
        <f>IF(J229&lt;0.01,0,Adm!$AD$2)</f>
        <v>0</v>
      </c>
      <c r="I230" s="70">
        <f t="shared" si="32"/>
        <v>0</v>
      </c>
      <c r="J230" s="72">
        <f t="shared" si="33"/>
        <v>0</v>
      </c>
      <c r="L230" s="106">
        <f>IF(J229&lt;0.01,0,2)</f>
        <v>0</v>
      </c>
      <c r="N230" s="72"/>
      <c r="O230" s="76">
        <f t="shared" si="34"/>
        <v>2</v>
      </c>
      <c r="P230" s="77">
        <f t="shared" si="36"/>
        <v>0</v>
      </c>
      <c r="S230" s="190">
        <f t="shared" si="35"/>
        <v>0</v>
      </c>
      <c r="T230" s="194"/>
    </row>
    <row r="231" spans="1:20">
      <c r="A231" s="69">
        <f t="shared" si="30"/>
        <v>0</v>
      </c>
      <c r="B231" s="70">
        <f t="shared" si="28"/>
        <v>0</v>
      </c>
      <c r="C231" s="70">
        <f t="shared" si="29"/>
        <v>0</v>
      </c>
      <c r="D231" s="70">
        <f t="shared" si="31"/>
        <v>0</v>
      </c>
      <c r="E231" s="70">
        <f>IF(Adm!$A$2=2,MIN(J230+B231+F231+G231+H231-I231,#REF!),0)</f>
        <v>0</v>
      </c>
      <c r="F231" s="70">
        <f>IF(J230&lt;0.01,0,J230*Adm!$V$3)</f>
        <v>0</v>
      </c>
      <c r="G231" s="70">
        <f>IF(J230&lt;0.01,0,$J$8*Adm!$W$3/1.16)</f>
        <v>0</v>
      </c>
      <c r="H231" s="70">
        <f>IF(J230&lt;0.01,0,Adm!$AD$2)</f>
        <v>0</v>
      </c>
      <c r="I231" s="70">
        <f t="shared" si="32"/>
        <v>0</v>
      </c>
      <c r="J231" s="72">
        <f t="shared" si="33"/>
        <v>0</v>
      </c>
      <c r="L231" s="106">
        <f>IF(J230&lt;0.01,0,1)</f>
        <v>0</v>
      </c>
      <c r="N231" s="72"/>
      <c r="O231" s="76">
        <f t="shared" si="34"/>
        <v>3</v>
      </c>
      <c r="P231" s="77">
        <f t="shared" si="36"/>
        <v>0</v>
      </c>
      <c r="S231" s="190">
        <f t="shared" si="35"/>
        <v>0</v>
      </c>
      <c r="T231" s="194"/>
    </row>
    <row r="232" spans="1:20">
      <c r="A232" s="69">
        <f t="shared" si="30"/>
        <v>0</v>
      </c>
      <c r="B232" s="70">
        <f t="shared" si="28"/>
        <v>0</v>
      </c>
      <c r="C232" s="70">
        <f t="shared" si="29"/>
        <v>0</v>
      </c>
      <c r="D232" s="70">
        <f t="shared" si="31"/>
        <v>0</v>
      </c>
      <c r="E232" s="70">
        <f>IF(Adm!$A$2=2,MIN(J231+B232+F232+G232+H232-I232,#REF!),0)</f>
        <v>0</v>
      </c>
      <c r="F232" s="70">
        <f>IF(J231&lt;0.01,0,J231*Adm!$V$3)</f>
        <v>0</v>
      </c>
      <c r="G232" s="70">
        <f>IF(J231&lt;0.01,0,$J$8*Adm!$W$3/1.16)</f>
        <v>0</v>
      </c>
      <c r="H232" s="70">
        <f>IF(J231&lt;0.01,0,Adm!$AD$2)</f>
        <v>0</v>
      </c>
      <c r="I232" s="70">
        <f t="shared" si="32"/>
        <v>0</v>
      </c>
      <c r="J232" s="72">
        <f t="shared" si="33"/>
        <v>0</v>
      </c>
      <c r="L232" s="106">
        <f>IF(J231&lt;0.01,0,2)</f>
        <v>0</v>
      </c>
      <c r="N232" s="72"/>
      <c r="O232" s="76">
        <f t="shared" si="34"/>
        <v>4</v>
      </c>
      <c r="P232" s="77">
        <f t="shared" si="36"/>
        <v>0</v>
      </c>
      <c r="S232" s="190">
        <f t="shared" si="35"/>
        <v>0</v>
      </c>
      <c r="T232" s="194"/>
    </row>
    <row r="233" spans="1:20">
      <c r="A233" s="69">
        <f t="shared" si="30"/>
        <v>0</v>
      </c>
      <c r="B233" s="70">
        <f t="shared" si="28"/>
        <v>0</v>
      </c>
      <c r="C233" s="70">
        <f t="shared" si="29"/>
        <v>0</v>
      </c>
      <c r="D233" s="70">
        <f t="shared" si="31"/>
        <v>0</v>
      </c>
      <c r="E233" s="70">
        <f>IF(Adm!$A$2=2,MIN(J232+B233+F233+G233+H233-I233,#REF!),0)</f>
        <v>0</v>
      </c>
      <c r="F233" s="70">
        <f>IF(J232&lt;0.01,0,J232*Adm!$V$3)</f>
        <v>0</v>
      </c>
      <c r="G233" s="70">
        <f>IF(J232&lt;0.01,0,$J$8*Adm!$W$3/1.16)</f>
        <v>0</v>
      </c>
      <c r="H233" s="70">
        <f>IF(J232&lt;0.01,0,Adm!$AD$2)</f>
        <v>0</v>
      </c>
      <c r="I233" s="70">
        <f t="shared" si="32"/>
        <v>0</v>
      </c>
      <c r="J233" s="72">
        <f t="shared" si="33"/>
        <v>0</v>
      </c>
      <c r="L233" s="106">
        <f>IF(J232&lt;0.01,0,1)</f>
        <v>0</v>
      </c>
      <c r="N233" s="72"/>
      <c r="O233" s="76">
        <f t="shared" si="34"/>
        <v>5</v>
      </c>
      <c r="P233" s="77">
        <f t="shared" si="36"/>
        <v>0</v>
      </c>
      <c r="S233" s="190">
        <f t="shared" si="35"/>
        <v>0</v>
      </c>
      <c r="T233" s="194"/>
    </row>
    <row r="234" spans="1:20">
      <c r="A234" s="69">
        <f t="shared" si="30"/>
        <v>0</v>
      </c>
      <c r="B234" s="70">
        <f t="shared" si="28"/>
        <v>0</v>
      </c>
      <c r="C234" s="70">
        <f t="shared" si="29"/>
        <v>0</v>
      </c>
      <c r="D234" s="70">
        <f t="shared" si="31"/>
        <v>0</v>
      </c>
      <c r="E234" s="70">
        <f>IF(Adm!$A$2=2,MIN(J233+B234+F234+G234+H234-I234,#REF!),0)</f>
        <v>0</v>
      </c>
      <c r="F234" s="70">
        <f>IF(J233&lt;0.01,0,J233*Adm!$V$3)</f>
        <v>0</v>
      </c>
      <c r="G234" s="70">
        <f>IF(J233&lt;0.01,0,$J$8*Adm!$W$3/1.16)</f>
        <v>0</v>
      </c>
      <c r="H234" s="70">
        <f>IF(J233&lt;0.01,0,Adm!$AD$2)</f>
        <v>0</v>
      </c>
      <c r="I234" s="70">
        <f t="shared" si="32"/>
        <v>0</v>
      </c>
      <c r="J234" s="72">
        <f t="shared" si="33"/>
        <v>0</v>
      </c>
      <c r="L234" s="106">
        <f>IF(J233&lt;0.01,0,2)</f>
        <v>0</v>
      </c>
      <c r="N234" s="72"/>
      <c r="O234" s="76">
        <f t="shared" si="34"/>
        <v>6</v>
      </c>
      <c r="P234" s="77">
        <f t="shared" si="36"/>
        <v>0</v>
      </c>
      <c r="S234" s="190">
        <f t="shared" si="35"/>
        <v>0</v>
      </c>
      <c r="T234" s="194"/>
    </row>
    <row r="235" spans="1:20">
      <c r="A235" s="69">
        <f t="shared" si="30"/>
        <v>0</v>
      </c>
      <c r="B235" s="70">
        <f t="shared" si="28"/>
        <v>0</v>
      </c>
      <c r="C235" s="70">
        <f t="shared" si="29"/>
        <v>0</v>
      </c>
      <c r="D235" s="70">
        <f t="shared" si="31"/>
        <v>0</v>
      </c>
      <c r="E235" s="70">
        <f>IF(Adm!$A$2=2,MIN(J234+B235+F235+G235+H235-I235,#REF!),0)</f>
        <v>0</v>
      </c>
      <c r="F235" s="70">
        <f>IF(J234&lt;0.01,0,J234*Adm!$V$3)</f>
        <v>0</v>
      </c>
      <c r="G235" s="70">
        <f>IF(J234&lt;0.01,0,$J$8*Adm!$W$3/1.16)</f>
        <v>0</v>
      </c>
      <c r="H235" s="70">
        <f>IF(J234&lt;0.01,0,Adm!$AD$2)</f>
        <v>0</v>
      </c>
      <c r="I235" s="70">
        <f t="shared" si="32"/>
        <v>0</v>
      </c>
      <c r="J235" s="72">
        <f t="shared" si="33"/>
        <v>0</v>
      </c>
      <c r="L235" s="106">
        <f>IF(J234&lt;0.01,0,1)</f>
        <v>0</v>
      </c>
      <c r="N235" s="72"/>
      <c r="O235" s="76">
        <f t="shared" si="34"/>
        <v>7</v>
      </c>
      <c r="P235" s="77">
        <f t="shared" si="36"/>
        <v>0</v>
      </c>
      <c r="S235" s="190">
        <f t="shared" si="35"/>
        <v>0</v>
      </c>
      <c r="T235" s="194"/>
    </row>
    <row r="236" spans="1:20">
      <c r="A236" s="69">
        <f t="shared" si="30"/>
        <v>0</v>
      </c>
      <c r="B236" s="70">
        <f t="shared" si="28"/>
        <v>0</v>
      </c>
      <c r="C236" s="70">
        <f t="shared" si="29"/>
        <v>0</v>
      </c>
      <c r="D236" s="70">
        <f t="shared" si="31"/>
        <v>0</v>
      </c>
      <c r="E236" s="70">
        <f>IF(Adm!$A$2=2,MIN(J235+B236+F236+G236+H236-I236,#REF!),0)</f>
        <v>0</v>
      </c>
      <c r="F236" s="70">
        <f>IF(J235&lt;0.01,0,J235*Adm!$V$3)</f>
        <v>0</v>
      </c>
      <c r="G236" s="70">
        <f>IF(J235&lt;0.01,0,$J$8*Adm!$W$3/1.16)</f>
        <v>0</v>
      </c>
      <c r="H236" s="70">
        <f>IF(J235&lt;0.01,0,Adm!$AD$2)</f>
        <v>0</v>
      </c>
      <c r="I236" s="70">
        <f t="shared" si="32"/>
        <v>0</v>
      </c>
      <c r="J236" s="72">
        <f t="shared" si="33"/>
        <v>0</v>
      </c>
      <c r="L236" s="106">
        <f>IF(J235&lt;0.01,0,2)</f>
        <v>0</v>
      </c>
      <c r="N236" s="72"/>
      <c r="O236" s="76">
        <f t="shared" si="34"/>
        <v>8</v>
      </c>
      <c r="P236" s="77">
        <f t="shared" si="36"/>
        <v>0</v>
      </c>
      <c r="S236" s="190">
        <f t="shared" si="35"/>
        <v>0</v>
      </c>
      <c r="T236" s="194"/>
    </row>
    <row r="237" spans="1:20">
      <c r="A237" s="69">
        <f t="shared" si="30"/>
        <v>0</v>
      </c>
      <c r="B237" s="70">
        <f t="shared" si="28"/>
        <v>0</v>
      </c>
      <c r="C237" s="70">
        <f t="shared" si="29"/>
        <v>0</v>
      </c>
      <c r="D237" s="70">
        <f t="shared" si="31"/>
        <v>0</v>
      </c>
      <c r="E237" s="70">
        <f>IF(Adm!$A$2=2,MIN(J236+B237+F237+G237+H237-I237,#REF!),0)</f>
        <v>0</v>
      </c>
      <c r="F237" s="70">
        <f>IF(J236&lt;0.01,0,J236*Adm!$V$3)</f>
        <v>0</v>
      </c>
      <c r="G237" s="70">
        <f>IF(J236&lt;0.01,0,$J$8*Adm!$W$3/1.16)</f>
        <v>0</v>
      </c>
      <c r="H237" s="70">
        <f>IF(J236&lt;0.01,0,Adm!$AD$2)</f>
        <v>0</v>
      </c>
      <c r="I237" s="70">
        <f t="shared" si="32"/>
        <v>0</v>
      </c>
      <c r="J237" s="72">
        <f t="shared" si="33"/>
        <v>0</v>
      </c>
      <c r="L237" s="106">
        <f>IF(J236&lt;0.01,0,1)</f>
        <v>0</v>
      </c>
      <c r="N237" s="72"/>
      <c r="O237" s="76">
        <f t="shared" si="34"/>
        <v>9</v>
      </c>
      <c r="P237" s="77">
        <f t="shared" si="36"/>
        <v>0</v>
      </c>
      <c r="S237" s="190">
        <f t="shared" si="35"/>
        <v>0</v>
      </c>
      <c r="T237" s="194"/>
    </row>
    <row r="238" spans="1:20">
      <c r="A238" s="69">
        <f t="shared" si="30"/>
        <v>0</v>
      </c>
      <c r="B238" s="70">
        <f t="shared" si="28"/>
        <v>0</v>
      </c>
      <c r="C238" s="70">
        <f t="shared" si="29"/>
        <v>0</v>
      </c>
      <c r="D238" s="70">
        <f t="shared" si="31"/>
        <v>0</v>
      </c>
      <c r="E238" s="70">
        <f>IF(Adm!$A$2=2,MIN(J237+B238+F238+G238+H238-I238,#REF!),0)</f>
        <v>0</v>
      </c>
      <c r="F238" s="70">
        <f>IF(J237&lt;0.01,0,J237*Adm!$V$3)</f>
        <v>0</v>
      </c>
      <c r="G238" s="70">
        <f>IF(J237&lt;0.01,0,$J$8*Adm!$W$3/1.16)</f>
        <v>0</v>
      </c>
      <c r="H238" s="70">
        <f>IF(J237&lt;0.01,0,Adm!$AD$2)</f>
        <v>0</v>
      </c>
      <c r="I238" s="70">
        <f t="shared" si="32"/>
        <v>0</v>
      </c>
      <c r="J238" s="72">
        <f t="shared" si="33"/>
        <v>0</v>
      </c>
      <c r="L238" s="106">
        <f>IF(J237&lt;0.01,0,2)</f>
        <v>0</v>
      </c>
      <c r="N238" s="72"/>
      <c r="O238" s="76">
        <f t="shared" si="34"/>
        <v>10</v>
      </c>
      <c r="P238" s="77">
        <f t="shared" si="36"/>
        <v>0</v>
      </c>
      <c r="S238" s="190">
        <f t="shared" si="35"/>
        <v>0</v>
      </c>
      <c r="T238" s="194"/>
    </row>
    <row r="239" spans="1:20">
      <c r="A239" s="69">
        <f t="shared" si="30"/>
        <v>0</v>
      </c>
      <c r="B239" s="70">
        <f t="shared" si="28"/>
        <v>0</v>
      </c>
      <c r="C239" s="70">
        <f t="shared" si="29"/>
        <v>0</v>
      </c>
      <c r="D239" s="70">
        <f t="shared" si="31"/>
        <v>0</v>
      </c>
      <c r="E239" s="70">
        <f>IF(Adm!$A$2=2,MIN(J238+B239+F239+G239+H239-I239,#REF!),0)</f>
        <v>0</v>
      </c>
      <c r="F239" s="70">
        <f>IF(J238&lt;0.01,0,J238*Adm!$V$3)</f>
        <v>0</v>
      </c>
      <c r="G239" s="70">
        <f>IF(J238&lt;0.01,0,$J$8*Adm!$W$3/1.16)</f>
        <v>0</v>
      </c>
      <c r="H239" s="70">
        <f>IF(J238&lt;0.01,0,Adm!$AD$2)</f>
        <v>0</v>
      </c>
      <c r="I239" s="70">
        <f t="shared" si="32"/>
        <v>0</v>
      </c>
      <c r="J239" s="72">
        <f t="shared" si="33"/>
        <v>0</v>
      </c>
      <c r="L239" s="106">
        <f>IF(J238&lt;0.01,0,1)</f>
        <v>0</v>
      </c>
      <c r="N239" s="72"/>
      <c r="O239" s="76">
        <f t="shared" si="34"/>
        <v>11</v>
      </c>
      <c r="P239" s="77">
        <f t="shared" si="36"/>
        <v>0</v>
      </c>
      <c r="S239" s="190">
        <f t="shared" si="35"/>
        <v>0</v>
      </c>
      <c r="T239" s="194"/>
    </row>
    <row r="240" spans="1:20">
      <c r="A240" s="69">
        <f t="shared" si="30"/>
        <v>0</v>
      </c>
      <c r="B240" s="70">
        <f t="shared" si="28"/>
        <v>0</v>
      </c>
      <c r="C240" s="70">
        <f t="shared" si="29"/>
        <v>0</v>
      </c>
      <c r="D240" s="70">
        <f t="shared" si="31"/>
        <v>0</v>
      </c>
      <c r="E240" s="70">
        <f>IF(Adm!$A$2=2,MIN(J239+B240+F240+G240+H240-I240,#REF!),0)</f>
        <v>0</v>
      </c>
      <c r="F240" s="70">
        <f>IF(J239&lt;0.01,0,J239*Adm!$V$3)</f>
        <v>0</v>
      </c>
      <c r="G240" s="70">
        <f>IF(J239&lt;0.01,0,$J$8*Adm!$W$3/1.16)</f>
        <v>0</v>
      </c>
      <c r="H240" s="70">
        <f>IF(J239&lt;0.01,0,Adm!$AD$2)</f>
        <v>0</v>
      </c>
      <c r="I240" s="70">
        <f t="shared" si="32"/>
        <v>0</v>
      </c>
      <c r="J240" s="72">
        <f t="shared" si="33"/>
        <v>0</v>
      </c>
      <c r="L240" s="106">
        <f>IF(J239&lt;0.01,0,2)</f>
        <v>0</v>
      </c>
      <c r="N240" s="72"/>
      <c r="O240" s="76">
        <f t="shared" si="34"/>
        <v>12</v>
      </c>
      <c r="P240" s="77">
        <f t="shared" si="36"/>
        <v>0</v>
      </c>
      <c r="S240" s="190">
        <f t="shared" si="35"/>
        <v>0</v>
      </c>
      <c r="T240" s="194"/>
    </row>
    <row r="241" spans="1:20">
      <c r="A241" s="69">
        <f t="shared" si="30"/>
        <v>0</v>
      </c>
      <c r="B241" s="70">
        <f t="shared" si="28"/>
        <v>0</v>
      </c>
      <c r="C241" s="70">
        <f t="shared" si="29"/>
        <v>0</v>
      </c>
      <c r="D241" s="70">
        <f t="shared" si="31"/>
        <v>0</v>
      </c>
      <c r="E241" s="70">
        <f>IF(Adm!$A$2=2,MIN(J240+B241+F241+G241+H241-I241,#REF!),0)</f>
        <v>0</v>
      </c>
      <c r="F241" s="70">
        <f>IF(J240&lt;0.01,0,J240*Adm!$V$3)</f>
        <v>0</v>
      </c>
      <c r="G241" s="70">
        <f>IF(J240&lt;0.01,0,$J$8*Adm!$W$3/1.16)</f>
        <v>0</v>
      </c>
      <c r="H241" s="70">
        <f>IF(J240&lt;0.01,0,Adm!$AD$2)</f>
        <v>0</v>
      </c>
      <c r="I241" s="70">
        <f t="shared" si="32"/>
        <v>0</v>
      </c>
      <c r="J241" s="72">
        <f t="shared" si="33"/>
        <v>0</v>
      </c>
      <c r="L241" s="106">
        <f>IF(J240&lt;0.01,0,1)</f>
        <v>0</v>
      </c>
      <c r="N241" s="72"/>
      <c r="O241" s="76">
        <f t="shared" si="34"/>
        <v>1</v>
      </c>
      <c r="P241" s="77">
        <f t="shared" si="36"/>
        <v>0</v>
      </c>
      <c r="S241" s="190">
        <f t="shared" si="35"/>
        <v>0</v>
      </c>
      <c r="T241" s="194"/>
    </row>
    <row r="242" spans="1:20">
      <c r="A242" s="69">
        <f t="shared" si="30"/>
        <v>0</v>
      </c>
      <c r="B242" s="70">
        <f t="shared" si="28"/>
        <v>0</v>
      </c>
      <c r="C242" s="70">
        <f t="shared" si="29"/>
        <v>0</v>
      </c>
      <c r="D242" s="70">
        <f t="shared" si="31"/>
        <v>0</v>
      </c>
      <c r="E242" s="70">
        <f>IF(Adm!$A$2=2,MIN(J241+B242+F242+G242+H242-I242,#REF!),0)</f>
        <v>0</v>
      </c>
      <c r="F242" s="70">
        <f>IF(J241&lt;0.01,0,J241*Adm!$V$3)</f>
        <v>0</v>
      </c>
      <c r="G242" s="70">
        <f>IF(J241&lt;0.01,0,$J$8*Adm!$W$3/1.16)</f>
        <v>0</v>
      </c>
      <c r="H242" s="70">
        <f>IF(J241&lt;0.01,0,Adm!$AD$2)</f>
        <v>0</v>
      </c>
      <c r="I242" s="70">
        <f t="shared" si="32"/>
        <v>0</v>
      </c>
      <c r="J242" s="72">
        <f t="shared" si="33"/>
        <v>0</v>
      </c>
      <c r="L242" s="106">
        <f>IF(J241&lt;0.01,0,2)</f>
        <v>0</v>
      </c>
      <c r="N242" s="72"/>
      <c r="O242" s="76">
        <f t="shared" si="34"/>
        <v>2</v>
      </c>
      <c r="P242" s="77">
        <f t="shared" si="36"/>
        <v>0</v>
      </c>
      <c r="S242" s="190">
        <f t="shared" si="35"/>
        <v>0</v>
      </c>
      <c r="T242" s="194"/>
    </row>
    <row r="243" spans="1:20">
      <c r="A243" s="69">
        <f t="shared" si="30"/>
        <v>0</v>
      </c>
      <c r="B243" s="70">
        <f t="shared" si="28"/>
        <v>0</v>
      </c>
      <c r="C243" s="70">
        <f t="shared" si="29"/>
        <v>0</v>
      </c>
      <c r="D243" s="70">
        <f t="shared" si="31"/>
        <v>0</v>
      </c>
      <c r="E243" s="70">
        <f>IF(Adm!$A$2=2,MIN(J242+B243+F243+G243+H243-I243,#REF!),0)</f>
        <v>0</v>
      </c>
      <c r="F243" s="70">
        <f>IF(J242&lt;0.01,0,J242*Adm!$V$3)</f>
        <v>0</v>
      </c>
      <c r="G243" s="70">
        <f>IF(J242&lt;0.01,0,$J$8*Adm!$W$3/1.16)</f>
        <v>0</v>
      </c>
      <c r="H243" s="70">
        <f>IF(J242&lt;0.01,0,Adm!$AD$2)</f>
        <v>0</v>
      </c>
      <c r="I243" s="70">
        <f t="shared" si="32"/>
        <v>0</v>
      </c>
      <c r="J243" s="72">
        <f t="shared" si="33"/>
        <v>0</v>
      </c>
      <c r="L243" s="106">
        <f>IF(J242&lt;0.01,0,1)</f>
        <v>0</v>
      </c>
      <c r="N243" s="72"/>
      <c r="O243" s="76">
        <f t="shared" si="34"/>
        <v>3</v>
      </c>
      <c r="P243" s="77">
        <f t="shared" si="36"/>
        <v>0</v>
      </c>
      <c r="S243" s="190">
        <f t="shared" si="35"/>
        <v>0</v>
      </c>
      <c r="T243" s="194"/>
    </row>
    <row r="244" spans="1:20">
      <c r="A244" s="69">
        <f t="shared" si="30"/>
        <v>0</v>
      </c>
      <c r="B244" s="70">
        <f t="shared" si="28"/>
        <v>0</v>
      </c>
      <c r="C244" s="70">
        <f t="shared" si="29"/>
        <v>0</v>
      </c>
      <c r="D244" s="70">
        <f t="shared" si="31"/>
        <v>0</v>
      </c>
      <c r="E244" s="70">
        <f>IF(Adm!$A$2=2,MIN(J243+B244+F244+G244+H244-I244,#REF!),0)</f>
        <v>0</v>
      </c>
      <c r="F244" s="70">
        <f>IF(J243&lt;0.01,0,J243*Adm!$V$3)</f>
        <v>0</v>
      </c>
      <c r="G244" s="70">
        <f>IF(J243&lt;0.01,0,$J$8*Adm!$W$3/1.16)</f>
        <v>0</v>
      </c>
      <c r="H244" s="70">
        <f>IF(J243&lt;0.01,0,Adm!$AD$2)</f>
        <v>0</v>
      </c>
      <c r="I244" s="70">
        <f t="shared" si="32"/>
        <v>0</v>
      </c>
      <c r="J244" s="72">
        <f t="shared" si="33"/>
        <v>0</v>
      </c>
      <c r="L244" s="106">
        <f>IF(J243&lt;0.01,0,2)</f>
        <v>0</v>
      </c>
      <c r="N244" s="72"/>
      <c r="O244" s="76">
        <f t="shared" si="34"/>
        <v>4</v>
      </c>
      <c r="P244" s="77">
        <f t="shared" si="36"/>
        <v>0</v>
      </c>
      <c r="S244" s="190">
        <f t="shared" si="35"/>
        <v>0</v>
      </c>
      <c r="T244" s="194"/>
    </row>
    <row r="245" spans="1:20">
      <c r="A245" s="69">
        <f t="shared" si="30"/>
        <v>0</v>
      </c>
      <c r="B245" s="70">
        <f t="shared" si="28"/>
        <v>0</v>
      </c>
      <c r="C245" s="70">
        <f t="shared" si="29"/>
        <v>0</v>
      </c>
      <c r="D245" s="70">
        <f t="shared" si="31"/>
        <v>0</v>
      </c>
      <c r="E245" s="70">
        <f>IF(Adm!$A$2=2,MIN(J244+B245+F245+G245+H245-I245,#REF!),0)</f>
        <v>0</v>
      </c>
      <c r="F245" s="70">
        <f>IF(J244&lt;0.01,0,J244*Adm!$V$3)</f>
        <v>0</v>
      </c>
      <c r="G245" s="70">
        <f>IF(J244&lt;0.01,0,$J$8*Adm!$W$3/1.16)</f>
        <v>0</v>
      </c>
      <c r="H245" s="70">
        <f>IF(J244&lt;0.01,0,Adm!$AD$2)</f>
        <v>0</v>
      </c>
      <c r="I245" s="70">
        <f t="shared" si="32"/>
        <v>0</v>
      </c>
      <c r="J245" s="72">
        <f t="shared" si="33"/>
        <v>0</v>
      </c>
      <c r="L245" s="106">
        <f>IF(J244&lt;0.01,0,1)</f>
        <v>0</v>
      </c>
      <c r="N245" s="72"/>
      <c r="O245" s="76">
        <f t="shared" si="34"/>
        <v>5</v>
      </c>
      <c r="P245" s="77">
        <f t="shared" si="36"/>
        <v>0</v>
      </c>
      <c r="S245" s="190">
        <f t="shared" si="35"/>
        <v>0</v>
      </c>
      <c r="T245" s="194"/>
    </row>
    <row r="246" spans="1:20">
      <c r="A246" s="69">
        <f t="shared" si="30"/>
        <v>0</v>
      </c>
      <c r="B246" s="70">
        <f t="shared" si="28"/>
        <v>0</v>
      </c>
      <c r="C246" s="70">
        <f t="shared" si="29"/>
        <v>0</v>
      </c>
      <c r="D246" s="70">
        <f t="shared" si="31"/>
        <v>0</v>
      </c>
      <c r="E246" s="70">
        <f>IF(Adm!$A$2=2,MIN(J245+B246+F246+G246+H246-I246,#REF!),0)</f>
        <v>0</v>
      </c>
      <c r="F246" s="70">
        <f>IF(J245&lt;0.01,0,J245*Adm!$V$3)</f>
        <v>0</v>
      </c>
      <c r="G246" s="70">
        <f>IF(J245&lt;0.01,0,$J$8*Adm!$W$3/1.16)</f>
        <v>0</v>
      </c>
      <c r="H246" s="70">
        <f>IF(J245&lt;0.01,0,Adm!$AD$2)</f>
        <v>0</v>
      </c>
      <c r="I246" s="70">
        <f t="shared" si="32"/>
        <v>0</v>
      </c>
      <c r="J246" s="72">
        <f t="shared" si="33"/>
        <v>0</v>
      </c>
      <c r="L246" s="106">
        <f>IF(J245&lt;0.01,0,2)</f>
        <v>0</v>
      </c>
      <c r="N246" s="72"/>
      <c r="O246" s="76">
        <f t="shared" si="34"/>
        <v>6</v>
      </c>
      <c r="P246" s="77">
        <f t="shared" si="36"/>
        <v>0</v>
      </c>
      <c r="S246" s="190">
        <f t="shared" si="35"/>
        <v>0</v>
      </c>
      <c r="T246" s="194"/>
    </row>
    <row r="247" spans="1:20">
      <c r="A247" s="69">
        <f t="shared" si="30"/>
        <v>0</v>
      </c>
      <c r="B247" s="70">
        <f t="shared" si="28"/>
        <v>0</v>
      </c>
      <c r="C247" s="70">
        <f t="shared" si="29"/>
        <v>0</v>
      </c>
      <c r="D247" s="70">
        <f t="shared" si="31"/>
        <v>0</v>
      </c>
      <c r="E247" s="70">
        <f>IF(Adm!$A$2=2,MIN(J246+B247+F247+G247+H247-I247,#REF!),0)</f>
        <v>0</v>
      </c>
      <c r="F247" s="70">
        <f>IF(J246&lt;0.01,0,J246*Adm!$V$3)</f>
        <v>0</v>
      </c>
      <c r="G247" s="70">
        <f>IF(J246&lt;0.01,0,$J$8*Adm!$W$3/1.16)</f>
        <v>0</v>
      </c>
      <c r="H247" s="70">
        <f>IF(J246&lt;0.01,0,Adm!$AD$2)</f>
        <v>0</v>
      </c>
      <c r="I247" s="70">
        <f t="shared" si="32"/>
        <v>0</v>
      </c>
      <c r="J247" s="72">
        <f t="shared" si="33"/>
        <v>0</v>
      </c>
      <c r="L247" s="106">
        <f>IF(J246&lt;0.01,0,1)</f>
        <v>0</v>
      </c>
      <c r="N247" s="72"/>
      <c r="O247" s="76">
        <f t="shared" si="34"/>
        <v>7</v>
      </c>
      <c r="P247" s="77">
        <f t="shared" si="36"/>
        <v>0</v>
      </c>
      <c r="S247" s="190">
        <f t="shared" si="35"/>
        <v>0</v>
      </c>
      <c r="T247" s="194"/>
    </row>
    <row r="248" spans="1:20">
      <c r="A248" s="69">
        <f t="shared" si="30"/>
        <v>0</v>
      </c>
      <c r="B248" s="70">
        <f t="shared" si="28"/>
        <v>0</v>
      </c>
      <c r="C248" s="70">
        <f t="shared" si="29"/>
        <v>0</v>
      </c>
      <c r="D248" s="70">
        <f t="shared" si="31"/>
        <v>0</v>
      </c>
      <c r="E248" s="70">
        <f>IF(Adm!$A$2=2,MIN(J247+B248+F248+G248+H248-I248,#REF!),0)</f>
        <v>0</v>
      </c>
      <c r="F248" s="70">
        <f>IF(J247&lt;0.01,0,J247*Adm!$V$3)</f>
        <v>0</v>
      </c>
      <c r="G248" s="70">
        <f>IF(J247&lt;0.01,0,$J$8*Adm!$W$3/1.16)</f>
        <v>0</v>
      </c>
      <c r="H248" s="70">
        <f>IF(J247&lt;0.01,0,Adm!$AD$2)</f>
        <v>0</v>
      </c>
      <c r="I248" s="70">
        <f t="shared" si="32"/>
        <v>0</v>
      </c>
      <c r="J248" s="72">
        <f t="shared" si="33"/>
        <v>0</v>
      </c>
      <c r="L248" s="106">
        <f>IF(J247&lt;0.01,0,2)</f>
        <v>0</v>
      </c>
      <c r="N248" s="72"/>
      <c r="O248" s="76">
        <f t="shared" si="34"/>
        <v>8</v>
      </c>
      <c r="P248" s="77">
        <f t="shared" si="36"/>
        <v>0</v>
      </c>
      <c r="S248" s="190">
        <f t="shared" si="35"/>
        <v>0</v>
      </c>
      <c r="T248" s="194"/>
    </row>
    <row r="249" spans="1:20">
      <c r="A249" s="69">
        <f t="shared" si="30"/>
        <v>0</v>
      </c>
      <c r="B249" s="70">
        <f t="shared" si="28"/>
        <v>0</v>
      </c>
      <c r="C249" s="70">
        <f t="shared" si="29"/>
        <v>0</v>
      </c>
      <c r="D249" s="70">
        <f t="shared" si="31"/>
        <v>0</v>
      </c>
      <c r="E249" s="70">
        <f>IF(Adm!$A$2=2,MIN(J248+B249+F249+G249+H249-I249,#REF!),0)</f>
        <v>0</v>
      </c>
      <c r="F249" s="70">
        <f>IF(J248&lt;0.01,0,J248*Adm!$V$3)</f>
        <v>0</v>
      </c>
      <c r="G249" s="70">
        <f>IF(J248&lt;0.01,0,$J$8*Adm!$W$3/1.16)</f>
        <v>0</v>
      </c>
      <c r="H249" s="70">
        <f>IF(J248&lt;0.01,0,Adm!$AD$2)</f>
        <v>0</v>
      </c>
      <c r="I249" s="70">
        <f t="shared" si="32"/>
        <v>0</v>
      </c>
      <c r="J249" s="72">
        <f t="shared" si="33"/>
        <v>0</v>
      </c>
      <c r="L249" s="106">
        <f>IF(J248&lt;0.01,0,1)</f>
        <v>0</v>
      </c>
      <c r="N249" s="72"/>
      <c r="O249" s="76">
        <f t="shared" si="34"/>
        <v>9</v>
      </c>
      <c r="P249" s="77">
        <f t="shared" si="36"/>
        <v>0</v>
      </c>
      <c r="S249" s="190">
        <f t="shared" si="35"/>
        <v>0</v>
      </c>
      <c r="T249" s="194"/>
    </row>
    <row r="250" spans="1:20">
      <c r="A250" s="69">
        <f t="shared" si="30"/>
        <v>0</v>
      </c>
      <c r="B250" s="70">
        <f t="shared" si="28"/>
        <v>0</v>
      </c>
      <c r="C250" s="70">
        <f t="shared" si="29"/>
        <v>0</v>
      </c>
      <c r="D250" s="70">
        <f t="shared" si="31"/>
        <v>0</v>
      </c>
      <c r="E250" s="70">
        <f>IF(Adm!$A$2=2,MIN(J249+B250+F250+G250+H250-I250,#REF!),0)</f>
        <v>0</v>
      </c>
      <c r="F250" s="70">
        <f>IF(J249&lt;0.01,0,J249*Adm!$V$3)</f>
        <v>0</v>
      </c>
      <c r="G250" s="70">
        <f>IF(J249&lt;0.01,0,$J$8*Adm!$W$3/1.16)</f>
        <v>0</v>
      </c>
      <c r="H250" s="70">
        <f>IF(J249&lt;0.01,0,Adm!$AD$2)</f>
        <v>0</v>
      </c>
      <c r="I250" s="70">
        <f t="shared" si="32"/>
        <v>0</v>
      </c>
      <c r="J250" s="72">
        <f t="shared" si="33"/>
        <v>0</v>
      </c>
      <c r="L250" s="106">
        <f>IF(J249&lt;0.01,0,2)</f>
        <v>0</v>
      </c>
      <c r="N250" s="72"/>
      <c r="O250" s="76">
        <f t="shared" si="34"/>
        <v>10</v>
      </c>
      <c r="P250" s="77">
        <f t="shared" si="36"/>
        <v>0</v>
      </c>
      <c r="S250" s="190">
        <f t="shared" si="35"/>
        <v>0</v>
      </c>
      <c r="T250" s="194"/>
    </row>
    <row r="251" spans="1:20">
      <c r="A251" s="69">
        <f t="shared" si="30"/>
        <v>0</v>
      </c>
      <c r="B251" s="70">
        <f t="shared" si="28"/>
        <v>0</v>
      </c>
      <c r="C251" s="70">
        <f t="shared" si="29"/>
        <v>0</v>
      </c>
      <c r="D251" s="70">
        <f t="shared" si="31"/>
        <v>0</v>
      </c>
      <c r="E251" s="70">
        <f>IF(Adm!$A$2=2,MIN(J250+B251+F251+G251+H251-I251,#REF!),0)</f>
        <v>0</v>
      </c>
      <c r="F251" s="70">
        <f>IF(J250&lt;0.01,0,J250*Adm!$V$3)</f>
        <v>0</v>
      </c>
      <c r="G251" s="70">
        <f>IF(J250&lt;0.01,0,$J$8*Adm!$W$3/1.16)</f>
        <v>0</v>
      </c>
      <c r="H251" s="70">
        <f>IF(J250&lt;0.01,0,Adm!$AD$2)</f>
        <v>0</v>
      </c>
      <c r="I251" s="70">
        <f t="shared" si="32"/>
        <v>0</v>
      </c>
      <c r="J251" s="72">
        <f t="shared" si="33"/>
        <v>0</v>
      </c>
      <c r="L251" s="106">
        <f>IF(J250&lt;0.01,0,1)</f>
        <v>0</v>
      </c>
      <c r="N251" s="72"/>
      <c r="O251" s="76">
        <f t="shared" si="34"/>
        <v>11</v>
      </c>
      <c r="P251" s="77">
        <f t="shared" si="36"/>
        <v>0</v>
      </c>
      <c r="S251" s="190">
        <f t="shared" si="35"/>
        <v>0</v>
      </c>
      <c r="T251" s="194"/>
    </row>
    <row r="252" spans="1:20">
      <c r="A252" s="69">
        <f t="shared" si="30"/>
        <v>0</v>
      </c>
      <c r="B252" s="70">
        <f t="shared" si="28"/>
        <v>0</v>
      </c>
      <c r="C252" s="70">
        <f t="shared" si="29"/>
        <v>0</v>
      </c>
      <c r="D252" s="70">
        <f t="shared" si="31"/>
        <v>0</v>
      </c>
      <c r="E252" s="70">
        <f>IF(Adm!$A$2=2,MIN(J251+B252+F252+G252+H252-I252,#REF!),0)</f>
        <v>0</v>
      </c>
      <c r="F252" s="70">
        <f>IF(J251&lt;0.01,0,J251*Adm!$V$3)</f>
        <v>0</v>
      </c>
      <c r="G252" s="70">
        <f>IF(J251&lt;0.01,0,$J$8*Adm!$W$3/1.16)</f>
        <v>0</v>
      </c>
      <c r="H252" s="70">
        <f>IF(J251&lt;0.01,0,Adm!$AD$2)</f>
        <v>0</v>
      </c>
      <c r="I252" s="70">
        <f t="shared" si="32"/>
        <v>0</v>
      </c>
      <c r="J252" s="72">
        <f t="shared" si="33"/>
        <v>0</v>
      </c>
      <c r="L252" s="106">
        <f>IF(J251&lt;0.01,0,2)</f>
        <v>0</v>
      </c>
      <c r="N252" s="72"/>
      <c r="O252" s="76">
        <f t="shared" si="34"/>
        <v>12</v>
      </c>
      <c r="P252" s="77">
        <f t="shared" si="36"/>
        <v>0</v>
      </c>
      <c r="S252" s="190">
        <f t="shared" si="35"/>
        <v>0</v>
      </c>
      <c r="T252" s="194"/>
    </row>
    <row r="253" spans="1:20">
      <c r="A253" s="69">
        <f t="shared" si="30"/>
        <v>0</v>
      </c>
      <c r="B253" s="70">
        <f t="shared" si="28"/>
        <v>0</v>
      </c>
      <c r="C253" s="70">
        <f t="shared" si="29"/>
        <v>0</v>
      </c>
      <c r="D253" s="70">
        <f t="shared" si="31"/>
        <v>0</v>
      </c>
      <c r="E253" s="70">
        <f>IF(Adm!$A$2=2,MIN(J252+B253+F253+G253+H253-I253,#REF!),0)</f>
        <v>0</v>
      </c>
      <c r="F253" s="70">
        <f>IF(J252&lt;0.01,0,J252*Adm!$V$3)</f>
        <v>0</v>
      </c>
      <c r="G253" s="70">
        <f>IF(J252&lt;0.01,0,$J$8*Adm!$W$3/1.16)</f>
        <v>0</v>
      </c>
      <c r="H253" s="70">
        <f>IF(J252&lt;0.01,0,Adm!$AD$2)</f>
        <v>0</v>
      </c>
      <c r="I253" s="70">
        <f t="shared" si="32"/>
        <v>0</v>
      </c>
      <c r="J253" s="72">
        <f t="shared" si="33"/>
        <v>0</v>
      </c>
      <c r="L253" s="106">
        <f>IF(J252&lt;0.01,0,1)</f>
        <v>0</v>
      </c>
      <c r="N253" s="72"/>
      <c r="O253" s="76">
        <f t="shared" si="34"/>
        <v>1</v>
      </c>
      <c r="P253" s="77">
        <f t="shared" si="36"/>
        <v>0</v>
      </c>
      <c r="S253" s="190">
        <f t="shared" si="35"/>
        <v>0</v>
      </c>
      <c r="T253" s="194"/>
    </row>
    <row r="254" spans="1:20">
      <c r="A254" s="69">
        <f t="shared" si="30"/>
        <v>0</v>
      </c>
      <c r="B254" s="70">
        <f t="shared" si="28"/>
        <v>0</v>
      </c>
      <c r="C254" s="70">
        <f t="shared" si="29"/>
        <v>0</v>
      </c>
      <c r="D254" s="70">
        <f t="shared" si="31"/>
        <v>0</v>
      </c>
      <c r="E254" s="70">
        <f>IF(Adm!$A$2=2,MIN(J253+B254+F254+G254+H254-I254,#REF!),0)</f>
        <v>0</v>
      </c>
      <c r="F254" s="70">
        <f>IF(J253&lt;0.01,0,J253*Adm!$V$3)</f>
        <v>0</v>
      </c>
      <c r="G254" s="70">
        <f>IF(J253&lt;0.01,0,$J$8*Adm!$W$3/1.16)</f>
        <v>0</v>
      </c>
      <c r="H254" s="70">
        <f>IF(J253&lt;0.01,0,Adm!$AD$2)</f>
        <v>0</v>
      </c>
      <c r="I254" s="70">
        <f t="shared" si="32"/>
        <v>0</v>
      </c>
      <c r="J254" s="72">
        <f t="shared" si="33"/>
        <v>0</v>
      </c>
      <c r="L254" s="106">
        <f>IF(J253&lt;0.01,0,2)</f>
        <v>0</v>
      </c>
      <c r="N254" s="72"/>
      <c r="O254" s="76">
        <f t="shared" si="34"/>
        <v>2</v>
      </c>
      <c r="P254" s="77">
        <f t="shared" si="36"/>
        <v>0</v>
      </c>
      <c r="S254" s="190">
        <f t="shared" si="35"/>
        <v>0</v>
      </c>
      <c r="T254" s="194"/>
    </row>
    <row r="255" spans="1:20">
      <c r="A255" s="69">
        <f t="shared" si="30"/>
        <v>0</v>
      </c>
      <c r="B255" s="70">
        <f t="shared" si="28"/>
        <v>0</v>
      </c>
      <c r="C255" s="70">
        <f t="shared" si="29"/>
        <v>0</v>
      </c>
      <c r="D255" s="70">
        <f t="shared" si="31"/>
        <v>0</v>
      </c>
      <c r="E255" s="70">
        <f>IF(Adm!$A$2=2,MIN(J254+B255+F255+G255+H255-I255,#REF!),0)</f>
        <v>0</v>
      </c>
      <c r="F255" s="70">
        <f>IF(J254&lt;0.01,0,J254*Adm!$V$3)</f>
        <v>0</v>
      </c>
      <c r="G255" s="70">
        <f>IF(J254&lt;0.01,0,$J$8*Adm!$W$3/1.16)</f>
        <v>0</v>
      </c>
      <c r="H255" s="70">
        <f>IF(J254&lt;0.01,0,Adm!$AD$2)</f>
        <v>0</v>
      </c>
      <c r="I255" s="70">
        <f t="shared" si="32"/>
        <v>0</v>
      </c>
      <c r="J255" s="72">
        <f t="shared" si="33"/>
        <v>0</v>
      </c>
      <c r="L255" s="106">
        <f>IF(J254&lt;0.01,0,1)</f>
        <v>0</v>
      </c>
      <c r="N255" s="72"/>
      <c r="O255" s="76">
        <f t="shared" si="34"/>
        <v>3</v>
      </c>
      <c r="P255" s="77">
        <f t="shared" si="36"/>
        <v>0</v>
      </c>
      <c r="S255" s="190">
        <f t="shared" si="35"/>
        <v>0</v>
      </c>
      <c r="T255" s="194"/>
    </row>
    <row r="256" spans="1:20">
      <c r="A256" s="69">
        <f t="shared" si="30"/>
        <v>0</v>
      </c>
      <c r="B256" s="70">
        <f t="shared" si="28"/>
        <v>0</v>
      </c>
      <c r="C256" s="70">
        <f t="shared" si="29"/>
        <v>0</v>
      </c>
      <c r="D256" s="70">
        <f t="shared" si="31"/>
        <v>0</v>
      </c>
      <c r="E256" s="70">
        <f>IF(Adm!$A$2=2,MIN(J255+B256+F256+G256+H256-I256,#REF!),0)</f>
        <v>0</v>
      </c>
      <c r="F256" s="70">
        <f>IF(J255&lt;0.01,0,J255*Adm!$V$3)</f>
        <v>0</v>
      </c>
      <c r="G256" s="70">
        <f>IF(J255&lt;0.01,0,$J$8*Adm!$W$3/1.16)</f>
        <v>0</v>
      </c>
      <c r="H256" s="70">
        <f>IF(J255&lt;0.01,0,Adm!$AD$2)</f>
        <v>0</v>
      </c>
      <c r="I256" s="70">
        <f t="shared" si="32"/>
        <v>0</v>
      </c>
      <c r="J256" s="72">
        <f t="shared" si="33"/>
        <v>0</v>
      </c>
      <c r="L256" s="106">
        <f>IF(J255&lt;0.01,0,2)</f>
        <v>0</v>
      </c>
      <c r="N256" s="72"/>
      <c r="O256" s="76">
        <f t="shared" si="34"/>
        <v>4</v>
      </c>
      <c r="P256" s="77">
        <f t="shared" si="36"/>
        <v>0</v>
      </c>
      <c r="S256" s="190">
        <f t="shared" si="35"/>
        <v>0</v>
      </c>
      <c r="T256" s="194"/>
    </row>
    <row r="257" spans="1:20">
      <c r="A257" s="69">
        <f t="shared" si="30"/>
        <v>0</v>
      </c>
      <c r="B257" s="70">
        <f t="shared" si="28"/>
        <v>0</v>
      </c>
      <c r="C257" s="70">
        <f t="shared" si="29"/>
        <v>0</v>
      </c>
      <c r="D257" s="70">
        <f t="shared" si="31"/>
        <v>0</v>
      </c>
      <c r="E257" s="70">
        <f>IF(Adm!$A$2=2,MIN(J256+B257+F257+G257+H257-I257,#REF!),0)</f>
        <v>0</v>
      </c>
      <c r="F257" s="70">
        <f>IF(J256&lt;0.01,0,J256*Adm!$V$3)</f>
        <v>0</v>
      </c>
      <c r="G257" s="70">
        <f>IF(J256&lt;0.01,0,$J$8*Adm!$W$3/1.16)</f>
        <v>0</v>
      </c>
      <c r="H257" s="70">
        <f>IF(J256&lt;0.01,0,Adm!$AD$2)</f>
        <v>0</v>
      </c>
      <c r="I257" s="70">
        <f t="shared" si="32"/>
        <v>0</v>
      </c>
      <c r="J257" s="72">
        <f t="shared" si="33"/>
        <v>0</v>
      </c>
      <c r="L257" s="106">
        <f>IF(J256&lt;0.01,0,1)</f>
        <v>0</v>
      </c>
      <c r="N257" s="72"/>
      <c r="O257" s="76">
        <f t="shared" si="34"/>
        <v>5</v>
      </c>
      <c r="P257" s="77">
        <f t="shared" si="36"/>
        <v>0</v>
      </c>
      <c r="S257" s="190">
        <f t="shared" si="35"/>
        <v>0</v>
      </c>
      <c r="T257" s="194"/>
    </row>
    <row r="258" spans="1:20">
      <c r="A258" s="69">
        <f t="shared" si="30"/>
        <v>0</v>
      </c>
      <c r="B258" s="70">
        <f t="shared" si="28"/>
        <v>0</v>
      </c>
      <c r="C258" s="70">
        <f t="shared" si="29"/>
        <v>0</v>
      </c>
      <c r="D258" s="70">
        <f t="shared" si="31"/>
        <v>0</v>
      </c>
      <c r="E258" s="70">
        <f>IF(Adm!$A$2=2,MIN(J257+B258+F258+G258+H258-I258,#REF!),0)</f>
        <v>0</v>
      </c>
      <c r="F258" s="70">
        <f>IF(J257&lt;0.01,0,J257*Adm!$V$3)</f>
        <v>0</v>
      </c>
      <c r="G258" s="70">
        <f>IF(J257&lt;0.01,0,$J$8*Adm!$W$3/1.16)</f>
        <v>0</v>
      </c>
      <c r="H258" s="70">
        <f>IF(J257&lt;0.01,0,Adm!$AD$2)</f>
        <v>0</v>
      </c>
      <c r="I258" s="70">
        <f t="shared" si="32"/>
        <v>0</v>
      </c>
      <c r="J258" s="72">
        <f t="shared" si="33"/>
        <v>0</v>
      </c>
      <c r="L258" s="106">
        <f>IF(J257&lt;0.01,0,2)</f>
        <v>0</v>
      </c>
      <c r="N258" s="72"/>
      <c r="O258" s="76">
        <f t="shared" si="34"/>
        <v>6</v>
      </c>
      <c r="P258" s="77">
        <f t="shared" si="36"/>
        <v>0</v>
      </c>
      <c r="S258" s="190">
        <f t="shared" si="35"/>
        <v>0</v>
      </c>
      <c r="T258" s="194"/>
    </row>
    <row r="259" spans="1:20">
      <c r="A259" s="69">
        <f t="shared" si="30"/>
        <v>0</v>
      </c>
      <c r="B259" s="70">
        <f t="shared" si="28"/>
        <v>0</v>
      </c>
      <c r="C259" s="70">
        <f t="shared" si="29"/>
        <v>0</v>
      </c>
      <c r="D259" s="70">
        <f t="shared" si="31"/>
        <v>0</v>
      </c>
      <c r="E259" s="70">
        <f>IF(Adm!$A$2=2,MIN(J258+B259+F259+G259+H259-I259,#REF!),0)</f>
        <v>0</v>
      </c>
      <c r="F259" s="70">
        <f>IF(J258&lt;0.01,0,J258*Adm!$V$3)</f>
        <v>0</v>
      </c>
      <c r="G259" s="70">
        <f>IF(J258&lt;0.01,0,$J$8*Adm!$W$3/1.16)</f>
        <v>0</v>
      </c>
      <c r="H259" s="70">
        <f>IF(J258&lt;0.01,0,Adm!$AD$2)</f>
        <v>0</v>
      </c>
      <c r="I259" s="70">
        <f t="shared" si="32"/>
        <v>0</v>
      </c>
      <c r="J259" s="72">
        <f t="shared" si="33"/>
        <v>0</v>
      </c>
      <c r="L259" s="106">
        <f>IF(J258&lt;0.01,0,1)</f>
        <v>0</v>
      </c>
      <c r="N259" s="72"/>
      <c r="O259" s="76">
        <f t="shared" si="34"/>
        <v>7</v>
      </c>
      <c r="P259" s="77">
        <f t="shared" si="36"/>
        <v>0</v>
      </c>
      <c r="S259" s="190">
        <f t="shared" si="35"/>
        <v>0</v>
      </c>
      <c r="T259" s="194"/>
    </row>
    <row r="260" spans="1:20">
      <c r="A260" s="69">
        <f t="shared" si="30"/>
        <v>0</v>
      </c>
      <c r="B260" s="70">
        <f t="shared" si="28"/>
        <v>0</v>
      </c>
      <c r="C260" s="70">
        <f t="shared" si="29"/>
        <v>0</v>
      </c>
      <c r="D260" s="70">
        <f t="shared" si="31"/>
        <v>0</v>
      </c>
      <c r="E260" s="70">
        <f>IF(Adm!$A$2=2,MIN(J259+B260+F260+G260+H260-I260,#REF!),0)</f>
        <v>0</v>
      </c>
      <c r="F260" s="70">
        <f>IF(J259&lt;0.01,0,J259*Adm!$V$3)</f>
        <v>0</v>
      </c>
      <c r="G260" s="70">
        <f>IF(J259&lt;0.01,0,$J$8*Adm!$W$3/1.16)</f>
        <v>0</v>
      </c>
      <c r="H260" s="70">
        <f>IF(J259&lt;0.01,0,Adm!$AD$2)</f>
        <v>0</v>
      </c>
      <c r="I260" s="70">
        <f t="shared" si="32"/>
        <v>0</v>
      </c>
      <c r="J260" s="72">
        <f t="shared" si="33"/>
        <v>0</v>
      </c>
      <c r="L260" s="106">
        <f>IF(J259&lt;0.01,0,2)</f>
        <v>0</v>
      </c>
      <c r="N260" s="72"/>
      <c r="O260" s="76">
        <f t="shared" si="34"/>
        <v>8</v>
      </c>
      <c r="P260" s="77">
        <f t="shared" si="36"/>
        <v>0</v>
      </c>
      <c r="S260" s="190">
        <f t="shared" si="35"/>
        <v>0</v>
      </c>
      <c r="T260" s="194"/>
    </row>
    <row r="261" spans="1:20">
      <c r="A261" s="69">
        <f t="shared" si="30"/>
        <v>0</v>
      </c>
      <c r="B261" s="70">
        <f t="shared" si="28"/>
        <v>0</v>
      </c>
      <c r="C261" s="70">
        <f t="shared" si="29"/>
        <v>0</v>
      </c>
      <c r="D261" s="70">
        <f t="shared" si="31"/>
        <v>0</v>
      </c>
      <c r="E261" s="70">
        <f>IF(Adm!$A$2=2,MIN(J260+B261+F261+G261+H261-I261,#REF!),0)</f>
        <v>0</v>
      </c>
      <c r="F261" s="70">
        <f>IF(J260&lt;0.01,0,J260*Adm!$V$3)</f>
        <v>0</v>
      </c>
      <c r="G261" s="70">
        <f>IF(J260&lt;0.01,0,$J$8*Adm!$W$3/1.16)</f>
        <v>0</v>
      </c>
      <c r="H261" s="70">
        <f>IF(J260&lt;0.01,0,Adm!$AD$2)</f>
        <v>0</v>
      </c>
      <c r="I261" s="70">
        <f t="shared" si="32"/>
        <v>0</v>
      </c>
      <c r="J261" s="72">
        <f t="shared" si="33"/>
        <v>0</v>
      </c>
      <c r="L261" s="106">
        <f>IF(J260&lt;0.01,0,1)</f>
        <v>0</v>
      </c>
      <c r="N261" s="72"/>
      <c r="O261" s="76">
        <f t="shared" si="34"/>
        <v>9</v>
      </c>
      <c r="P261" s="77">
        <f t="shared" si="36"/>
        <v>0</v>
      </c>
      <c r="S261" s="190">
        <f t="shared" si="35"/>
        <v>0</v>
      </c>
      <c r="T261" s="194"/>
    </row>
    <row r="262" spans="1:20">
      <c r="A262" s="69">
        <f t="shared" si="30"/>
        <v>0</v>
      </c>
      <c r="B262" s="70">
        <f t="shared" si="28"/>
        <v>0</v>
      </c>
      <c r="C262" s="70">
        <f t="shared" si="29"/>
        <v>0</v>
      </c>
      <c r="D262" s="70">
        <f t="shared" si="31"/>
        <v>0</v>
      </c>
      <c r="E262" s="70">
        <f>IF(Adm!$A$2=2,MIN(J261+B262+F262+G262+H262-I262,#REF!),0)</f>
        <v>0</v>
      </c>
      <c r="F262" s="70">
        <f>IF(J261&lt;0.01,0,J261*Adm!$V$3)</f>
        <v>0</v>
      </c>
      <c r="G262" s="70">
        <f>IF(J261&lt;0.01,0,$J$8*Adm!$W$3/1.16)</f>
        <v>0</v>
      </c>
      <c r="H262" s="70">
        <f>IF(J261&lt;0.01,0,Adm!$AD$2)</f>
        <v>0</v>
      </c>
      <c r="I262" s="70">
        <f t="shared" si="32"/>
        <v>0</v>
      </c>
      <c r="J262" s="72">
        <f t="shared" si="33"/>
        <v>0</v>
      </c>
      <c r="L262" s="106">
        <f>IF(J261&lt;0.01,0,2)</f>
        <v>0</v>
      </c>
      <c r="N262" s="72"/>
      <c r="O262" s="76">
        <f t="shared" si="34"/>
        <v>10</v>
      </c>
      <c r="P262" s="77">
        <f t="shared" si="36"/>
        <v>0</v>
      </c>
      <c r="S262" s="190">
        <f t="shared" si="35"/>
        <v>0</v>
      </c>
      <c r="T262" s="194"/>
    </row>
    <row r="263" spans="1:20">
      <c r="A263" s="69">
        <f t="shared" si="30"/>
        <v>0</v>
      </c>
      <c r="B263" s="70">
        <f t="shared" si="28"/>
        <v>0</v>
      </c>
      <c r="C263" s="70">
        <f t="shared" si="29"/>
        <v>0</v>
      </c>
      <c r="D263" s="70">
        <f t="shared" si="31"/>
        <v>0</v>
      </c>
      <c r="E263" s="70">
        <f>IF(Adm!$A$2=2,MIN(J262+B263+F263+G263+H263-I263,#REF!),0)</f>
        <v>0</v>
      </c>
      <c r="F263" s="70">
        <f>IF(J262&lt;0.01,0,J262*Adm!$V$3)</f>
        <v>0</v>
      </c>
      <c r="G263" s="70">
        <f>IF(J262&lt;0.01,0,$J$8*Adm!$W$3/1.16)</f>
        <v>0</v>
      </c>
      <c r="H263" s="70">
        <f>IF(J262&lt;0.01,0,Adm!$AD$2)</f>
        <v>0</v>
      </c>
      <c r="I263" s="70">
        <f t="shared" si="32"/>
        <v>0</v>
      </c>
      <c r="J263" s="72">
        <f t="shared" si="33"/>
        <v>0</v>
      </c>
      <c r="L263" s="106">
        <f>IF(J262&lt;0.01,0,1)</f>
        <v>0</v>
      </c>
      <c r="N263" s="72"/>
      <c r="O263" s="76">
        <f t="shared" si="34"/>
        <v>11</v>
      </c>
      <c r="P263" s="77">
        <f t="shared" si="36"/>
        <v>0</v>
      </c>
      <c r="S263" s="190">
        <f t="shared" si="35"/>
        <v>0</v>
      </c>
      <c r="T263" s="194"/>
    </row>
    <row r="264" spans="1:20">
      <c r="A264" s="69">
        <f t="shared" si="30"/>
        <v>0</v>
      </c>
      <c r="B264" s="70">
        <f t="shared" si="28"/>
        <v>0</v>
      </c>
      <c r="C264" s="70">
        <f t="shared" si="29"/>
        <v>0</v>
      </c>
      <c r="D264" s="70">
        <f t="shared" si="31"/>
        <v>0</v>
      </c>
      <c r="E264" s="70">
        <f>IF(Adm!$A$2=2,MIN(J263+B264+F264+G264+H264-I264,#REF!),0)</f>
        <v>0</v>
      </c>
      <c r="F264" s="70">
        <f>IF(J263&lt;0.01,0,J263*Adm!$V$3)</f>
        <v>0</v>
      </c>
      <c r="G264" s="70">
        <f>IF(J263&lt;0.01,0,$J$8*Adm!$W$3/1.16)</f>
        <v>0</v>
      </c>
      <c r="H264" s="70">
        <f>IF(J263&lt;0.01,0,Adm!$AD$2)</f>
        <v>0</v>
      </c>
      <c r="I264" s="70">
        <f t="shared" si="32"/>
        <v>0</v>
      </c>
      <c r="J264" s="72">
        <f t="shared" si="33"/>
        <v>0</v>
      </c>
      <c r="L264" s="106">
        <f>IF(J263&lt;0.01,0,2)</f>
        <v>0</v>
      </c>
      <c r="N264" s="72"/>
      <c r="O264" s="76">
        <f t="shared" si="34"/>
        <v>12</v>
      </c>
      <c r="P264" s="77">
        <f t="shared" si="36"/>
        <v>0</v>
      </c>
      <c r="S264" s="190">
        <f t="shared" si="35"/>
        <v>0</v>
      </c>
      <c r="T264" s="194"/>
    </row>
    <row r="265" spans="1:20">
      <c r="A265" s="69">
        <f t="shared" si="30"/>
        <v>0</v>
      </c>
      <c r="B265" s="70">
        <f t="shared" si="28"/>
        <v>0</v>
      </c>
      <c r="C265" s="70">
        <f t="shared" si="29"/>
        <v>0</v>
      </c>
      <c r="D265" s="70">
        <f t="shared" si="31"/>
        <v>0</v>
      </c>
      <c r="E265" s="70">
        <f>IF(Adm!$A$2=2,MIN(J264+B265+F265+G265+H265-I265,#REF!),0)</f>
        <v>0</v>
      </c>
      <c r="F265" s="70">
        <f>IF(J264&lt;0.01,0,J264*Adm!$V$3)</f>
        <v>0</v>
      </c>
      <c r="G265" s="70">
        <f>IF(J264&lt;0.01,0,$J$8*Adm!$W$3/1.16)</f>
        <v>0</v>
      </c>
      <c r="H265" s="70">
        <f>IF(J264&lt;0.01,0,Adm!$AD$2)</f>
        <v>0</v>
      </c>
      <c r="I265" s="70">
        <f t="shared" si="32"/>
        <v>0</v>
      </c>
      <c r="J265" s="72">
        <f t="shared" si="33"/>
        <v>0</v>
      </c>
      <c r="L265" s="106">
        <f>IF(J264&lt;0.01,0,1)</f>
        <v>0</v>
      </c>
      <c r="N265" s="72"/>
      <c r="O265" s="76">
        <f t="shared" si="34"/>
        <v>1</v>
      </c>
      <c r="P265" s="77">
        <f t="shared" si="36"/>
        <v>0</v>
      </c>
      <c r="S265" s="190">
        <f t="shared" si="35"/>
        <v>0</v>
      </c>
      <c r="T265" s="194"/>
    </row>
    <row r="266" spans="1:20">
      <c r="A266" s="69">
        <f t="shared" si="30"/>
        <v>0</v>
      </c>
      <c r="B266" s="70">
        <f t="shared" si="28"/>
        <v>0</v>
      </c>
      <c r="C266" s="70">
        <f t="shared" si="29"/>
        <v>0</v>
      </c>
      <c r="D266" s="70">
        <f t="shared" si="31"/>
        <v>0</v>
      </c>
      <c r="E266" s="70">
        <f>IF(Adm!$A$2=2,MIN(J265+B266+F266+G266+H266-I266,#REF!),0)</f>
        <v>0</v>
      </c>
      <c r="F266" s="70">
        <f>IF(J265&lt;0.01,0,J265*Adm!$V$3)</f>
        <v>0</v>
      </c>
      <c r="G266" s="70">
        <f>IF(J265&lt;0.01,0,$J$8*Adm!$W$3/1.16)</f>
        <v>0</v>
      </c>
      <c r="H266" s="70">
        <f>IF(J265&lt;0.01,0,Adm!$AD$2)</f>
        <v>0</v>
      </c>
      <c r="I266" s="70">
        <f t="shared" si="32"/>
        <v>0</v>
      </c>
      <c r="J266" s="72">
        <f t="shared" si="33"/>
        <v>0</v>
      </c>
      <c r="L266" s="106">
        <f>IF(J265&lt;0.01,0,2)</f>
        <v>0</v>
      </c>
      <c r="N266" s="72"/>
      <c r="O266" s="76">
        <f t="shared" si="34"/>
        <v>2</v>
      </c>
      <c r="P266" s="77">
        <f t="shared" si="36"/>
        <v>0</v>
      </c>
      <c r="S266" s="190">
        <f t="shared" si="35"/>
        <v>0</v>
      </c>
      <c r="T266" s="194"/>
    </row>
    <row r="267" spans="1:20">
      <c r="A267" s="69">
        <f t="shared" si="30"/>
        <v>0</v>
      </c>
      <c r="B267" s="70">
        <f t="shared" si="28"/>
        <v>0</v>
      </c>
      <c r="C267" s="70">
        <f t="shared" si="29"/>
        <v>0</v>
      </c>
      <c r="D267" s="70">
        <f t="shared" si="31"/>
        <v>0</v>
      </c>
      <c r="E267" s="70">
        <f>IF(Adm!$A$2=2,MIN(J266+B267+F267+G267+H267-I267,#REF!),0)</f>
        <v>0</v>
      </c>
      <c r="F267" s="70">
        <f>IF(J266&lt;0.01,0,J266*Adm!$V$3)</f>
        <v>0</v>
      </c>
      <c r="G267" s="70">
        <f>IF(J266&lt;0.01,0,$J$8*Adm!$W$3/1.16)</f>
        <v>0</v>
      </c>
      <c r="H267" s="70">
        <f>IF(J266&lt;0.01,0,Adm!$AD$2)</f>
        <v>0</v>
      </c>
      <c r="I267" s="70">
        <f t="shared" si="32"/>
        <v>0</v>
      </c>
      <c r="J267" s="72">
        <f t="shared" si="33"/>
        <v>0</v>
      </c>
      <c r="L267" s="106">
        <f>IF(J266&lt;0.01,0,1)</f>
        <v>0</v>
      </c>
      <c r="N267" s="72"/>
      <c r="O267" s="76">
        <f t="shared" si="34"/>
        <v>3</v>
      </c>
      <c r="P267" s="77">
        <f t="shared" si="36"/>
        <v>0</v>
      </c>
      <c r="S267" s="190">
        <f t="shared" si="35"/>
        <v>0</v>
      </c>
      <c r="T267" s="194"/>
    </row>
    <row r="268" spans="1:20">
      <c r="A268" s="69">
        <f t="shared" si="30"/>
        <v>0</v>
      </c>
      <c r="B268" s="70">
        <f t="shared" si="28"/>
        <v>0</v>
      </c>
      <c r="C268" s="70">
        <f t="shared" si="29"/>
        <v>0</v>
      </c>
      <c r="D268" s="70">
        <f t="shared" si="31"/>
        <v>0</v>
      </c>
      <c r="E268" s="70">
        <f>IF(Adm!$A$2=2,MIN(J267+B268+F268+G268+H268-I268,#REF!),0)</f>
        <v>0</v>
      </c>
      <c r="F268" s="70">
        <f>IF(J267&lt;0.01,0,J267*Adm!$V$3)</f>
        <v>0</v>
      </c>
      <c r="G268" s="70">
        <f>IF(J267&lt;0.01,0,$J$8*Adm!$W$3/1.16)</f>
        <v>0</v>
      </c>
      <c r="H268" s="70">
        <f>IF(J267&lt;0.01,0,Adm!$AD$2)</f>
        <v>0</v>
      </c>
      <c r="I268" s="70">
        <f t="shared" si="32"/>
        <v>0</v>
      </c>
      <c r="J268" s="72">
        <f t="shared" si="33"/>
        <v>0</v>
      </c>
      <c r="L268" s="106">
        <f>IF(J267&lt;0.01,0,2)</f>
        <v>0</v>
      </c>
      <c r="N268" s="72"/>
      <c r="O268" s="76">
        <f t="shared" si="34"/>
        <v>4</v>
      </c>
      <c r="P268" s="77">
        <f t="shared" si="36"/>
        <v>0</v>
      </c>
      <c r="S268" s="190">
        <f t="shared" si="35"/>
        <v>0</v>
      </c>
      <c r="T268" s="194"/>
    </row>
    <row r="269" spans="1:20">
      <c r="A269" s="69">
        <f t="shared" si="30"/>
        <v>0</v>
      </c>
      <c r="B269" s="70">
        <f t="shared" si="28"/>
        <v>0</v>
      </c>
      <c r="C269" s="70">
        <f t="shared" si="29"/>
        <v>0</v>
      </c>
      <c r="D269" s="70">
        <f t="shared" si="31"/>
        <v>0</v>
      </c>
      <c r="E269" s="70">
        <f>IF(Adm!$A$2=2,MIN(J268+B269+F269+G269+H269-I269,#REF!),0)</f>
        <v>0</v>
      </c>
      <c r="F269" s="70">
        <f>IF(J268&lt;0.01,0,J268*Adm!$V$3)</f>
        <v>0</v>
      </c>
      <c r="G269" s="70">
        <f>IF(J268&lt;0.01,0,$J$8*Adm!$W$3/1.16)</f>
        <v>0</v>
      </c>
      <c r="H269" s="70">
        <f>IF(J268&lt;0.01,0,Adm!$AD$2)</f>
        <v>0</v>
      </c>
      <c r="I269" s="70">
        <f t="shared" si="32"/>
        <v>0</v>
      </c>
      <c r="J269" s="72">
        <f t="shared" si="33"/>
        <v>0</v>
      </c>
      <c r="L269" s="106">
        <f>IF(J268&lt;0.01,0,1)</f>
        <v>0</v>
      </c>
      <c r="N269" s="72"/>
      <c r="O269" s="76">
        <f t="shared" si="34"/>
        <v>5</v>
      </c>
      <c r="P269" s="77">
        <f t="shared" si="36"/>
        <v>0</v>
      </c>
      <c r="S269" s="190">
        <f t="shared" si="35"/>
        <v>0</v>
      </c>
      <c r="T269" s="194"/>
    </row>
    <row r="270" spans="1:20">
      <c r="A270" s="69">
        <f t="shared" si="30"/>
        <v>0</v>
      </c>
      <c r="B270" s="70">
        <f t="shared" si="28"/>
        <v>0</v>
      </c>
      <c r="C270" s="70">
        <f t="shared" si="29"/>
        <v>0</v>
      </c>
      <c r="D270" s="70">
        <f t="shared" si="31"/>
        <v>0</v>
      </c>
      <c r="E270" s="70">
        <f>IF(Adm!$A$2=2,MIN(J269+B270+F270+G270+H270-I270,#REF!),0)</f>
        <v>0</v>
      </c>
      <c r="F270" s="70">
        <f>IF(J269&lt;0.01,0,J269*Adm!$V$3)</f>
        <v>0</v>
      </c>
      <c r="G270" s="70">
        <f>IF(J269&lt;0.01,0,$J$8*Adm!$W$3/1.16)</f>
        <v>0</v>
      </c>
      <c r="H270" s="70">
        <f>IF(J269&lt;0.01,0,Adm!$AD$2)</f>
        <v>0</v>
      </c>
      <c r="I270" s="70">
        <f t="shared" si="32"/>
        <v>0</v>
      </c>
      <c r="J270" s="72">
        <f t="shared" si="33"/>
        <v>0</v>
      </c>
      <c r="L270" s="106">
        <f>IF(J269&lt;0.01,0,2)</f>
        <v>0</v>
      </c>
      <c r="N270" s="72"/>
      <c r="O270" s="76">
        <f t="shared" si="34"/>
        <v>6</v>
      </c>
      <c r="P270" s="77">
        <f t="shared" si="36"/>
        <v>0</v>
      </c>
      <c r="S270" s="190">
        <f t="shared" si="35"/>
        <v>0</v>
      </c>
      <c r="T270" s="194"/>
    </row>
    <row r="271" spans="1:20">
      <c r="A271" s="69">
        <f t="shared" si="30"/>
        <v>0</v>
      </c>
      <c r="B271" s="70">
        <f t="shared" si="28"/>
        <v>0</v>
      </c>
      <c r="C271" s="70">
        <f t="shared" si="29"/>
        <v>0</v>
      </c>
      <c r="D271" s="70">
        <f t="shared" si="31"/>
        <v>0</v>
      </c>
      <c r="E271" s="70">
        <f>IF(Adm!$A$2=2,MIN(J270+B271+F271+G271+H271-I271,#REF!),0)</f>
        <v>0</v>
      </c>
      <c r="F271" s="70">
        <f>IF(J270&lt;0.01,0,J270*Adm!$V$3)</f>
        <v>0</v>
      </c>
      <c r="G271" s="70">
        <f>IF(J270&lt;0.01,0,$J$8*Adm!$W$3/1.16)</f>
        <v>0</v>
      </c>
      <c r="H271" s="70">
        <f>IF(J270&lt;0.01,0,Adm!$AD$2)</f>
        <v>0</v>
      </c>
      <c r="I271" s="70">
        <f t="shared" si="32"/>
        <v>0</v>
      </c>
      <c r="J271" s="72">
        <f t="shared" si="33"/>
        <v>0</v>
      </c>
      <c r="L271" s="106">
        <f>IF(J270&lt;0.01,0,1)</f>
        <v>0</v>
      </c>
      <c r="N271" s="72"/>
      <c r="O271" s="76">
        <f t="shared" si="34"/>
        <v>7</v>
      </c>
      <c r="P271" s="77">
        <f t="shared" si="36"/>
        <v>0</v>
      </c>
      <c r="S271" s="190">
        <f t="shared" si="35"/>
        <v>0</v>
      </c>
      <c r="T271" s="194"/>
    </row>
    <row r="272" spans="1:20">
      <c r="A272" s="69">
        <f t="shared" si="30"/>
        <v>0</v>
      </c>
      <c r="B272" s="70">
        <f t="shared" si="28"/>
        <v>0</v>
      </c>
      <c r="C272" s="70">
        <f t="shared" si="29"/>
        <v>0</v>
      </c>
      <c r="D272" s="70">
        <f t="shared" si="31"/>
        <v>0</v>
      </c>
      <c r="E272" s="70">
        <f>IF(Adm!$A$2=2,MIN(J271+B272+F272+G272+H272-I272,#REF!),0)</f>
        <v>0</v>
      </c>
      <c r="F272" s="70">
        <f>IF(J271&lt;0.01,0,J271*Adm!$V$3)</f>
        <v>0</v>
      </c>
      <c r="G272" s="70">
        <f>IF(J271&lt;0.01,0,$J$8*Adm!$W$3/1.16)</f>
        <v>0</v>
      </c>
      <c r="H272" s="70">
        <f>IF(J271&lt;0.01,0,Adm!$AD$2)</f>
        <v>0</v>
      </c>
      <c r="I272" s="70">
        <f t="shared" si="32"/>
        <v>0</v>
      </c>
      <c r="J272" s="72">
        <f t="shared" si="33"/>
        <v>0</v>
      </c>
      <c r="L272" s="106">
        <f>IF(J271&lt;0.01,0,2)</f>
        <v>0</v>
      </c>
      <c r="N272" s="72"/>
      <c r="O272" s="76">
        <f t="shared" si="34"/>
        <v>8</v>
      </c>
      <c r="P272" s="77">
        <f t="shared" si="36"/>
        <v>0</v>
      </c>
      <c r="S272" s="190">
        <f t="shared" si="35"/>
        <v>0</v>
      </c>
      <c r="T272" s="194"/>
    </row>
    <row r="273" spans="1:20">
      <c r="A273" s="69">
        <f t="shared" si="30"/>
        <v>0</v>
      </c>
      <c r="B273" s="70">
        <f t="shared" si="28"/>
        <v>0</v>
      </c>
      <c r="C273" s="70">
        <f t="shared" si="29"/>
        <v>0</v>
      </c>
      <c r="D273" s="70">
        <f t="shared" si="31"/>
        <v>0</v>
      </c>
      <c r="E273" s="70">
        <f>IF(Adm!$A$2=2,MIN(J272+B273+F273+G273+H273-I273,#REF!),0)</f>
        <v>0</v>
      </c>
      <c r="F273" s="70">
        <f>IF(J272&lt;0.01,0,J272*Adm!$V$3)</f>
        <v>0</v>
      </c>
      <c r="G273" s="70">
        <f>IF(J272&lt;0.01,0,$J$8*Adm!$W$3/1.16)</f>
        <v>0</v>
      </c>
      <c r="H273" s="70">
        <f>IF(J272&lt;0.01,0,Adm!$AD$2)</f>
        <v>0</v>
      </c>
      <c r="I273" s="70">
        <f t="shared" si="32"/>
        <v>0</v>
      </c>
      <c r="J273" s="72">
        <f t="shared" si="33"/>
        <v>0</v>
      </c>
      <c r="L273" s="106">
        <f>IF(J272&lt;0.01,0,1)</f>
        <v>0</v>
      </c>
      <c r="N273" s="72"/>
      <c r="O273" s="76">
        <f t="shared" si="34"/>
        <v>9</v>
      </c>
      <c r="P273" s="77">
        <f t="shared" si="36"/>
        <v>0</v>
      </c>
      <c r="S273" s="190">
        <f t="shared" si="35"/>
        <v>0</v>
      </c>
      <c r="T273" s="194"/>
    </row>
    <row r="274" spans="1:20">
      <c r="A274" s="69">
        <f t="shared" si="30"/>
        <v>0</v>
      </c>
      <c r="B274" s="70">
        <f t="shared" si="28"/>
        <v>0</v>
      </c>
      <c r="C274" s="70">
        <f t="shared" si="29"/>
        <v>0</v>
      </c>
      <c r="D274" s="70">
        <f t="shared" si="31"/>
        <v>0</v>
      </c>
      <c r="E274" s="70">
        <f>IF(Adm!$A$2=2,MIN(J273+B274+F274+G274+H274-I274,#REF!),0)</f>
        <v>0</v>
      </c>
      <c r="F274" s="70">
        <f>IF(J273&lt;0.01,0,J273*Adm!$V$3)</f>
        <v>0</v>
      </c>
      <c r="G274" s="70">
        <f>IF(J273&lt;0.01,0,$J$8*Adm!$W$3/1.16)</f>
        <v>0</v>
      </c>
      <c r="H274" s="70">
        <f>IF(J273&lt;0.01,0,Adm!$AD$2)</f>
        <v>0</v>
      </c>
      <c r="I274" s="70">
        <f t="shared" si="32"/>
        <v>0</v>
      </c>
      <c r="J274" s="72">
        <f t="shared" si="33"/>
        <v>0</v>
      </c>
      <c r="L274" s="106">
        <f>IF(J273&lt;0.01,0,2)</f>
        <v>0</v>
      </c>
      <c r="N274" s="72"/>
      <c r="O274" s="76">
        <f t="shared" si="34"/>
        <v>10</v>
      </c>
      <c r="P274" s="77">
        <f t="shared" si="36"/>
        <v>0</v>
      </c>
      <c r="S274" s="190">
        <f t="shared" si="35"/>
        <v>0</v>
      </c>
      <c r="T274" s="194"/>
    </row>
    <row r="275" spans="1:20">
      <c r="A275" s="69">
        <f t="shared" si="30"/>
        <v>0</v>
      </c>
      <c r="B275" s="70">
        <f t="shared" si="28"/>
        <v>0</v>
      </c>
      <c r="C275" s="70">
        <f t="shared" si="29"/>
        <v>0</v>
      </c>
      <c r="D275" s="70">
        <f t="shared" si="31"/>
        <v>0</v>
      </c>
      <c r="E275" s="70">
        <f>IF(Adm!$A$2=2,MIN(J274+B275+F275+G275+H275-I275,#REF!),0)</f>
        <v>0</v>
      </c>
      <c r="F275" s="70">
        <f>IF(J274&lt;0.01,0,J274*Adm!$V$3)</f>
        <v>0</v>
      </c>
      <c r="G275" s="70">
        <f>IF(J274&lt;0.01,0,$J$8*Adm!$W$3/1.16)</f>
        <v>0</v>
      </c>
      <c r="H275" s="70">
        <f>IF(J274&lt;0.01,0,Adm!$AD$2)</f>
        <v>0</v>
      </c>
      <c r="I275" s="70">
        <f t="shared" si="32"/>
        <v>0</v>
      </c>
      <c r="J275" s="72">
        <f t="shared" si="33"/>
        <v>0</v>
      </c>
      <c r="L275" s="106">
        <f>IF(J274&lt;0.01,0,1)</f>
        <v>0</v>
      </c>
      <c r="N275" s="72"/>
      <c r="O275" s="76">
        <f t="shared" si="34"/>
        <v>11</v>
      </c>
      <c r="P275" s="77">
        <f t="shared" si="36"/>
        <v>0</v>
      </c>
      <c r="S275" s="190">
        <f t="shared" si="35"/>
        <v>0</v>
      </c>
      <c r="T275" s="194"/>
    </row>
    <row r="276" spans="1:20">
      <c r="A276" s="69">
        <f t="shared" si="30"/>
        <v>0</v>
      </c>
      <c r="B276" s="70">
        <f t="shared" si="28"/>
        <v>0</v>
      </c>
      <c r="C276" s="70">
        <f t="shared" si="29"/>
        <v>0</v>
      </c>
      <c r="D276" s="70">
        <f t="shared" si="31"/>
        <v>0</v>
      </c>
      <c r="E276" s="70">
        <f>IF(Adm!$A$2=2,MIN(J275+B276+F276+G276+H276-I276,#REF!),0)</f>
        <v>0</v>
      </c>
      <c r="F276" s="70">
        <f>IF(J275&lt;0.01,0,J275*Adm!$V$3)</f>
        <v>0</v>
      </c>
      <c r="G276" s="70">
        <f>IF(J275&lt;0.01,0,$J$8*Adm!$W$3/1.16)</f>
        <v>0</v>
      </c>
      <c r="H276" s="70">
        <f>IF(J275&lt;0.01,0,Adm!$AD$2)</f>
        <v>0</v>
      </c>
      <c r="I276" s="70">
        <f t="shared" si="32"/>
        <v>0</v>
      </c>
      <c r="J276" s="72">
        <f t="shared" si="33"/>
        <v>0</v>
      </c>
      <c r="L276" s="106">
        <f>IF(J275&lt;0.01,0,2)</f>
        <v>0</v>
      </c>
      <c r="N276" s="72"/>
      <c r="O276" s="76">
        <f t="shared" si="34"/>
        <v>12</v>
      </c>
      <c r="P276" s="77">
        <f t="shared" si="36"/>
        <v>0</v>
      </c>
      <c r="S276" s="190">
        <f t="shared" si="35"/>
        <v>0</v>
      </c>
      <c r="T276" s="194"/>
    </row>
    <row r="277" spans="1:20">
      <c r="A277" s="69">
        <f t="shared" si="30"/>
        <v>0</v>
      </c>
      <c r="B277" s="70">
        <f t="shared" si="28"/>
        <v>0</v>
      </c>
      <c r="C277" s="70">
        <f t="shared" si="29"/>
        <v>0</v>
      </c>
      <c r="D277" s="70">
        <f t="shared" si="31"/>
        <v>0</v>
      </c>
      <c r="E277" s="70">
        <f>IF(Adm!$A$2=2,MIN(J276+B277+F277+G277+H277-I277,#REF!),0)</f>
        <v>0</v>
      </c>
      <c r="F277" s="70">
        <f>IF(J276&lt;0.01,0,J276*Adm!$V$3)</f>
        <v>0</v>
      </c>
      <c r="G277" s="70">
        <f>IF(J276&lt;0.01,0,$J$8*Adm!$W$3/1.16)</f>
        <v>0</v>
      </c>
      <c r="H277" s="70">
        <f>IF(J276&lt;0.01,0,Adm!$AD$2)</f>
        <v>0</v>
      </c>
      <c r="I277" s="70">
        <f t="shared" si="32"/>
        <v>0</v>
      </c>
      <c r="J277" s="72">
        <f t="shared" si="33"/>
        <v>0</v>
      </c>
      <c r="L277" s="106">
        <f>IF(J276&lt;0.01,0,1)</f>
        <v>0</v>
      </c>
      <c r="N277" s="72"/>
      <c r="O277" s="76">
        <f t="shared" si="34"/>
        <v>1</v>
      </c>
      <c r="P277" s="77">
        <f t="shared" si="36"/>
        <v>0</v>
      </c>
      <c r="S277" s="190">
        <f t="shared" si="35"/>
        <v>0</v>
      </c>
      <c r="T277" s="194"/>
    </row>
    <row r="278" spans="1:20">
      <c r="A278" s="69">
        <f t="shared" si="30"/>
        <v>0</v>
      </c>
      <c r="B278" s="70">
        <f t="shared" si="28"/>
        <v>0</v>
      </c>
      <c r="C278" s="70">
        <f t="shared" si="29"/>
        <v>0</v>
      </c>
      <c r="D278" s="70">
        <f t="shared" si="31"/>
        <v>0</v>
      </c>
      <c r="E278" s="70">
        <f>IF(Adm!$A$2=2,MIN(J277+B278+F278+G278+H278-I278,#REF!),0)</f>
        <v>0</v>
      </c>
      <c r="F278" s="70">
        <f>IF(J277&lt;0.01,0,J277*Adm!$V$3)</f>
        <v>0</v>
      </c>
      <c r="G278" s="70">
        <f>IF(J277&lt;0.01,0,$J$8*Adm!$W$3/1.16)</f>
        <v>0</v>
      </c>
      <c r="H278" s="70">
        <f>IF(J277&lt;0.01,0,Adm!$AD$2)</f>
        <v>0</v>
      </c>
      <c r="I278" s="70">
        <f t="shared" si="32"/>
        <v>0</v>
      </c>
      <c r="J278" s="72">
        <f t="shared" si="33"/>
        <v>0</v>
      </c>
      <c r="L278" s="106">
        <f>IF(J277&lt;0.01,0,2)</f>
        <v>0</v>
      </c>
      <c r="N278" s="72"/>
      <c r="O278" s="76">
        <f t="shared" si="34"/>
        <v>2</v>
      </c>
      <c r="P278" s="77">
        <f t="shared" si="36"/>
        <v>0</v>
      </c>
      <c r="S278" s="190">
        <f t="shared" si="35"/>
        <v>0</v>
      </c>
      <c r="T278" s="194"/>
    </row>
    <row r="279" spans="1:20">
      <c r="A279" s="69">
        <f t="shared" si="30"/>
        <v>0</v>
      </c>
      <c r="B279" s="70">
        <f t="shared" si="28"/>
        <v>0</v>
      </c>
      <c r="C279" s="70">
        <f t="shared" si="29"/>
        <v>0</v>
      </c>
      <c r="D279" s="70">
        <f t="shared" si="31"/>
        <v>0</v>
      </c>
      <c r="E279" s="70">
        <f>IF(Adm!$A$2=2,MIN(J278+B279+F279+G279+H279-I279,#REF!),0)</f>
        <v>0</v>
      </c>
      <c r="F279" s="70">
        <f>IF(J278&lt;0.01,0,J278*Adm!$V$3)</f>
        <v>0</v>
      </c>
      <c r="G279" s="70">
        <f>IF(J278&lt;0.01,0,$J$8*Adm!$W$3/1.16)</f>
        <v>0</v>
      </c>
      <c r="H279" s="70">
        <f>IF(J278&lt;0.01,0,Adm!$AD$2)</f>
        <v>0</v>
      </c>
      <c r="I279" s="70">
        <f t="shared" si="32"/>
        <v>0</v>
      </c>
      <c r="J279" s="72">
        <f t="shared" si="33"/>
        <v>0</v>
      </c>
      <c r="L279" s="106">
        <f>IF(J278&lt;0.01,0,1)</f>
        <v>0</v>
      </c>
      <c r="N279" s="72"/>
      <c r="O279" s="76">
        <f t="shared" si="34"/>
        <v>3</v>
      </c>
      <c r="P279" s="77">
        <f t="shared" si="36"/>
        <v>0</v>
      </c>
      <c r="S279" s="190">
        <f t="shared" si="35"/>
        <v>0</v>
      </c>
      <c r="T279" s="194"/>
    </row>
    <row r="280" spans="1:20">
      <c r="A280" s="69">
        <f t="shared" si="30"/>
        <v>0</v>
      </c>
      <c r="B280" s="70">
        <f t="shared" si="28"/>
        <v>0</v>
      </c>
      <c r="C280" s="70">
        <f t="shared" si="29"/>
        <v>0</v>
      </c>
      <c r="D280" s="70">
        <f t="shared" si="31"/>
        <v>0</v>
      </c>
      <c r="E280" s="70">
        <f>IF(Adm!$A$2=2,MIN(J279+B280+F280+G280+H280-I280,#REF!),0)</f>
        <v>0</v>
      </c>
      <c r="F280" s="70">
        <f>IF(J279&lt;0.01,0,J279*Adm!$V$3)</f>
        <v>0</v>
      </c>
      <c r="G280" s="70">
        <f>IF(J279&lt;0.01,0,$J$8*Adm!$W$3/1.16)</f>
        <v>0</v>
      </c>
      <c r="H280" s="70">
        <f>IF(J279&lt;0.01,0,Adm!$AD$2)</f>
        <v>0</v>
      </c>
      <c r="I280" s="70">
        <f t="shared" si="32"/>
        <v>0</v>
      </c>
      <c r="J280" s="72">
        <f t="shared" si="33"/>
        <v>0</v>
      </c>
      <c r="L280" s="106">
        <f>IF(J279&lt;0.01,0,2)</f>
        <v>0</v>
      </c>
      <c r="N280" s="72"/>
      <c r="O280" s="76">
        <f t="shared" si="34"/>
        <v>4</v>
      </c>
      <c r="P280" s="77">
        <f t="shared" si="36"/>
        <v>0</v>
      </c>
      <c r="S280" s="190">
        <f t="shared" si="35"/>
        <v>0</v>
      </c>
      <c r="T280" s="194"/>
    </row>
    <row r="281" spans="1:20">
      <c r="A281" s="69">
        <f t="shared" si="30"/>
        <v>0</v>
      </c>
      <c r="B281" s="70">
        <f t="shared" ref="B281:B324" si="37">IF(J280&lt;0.001,0,J280*$J$10/12)</f>
        <v>0</v>
      </c>
      <c r="C281" s="70">
        <f t="shared" ref="C281:C324" si="38">D281-B281</f>
        <v>0</v>
      </c>
      <c r="D281" s="70">
        <f t="shared" si="31"/>
        <v>0</v>
      </c>
      <c r="E281" s="70">
        <f>IF(Adm!$A$2=2,MIN(J280+B281+F281+G281+H281-I281,#REF!),0)</f>
        <v>0</v>
      </c>
      <c r="F281" s="70">
        <f>IF(J280&lt;0.01,0,J280*Adm!$V$3)</f>
        <v>0</v>
      </c>
      <c r="G281" s="70">
        <f>IF(J280&lt;0.01,0,$J$8*Adm!$W$3/1.16)</f>
        <v>0</v>
      </c>
      <c r="H281" s="70">
        <f>IF(J280&lt;0.01,0,Adm!$AD$2)</f>
        <v>0</v>
      </c>
      <c r="I281" s="70">
        <f t="shared" si="32"/>
        <v>0</v>
      </c>
      <c r="J281" s="72">
        <f t="shared" si="33"/>
        <v>0</v>
      </c>
      <c r="L281" s="106">
        <f>IF(J280&lt;0.01,0,1)</f>
        <v>0</v>
      </c>
      <c r="N281" s="72"/>
      <c r="O281" s="76">
        <f t="shared" si="34"/>
        <v>5</v>
      </c>
      <c r="P281" s="77">
        <f t="shared" si="36"/>
        <v>0</v>
      </c>
      <c r="S281" s="190">
        <f t="shared" si="35"/>
        <v>0</v>
      </c>
      <c r="T281" s="194"/>
    </row>
    <row r="282" spans="1:20">
      <c r="A282" s="69">
        <f t="shared" ref="A282:A324" si="39">IF(J281&lt;0.01,0,A281+1)</f>
        <v>0</v>
      </c>
      <c r="B282" s="70">
        <f t="shared" si="37"/>
        <v>0</v>
      </c>
      <c r="C282" s="70">
        <f t="shared" si="38"/>
        <v>0</v>
      </c>
      <c r="D282" s="70">
        <f t="shared" ref="D282:D324" si="40">IF(J281&lt;0.001,0,MIN(J281+B282,D281*(1+P282)))</f>
        <v>0</v>
      </c>
      <c r="E282" s="70">
        <f>IF(Adm!$A$2=2,MIN(J281+B282+F282+G282+H282-I282,#REF!),0)</f>
        <v>0</v>
      </c>
      <c r="F282" s="70">
        <f>IF(J281&lt;0.01,0,J281*Adm!$V$3)</f>
        <v>0</v>
      </c>
      <c r="G282" s="70">
        <f>IF(J281&lt;0.01,0,$J$8*Adm!$W$3/1.16)</f>
        <v>0</v>
      </c>
      <c r="H282" s="70">
        <f>IF(J281&lt;0.01,0,Adm!$AD$2)</f>
        <v>0</v>
      </c>
      <c r="I282" s="70">
        <f t="shared" ref="I282:I324" si="41">IF(J281&lt;0.01,0,(D282+F282+G282+H282))</f>
        <v>0</v>
      </c>
      <c r="J282" s="72">
        <f t="shared" ref="J282:J324" si="42">IF(J281&lt;0.01,0,(J281-C282-E282))</f>
        <v>0</v>
      </c>
      <c r="L282" s="106">
        <f>IF(J281&lt;0.01,0,2)</f>
        <v>0</v>
      </c>
      <c r="N282" s="72"/>
      <c r="O282" s="76">
        <f t="shared" ref="O282:O324" si="43">IF(O281=12,1,O281+1)</f>
        <v>6</v>
      </c>
      <c r="P282" s="77">
        <f t="shared" si="36"/>
        <v>0</v>
      </c>
      <c r="S282" s="190">
        <f t="shared" ref="S282:S324" si="44">I282</f>
        <v>0</v>
      </c>
      <c r="T282" s="194"/>
    </row>
    <row r="283" spans="1:20">
      <c r="A283" s="69">
        <f t="shared" si="39"/>
        <v>0</v>
      </c>
      <c r="B283" s="70">
        <f t="shared" si="37"/>
        <v>0</v>
      </c>
      <c r="C283" s="70">
        <f t="shared" si="38"/>
        <v>0</v>
      </c>
      <c r="D283" s="70">
        <f t="shared" si="40"/>
        <v>0</v>
      </c>
      <c r="E283" s="70">
        <f>IF(Adm!$A$2=2,MIN(J282+B283+F283+G283+H283-I283,#REF!),0)</f>
        <v>0</v>
      </c>
      <c r="F283" s="70">
        <f>IF(J282&lt;0.01,0,J282*Adm!$V$3)</f>
        <v>0</v>
      </c>
      <c r="G283" s="70">
        <f>IF(J282&lt;0.01,0,$J$8*Adm!$W$3/1.16)</f>
        <v>0</v>
      </c>
      <c r="H283" s="70">
        <f>IF(J282&lt;0.01,0,Adm!$AD$2)</f>
        <v>0</v>
      </c>
      <c r="I283" s="70">
        <f t="shared" si="41"/>
        <v>0</v>
      </c>
      <c r="J283" s="72">
        <f t="shared" si="42"/>
        <v>0</v>
      </c>
      <c r="L283" s="106">
        <f>IF(J282&lt;0.01,0,1)</f>
        <v>0</v>
      </c>
      <c r="N283" s="72"/>
      <c r="O283" s="76">
        <f t="shared" si="43"/>
        <v>7</v>
      </c>
      <c r="P283" s="77">
        <f t="shared" ref="P283:P324" si="45">IF(O283=1,$J$14,0)</f>
        <v>0</v>
      </c>
      <c r="S283" s="190">
        <f t="shared" si="44"/>
        <v>0</v>
      </c>
      <c r="T283" s="194"/>
    </row>
    <row r="284" spans="1:20">
      <c r="A284" s="69">
        <f t="shared" si="39"/>
        <v>0</v>
      </c>
      <c r="B284" s="70">
        <f t="shared" si="37"/>
        <v>0</v>
      </c>
      <c r="C284" s="70">
        <f t="shared" si="38"/>
        <v>0</v>
      </c>
      <c r="D284" s="70">
        <f t="shared" si="40"/>
        <v>0</v>
      </c>
      <c r="E284" s="70">
        <f>IF(Adm!$A$2=2,MIN(J283+B284+F284+G284+H284-I284,#REF!),0)</f>
        <v>0</v>
      </c>
      <c r="F284" s="70">
        <f>IF(J283&lt;0.01,0,J283*Adm!$V$3)</f>
        <v>0</v>
      </c>
      <c r="G284" s="70">
        <f>IF(J283&lt;0.01,0,$J$8*Adm!$W$3/1.16)</f>
        <v>0</v>
      </c>
      <c r="H284" s="70">
        <f>IF(J283&lt;0.01,0,Adm!$AD$2)</f>
        <v>0</v>
      </c>
      <c r="I284" s="70">
        <f t="shared" si="41"/>
        <v>0</v>
      </c>
      <c r="J284" s="72">
        <f t="shared" si="42"/>
        <v>0</v>
      </c>
      <c r="L284" s="106">
        <f>IF(J283&lt;0.01,0,2)</f>
        <v>0</v>
      </c>
      <c r="N284" s="72"/>
      <c r="O284" s="76">
        <f t="shared" si="43"/>
        <v>8</v>
      </c>
      <c r="P284" s="77">
        <f t="shared" si="45"/>
        <v>0</v>
      </c>
      <c r="S284" s="190">
        <f t="shared" si="44"/>
        <v>0</v>
      </c>
      <c r="T284" s="194"/>
    </row>
    <row r="285" spans="1:20">
      <c r="A285" s="69">
        <f t="shared" si="39"/>
        <v>0</v>
      </c>
      <c r="B285" s="70">
        <f t="shared" si="37"/>
        <v>0</v>
      </c>
      <c r="C285" s="70">
        <f t="shared" si="38"/>
        <v>0</v>
      </c>
      <c r="D285" s="70">
        <f t="shared" si="40"/>
        <v>0</v>
      </c>
      <c r="E285" s="70">
        <f>IF(Adm!$A$2=2,MIN(J284+B285+F285+G285+H285-I285,#REF!),0)</f>
        <v>0</v>
      </c>
      <c r="F285" s="70">
        <f>IF(J284&lt;0.01,0,J284*Adm!$V$3)</f>
        <v>0</v>
      </c>
      <c r="G285" s="70">
        <f>IF(J284&lt;0.01,0,$J$8*Adm!$W$3/1.16)</f>
        <v>0</v>
      </c>
      <c r="H285" s="70">
        <f>IF(J284&lt;0.01,0,Adm!$AD$2)</f>
        <v>0</v>
      </c>
      <c r="I285" s="70">
        <f t="shared" si="41"/>
        <v>0</v>
      </c>
      <c r="J285" s="72">
        <f t="shared" si="42"/>
        <v>0</v>
      </c>
      <c r="L285" s="106">
        <f>IF(J284&lt;0.01,0,1)</f>
        <v>0</v>
      </c>
      <c r="N285" s="72"/>
      <c r="O285" s="76">
        <f t="shared" si="43"/>
        <v>9</v>
      </c>
      <c r="P285" s="77">
        <f t="shared" si="45"/>
        <v>0</v>
      </c>
      <c r="S285" s="190">
        <f t="shared" si="44"/>
        <v>0</v>
      </c>
      <c r="T285" s="194"/>
    </row>
    <row r="286" spans="1:20">
      <c r="A286" s="69">
        <f t="shared" si="39"/>
        <v>0</v>
      </c>
      <c r="B286" s="70">
        <f t="shared" si="37"/>
        <v>0</v>
      </c>
      <c r="C286" s="70">
        <f t="shared" si="38"/>
        <v>0</v>
      </c>
      <c r="D286" s="70">
        <f t="shared" si="40"/>
        <v>0</v>
      </c>
      <c r="E286" s="70">
        <f>IF(Adm!$A$2=2,MIN(J285+B286+F286+G286+H286-I286,#REF!),0)</f>
        <v>0</v>
      </c>
      <c r="F286" s="70">
        <f>IF(J285&lt;0.01,0,J285*Adm!$V$3)</f>
        <v>0</v>
      </c>
      <c r="G286" s="70">
        <f>IF(J285&lt;0.01,0,$J$8*Adm!$W$3/1.16)</f>
        <v>0</v>
      </c>
      <c r="H286" s="70">
        <f>IF(J285&lt;0.01,0,Adm!$AD$2)</f>
        <v>0</v>
      </c>
      <c r="I286" s="70">
        <f t="shared" si="41"/>
        <v>0</v>
      </c>
      <c r="J286" s="72">
        <f t="shared" si="42"/>
        <v>0</v>
      </c>
      <c r="L286" s="106">
        <f>IF(J285&lt;0.01,0,2)</f>
        <v>0</v>
      </c>
      <c r="N286" s="72"/>
      <c r="O286" s="76">
        <f t="shared" si="43"/>
        <v>10</v>
      </c>
      <c r="P286" s="77">
        <f t="shared" si="45"/>
        <v>0</v>
      </c>
      <c r="S286" s="190">
        <f t="shared" si="44"/>
        <v>0</v>
      </c>
      <c r="T286" s="194"/>
    </row>
    <row r="287" spans="1:20">
      <c r="A287" s="69">
        <f t="shared" si="39"/>
        <v>0</v>
      </c>
      <c r="B287" s="70">
        <f t="shared" si="37"/>
        <v>0</v>
      </c>
      <c r="C287" s="70">
        <f t="shared" si="38"/>
        <v>0</v>
      </c>
      <c r="D287" s="70">
        <f t="shared" si="40"/>
        <v>0</v>
      </c>
      <c r="E287" s="70">
        <f>IF(Adm!$A$2=2,MIN(J286+B287+F287+G287+H287-I287,#REF!),0)</f>
        <v>0</v>
      </c>
      <c r="F287" s="70">
        <f>IF(J286&lt;0.01,0,J286*Adm!$V$3)</f>
        <v>0</v>
      </c>
      <c r="G287" s="70">
        <f>IF(J286&lt;0.01,0,$J$8*Adm!$W$3/1.16)</f>
        <v>0</v>
      </c>
      <c r="H287" s="70">
        <f>IF(J286&lt;0.01,0,Adm!$AD$2)</f>
        <v>0</v>
      </c>
      <c r="I287" s="70">
        <f t="shared" si="41"/>
        <v>0</v>
      </c>
      <c r="J287" s="72">
        <f t="shared" si="42"/>
        <v>0</v>
      </c>
      <c r="L287" s="106">
        <f>IF(J286&lt;0.01,0,1)</f>
        <v>0</v>
      </c>
      <c r="N287" s="72"/>
      <c r="O287" s="76">
        <f t="shared" si="43"/>
        <v>11</v>
      </c>
      <c r="P287" s="77">
        <f t="shared" si="45"/>
        <v>0</v>
      </c>
      <c r="S287" s="190">
        <f t="shared" si="44"/>
        <v>0</v>
      </c>
      <c r="T287" s="194"/>
    </row>
    <row r="288" spans="1:20">
      <c r="A288" s="69">
        <f t="shared" si="39"/>
        <v>0</v>
      </c>
      <c r="B288" s="70">
        <f t="shared" si="37"/>
        <v>0</v>
      </c>
      <c r="C288" s="70">
        <f t="shared" si="38"/>
        <v>0</v>
      </c>
      <c r="D288" s="70">
        <f t="shared" si="40"/>
        <v>0</v>
      </c>
      <c r="E288" s="70">
        <f>IF(Adm!$A$2=2,MIN(J287+B288+F288+G288+H288-I288,#REF!),0)</f>
        <v>0</v>
      </c>
      <c r="F288" s="70">
        <f>IF(J287&lt;0.01,0,J287*Adm!$V$3)</f>
        <v>0</v>
      </c>
      <c r="G288" s="70">
        <f>IF(J287&lt;0.01,0,$J$8*Adm!$W$3/1.16)</f>
        <v>0</v>
      </c>
      <c r="H288" s="70">
        <f>IF(J287&lt;0.01,0,Adm!$AD$2)</f>
        <v>0</v>
      </c>
      <c r="I288" s="70">
        <f t="shared" si="41"/>
        <v>0</v>
      </c>
      <c r="J288" s="72">
        <f t="shared" si="42"/>
        <v>0</v>
      </c>
      <c r="L288" s="106">
        <f>IF(J287&lt;0.01,0,2)</f>
        <v>0</v>
      </c>
      <c r="N288" s="72"/>
      <c r="O288" s="76">
        <f t="shared" si="43"/>
        <v>12</v>
      </c>
      <c r="P288" s="77">
        <f t="shared" si="45"/>
        <v>0</v>
      </c>
      <c r="S288" s="190">
        <f t="shared" si="44"/>
        <v>0</v>
      </c>
      <c r="T288" s="194"/>
    </row>
    <row r="289" spans="1:20">
      <c r="A289" s="69">
        <f t="shared" si="39"/>
        <v>0</v>
      </c>
      <c r="B289" s="70">
        <f t="shared" si="37"/>
        <v>0</v>
      </c>
      <c r="C289" s="70">
        <f t="shared" si="38"/>
        <v>0</v>
      </c>
      <c r="D289" s="70">
        <f t="shared" si="40"/>
        <v>0</v>
      </c>
      <c r="E289" s="70">
        <f>IF(Adm!$A$2=2,MIN(J288+B289+F289+G289+H289-I289,#REF!),0)</f>
        <v>0</v>
      </c>
      <c r="F289" s="70">
        <f>IF(J288&lt;0.01,0,J288*Adm!$V$3)</f>
        <v>0</v>
      </c>
      <c r="G289" s="70">
        <f>IF(J288&lt;0.01,0,$J$8*Adm!$W$3/1.16)</f>
        <v>0</v>
      </c>
      <c r="H289" s="70">
        <f>IF(J288&lt;0.01,0,Adm!$AD$2)</f>
        <v>0</v>
      </c>
      <c r="I289" s="70">
        <f t="shared" si="41"/>
        <v>0</v>
      </c>
      <c r="J289" s="72">
        <f t="shared" si="42"/>
        <v>0</v>
      </c>
      <c r="L289" s="106">
        <f>IF(J288&lt;0.01,0,1)</f>
        <v>0</v>
      </c>
      <c r="N289" s="72"/>
      <c r="O289" s="76">
        <f t="shared" si="43"/>
        <v>1</v>
      </c>
      <c r="P289" s="77">
        <f t="shared" si="45"/>
        <v>0</v>
      </c>
      <c r="S289" s="190">
        <f t="shared" si="44"/>
        <v>0</v>
      </c>
      <c r="T289" s="194"/>
    </row>
    <row r="290" spans="1:20">
      <c r="A290" s="69">
        <f t="shared" si="39"/>
        <v>0</v>
      </c>
      <c r="B290" s="70">
        <f t="shared" si="37"/>
        <v>0</v>
      </c>
      <c r="C290" s="70">
        <f t="shared" si="38"/>
        <v>0</v>
      </c>
      <c r="D290" s="70">
        <f t="shared" si="40"/>
        <v>0</v>
      </c>
      <c r="E290" s="70">
        <f>IF(Adm!$A$2=2,MIN(J289+B290+F290+G290+H290-I290,#REF!),0)</f>
        <v>0</v>
      </c>
      <c r="F290" s="70">
        <f>IF(J289&lt;0.01,0,J289*Adm!$V$3)</f>
        <v>0</v>
      </c>
      <c r="G290" s="70">
        <f>IF(J289&lt;0.01,0,$J$8*Adm!$W$3/1.16)</f>
        <v>0</v>
      </c>
      <c r="H290" s="70">
        <f>IF(J289&lt;0.01,0,Adm!$AD$2)</f>
        <v>0</v>
      </c>
      <c r="I290" s="70">
        <f t="shared" si="41"/>
        <v>0</v>
      </c>
      <c r="J290" s="72">
        <f t="shared" si="42"/>
        <v>0</v>
      </c>
      <c r="L290" s="106">
        <f>IF(J289&lt;0.01,0,2)</f>
        <v>0</v>
      </c>
      <c r="N290" s="72"/>
      <c r="O290" s="76">
        <f t="shared" si="43"/>
        <v>2</v>
      </c>
      <c r="P290" s="77">
        <f t="shared" si="45"/>
        <v>0</v>
      </c>
      <c r="S290" s="190">
        <f t="shared" si="44"/>
        <v>0</v>
      </c>
      <c r="T290" s="194"/>
    </row>
    <row r="291" spans="1:20">
      <c r="A291" s="69">
        <f t="shared" si="39"/>
        <v>0</v>
      </c>
      <c r="B291" s="70">
        <f t="shared" si="37"/>
        <v>0</v>
      </c>
      <c r="C291" s="70">
        <f t="shared" si="38"/>
        <v>0</v>
      </c>
      <c r="D291" s="70">
        <f t="shared" si="40"/>
        <v>0</v>
      </c>
      <c r="E291" s="70">
        <f>IF(Adm!$A$2=2,MIN(J290+B291+F291+G291+H291-I291,#REF!),0)</f>
        <v>0</v>
      </c>
      <c r="F291" s="70">
        <f>IF(J290&lt;0.01,0,J290*Adm!$V$3)</f>
        <v>0</v>
      </c>
      <c r="G291" s="70">
        <f>IF(J290&lt;0.01,0,$J$8*Adm!$W$3/1.16)</f>
        <v>0</v>
      </c>
      <c r="H291" s="70">
        <f>IF(J290&lt;0.01,0,Adm!$AD$2)</f>
        <v>0</v>
      </c>
      <c r="I291" s="70">
        <f t="shared" si="41"/>
        <v>0</v>
      </c>
      <c r="J291" s="72">
        <f t="shared" si="42"/>
        <v>0</v>
      </c>
      <c r="L291" s="106">
        <f>IF(J290&lt;0.01,0,1)</f>
        <v>0</v>
      </c>
      <c r="N291" s="72"/>
      <c r="O291" s="76">
        <f t="shared" si="43"/>
        <v>3</v>
      </c>
      <c r="P291" s="77">
        <f t="shared" si="45"/>
        <v>0</v>
      </c>
      <c r="S291" s="190">
        <f t="shared" si="44"/>
        <v>0</v>
      </c>
      <c r="T291" s="194"/>
    </row>
    <row r="292" spans="1:20">
      <c r="A292" s="69">
        <f t="shared" si="39"/>
        <v>0</v>
      </c>
      <c r="B292" s="70">
        <f t="shared" si="37"/>
        <v>0</v>
      </c>
      <c r="C292" s="70">
        <f t="shared" si="38"/>
        <v>0</v>
      </c>
      <c r="D292" s="70">
        <f t="shared" si="40"/>
        <v>0</v>
      </c>
      <c r="E292" s="70">
        <f>IF(Adm!$A$2=2,MIN(J291+B292+F292+G292+H292-I292,#REF!),0)</f>
        <v>0</v>
      </c>
      <c r="F292" s="70">
        <f>IF(J291&lt;0.01,0,J291*Adm!$V$3)</f>
        <v>0</v>
      </c>
      <c r="G292" s="70">
        <f>IF(J291&lt;0.01,0,$J$8*Adm!$W$3/1.16)</f>
        <v>0</v>
      </c>
      <c r="H292" s="70">
        <f>IF(J291&lt;0.01,0,Adm!$AD$2)</f>
        <v>0</v>
      </c>
      <c r="I292" s="70">
        <f t="shared" si="41"/>
        <v>0</v>
      </c>
      <c r="J292" s="72">
        <f t="shared" si="42"/>
        <v>0</v>
      </c>
      <c r="L292" s="106">
        <f>IF(J291&lt;0.01,0,2)</f>
        <v>0</v>
      </c>
      <c r="N292" s="72"/>
      <c r="O292" s="76">
        <f t="shared" si="43"/>
        <v>4</v>
      </c>
      <c r="P292" s="77">
        <f t="shared" si="45"/>
        <v>0</v>
      </c>
      <c r="S292" s="190">
        <f t="shared" si="44"/>
        <v>0</v>
      </c>
      <c r="T292" s="194"/>
    </row>
    <row r="293" spans="1:20">
      <c r="A293" s="69">
        <f t="shared" si="39"/>
        <v>0</v>
      </c>
      <c r="B293" s="70">
        <f t="shared" si="37"/>
        <v>0</v>
      </c>
      <c r="C293" s="70">
        <f t="shared" si="38"/>
        <v>0</v>
      </c>
      <c r="D293" s="70">
        <f t="shared" si="40"/>
        <v>0</v>
      </c>
      <c r="E293" s="70">
        <f>IF(Adm!$A$2=2,MIN(J292+B293+F293+G293+H293-I293,#REF!),0)</f>
        <v>0</v>
      </c>
      <c r="F293" s="70">
        <f>IF(J292&lt;0.01,0,J292*Adm!$V$3)</f>
        <v>0</v>
      </c>
      <c r="G293" s="70">
        <f>IF(J292&lt;0.01,0,$J$8*Adm!$W$3/1.16)</f>
        <v>0</v>
      </c>
      <c r="H293" s="70">
        <f>IF(J292&lt;0.01,0,Adm!$AD$2)</f>
        <v>0</v>
      </c>
      <c r="I293" s="70">
        <f t="shared" si="41"/>
        <v>0</v>
      </c>
      <c r="J293" s="72">
        <f t="shared" si="42"/>
        <v>0</v>
      </c>
      <c r="L293" s="106">
        <f>IF(J292&lt;0.01,0,1)</f>
        <v>0</v>
      </c>
      <c r="N293" s="72"/>
      <c r="O293" s="76">
        <f t="shared" si="43"/>
        <v>5</v>
      </c>
      <c r="P293" s="77">
        <f t="shared" si="45"/>
        <v>0</v>
      </c>
      <c r="S293" s="190">
        <f t="shared" si="44"/>
        <v>0</v>
      </c>
      <c r="T293" s="194"/>
    </row>
    <row r="294" spans="1:20">
      <c r="A294" s="69">
        <f t="shared" si="39"/>
        <v>0</v>
      </c>
      <c r="B294" s="70">
        <f t="shared" si="37"/>
        <v>0</v>
      </c>
      <c r="C294" s="70">
        <f t="shared" si="38"/>
        <v>0</v>
      </c>
      <c r="D294" s="70">
        <f t="shared" si="40"/>
        <v>0</v>
      </c>
      <c r="E294" s="70">
        <f>IF(Adm!$A$2=2,MIN(J293+B294+F294+G294+H294-I294,#REF!),0)</f>
        <v>0</v>
      </c>
      <c r="F294" s="70">
        <f>IF(J293&lt;0.01,0,J293*Adm!$V$3)</f>
        <v>0</v>
      </c>
      <c r="G294" s="70">
        <f>IF(J293&lt;0.01,0,$J$8*Adm!$W$3/1.16)</f>
        <v>0</v>
      </c>
      <c r="H294" s="70">
        <f>IF(J293&lt;0.01,0,Adm!$AD$2)</f>
        <v>0</v>
      </c>
      <c r="I294" s="70">
        <f t="shared" si="41"/>
        <v>0</v>
      </c>
      <c r="J294" s="72">
        <f t="shared" si="42"/>
        <v>0</v>
      </c>
      <c r="L294" s="106">
        <f>IF(J293&lt;0.01,0,2)</f>
        <v>0</v>
      </c>
      <c r="N294" s="72"/>
      <c r="O294" s="76">
        <f t="shared" si="43"/>
        <v>6</v>
      </c>
      <c r="P294" s="77">
        <f t="shared" si="45"/>
        <v>0</v>
      </c>
      <c r="S294" s="190">
        <f t="shared" si="44"/>
        <v>0</v>
      </c>
      <c r="T294" s="194"/>
    </row>
    <row r="295" spans="1:20">
      <c r="A295" s="69">
        <f t="shared" si="39"/>
        <v>0</v>
      </c>
      <c r="B295" s="70">
        <f t="shared" si="37"/>
        <v>0</v>
      </c>
      <c r="C295" s="70">
        <f t="shared" si="38"/>
        <v>0</v>
      </c>
      <c r="D295" s="70">
        <f t="shared" si="40"/>
        <v>0</v>
      </c>
      <c r="E295" s="70">
        <f>IF(Adm!$A$2=2,MIN(J294+B295+F295+G295+H295-I295,#REF!),0)</f>
        <v>0</v>
      </c>
      <c r="F295" s="70">
        <f>IF(J294&lt;0.01,0,J294*Adm!$V$3)</f>
        <v>0</v>
      </c>
      <c r="G295" s="70">
        <f>IF(J294&lt;0.01,0,$J$8*Adm!$W$3/1.16)</f>
        <v>0</v>
      </c>
      <c r="H295" s="70">
        <f>IF(J294&lt;0.01,0,Adm!$AD$2)</f>
        <v>0</v>
      </c>
      <c r="I295" s="70">
        <f t="shared" si="41"/>
        <v>0</v>
      </c>
      <c r="J295" s="72">
        <f t="shared" si="42"/>
        <v>0</v>
      </c>
      <c r="L295" s="106">
        <f>IF(J294&lt;0.01,0,1)</f>
        <v>0</v>
      </c>
      <c r="N295" s="72"/>
      <c r="O295" s="76">
        <f t="shared" si="43"/>
        <v>7</v>
      </c>
      <c r="P295" s="77">
        <f t="shared" si="45"/>
        <v>0</v>
      </c>
      <c r="S295" s="190">
        <f t="shared" si="44"/>
        <v>0</v>
      </c>
      <c r="T295" s="194"/>
    </row>
    <row r="296" spans="1:20">
      <c r="A296" s="69">
        <f t="shared" si="39"/>
        <v>0</v>
      </c>
      <c r="B296" s="70">
        <f t="shared" si="37"/>
        <v>0</v>
      </c>
      <c r="C296" s="70">
        <f t="shared" si="38"/>
        <v>0</v>
      </c>
      <c r="D296" s="70">
        <f t="shared" si="40"/>
        <v>0</v>
      </c>
      <c r="E296" s="70">
        <f>IF(Adm!$A$2=2,MIN(J295+B296+F296+G296+H296-I296,#REF!),0)</f>
        <v>0</v>
      </c>
      <c r="F296" s="70">
        <f>IF(J295&lt;0.01,0,J295*Adm!$V$3)</f>
        <v>0</v>
      </c>
      <c r="G296" s="70">
        <f>IF(J295&lt;0.01,0,$J$8*Adm!$W$3/1.16)</f>
        <v>0</v>
      </c>
      <c r="H296" s="70">
        <f>IF(J295&lt;0.01,0,Adm!$AD$2)</f>
        <v>0</v>
      </c>
      <c r="I296" s="70">
        <f t="shared" si="41"/>
        <v>0</v>
      </c>
      <c r="J296" s="72">
        <f t="shared" si="42"/>
        <v>0</v>
      </c>
      <c r="L296" s="106">
        <f>IF(J295&lt;0.01,0,2)</f>
        <v>0</v>
      </c>
      <c r="N296" s="72"/>
      <c r="O296" s="76">
        <f t="shared" si="43"/>
        <v>8</v>
      </c>
      <c r="P296" s="77">
        <f t="shared" si="45"/>
        <v>0</v>
      </c>
      <c r="S296" s="190">
        <f t="shared" si="44"/>
        <v>0</v>
      </c>
      <c r="T296" s="194"/>
    </row>
    <row r="297" spans="1:20">
      <c r="A297" s="69">
        <f t="shared" si="39"/>
        <v>0</v>
      </c>
      <c r="B297" s="70">
        <f t="shared" si="37"/>
        <v>0</v>
      </c>
      <c r="C297" s="70">
        <f t="shared" si="38"/>
        <v>0</v>
      </c>
      <c r="D297" s="70">
        <f t="shared" si="40"/>
        <v>0</v>
      </c>
      <c r="E297" s="70">
        <f>IF(Adm!$A$2=2,MIN(J296+B297+F297+G297+H297-I297,#REF!),0)</f>
        <v>0</v>
      </c>
      <c r="F297" s="70">
        <f>IF(J296&lt;0.01,0,J296*Adm!$V$3)</f>
        <v>0</v>
      </c>
      <c r="G297" s="70">
        <f>IF(J296&lt;0.01,0,$J$8*Adm!$W$3/1.16)</f>
        <v>0</v>
      </c>
      <c r="H297" s="70">
        <f>IF(J296&lt;0.01,0,Adm!$AD$2)</f>
        <v>0</v>
      </c>
      <c r="I297" s="70">
        <f t="shared" si="41"/>
        <v>0</v>
      </c>
      <c r="J297" s="72">
        <f t="shared" si="42"/>
        <v>0</v>
      </c>
      <c r="L297" s="106">
        <f>IF(J296&lt;0.01,0,1)</f>
        <v>0</v>
      </c>
      <c r="N297" s="72"/>
      <c r="O297" s="76">
        <f t="shared" si="43"/>
        <v>9</v>
      </c>
      <c r="P297" s="77">
        <f t="shared" si="45"/>
        <v>0</v>
      </c>
      <c r="S297" s="190">
        <f t="shared" si="44"/>
        <v>0</v>
      </c>
      <c r="T297" s="194"/>
    </row>
    <row r="298" spans="1:20">
      <c r="A298" s="69">
        <f t="shared" si="39"/>
        <v>0</v>
      </c>
      <c r="B298" s="70">
        <f t="shared" si="37"/>
        <v>0</v>
      </c>
      <c r="C298" s="70">
        <f t="shared" si="38"/>
        <v>0</v>
      </c>
      <c r="D298" s="70">
        <f t="shared" si="40"/>
        <v>0</v>
      </c>
      <c r="E298" s="70">
        <f>IF(Adm!$A$2=2,MIN(J297+B298+F298+G298+H298-I298,#REF!),0)</f>
        <v>0</v>
      </c>
      <c r="F298" s="70">
        <f>IF(J297&lt;0.01,0,J297*Adm!$V$3)</f>
        <v>0</v>
      </c>
      <c r="G298" s="70">
        <f>IF(J297&lt;0.01,0,$J$8*Adm!$W$3/1.16)</f>
        <v>0</v>
      </c>
      <c r="H298" s="70">
        <f>IF(J297&lt;0.01,0,Adm!$AD$2)</f>
        <v>0</v>
      </c>
      <c r="I298" s="70">
        <f t="shared" si="41"/>
        <v>0</v>
      </c>
      <c r="J298" s="72">
        <f t="shared" si="42"/>
        <v>0</v>
      </c>
      <c r="L298" s="106">
        <f>IF(J297&lt;0.01,0,2)</f>
        <v>0</v>
      </c>
      <c r="N298" s="72"/>
      <c r="O298" s="76">
        <f t="shared" si="43"/>
        <v>10</v>
      </c>
      <c r="P298" s="77">
        <f t="shared" si="45"/>
        <v>0</v>
      </c>
      <c r="S298" s="190">
        <f t="shared" si="44"/>
        <v>0</v>
      </c>
      <c r="T298" s="194"/>
    </row>
    <row r="299" spans="1:20">
      <c r="A299" s="69">
        <f t="shared" si="39"/>
        <v>0</v>
      </c>
      <c r="B299" s="70">
        <f t="shared" si="37"/>
        <v>0</v>
      </c>
      <c r="C299" s="70">
        <f t="shared" si="38"/>
        <v>0</v>
      </c>
      <c r="D299" s="70">
        <f t="shared" si="40"/>
        <v>0</v>
      </c>
      <c r="E299" s="70">
        <f>IF(Adm!$A$2=2,MIN(J298+B299+F299+G299+H299-I299,#REF!),0)</f>
        <v>0</v>
      </c>
      <c r="F299" s="70">
        <f>IF(J298&lt;0.01,0,J298*Adm!$V$3)</f>
        <v>0</v>
      </c>
      <c r="G299" s="70">
        <f>IF(J298&lt;0.01,0,$J$8*Adm!$W$3/1.16)</f>
        <v>0</v>
      </c>
      <c r="H299" s="70">
        <f>IF(J298&lt;0.01,0,Adm!$AD$2)</f>
        <v>0</v>
      </c>
      <c r="I299" s="70">
        <f t="shared" si="41"/>
        <v>0</v>
      </c>
      <c r="J299" s="72">
        <f t="shared" si="42"/>
        <v>0</v>
      </c>
      <c r="L299" s="106">
        <f>IF(J298&lt;0.01,0,1)</f>
        <v>0</v>
      </c>
      <c r="N299" s="72"/>
      <c r="O299" s="76">
        <f t="shared" si="43"/>
        <v>11</v>
      </c>
      <c r="P299" s="77">
        <f t="shared" si="45"/>
        <v>0</v>
      </c>
      <c r="S299" s="190">
        <f t="shared" si="44"/>
        <v>0</v>
      </c>
      <c r="T299" s="194"/>
    </row>
    <row r="300" spans="1:20">
      <c r="A300" s="69">
        <f t="shared" si="39"/>
        <v>0</v>
      </c>
      <c r="B300" s="70">
        <f t="shared" si="37"/>
        <v>0</v>
      </c>
      <c r="C300" s="70">
        <f t="shared" si="38"/>
        <v>0</v>
      </c>
      <c r="D300" s="70">
        <f t="shared" si="40"/>
        <v>0</v>
      </c>
      <c r="E300" s="70">
        <f>IF(Adm!$A$2=2,MIN(J299+B300+F300+G300+H300-I300,#REF!),0)</f>
        <v>0</v>
      </c>
      <c r="F300" s="70">
        <f>IF(J299&lt;0.01,0,J299*Adm!$V$3)</f>
        <v>0</v>
      </c>
      <c r="G300" s="70">
        <f>IF(J299&lt;0.01,0,$J$8*Adm!$W$3/1.16)</f>
        <v>0</v>
      </c>
      <c r="H300" s="70">
        <f>IF(J299&lt;0.01,0,Adm!$AD$2)</f>
        <v>0</v>
      </c>
      <c r="I300" s="70">
        <f t="shared" si="41"/>
        <v>0</v>
      </c>
      <c r="J300" s="72">
        <f t="shared" si="42"/>
        <v>0</v>
      </c>
      <c r="L300" s="106">
        <f>IF(J299&lt;0.01,0,2)</f>
        <v>0</v>
      </c>
      <c r="N300" s="72"/>
      <c r="O300" s="76">
        <f t="shared" si="43"/>
        <v>12</v>
      </c>
      <c r="P300" s="77">
        <f t="shared" si="45"/>
        <v>0</v>
      </c>
      <c r="S300" s="190">
        <f t="shared" si="44"/>
        <v>0</v>
      </c>
      <c r="T300" s="194"/>
    </row>
    <row r="301" spans="1:20">
      <c r="A301" s="69">
        <f t="shared" si="39"/>
        <v>0</v>
      </c>
      <c r="B301" s="70">
        <f t="shared" si="37"/>
        <v>0</v>
      </c>
      <c r="C301" s="70">
        <f t="shared" si="38"/>
        <v>0</v>
      </c>
      <c r="D301" s="70">
        <f t="shared" si="40"/>
        <v>0</v>
      </c>
      <c r="E301" s="70">
        <f>IF(Adm!$A$2=2,MIN(J300+B301+F301+G301+H301-I301,#REF!),0)</f>
        <v>0</v>
      </c>
      <c r="F301" s="70">
        <f>IF(J300&lt;0.01,0,J300*Adm!$V$3)</f>
        <v>0</v>
      </c>
      <c r="G301" s="70">
        <f>IF(J300&lt;0.01,0,$J$8*Adm!$W$3/1.16)</f>
        <v>0</v>
      </c>
      <c r="H301" s="70">
        <f>IF(J300&lt;0.01,0,Adm!$AD$2)</f>
        <v>0</v>
      </c>
      <c r="I301" s="70">
        <f t="shared" si="41"/>
        <v>0</v>
      </c>
      <c r="J301" s="72">
        <f t="shared" si="42"/>
        <v>0</v>
      </c>
      <c r="L301" s="106">
        <f>IF(J300&lt;0.01,0,1)</f>
        <v>0</v>
      </c>
      <c r="N301" s="72"/>
      <c r="O301" s="76">
        <f t="shared" si="43"/>
        <v>1</v>
      </c>
      <c r="P301" s="77">
        <f t="shared" si="45"/>
        <v>0</v>
      </c>
      <c r="S301" s="190">
        <f t="shared" si="44"/>
        <v>0</v>
      </c>
      <c r="T301" s="194"/>
    </row>
    <row r="302" spans="1:20">
      <c r="A302" s="69">
        <f t="shared" si="39"/>
        <v>0</v>
      </c>
      <c r="B302" s="70">
        <f t="shared" si="37"/>
        <v>0</v>
      </c>
      <c r="C302" s="70">
        <f t="shared" si="38"/>
        <v>0</v>
      </c>
      <c r="D302" s="70">
        <f t="shared" si="40"/>
        <v>0</v>
      </c>
      <c r="E302" s="70">
        <f>IF(Adm!$A$2=2,MIN(J301+B302+F302+G302+H302-I302,#REF!),0)</f>
        <v>0</v>
      </c>
      <c r="F302" s="70">
        <f>IF(J301&lt;0.01,0,J301*Adm!$V$3)</f>
        <v>0</v>
      </c>
      <c r="G302" s="70">
        <f>IF(J301&lt;0.01,0,$J$8*Adm!$W$3/1.16)</f>
        <v>0</v>
      </c>
      <c r="H302" s="70">
        <f>IF(J301&lt;0.01,0,Adm!$AD$2)</f>
        <v>0</v>
      </c>
      <c r="I302" s="70">
        <f t="shared" si="41"/>
        <v>0</v>
      </c>
      <c r="J302" s="72">
        <f t="shared" si="42"/>
        <v>0</v>
      </c>
      <c r="L302" s="106">
        <f>IF(J301&lt;0.01,0,2)</f>
        <v>0</v>
      </c>
      <c r="N302" s="72"/>
      <c r="O302" s="76">
        <f t="shared" si="43"/>
        <v>2</v>
      </c>
      <c r="P302" s="77">
        <f t="shared" si="45"/>
        <v>0</v>
      </c>
      <c r="S302" s="190">
        <f t="shared" si="44"/>
        <v>0</v>
      </c>
      <c r="T302" s="194"/>
    </row>
    <row r="303" spans="1:20">
      <c r="A303" s="69">
        <f t="shared" si="39"/>
        <v>0</v>
      </c>
      <c r="B303" s="70">
        <f t="shared" si="37"/>
        <v>0</v>
      </c>
      <c r="C303" s="70">
        <f t="shared" si="38"/>
        <v>0</v>
      </c>
      <c r="D303" s="70">
        <f t="shared" si="40"/>
        <v>0</v>
      </c>
      <c r="E303" s="70">
        <f>IF(Adm!$A$2=2,MIN(J302+B303+F303+G303+H303-I303,#REF!),0)</f>
        <v>0</v>
      </c>
      <c r="F303" s="70">
        <f>IF(J302&lt;0.01,0,J302*Adm!$V$3)</f>
        <v>0</v>
      </c>
      <c r="G303" s="70">
        <f>IF(J302&lt;0.01,0,$J$8*Adm!$W$3/1.16)</f>
        <v>0</v>
      </c>
      <c r="H303" s="70">
        <f>IF(J302&lt;0.01,0,Adm!$AD$2)</f>
        <v>0</v>
      </c>
      <c r="I303" s="70">
        <f t="shared" si="41"/>
        <v>0</v>
      </c>
      <c r="J303" s="72">
        <f t="shared" si="42"/>
        <v>0</v>
      </c>
      <c r="L303" s="106">
        <f>IF(J302&lt;0.01,0,1)</f>
        <v>0</v>
      </c>
      <c r="N303" s="72"/>
      <c r="O303" s="76">
        <f t="shared" si="43"/>
        <v>3</v>
      </c>
      <c r="P303" s="77">
        <f t="shared" si="45"/>
        <v>0</v>
      </c>
      <c r="S303" s="190">
        <f t="shared" si="44"/>
        <v>0</v>
      </c>
      <c r="T303" s="194"/>
    </row>
    <row r="304" spans="1:20">
      <c r="A304" s="69">
        <f t="shared" si="39"/>
        <v>0</v>
      </c>
      <c r="B304" s="70">
        <f t="shared" si="37"/>
        <v>0</v>
      </c>
      <c r="C304" s="70">
        <f t="shared" si="38"/>
        <v>0</v>
      </c>
      <c r="D304" s="70">
        <f t="shared" si="40"/>
        <v>0</v>
      </c>
      <c r="E304" s="70">
        <f>IF(Adm!$A$2=2,MIN(J303+B304+F304+G304+H304-I304,#REF!),0)</f>
        <v>0</v>
      </c>
      <c r="F304" s="70">
        <f>IF(J303&lt;0.01,0,J303*Adm!$V$3)</f>
        <v>0</v>
      </c>
      <c r="G304" s="70">
        <f>IF(J303&lt;0.01,0,$J$8*Adm!$W$3/1.16)</f>
        <v>0</v>
      </c>
      <c r="H304" s="70">
        <f>IF(J303&lt;0.01,0,Adm!$AD$2)</f>
        <v>0</v>
      </c>
      <c r="I304" s="70">
        <f t="shared" si="41"/>
        <v>0</v>
      </c>
      <c r="J304" s="72">
        <f t="shared" si="42"/>
        <v>0</v>
      </c>
      <c r="L304" s="106">
        <f>IF(J303&lt;0.01,0,2)</f>
        <v>0</v>
      </c>
      <c r="N304" s="72"/>
      <c r="O304" s="76">
        <f t="shared" si="43"/>
        <v>4</v>
      </c>
      <c r="P304" s="77">
        <f t="shared" si="45"/>
        <v>0</v>
      </c>
      <c r="S304" s="190">
        <f t="shared" si="44"/>
        <v>0</v>
      </c>
      <c r="T304" s="194"/>
    </row>
    <row r="305" spans="1:20">
      <c r="A305" s="69">
        <f t="shared" si="39"/>
        <v>0</v>
      </c>
      <c r="B305" s="70">
        <f t="shared" si="37"/>
        <v>0</v>
      </c>
      <c r="C305" s="70">
        <f t="shared" si="38"/>
        <v>0</v>
      </c>
      <c r="D305" s="70">
        <f t="shared" si="40"/>
        <v>0</v>
      </c>
      <c r="E305" s="70">
        <f>IF(Adm!$A$2=2,MIN(J304+B305+F305+G305+H305-I305,#REF!),0)</f>
        <v>0</v>
      </c>
      <c r="F305" s="70">
        <f>IF(J304&lt;0.01,0,J304*Adm!$V$3)</f>
        <v>0</v>
      </c>
      <c r="G305" s="70">
        <f>IF(J304&lt;0.01,0,$J$8*Adm!$W$3/1.16)</f>
        <v>0</v>
      </c>
      <c r="H305" s="70">
        <f>IF(J304&lt;0.01,0,Adm!$AD$2)</f>
        <v>0</v>
      </c>
      <c r="I305" s="70">
        <f t="shared" si="41"/>
        <v>0</v>
      </c>
      <c r="J305" s="72">
        <f t="shared" si="42"/>
        <v>0</v>
      </c>
      <c r="L305" s="106">
        <f>IF(J304&lt;0.01,0,1)</f>
        <v>0</v>
      </c>
      <c r="N305" s="72"/>
      <c r="O305" s="76">
        <f t="shared" si="43"/>
        <v>5</v>
      </c>
      <c r="P305" s="77">
        <f t="shared" si="45"/>
        <v>0</v>
      </c>
      <c r="S305" s="190">
        <f t="shared" si="44"/>
        <v>0</v>
      </c>
      <c r="T305" s="194"/>
    </row>
    <row r="306" spans="1:20">
      <c r="A306" s="69">
        <f t="shared" si="39"/>
        <v>0</v>
      </c>
      <c r="B306" s="70">
        <f t="shared" si="37"/>
        <v>0</v>
      </c>
      <c r="C306" s="70">
        <f t="shared" si="38"/>
        <v>0</v>
      </c>
      <c r="D306" s="70">
        <f t="shared" si="40"/>
        <v>0</v>
      </c>
      <c r="E306" s="70">
        <f>IF(Adm!$A$2=2,MIN(J305+B306+F306+G306+H306-I306,#REF!),0)</f>
        <v>0</v>
      </c>
      <c r="F306" s="70">
        <f>IF(J305&lt;0.01,0,J305*Adm!$V$3)</f>
        <v>0</v>
      </c>
      <c r="G306" s="70">
        <f>IF(J305&lt;0.01,0,$J$8*Adm!$W$3/1.16)</f>
        <v>0</v>
      </c>
      <c r="H306" s="70">
        <f>IF(J305&lt;0.01,0,Adm!$AD$2)</f>
        <v>0</v>
      </c>
      <c r="I306" s="70">
        <f t="shared" si="41"/>
        <v>0</v>
      </c>
      <c r="J306" s="72">
        <f t="shared" si="42"/>
        <v>0</v>
      </c>
      <c r="L306" s="106">
        <f>IF(J305&lt;0.01,0,2)</f>
        <v>0</v>
      </c>
      <c r="N306" s="72"/>
      <c r="O306" s="76">
        <f t="shared" si="43"/>
        <v>6</v>
      </c>
      <c r="P306" s="77">
        <f t="shared" si="45"/>
        <v>0</v>
      </c>
      <c r="S306" s="190">
        <f t="shared" si="44"/>
        <v>0</v>
      </c>
      <c r="T306" s="194"/>
    </row>
    <row r="307" spans="1:20">
      <c r="A307" s="69">
        <f t="shared" si="39"/>
        <v>0</v>
      </c>
      <c r="B307" s="70">
        <f t="shared" si="37"/>
        <v>0</v>
      </c>
      <c r="C307" s="70">
        <f t="shared" si="38"/>
        <v>0</v>
      </c>
      <c r="D307" s="70">
        <f t="shared" si="40"/>
        <v>0</v>
      </c>
      <c r="E307" s="70">
        <f>IF(Adm!$A$2=2,MIN(J306+B307+F307+G307+H307-I307,#REF!),0)</f>
        <v>0</v>
      </c>
      <c r="F307" s="70">
        <f>IF(J306&lt;0.01,0,J306*Adm!$V$3)</f>
        <v>0</v>
      </c>
      <c r="G307" s="70">
        <f>IF(J306&lt;0.01,0,$J$8*Adm!$W$3/1.16)</f>
        <v>0</v>
      </c>
      <c r="H307" s="70">
        <f>IF(J306&lt;0.01,0,Adm!$AD$2)</f>
        <v>0</v>
      </c>
      <c r="I307" s="70">
        <f t="shared" si="41"/>
        <v>0</v>
      </c>
      <c r="J307" s="72">
        <f t="shared" si="42"/>
        <v>0</v>
      </c>
      <c r="L307" s="106">
        <f>IF(J306&lt;0.01,0,1)</f>
        <v>0</v>
      </c>
      <c r="N307" s="72"/>
      <c r="O307" s="76">
        <f t="shared" si="43"/>
        <v>7</v>
      </c>
      <c r="P307" s="77">
        <f t="shared" si="45"/>
        <v>0</v>
      </c>
      <c r="S307" s="190">
        <f t="shared" si="44"/>
        <v>0</v>
      </c>
      <c r="T307" s="194"/>
    </row>
    <row r="308" spans="1:20">
      <c r="A308" s="69">
        <f t="shared" si="39"/>
        <v>0</v>
      </c>
      <c r="B308" s="70">
        <f t="shared" si="37"/>
        <v>0</v>
      </c>
      <c r="C308" s="70">
        <f t="shared" si="38"/>
        <v>0</v>
      </c>
      <c r="D308" s="70">
        <f t="shared" si="40"/>
        <v>0</v>
      </c>
      <c r="E308" s="70">
        <f>IF(Adm!$A$2=2,MIN(J307+B308+F308+G308+H308-I308,#REF!),0)</f>
        <v>0</v>
      </c>
      <c r="F308" s="70">
        <f>IF(J307&lt;0.01,0,J307*Adm!$V$3)</f>
        <v>0</v>
      </c>
      <c r="G308" s="70">
        <f>IF(J307&lt;0.01,0,$J$8*Adm!$W$3/1.16)</f>
        <v>0</v>
      </c>
      <c r="H308" s="70">
        <f>IF(J307&lt;0.01,0,Adm!$AD$2)</f>
        <v>0</v>
      </c>
      <c r="I308" s="70">
        <f t="shared" si="41"/>
        <v>0</v>
      </c>
      <c r="J308" s="72">
        <f t="shared" si="42"/>
        <v>0</v>
      </c>
      <c r="L308" s="106">
        <f>IF(J307&lt;0.01,0,2)</f>
        <v>0</v>
      </c>
      <c r="N308" s="72"/>
      <c r="O308" s="76">
        <f t="shared" si="43"/>
        <v>8</v>
      </c>
      <c r="P308" s="77">
        <f t="shared" si="45"/>
        <v>0</v>
      </c>
      <c r="S308" s="190">
        <f t="shared" si="44"/>
        <v>0</v>
      </c>
      <c r="T308" s="194"/>
    </row>
    <row r="309" spans="1:20">
      <c r="A309" s="69">
        <f t="shared" si="39"/>
        <v>0</v>
      </c>
      <c r="B309" s="70">
        <f t="shared" si="37"/>
        <v>0</v>
      </c>
      <c r="C309" s="70">
        <f t="shared" si="38"/>
        <v>0</v>
      </c>
      <c r="D309" s="70">
        <f t="shared" si="40"/>
        <v>0</v>
      </c>
      <c r="E309" s="70">
        <f>IF(Adm!$A$2=2,MIN(J308+B309+F309+G309+H309-I309,#REF!),0)</f>
        <v>0</v>
      </c>
      <c r="F309" s="70">
        <f>IF(J308&lt;0.01,0,J308*Adm!$V$3)</f>
        <v>0</v>
      </c>
      <c r="G309" s="70">
        <f>IF(J308&lt;0.01,0,$J$8*Adm!$W$3/1.16)</f>
        <v>0</v>
      </c>
      <c r="H309" s="70">
        <f>IF(J308&lt;0.01,0,Adm!$AD$2)</f>
        <v>0</v>
      </c>
      <c r="I309" s="70">
        <f t="shared" si="41"/>
        <v>0</v>
      </c>
      <c r="J309" s="72">
        <f t="shared" si="42"/>
        <v>0</v>
      </c>
      <c r="L309" s="106">
        <f>IF(J308&lt;0.01,0,1)</f>
        <v>0</v>
      </c>
      <c r="N309" s="72"/>
      <c r="O309" s="76">
        <f t="shared" si="43"/>
        <v>9</v>
      </c>
      <c r="P309" s="77">
        <f t="shared" si="45"/>
        <v>0</v>
      </c>
      <c r="S309" s="190">
        <f t="shared" si="44"/>
        <v>0</v>
      </c>
      <c r="T309" s="194"/>
    </row>
    <row r="310" spans="1:20">
      <c r="A310" s="69">
        <f t="shared" si="39"/>
        <v>0</v>
      </c>
      <c r="B310" s="70">
        <f t="shared" si="37"/>
        <v>0</v>
      </c>
      <c r="C310" s="70">
        <f t="shared" si="38"/>
        <v>0</v>
      </c>
      <c r="D310" s="70">
        <f t="shared" si="40"/>
        <v>0</v>
      </c>
      <c r="E310" s="70">
        <f>IF(Adm!$A$2=2,MIN(J309+B310+F310+G310+H310-I310,#REF!),0)</f>
        <v>0</v>
      </c>
      <c r="F310" s="70">
        <f>IF(J309&lt;0.01,0,J309*Adm!$V$3)</f>
        <v>0</v>
      </c>
      <c r="G310" s="70">
        <f>IF(J309&lt;0.01,0,$J$8*Adm!$W$3/1.16)</f>
        <v>0</v>
      </c>
      <c r="H310" s="70">
        <f>IF(J309&lt;0.01,0,Adm!$AD$2)</f>
        <v>0</v>
      </c>
      <c r="I310" s="70">
        <f t="shared" si="41"/>
        <v>0</v>
      </c>
      <c r="J310" s="72">
        <f t="shared" si="42"/>
        <v>0</v>
      </c>
      <c r="L310" s="106">
        <f>IF(J309&lt;0.01,0,2)</f>
        <v>0</v>
      </c>
      <c r="N310" s="72"/>
      <c r="O310" s="76">
        <f t="shared" si="43"/>
        <v>10</v>
      </c>
      <c r="P310" s="77">
        <f t="shared" si="45"/>
        <v>0</v>
      </c>
      <c r="S310" s="190">
        <f t="shared" si="44"/>
        <v>0</v>
      </c>
      <c r="T310" s="194"/>
    </row>
    <row r="311" spans="1:20">
      <c r="A311" s="69">
        <f t="shared" si="39"/>
        <v>0</v>
      </c>
      <c r="B311" s="70">
        <f t="shared" si="37"/>
        <v>0</v>
      </c>
      <c r="C311" s="70">
        <f t="shared" si="38"/>
        <v>0</v>
      </c>
      <c r="D311" s="70">
        <f t="shared" si="40"/>
        <v>0</v>
      </c>
      <c r="E311" s="70">
        <f>IF(Adm!$A$2=2,MIN(J310+B311+F311+G311+H311-I311,#REF!),0)</f>
        <v>0</v>
      </c>
      <c r="F311" s="70">
        <f>IF(J310&lt;0.01,0,J310*Adm!$V$3)</f>
        <v>0</v>
      </c>
      <c r="G311" s="70">
        <f>IF(J310&lt;0.01,0,$J$8*Adm!$W$3/1.16)</f>
        <v>0</v>
      </c>
      <c r="H311" s="70">
        <f>IF(J310&lt;0.01,0,Adm!$AD$2)</f>
        <v>0</v>
      </c>
      <c r="I311" s="70">
        <f t="shared" si="41"/>
        <v>0</v>
      </c>
      <c r="J311" s="72">
        <f t="shared" si="42"/>
        <v>0</v>
      </c>
      <c r="L311" s="106">
        <f>IF(J310&lt;0.01,0,1)</f>
        <v>0</v>
      </c>
      <c r="N311" s="72"/>
      <c r="O311" s="76">
        <f t="shared" si="43"/>
        <v>11</v>
      </c>
      <c r="P311" s="77">
        <f t="shared" si="45"/>
        <v>0</v>
      </c>
      <c r="S311" s="190">
        <f t="shared" si="44"/>
        <v>0</v>
      </c>
      <c r="T311" s="194"/>
    </row>
    <row r="312" spans="1:20">
      <c r="A312" s="69">
        <f t="shared" si="39"/>
        <v>0</v>
      </c>
      <c r="B312" s="70">
        <f t="shared" si="37"/>
        <v>0</v>
      </c>
      <c r="C312" s="70">
        <f t="shared" si="38"/>
        <v>0</v>
      </c>
      <c r="D312" s="70">
        <f t="shared" si="40"/>
        <v>0</v>
      </c>
      <c r="E312" s="70">
        <f>IF(Adm!$A$2=2,MIN(J311+B312+F312+G312+H312-I312,#REF!),0)</f>
        <v>0</v>
      </c>
      <c r="F312" s="70">
        <f>IF(J311&lt;0.01,0,J311*Adm!$V$3)</f>
        <v>0</v>
      </c>
      <c r="G312" s="70">
        <f>IF(J311&lt;0.01,0,$J$8*Adm!$W$3/1.16)</f>
        <v>0</v>
      </c>
      <c r="H312" s="70">
        <f>IF(J311&lt;0.01,0,Adm!$AD$2)</f>
        <v>0</v>
      </c>
      <c r="I312" s="70">
        <f t="shared" si="41"/>
        <v>0</v>
      </c>
      <c r="J312" s="72">
        <f t="shared" si="42"/>
        <v>0</v>
      </c>
      <c r="L312" s="106">
        <f>IF(J311&lt;0.01,0,2)</f>
        <v>0</v>
      </c>
      <c r="N312" s="72"/>
      <c r="O312" s="76">
        <f t="shared" si="43"/>
        <v>12</v>
      </c>
      <c r="P312" s="77">
        <f t="shared" si="45"/>
        <v>0</v>
      </c>
      <c r="S312" s="190">
        <f t="shared" si="44"/>
        <v>0</v>
      </c>
      <c r="T312" s="194"/>
    </row>
    <row r="313" spans="1:20">
      <c r="A313" s="69">
        <f t="shared" si="39"/>
        <v>0</v>
      </c>
      <c r="B313" s="70">
        <f t="shared" si="37"/>
        <v>0</v>
      </c>
      <c r="C313" s="70">
        <f t="shared" si="38"/>
        <v>0</v>
      </c>
      <c r="D313" s="70">
        <f t="shared" si="40"/>
        <v>0</v>
      </c>
      <c r="E313" s="70">
        <f>IF(Adm!$A$2=2,MIN(J312+B313+F313+G313+H313-I313,#REF!),0)</f>
        <v>0</v>
      </c>
      <c r="F313" s="70">
        <f>IF(J312&lt;0.01,0,J312*Adm!$V$3)</f>
        <v>0</v>
      </c>
      <c r="G313" s="70">
        <f>IF(J312&lt;0.01,0,$J$8*Adm!$W$3/1.16)</f>
        <v>0</v>
      </c>
      <c r="H313" s="70">
        <f>IF(J312&lt;0.01,0,Adm!$AD$2)</f>
        <v>0</v>
      </c>
      <c r="I313" s="70">
        <f t="shared" si="41"/>
        <v>0</v>
      </c>
      <c r="J313" s="72">
        <f t="shared" si="42"/>
        <v>0</v>
      </c>
      <c r="L313" s="106">
        <f>IF(J312&lt;0.01,0,1)</f>
        <v>0</v>
      </c>
      <c r="N313" s="72"/>
      <c r="O313" s="76">
        <f t="shared" si="43"/>
        <v>1</v>
      </c>
      <c r="P313" s="77">
        <f t="shared" si="45"/>
        <v>0</v>
      </c>
      <c r="S313" s="190">
        <f t="shared" si="44"/>
        <v>0</v>
      </c>
      <c r="T313" s="194"/>
    </row>
    <row r="314" spans="1:20">
      <c r="A314" s="69">
        <f t="shared" si="39"/>
        <v>0</v>
      </c>
      <c r="B314" s="70">
        <f t="shared" si="37"/>
        <v>0</v>
      </c>
      <c r="C314" s="70">
        <f t="shared" si="38"/>
        <v>0</v>
      </c>
      <c r="D314" s="70">
        <f t="shared" si="40"/>
        <v>0</v>
      </c>
      <c r="E314" s="70">
        <f>IF(Adm!$A$2=2,MIN(J313+B314+F314+G314+H314-I314,#REF!),0)</f>
        <v>0</v>
      </c>
      <c r="F314" s="70">
        <f>IF(J313&lt;0.01,0,J313*Adm!$V$3)</f>
        <v>0</v>
      </c>
      <c r="G314" s="70">
        <f>IF(J313&lt;0.01,0,$J$8*Adm!$W$3/1.16)</f>
        <v>0</v>
      </c>
      <c r="H314" s="70">
        <f>IF(J313&lt;0.01,0,Adm!$AD$2)</f>
        <v>0</v>
      </c>
      <c r="I314" s="70">
        <f t="shared" si="41"/>
        <v>0</v>
      </c>
      <c r="J314" s="72">
        <f t="shared" si="42"/>
        <v>0</v>
      </c>
      <c r="L314" s="106">
        <f>IF(J313&lt;0.01,0,2)</f>
        <v>0</v>
      </c>
      <c r="N314" s="72"/>
      <c r="O314" s="76">
        <f t="shared" si="43"/>
        <v>2</v>
      </c>
      <c r="P314" s="77">
        <f t="shared" si="45"/>
        <v>0</v>
      </c>
      <c r="S314" s="190">
        <f t="shared" si="44"/>
        <v>0</v>
      </c>
      <c r="T314" s="194"/>
    </row>
    <row r="315" spans="1:20">
      <c r="A315" s="69">
        <f t="shared" si="39"/>
        <v>0</v>
      </c>
      <c r="B315" s="70">
        <f t="shared" si="37"/>
        <v>0</v>
      </c>
      <c r="C315" s="70">
        <f t="shared" si="38"/>
        <v>0</v>
      </c>
      <c r="D315" s="70">
        <f t="shared" si="40"/>
        <v>0</v>
      </c>
      <c r="E315" s="70">
        <f>IF(Adm!$A$2=2,MIN(J314+B315+F315+G315+H315-I315,#REF!),0)</f>
        <v>0</v>
      </c>
      <c r="F315" s="70">
        <f>IF(J314&lt;0.01,0,J314*Adm!$V$3)</f>
        <v>0</v>
      </c>
      <c r="G315" s="70">
        <f>IF(J314&lt;0.01,0,$J$8*Adm!$W$3/1.16)</f>
        <v>0</v>
      </c>
      <c r="H315" s="70">
        <f>IF(J314&lt;0.01,0,Adm!$AD$2)</f>
        <v>0</v>
      </c>
      <c r="I315" s="70">
        <f t="shared" si="41"/>
        <v>0</v>
      </c>
      <c r="J315" s="72">
        <f t="shared" si="42"/>
        <v>0</v>
      </c>
      <c r="L315" s="106">
        <f>IF(J314&lt;0.01,0,1)</f>
        <v>0</v>
      </c>
      <c r="N315" s="72"/>
      <c r="O315" s="76">
        <f t="shared" si="43"/>
        <v>3</v>
      </c>
      <c r="P315" s="77">
        <f t="shared" si="45"/>
        <v>0</v>
      </c>
      <c r="S315" s="190">
        <f t="shared" si="44"/>
        <v>0</v>
      </c>
      <c r="T315" s="194"/>
    </row>
    <row r="316" spans="1:20">
      <c r="A316" s="69">
        <f t="shared" si="39"/>
        <v>0</v>
      </c>
      <c r="B316" s="70">
        <f t="shared" si="37"/>
        <v>0</v>
      </c>
      <c r="C316" s="70">
        <f t="shared" si="38"/>
        <v>0</v>
      </c>
      <c r="D316" s="70">
        <f t="shared" si="40"/>
        <v>0</v>
      </c>
      <c r="E316" s="70">
        <f>IF(Adm!$A$2=2,MIN(J315+B316+F316+G316+H316-I316,#REF!),0)</f>
        <v>0</v>
      </c>
      <c r="F316" s="70">
        <f>IF(J315&lt;0.01,0,J315*Adm!$V$3)</f>
        <v>0</v>
      </c>
      <c r="G316" s="70">
        <f>IF(J315&lt;0.01,0,$J$8*Adm!$W$3/1.16)</f>
        <v>0</v>
      </c>
      <c r="H316" s="70">
        <f>IF(J315&lt;0.01,0,Adm!$AD$2)</f>
        <v>0</v>
      </c>
      <c r="I316" s="70">
        <f t="shared" si="41"/>
        <v>0</v>
      </c>
      <c r="J316" s="72">
        <f t="shared" si="42"/>
        <v>0</v>
      </c>
      <c r="L316" s="106">
        <f>IF(J315&lt;0.01,0,2)</f>
        <v>0</v>
      </c>
      <c r="N316" s="72"/>
      <c r="O316" s="76">
        <f t="shared" si="43"/>
        <v>4</v>
      </c>
      <c r="P316" s="77">
        <f t="shared" si="45"/>
        <v>0</v>
      </c>
      <c r="S316" s="190">
        <f t="shared" si="44"/>
        <v>0</v>
      </c>
      <c r="T316" s="194"/>
    </row>
    <row r="317" spans="1:20">
      <c r="A317" s="69">
        <f t="shared" si="39"/>
        <v>0</v>
      </c>
      <c r="B317" s="70">
        <f t="shared" si="37"/>
        <v>0</v>
      </c>
      <c r="C317" s="70">
        <f t="shared" si="38"/>
        <v>0</v>
      </c>
      <c r="D317" s="70">
        <f t="shared" si="40"/>
        <v>0</v>
      </c>
      <c r="E317" s="70">
        <f>IF(Adm!$A$2=2,MIN(J316+B317+F317+G317+H317-I317,#REF!),0)</f>
        <v>0</v>
      </c>
      <c r="F317" s="70">
        <f>IF(J316&lt;0.01,0,J316*Adm!$V$3)</f>
        <v>0</v>
      </c>
      <c r="G317" s="70">
        <f>IF(J316&lt;0.01,0,$J$8*Adm!$W$3/1.16)</f>
        <v>0</v>
      </c>
      <c r="H317" s="70">
        <f>IF(J316&lt;0.01,0,Adm!$AD$2)</f>
        <v>0</v>
      </c>
      <c r="I317" s="70">
        <f t="shared" si="41"/>
        <v>0</v>
      </c>
      <c r="J317" s="72">
        <f t="shared" si="42"/>
        <v>0</v>
      </c>
      <c r="L317" s="106">
        <f>IF(J316&lt;0.01,0,1)</f>
        <v>0</v>
      </c>
      <c r="N317" s="72"/>
      <c r="O317" s="76">
        <f t="shared" si="43"/>
        <v>5</v>
      </c>
      <c r="P317" s="77">
        <f t="shared" si="45"/>
        <v>0</v>
      </c>
      <c r="S317" s="190">
        <f t="shared" si="44"/>
        <v>0</v>
      </c>
      <c r="T317" s="194"/>
    </row>
    <row r="318" spans="1:20">
      <c r="A318" s="69">
        <f t="shared" si="39"/>
        <v>0</v>
      </c>
      <c r="B318" s="70">
        <f t="shared" si="37"/>
        <v>0</v>
      </c>
      <c r="C318" s="70">
        <f t="shared" si="38"/>
        <v>0</v>
      </c>
      <c r="D318" s="70">
        <f t="shared" si="40"/>
        <v>0</v>
      </c>
      <c r="E318" s="70">
        <f>IF(Adm!$A$2=2,MIN(J317+B318+F318+G318+H318-I318,#REF!),0)</f>
        <v>0</v>
      </c>
      <c r="F318" s="70">
        <f>IF(J317&lt;0.01,0,J317*Adm!$V$3)</f>
        <v>0</v>
      </c>
      <c r="G318" s="70">
        <f>IF(J317&lt;0.01,0,$J$8*Adm!$W$3/1.16)</f>
        <v>0</v>
      </c>
      <c r="H318" s="70">
        <f>IF(J317&lt;0.01,0,Adm!$AD$2)</f>
        <v>0</v>
      </c>
      <c r="I318" s="70">
        <f t="shared" si="41"/>
        <v>0</v>
      </c>
      <c r="J318" s="72">
        <f t="shared" si="42"/>
        <v>0</v>
      </c>
      <c r="L318" s="106">
        <f>IF(J317&lt;0.01,0,2)</f>
        <v>0</v>
      </c>
      <c r="N318" s="72"/>
      <c r="O318" s="76">
        <f t="shared" si="43"/>
        <v>6</v>
      </c>
      <c r="P318" s="77">
        <f t="shared" si="45"/>
        <v>0</v>
      </c>
      <c r="S318" s="190">
        <f t="shared" si="44"/>
        <v>0</v>
      </c>
      <c r="T318" s="194"/>
    </row>
    <row r="319" spans="1:20">
      <c r="A319" s="69">
        <f t="shared" si="39"/>
        <v>0</v>
      </c>
      <c r="B319" s="70">
        <f t="shared" si="37"/>
        <v>0</v>
      </c>
      <c r="C319" s="70">
        <f t="shared" si="38"/>
        <v>0</v>
      </c>
      <c r="D319" s="70">
        <f t="shared" si="40"/>
        <v>0</v>
      </c>
      <c r="E319" s="70">
        <f>IF(Adm!$A$2=2,MIN(J318+B319+F319+G319+H319-I319,#REF!),0)</f>
        <v>0</v>
      </c>
      <c r="F319" s="70">
        <f>IF(J318&lt;0.01,0,J318*Adm!$V$3)</f>
        <v>0</v>
      </c>
      <c r="G319" s="70">
        <f>IF(J318&lt;0.01,0,$J$8*Adm!$W$3/1.16)</f>
        <v>0</v>
      </c>
      <c r="H319" s="70">
        <f>IF(J318&lt;0.01,0,Adm!$AD$2)</f>
        <v>0</v>
      </c>
      <c r="I319" s="70">
        <f t="shared" si="41"/>
        <v>0</v>
      </c>
      <c r="J319" s="72">
        <f t="shared" si="42"/>
        <v>0</v>
      </c>
      <c r="L319" s="106">
        <f>IF(J318&lt;0.01,0,1)</f>
        <v>0</v>
      </c>
      <c r="N319" s="72"/>
      <c r="O319" s="76">
        <f t="shared" si="43"/>
        <v>7</v>
      </c>
      <c r="P319" s="77">
        <f t="shared" si="45"/>
        <v>0</v>
      </c>
      <c r="S319" s="190">
        <f t="shared" si="44"/>
        <v>0</v>
      </c>
      <c r="T319" s="194"/>
    </row>
    <row r="320" spans="1:20">
      <c r="A320" s="69">
        <f t="shared" si="39"/>
        <v>0</v>
      </c>
      <c r="B320" s="70">
        <f t="shared" si="37"/>
        <v>0</v>
      </c>
      <c r="C320" s="70">
        <f t="shared" si="38"/>
        <v>0</v>
      </c>
      <c r="D320" s="70">
        <f t="shared" si="40"/>
        <v>0</v>
      </c>
      <c r="E320" s="70">
        <f>IF(Adm!$A$2=2,MIN(J319+B320+F320+G320+H320-I320,#REF!),0)</f>
        <v>0</v>
      </c>
      <c r="F320" s="70">
        <f>IF(J319&lt;0.01,0,J319*Adm!$V$3)</f>
        <v>0</v>
      </c>
      <c r="G320" s="70">
        <f>IF(J319&lt;0.01,0,$J$8*Adm!$W$3/1.16)</f>
        <v>0</v>
      </c>
      <c r="H320" s="70">
        <f>IF(J319&lt;0.01,0,Adm!$AD$2)</f>
        <v>0</v>
      </c>
      <c r="I320" s="70">
        <f t="shared" si="41"/>
        <v>0</v>
      </c>
      <c r="J320" s="72">
        <f t="shared" si="42"/>
        <v>0</v>
      </c>
      <c r="L320" s="106">
        <f>IF(J319&lt;0.01,0,2)</f>
        <v>0</v>
      </c>
      <c r="N320" s="72"/>
      <c r="O320" s="76">
        <f t="shared" si="43"/>
        <v>8</v>
      </c>
      <c r="P320" s="77">
        <f t="shared" si="45"/>
        <v>0</v>
      </c>
      <c r="S320" s="190">
        <f t="shared" si="44"/>
        <v>0</v>
      </c>
      <c r="T320" s="194"/>
    </row>
    <row r="321" spans="1:20">
      <c r="A321" s="69">
        <f t="shared" si="39"/>
        <v>0</v>
      </c>
      <c r="B321" s="70">
        <f t="shared" si="37"/>
        <v>0</v>
      </c>
      <c r="C321" s="70">
        <f t="shared" si="38"/>
        <v>0</v>
      </c>
      <c r="D321" s="70">
        <f t="shared" si="40"/>
        <v>0</v>
      </c>
      <c r="E321" s="70">
        <f>IF(Adm!$A$2=2,MIN(J320+B321+F321+G321+H321-I321,#REF!),0)</f>
        <v>0</v>
      </c>
      <c r="F321" s="70">
        <f>IF(J320&lt;0.01,0,J320*Adm!$V$3)</f>
        <v>0</v>
      </c>
      <c r="G321" s="70">
        <f>IF(J320&lt;0.01,0,$J$8*Adm!$W$3/1.16)</f>
        <v>0</v>
      </c>
      <c r="H321" s="70">
        <f>IF(J320&lt;0.01,0,Adm!$AD$2)</f>
        <v>0</v>
      </c>
      <c r="I321" s="70">
        <f t="shared" si="41"/>
        <v>0</v>
      </c>
      <c r="J321" s="72">
        <f t="shared" si="42"/>
        <v>0</v>
      </c>
      <c r="L321" s="106">
        <f>IF(J320&lt;0.01,0,1)</f>
        <v>0</v>
      </c>
      <c r="N321" s="72"/>
      <c r="O321" s="76">
        <f t="shared" si="43"/>
        <v>9</v>
      </c>
      <c r="P321" s="77">
        <f t="shared" si="45"/>
        <v>0</v>
      </c>
      <c r="S321" s="190">
        <f t="shared" si="44"/>
        <v>0</v>
      </c>
      <c r="T321" s="194"/>
    </row>
    <row r="322" spans="1:20">
      <c r="A322" s="69">
        <f t="shared" si="39"/>
        <v>0</v>
      </c>
      <c r="B322" s="70">
        <f t="shared" si="37"/>
        <v>0</v>
      </c>
      <c r="C322" s="70">
        <f t="shared" si="38"/>
        <v>0</v>
      </c>
      <c r="D322" s="70">
        <f t="shared" si="40"/>
        <v>0</v>
      </c>
      <c r="E322" s="70">
        <f>IF(Adm!$A$2=2,MIN(J321+B322+F322+G322+H322-I322,#REF!),0)</f>
        <v>0</v>
      </c>
      <c r="F322" s="70">
        <f>IF(J321&lt;0.01,0,J321*Adm!$V$3)</f>
        <v>0</v>
      </c>
      <c r="G322" s="70">
        <f>IF(J321&lt;0.01,0,$J$8*Adm!$W$3/1.16)</f>
        <v>0</v>
      </c>
      <c r="H322" s="70">
        <f>IF(J321&lt;0.01,0,Adm!$AD$2)</f>
        <v>0</v>
      </c>
      <c r="I322" s="70">
        <f t="shared" si="41"/>
        <v>0</v>
      </c>
      <c r="J322" s="72">
        <f t="shared" si="42"/>
        <v>0</v>
      </c>
      <c r="L322" s="106">
        <f>IF(J321&lt;0.01,0,2)</f>
        <v>0</v>
      </c>
      <c r="N322" s="72"/>
      <c r="O322" s="76">
        <f t="shared" si="43"/>
        <v>10</v>
      </c>
      <c r="P322" s="77">
        <f t="shared" si="45"/>
        <v>0</v>
      </c>
      <c r="S322" s="190">
        <f t="shared" si="44"/>
        <v>0</v>
      </c>
      <c r="T322" s="194"/>
    </row>
    <row r="323" spans="1:20">
      <c r="A323" s="69">
        <f t="shared" si="39"/>
        <v>0</v>
      </c>
      <c r="B323" s="70">
        <f t="shared" si="37"/>
        <v>0</v>
      </c>
      <c r="C323" s="70">
        <f t="shared" si="38"/>
        <v>0</v>
      </c>
      <c r="D323" s="70">
        <f t="shared" si="40"/>
        <v>0</v>
      </c>
      <c r="E323" s="70">
        <f>IF(Adm!$A$2=2,MIN(J322+B323+F323+G323+H323-I323,#REF!),0)</f>
        <v>0</v>
      </c>
      <c r="F323" s="70">
        <f>IF(J322&lt;0.01,0,J322*Adm!$V$3)</f>
        <v>0</v>
      </c>
      <c r="G323" s="70">
        <f>IF(J322&lt;0.01,0,$J$8*Adm!$W$3/1.16)</f>
        <v>0</v>
      </c>
      <c r="H323" s="70">
        <f>IF(J322&lt;0.01,0,Adm!$AD$2)</f>
        <v>0</v>
      </c>
      <c r="I323" s="70">
        <f t="shared" si="41"/>
        <v>0</v>
      </c>
      <c r="J323" s="72">
        <f t="shared" si="42"/>
        <v>0</v>
      </c>
      <c r="L323" s="106">
        <f>IF(J322&lt;0.01,0,1)</f>
        <v>0</v>
      </c>
      <c r="N323" s="72"/>
      <c r="O323" s="76">
        <f t="shared" si="43"/>
        <v>11</v>
      </c>
      <c r="P323" s="77">
        <f t="shared" si="45"/>
        <v>0</v>
      </c>
      <c r="S323" s="190">
        <f t="shared" si="44"/>
        <v>0</v>
      </c>
      <c r="T323" s="194"/>
    </row>
    <row r="324" spans="1:20">
      <c r="A324" s="69">
        <f t="shared" si="39"/>
        <v>0</v>
      </c>
      <c r="B324" s="70">
        <f t="shared" si="37"/>
        <v>0</v>
      </c>
      <c r="C324" s="70">
        <f t="shared" si="38"/>
        <v>0</v>
      </c>
      <c r="D324" s="70">
        <f t="shared" si="40"/>
        <v>0</v>
      </c>
      <c r="E324" s="70">
        <f>IF(Adm!$A$2=2,MIN(J323+B324+F324+G324+H324-I324,#REF!),0)</f>
        <v>0</v>
      </c>
      <c r="F324" s="70">
        <f>IF(J323&lt;0.01,0,J323*Adm!$V$3)</f>
        <v>0</v>
      </c>
      <c r="G324" s="70">
        <f>IF(J323&lt;0.01,0,$J$8*Adm!$W$3/1.16)</f>
        <v>0</v>
      </c>
      <c r="H324" s="70">
        <f>IF(J323&lt;0.01,0,Adm!$AD$2)</f>
        <v>0</v>
      </c>
      <c r="I324" s="70">
        <f t="shared" si="41"/>
        <v>0</v>
      </c>
      <c r="J324" s="72">
        <f t="shared" si="42"/>
        <v>0</v>
      </c>
      <c r="L324" s="106">
        <f>IF(J323&lt;0.01,0,2)</f>
        <v>0</v>
      </c>
      <c r="N324" s="72"/>
      <c r="O324" s="76">
        <f t="shared" si="43"/>
        <v>12</v>
      </c>
      <c r="P324" s="77">
        <f t="shared" si="45"/>
        <v>0</v>
      </c>
      <c r="S324" s="190">
        <f t="shared" si="44"/>
        <v>0</v>
      </c>
      <c r="T324" s="194"/>
    </row>
    <row r="325" spans="1:20">
      <c r="A325" s="69"/>
      <c r="B325" s="70"/>
      <c r="C325" s="70"/>
      <c r="D325" s="70"/>
      <c r="E325" s="70"/>
      <c r="F325" s="70"/>
      <c r="G325" s="70"/>
      <c r="H325" s="70"/>
      <c r="I325" s="70"/>
      <c r="J325" s="72"/>
      <c r="N325" s="72"/>
      <c r="O325" s="76"/>
      <c r="P325" s="77"/>
    </row>
    <row r="326" spans="1:20" ht="13">
      <c r="A326" s="113"/>
      <c r="B326" s="112">
        <f>SUM(B25:B324)</f>
        <v>0</v>
      </c>
      <c r="C326" s="112">
        <f t="shared" ref="C326:I326" si="46">SUM(C25:C324)</f>
        <v>0</v>
      </c>
      <c r="D326" s="112">
        <f t="shared" si="46"/>
        <v>0</v>
      </c>
      <c r="E326" s="112"/>
      <c r="F326" s="112">
        <f t="shared" si="46"/>
        <v>0</v>
      </c>
      <c r="G326" s="112">
        <f t="shared" si="46"/>
        <v>0</v>
      </c>
      <c r="H326" s="112">
        <f t="shared" si="46"/>
        <v>0</v>
      </c>
      <c r="I326" s="112">
        <f t="shared" si="46"/>
        <v>0</v>
      </c>
      <c r="J326" s="112"/>
      <c r="N326" s="72"/>
      <c r="O326" s="76"/>
      <c r="P326" s="77"/>
    </row>
    <row r="327" spans="1:20">
      <c r="A327" s="82"/>
      <c r="B327" s="83"/>
      <c r="C327" s="82"/>
      <c r="D327" s="82"/>
      <c r="E327" s="82"/>
      <c r="F327" s="82"/>
      <c r="G327" s="82"/>
      <c r="H327" s="82"/>
      <c r="I327" s="82"/>
      <c r="J327" s="84"/>
      <c r="K327" s="82"/>
      <c r="O327" s="76"/>
      <c r="P327" s="77"/>
    </row>
    <row r="328" spans="1:20" ht="15.5">
      <c r="A328" s="85" t="s">
        <v>50</v>
      </c>
      <c r="B328" s="86"/>
      <c r="C328" s="86"/>
      <c r="D328" s="86"/>
      <c r="E328" s="86"/>
      <c r="F328" s="86"/>
      <c r="G328" s="86"/>
      <c r="H328" s="86"/>
      <c r="I328" s="86"/>
      <c r="J328" s="86"/>
      <c r="K328" s="87"/>
      <c r="O328" s="76"/>
      <c r="P328" s="77"/>
    </row>
    <row r="329" spans="1:20" ht="15.5">
      <c r="A329" s="88" t="s">
        <v>51</v>
      </c>
      <c r="B329" s="89"/>
      <c r="C329" s="89"/>
      <c r="D329" s="89"/>
      <c r="E329" s="89"/>
      <c r="F329" s="89"/>
      <c r="G329" s="89"/>
      <c r="H329" s="89"/>
      <c r="I329" s="89"/>
      <c r="J329" s="89"/>
      <c r="K329" s="90"/>
      <c r="O329" s="76"/>
      <c r="P329" s="77"/>
    </row>
    <row r="330" spans="1:20" ht="15.5">
      <c r="A330" s="88"/>
      <c r="B330" s="89"/>
      <c r="C330" s="89"/>
      <c r="D330" s="89"/>
      <c r="E330" s="89"/>
      <c r="F330" s="89"/>
      <c r="G330" s="89"/>
      <c r="H330" s="89"/>
      <c r="I330" s="89"/>
      <c r="J330" s="89"/>
      <c r="K330" s="90"/>
      <c r="O330" s="76"/>
      <c r="P330" s="77"/>
    </row>
    <row r="331" spans="1:20">
      <c r="B331" s="89"/>
      <c r="C331" s="89"/>
      <c r="D331" s="89"/>
      <c r="E331" s="89"/>
      <c r="F331" s="89"/>
      <c r="G331" s="89"/>
      <c r="H331" s="89"/>
      <c r="I331" s="89"/>
      <c r="J331" s="89"/>
      <c r="K331" s="89"/>
      <c r="O331" s="76"/>
      <c r="P331" s="77"/>
    </row>
    <row r="332" spans="1:20" ht="13">
      <c r="A332" s="82"/>
      <c r="B332" s="83"/>
      <c r="C332" s="81"/>
      <c r="D332" s="81"/>
      <c r="E332" s="81"/>
      <c r="F332" s="81"/>
      <c r="G332" s="81"/>
      <c r="H332" s="81"/>
      <c r="I332" s="82"/>
      <c r="J332" s="39"/>
      <c r="K332" s="81"/>
      <c r="O332" s="76"/>
      <c r="P332" s="77"/>
    </row>
    <row r="333" spans="1:20" ht="42" customHeight="1">
      <c r="A333" s="110"/>
      <c r="B333" s="110"/>
      <c r="C333" s="110"/>
      <c r="D333" s="110"/>
      <c r="E333" s="110"/>
      <c r="F333" s="110"/>
      <c r="G333" s="110"/>
      <c r="H333" s="110"/>
      <c r="I333" s="110"/>
      <c r="J333" s="110"/>
      <c r="K333" s="89"/>
      <c r="O333" s="76"/>
      <c r="P333" s="77"/>
    </row>
    <row r="334" spans="1:20" ht="13">
      <c r="A334" s="82"/>
      <c r="B334" s="83"/>
      <c r="C334" s="82"/>
      <c r="D334" s="82"/>
      <c r="E334" s="82"/>
      <c r="F334" s="82"/>
      <c r="G334" s="82"/>
      <c r="H334" s="82"/>
      <c r="I334" s="82"/>
      <c r="J334" s="82"/>
      <c r="K334" s="91"/>
      <c r="O334" s="76"/>
      <c r="P334" s="77"/>
    </row>
    <row r="335" spans="1:20" ht="12.75" hidden="1" customHeight="1">
      <c r="A335" s="75"/>
      <c r="B335" s="83"/>
      <c r="C335" s="92"/>
      <c r="D335" s="92"/>
      <c r="E335" s="92"/>
      <c r="F335" s="92"/>
      <c r="G335" s="92"/>
      <c r="H335" s="92"/>
      <c r="I335" s="92"/>
      <c r="J335" s="81"/>
      <c r="K335" s="92"/>
      <c r="O335" s="76"/>
      <c r="P335" s="77"/>
    </row>
    <row r="336" spans="1:20" ht="12.75" hidden="1" customHeight="1">
      <c r="A336" s="75"/>
      <c r="B336" s="83"/>
      <c r="C336" s="92"/>
      <c r="D336" s="92"/>
      <c r="E336" s="92"/>
      <c r="F336" s="92"/>
      <c r="G336" s="92"/>
      <c r="H336" s="92"/>
      <c r="I336" s="92"/>
      <c r="J336" s="81"/>
      <c r="K336" s="92"/>
      <c r="O336" s="76"/>
      <c r="P336" s="77"/>
    </row>
    <row r="337" spans="1:16" ht="12.75" hidden="1" customHeight="1">
      <c r="A337" s="75"/>
      <c r="B337" s="83"/>
      <c r="C337" s="92"/>
      <c r="D337" s="92"/>
      <c r="E337" s="92"/>
      <c r="F337" s="92"/>
      <c r="G337" s="92"/>
      <c r="H337" s="92"/>
      <c r="I337" s="92"/>
      <c r="J337" s="81"/>
      <c r="K337" s="92"/>
      <c r="O337" s="76"/>
      <c r="P337" s="77"/>
    </row>
    <row r="338" spans="1:16">
      <c r="O338" s="76"/>
      <c r="P338" s="77"/>
    </row>
    <row r="339" spans="1:16">
      <c r="O339" s="76"/>
      <c r="P339" s="77"/>
    </row>
    <row r="340" spans="1:16">
      <c r="O340" s="76"/>
      <c r="P340" s="77"/>
    </row>
    <row r="341" spans="1:16">
      <c r="O341" s="76"/>
      <c r="P341" s="77"/>
    </row>
    <row r="342" spans="1:16">
      <c r="O342" s="76"/>
      <c r="P342" s="77"/>
    </row>
    <row r="343" spans="1:16">
      <c r="O343" s="76"/>
      <c r="P343" s="77"/>
    </row>
    <row r="344" spans="1:16">
      <c r="O344" s="76"/>
      <c r="P344" s="77"/>
    </row>
    <row r="345" spans="1:16">
      <c r="O345" s="76"/>
      <c r="P345" s="77"/>
    </row>
    <row r="346" spans="1:16">
      <c r="O346" s="76"/>
      <c r="P346" s="77"/>
    </row>
    <row r="347" spans="1:16">
      <c r="O347" s="76"/>
      <c r="P347" s="77"/>
    </row>
    <row r="348" spans="1:16">
      <c r="O348" s="76"/>
      <c r="P348" s="77"/>
    </row>
    <row r="349" spans="1:16" ht="12.75" hidden="1" customHeight="1">
      <c r="O349" s="76"/>
      <c r="P349" s="77"/>
    </row>
  </sheetData>
  <phoneticPr fontId="2" type="noConversion"/>
  <conditionalFormatting sqref="A26:A326">
    <cfRule type="expression" dxfId="15" priority="1" stopIfTrue="1">
      <formula>L26=1</formula>
    </cfRule>
  </conditionalFormatting>
  <conditionalFormatting sqref="C326:E326 B26:B326">
    <cfRule type="expression" dxfId="14" priority="2" stopIfTrue="1">
      <formula>L26=1</formula>
    </cfRule>
  </conditionalFormatting>
  <conditionalFormatting sqref="C26:C325 F326:H326">
    <cfRule type="expression" dxfId="13" priority="3" stopIfTrue="1">
      <formula>L26=1</formula>
    </cfRule>
  </conditionalFormatting>
  <conditionalFormatting sqref="E325 D26:D325">
    <cfRule type="expression" dxfId="12" priority="4" stopIfTrue="1">
      <formula>L26=1</formula>
    </cfRule>
  </conditionalFormatting>
  <conditionalFormatting sqref="F26:F325">
    <cfRule type="expression" dxfId="11" priority="5" stopIfTrue="1">
      <formula>L26=1</formula>
    </cfRule>
  </conditionalFormatting>
  <conditionalFormatting sqref="G26:G325">
    <cfRule type="expression" dxfId="10" priority="6" stopIfTrue="1">
      <formula>L26=1</formula>
    </cfRule>
  </conditionalFormatting>
  <conditionalFormatting sqref="H325">
    <cfRule type="expression" dxfId="9" priority="7" stopIfTrue="1">
      <formula>L325=1</formula>
    </cfRule>
  </conditionalFormatting>
  <conditionalFormatting sqref="I26:I325">
    <cfRule type="expression" dxfId="8" priority="8" stopIfTrue="1">
      <formula>L26=1</formula>
    </cfRule>
  </conditionalFormatting>
  <conditionalFormatting sqref="J26:J325">
    <cfRule type="expression" dxfId="7" priority="9" stopIfTrue="1">
      <formula>L26=1</formula>
    </cfRule>
  </conditionalFormatting>
  <conditionalFormatting sqref="N25:N326">
    <cfRule type="expression" dxfId="6" priority="10" stopIfTrue="1">
      <formula>Q25=1</formula>
    </cfRule>
    <cfRule type="expression" dxfId="5" priority="11" stopIfTrue="1">
      <formula>M25&gt;0</formula>
    </cfRule>
  </conditionalFormatting>
  <conditionalFormatting sqref="E26:E324">
    <cfRule type="expression" dxfId="4" priority="12" stopIfTrue="1">
      <formula>L26=1</formula>
    </cfRule>
  </conditionalFormatting>
  <conditionalFormatting sqref="D19">
    <cfRule type="expression" dxfId="3" priority="14" stopIfTrue="1">
      <formula>Q296&gt;0</formula>
    </cfRule>
  </conditionalFormatting>
  <conditionalFormatting sqref="H25:H324">
    <cfRule type="expression" dxfId="2" priority="16" stopIfTrue="1">
      <formula>L25=1</formula>
    </cfRule>
  </conditionalFormatting>
  <conditionalFormatting sqref="I326:J326">
    <cfRule type="expression" dxfId="1" priority="25" stopIfTrue="1">
      <formula>#REF!=1</formula>
    </cfRule>
  </conditionalFormatting>
  <conditionalFormatting sqref="B19">
    <cfRule type="expression" dxfId="0" priority="26" stopIfTrue="1">
      <formula>#REF!&gt;0</formula>
    </cfRule>
  </conditionalFormatting>
  <pageMargins left="0.75" right="0.75" top="1" bottom="1" header="0" footer="0"/>
  <pageSetup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escripci_x00f3_n xmlns="b2827ec2-e008-4c97-890d-ea5cdd7d055a">Simulador Hipoteca Integral</Descripci_x00f3_n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FD1DCCEEC96554796384F649CCEA712" ma:contentTypeVersion="7" ma:contentTypeDescription="Crear nuevo documento." ma:contentTypeScope="" ma:versionID="655fa0284446bdc2e4964ee2ecaf1245">
  <xsd:schema xmlns:xsd="http://www.w3.org/2001/XMLSchema" xmlns:xs="http://www.w3.org/2001/XMLSchema" xmlns:p="http://schemas.microsoft.com/office/2006/metadata/properties" xmlns:ns2="b2827ec2-e008-4c97-890d-ea5cdd7d055a" xmlns:ns3="6ece6b57-6d0a-4e68-a214-e7356cc7bf2d" targetNamespace="http://schemas.microsoft.com/office/2006/metadata/properties" ma:root="true" ma:fieldsID="dca49a8ef435ed5d272385719e71a45e" ns2:_="" ns3:_="">
    <xsd:import namespace="b2827ec2-e008-4c97-890d-ea5cdd7d055a"/>
    <xsd:import namespace="6ece6b57-6d0a-4e68-a214-e7356cc7bf2d"/>
    <xsd:element name="properties">
      <xsd:complexType>
        <xsd:sequence>
          <xsd:element name="documentManagement">
            <xsd:complexType>
              <xsd:all>
                <xsd:element ref="ns2:Descripci_x00f3_n"/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2827ec2-e008-4c97-890d-ea5cdd7d055a" elementFormDefault="qualified">
    <xsd:import namespace="http://schemas.microsoft.com/office/2006/documentManagement/types"/>
    <xsd:import namespace="http://schemas.microsoft.com/office/infopath/2007/PartnerControls"/>
    <xsd:element name="Descripci_x00f3_n" ma:index="8" ma:displayName="Descripción" ma:format="Dropdown" ma:internalName="Descripci_x00f3_n">
      <xsd:simpleType>
        <xsd:restriction base="dms:Text">
          <xsd:maxLength value="255"/>
        </xsd:restriction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ce6b57-6d0a-4e68-a214-e7356cc7bf2d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39F062E-601C-457B-B4F4-46E3E0C7D481}">
  <ds:schemaRefs>
    <ds:schemaRef ds:uri="http://purl.org/dc/elements/1.1/"/>
    <ds:schemaRef ds:uri="b2827ec2-e008-4c97-890d-ea5cdd7d055a"/>
    <ds:schemaRef ds:uri="http://purl.org/dc/terms/"/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6ece6b57-6d0a-4e68-a214-e7356cc7bf2d"/>
  </ds:schemaRefs>
</ds:datastoreItem>
</file>

<file path=customXml/itemProps2.xml><?xml version="1.0" encoding="utf-8"?>
<ds:datastoreItem xmlns:ds="http://schemas.openxmlformats.org/officeDocument/2006/customXml" ds:itemID="{E786028D-51E3-44B2-B245-FB54697A7CA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C41139-8BD8-4554-8983-BD0C1A9D4F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2827ec2-e008-4c97-890d-ea5cdd7d055a"/>
    <ds:schemaRef ds:uri="6ece6b57-6d0a-4e68-a214-e7356cc7bf2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Tablas</vt:lpstr>
      <vt:lpstr>Adm</vt:lpstr>
      <vt:lpstr>Captura</vt:lpstr>
      <vt:lpstr>CAT</vt:lpstr>
      <vt:lpstr>Captura!Área_de_impresión</vt:lpstr>
      <vt:lpstr>Ingresos</vt:lpstr>
      <vt:lpstr>Captura!Títulos_a_imprimir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GFSS</dc:creator>
  <cp:lastModifiedBy>MARIA DEL ROCIO RODRIGUEZ SANCHEZ</cp:lastModifiedBy>
  <cp:lastPrinted>2025-08-04T22:37:56Z</cp:lastPrinted>
  <dcterms:created xsi:type="dcterms:W3CDTF">2012-02-21T23:38:30Z</dcterms:created>
  <dcterms:modified xsi:type="dcterms:W3CDTF">2025-08-15T16:59:46Z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2022-03-23T16:18:48Z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de73ca2b-b6a9-4c36-8891-52ccf1bc8d3a</vt:lpwstr>
  </property>
  <property fmtid="{D5CDD505-2E9C-101B-9397-08002B2CF9AE}" pid="8" name="MSIP_Label_0c2abd79-57a9-4473-8700-c843f76a1e37_ContentBits">
    <vt:lpwstr>0</vt:lpwstr>
  </property>
  <property fmtid="{D5CDD505-2E9C-101B-9397-08002B2CF9AE}" pid="9" name="ContentTypeId">
    <vt:lpwstr>0x010100DFD1DCCEEC96554796384F649CCEA712</vt:lpwstr>
  </property>
  <property fmtid="{D5CDD505-2E9C-101B-9397-08002B2CF9AE}" pid="10" name="_dlc_DocIdItemGuid">
    <vt:lpwstr>c66c1789-9b71-48bb-a33c-1ecd686fe623</vt:lpwstr>
  </property>
  <property fmtid="{D5CDD505-2E9C-101B-9397-08002B2CF9AE}" pid="11" name="MSIP_Label_0c2abd79-57a9-4473-8700-c843f76a1e37_Extended_MSFT_Method">
    <vt:lpwstr>Manual</vt:lpwstr>
  </property>
  <property fmtid="{D5CDD505-2E9C-101B-9397-08002B2CF9AE}" pid="12" name="Sensitivity">
    <vt:lpwstr>Internal</vt:lpwstr>
  </property>
  <property fmtid="{D5CDD505-2E9C-101B-9397-08002B2CF9AE}" pid="13" name="MSIP_Label_0c2abd79-57a9-4473-8700-c843f76a1e37_Owner">
    <vt:lpwstr>C180277@santander.com.mx</vt:lpwstr>
  </property>
  <property fmtid="{D5CDD505-2E9C-101B-9397-08002B2CF9AE}" pid="14" name="MSIP_Label_0c2abd79-57a9-4473-8700-c843f76a1e37_Application">
    <vt:lpwstr>Microsoft Azure Information Protection</vt:lpwstr>
  </property>
</Properties>
</file>