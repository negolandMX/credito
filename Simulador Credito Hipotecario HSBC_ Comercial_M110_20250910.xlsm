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5162932\Documents\Respaldo agosto 2025\Boletines\"/>
    </mc:Choice>
  </mc:AlternateContent>
  <xr:revisionPtr revIDLastSave="0" documentId="8_{9E43E634-B211-4D66-8F95-D3953D62AC31}" xr6:coauthVersionLast="47" xr6:coauthVersionMax="47" xr10:uidLastSave="{00000000-0000-0000-0000-000000000000}"/>
  <workbookProtection workbookPassword="E99F" lockStructure="1"/>
  <bookViews>
    <workbookView showSheetTabs="0" xWindow="-110" yWindow="-110" windowWidth="19420" windowHeight="11620" activeTab="1" xr2:uid="{00000000-000D-0000-FFFF-FFFF00000000}"/>
  </bookViews>
  <sheets>
    <sheet name="Guía Rápida" sheetId="4" r:id="rId1"/>
    <sheet name="Resumen" sheetId="1" r:id="rId2"/>
    <sheet name="Amortización" sheetId="2" r:id="rId3"/>
    <sheet name="Oferta Vinculante" sheetId="3" r:id="rId4"/>
  </sheets>
  <definedNames>
    <definedName name="_xleta.N" hidden="1" xlm="1">#NAME?</definedName>
    <definedName name="_xlnm.Print_Area" localSheetId="2">Amortización!$A$1:$S$331</definedName>
    <definedName name="_xlnm.Print_Area" localSheetId="1">Resumen!$A$1:$J$47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81" i="1" l="1"/>
  <c r="Y82" i="1"/>
  <c r="M62" i="1"/>
  <c r="G26" i="1"/>
  <c r="I26" i="1" l="1"/>
  <c r="G18" i="1" l="1"/>
  <c r="G19" i="1"/>
  <c r="G20" i="1"/>
  <c r="L171" i="1"/>
  <c r="L170" i="1"/>
  <c r="L169" i="1"/>
  <c r="L168" i="1"/>
  <c r="S106" i="1"/>
  <c r="S105" i="1"/>
  <c r="S104" i="1"/>
  <c r="S103" i="1"/>
  <c r="S102" i="1"/>
  <c r="AQ77" i="2"/>
  <c r="AQ76" i="2"/>
  <c r="AQ75" i="2"/>
  <c r="AQ74" i="2"/>
  <c r="AQ73" i="2"/>
  <c r="AG78" i="1"/>
  <c r="N21" i="1" l="1"/>
  <c r="N17" i="1"/>
  <c r="E17" i="2" l="1"/>
  <c r="P8" i="1"/>
  <c r="L86" i="1"/>
  <c r="S129" i="1"/>
  <c r="S128" i="1" s="1"/>
  <c r="R4" i="1" l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" i="1"/>
  <c r="AH3" i="2"/>
  <c r="M73" i="1" l="1"/>
  <c r="AQ26" i="2" l="1"/>
  <c r="AP25" i="2"/>
  <c r="AP20" i="2"/>
  <c r="W102" i="1" l="1"/>
  <c r="W103" i="1"/>
  <c r="W104" i="1"/>
  <c r="W105" i="1"/>
  <c r="W106" i="1"/>
  <c r="M170" i="1" l="1"/>
  <c r="M171" i="1"/>
  <c r="W70" i="1"/>
  <c r="M63" i="1"/>
  <c r="AQ68" i="2"/>
  <c r="AQ63" i="2"/>
  <c r="AP44" i="2"/>
  <c r="AQ44" i="2" s="1"/>
  <c r="AP45" i="2"/>
  <c r="AQ45" i="2" s="1"/>
  <c r="AP46" i="2"/>
  <c r="AQ46" i="2" s="1"/>
  <c r="AP43" i="2"/>
  <c r="AQ43" i="2" s="1"/>
  <c r="AQ21" i="2"/>
  <c r="BF264" i="2"/>
  <c r="BF265" i="2"/>
  <c r="BF266" i="2"/>
  <c r="BF267" i="2"/>
  <c r="BF268" i="2"/>
  <c r="BF269" i="2"/>
  <c r="BF270" i="2"/>
  <c r="BF271" i="2"/>
  <c r="BF272" i="2"/>
  <c r="BF273" i="2"/>
  <c r="BF274" i="2"/>
  <c r="BF275" i="2"/>
  <c r="BF276" i="2"/>
  <c r="BF277" i="2"/>
  <c r="BF278" i="2"/>
  <c r="BF279" i="2"/>
  <c r="BF280" i="2"/>
  <c r="BF281" i="2"/>
  <c r="BF282" i="2"/>
  <c r="BF283" i="2"/>
  <c r="BF284" i="2"/>
  <c r="BF285" i="2"/>
  <c r="BF286" i="2"/>
  <c r="BF287" i="2"/>
  <c r="BF288" i="2"/>
  <c r="BF289" i="2"/>
  <c r="BF290" i="2"/>
  <c r="BF291" i="2"/>
  <c r="BF292" i="2"/>
  <c r="BF293" i="2"/>
  <c r="BF294" i="2"/>
  <c r="BF295" i="2"/>
  <c r="BF296" i="2"/>
  <c r="BF297" i="2"/>
  <c r="BF298" i="2"/>
  <c r="BF299" i="2"/>
  <c r="BF300" i="2"/>
  <c r="BF301" i="2"/>
  <c r="BF302" i="2"/>
  <c r="BF303" i="2"/>
  <c r="BF304" i="2"/>
  <c r="BF305" i="2"/>
  <c r="BF306" i="2"/>
  <c r="BF307" i="2"/>
  <c r="BF308" i="2"/>
  <c r="BF309" i="2"/>
  <c r="BF310" i="2"/>
  <c r="BF311" i="2"/>
  <c r="BF312" i="2"/>
  <c r="BF313" i="2"/>
  <c r="BF314" i="2"/>
  <c r="BF315" i="2"/>
  <c r="BF316" i="2"/>
  <c r="BF317" i="2"/>
  <c r="BF318" i="2"/>
  <c r="BF319" i="2"/>
  <c r="BF320" i="2"/>
  <c r="R106" i="1"/>
  <c r="M168" i="1"/>
  <c r="M165" i="1"/>
  <c r="M164" i="1"/>
  <c r="N158" i="1"/>
  <c r="N157" i="1" s="1"/>
  <c r="N156" i="1" s="1"/>
  <c r="N162" i="1"/>
  <c r="N161" i="1" s="1"/>
  <c r="N160" i="1" s="1"/>
  <c r="M67" i="1"/>
  <c r="M69" i="1" s="1"/>
  <c r="F29" i="1"/>
  <c r="C29" i="1"/>
  <c r="L158" i="1" s="1"/>
  <c r="C27" i="1"/>
  <c r="H12" i="2"/>
  <c r="L45" i="1"/>
  <c r="N14" i="1"/>
  <c r="N185" i="1"/>
  <c r="AB74" i="1"/>
  <c r="M84" i="1"/>
  <c r="K13" i="2"/>
  <c r="C22" i="1"/>
  <c r="R105" i="1"/>
  <c r="R102" i="1"/>
  <c r="R103" i="1"/>
  <c r="R104" i="1"/>
  <c r="AP65" i="2"/>
  <c r="AP66" i="2" s="1"/>
  <c r="AP70" i="2"/>
  <c r="AP71" i="2" s="1"/>
  <c r="AQ69" i="2"/>
  <c r="W73" i="1"/>
  <c r="AP61" i="2"/>
  <c r="AP60" i="2" s="1"/>
  <c r="AP36" i="2"/>
  <c r="AP32" i="2" s="1"/>
  <c r="AP37" i="2"/>
  <c r="AQ37" i="2" s="1"/>
  <c r="AP38" i="2"/>
  <c r="AQ38" i="2" s="1"/>
  <c r="AP35" i="2"/>
  <c r="AQ35" i="2" s="1"/>
  <c r="AP24" i="2"/>
  <c r="AP23" i="2" s="1"/>
  <c r="AP19" i="2"/>
  <c r="AP18" i="2" s="1"/>
  <c r="N108" i="1"/>
  <c r="N107" i="1" s="1"/>
  <c r="N106" i="1" s="1"/>
  <c r="N112" i="1"/>
  <c r="N111" i="1" s="1"/>
  <c r="N110" i="1" s="1"/>
  <c r="N116" i="1"/>
  <c r="N115" i="1" s="1"/>
  <c r="N114" i="1" s="1"/>
  <c r="N119" i="1"/>
  <c r="N118" i="1" s="1"/>
  <c r="N122" i="1"/>
  <c r="N121" i="1" s="1"/>
  <c r="N126" i="1"/>
  <c r="N125" i="1" s="1"/>
  <c r="N124" i="1" s="1"/>
  <c r="N130" i="1"/>
  <c r="N129" i="1" s="1"/>
  <c r="N128" i="1" s="1"/>
  <c r="N142" i="1"/>
  <c r="N141" i="1" s="1"/>
  <c r="N140" i="1" s="1"/>
  <c r="N139" i="1" s="1"/>
  <c r="N138" i="1" s="1"/>
  <c r="N137" i="1" s="1"/>
  <c r="N136" i="1" s="1"/>
  <c r="N135" i="1" s="1"/>
  <c r="N134" i="1" s="1"/>
  <c r="N133" i="1" s="1"/>
  <c r="N132" i="1" s="1"/>
  <c r="N154" i="1"/>
  <c r="N153" i="1" s="1"/>
  <c r="N152" i="1" s="1"/>
  <c r="N151" i="1" s="1"/>
  <c r="N150" i="1" s="1"/>
  <c r="N149" i="1" s="1"/>
  <c r="N148" i="1" s="1"/>
  <c r="N147" i="1" s="1"/>
  <c r="N146" i="1" s="1"/>
  <c r="N145" i="1" s="1"/>
  <c r="N144" i="1" s="1"/>
  <c r="R91" i="1"/>
  <c r="S161" i="1"/>
  <c r="S157" i="1" s="1"/>
  <c r="S162" i="1"/>
  <c r="S158" i="1" s="1"/>
  <c r="S163" i="1"/>
  <c r="S159" i="1" s="1"/>
  <c r="S164" i="1"/>
  <c r="S160" i="1" s="1"/>
  <c r="S188" i="1"/>
  <c r="S187" i="1" s="1"/>
  <c r="S186" i="1" s="1"/>
  <c r="S183" i="1"/>
  <c r="S182" i="1" s="1"/>
  <c r="S181" i="1" s="1"/>
  <c r="S126" i="1"/>
  <c r="S125" i="1" s="1"/>
  <c r="S124" i="1" s="1"/>
  <c r="S134" i="1"/>
  <c r="S132" i="1" s="1"/>
  <c r="S133" i="1"/>
  <c r="S131" i="1" s="1"/>
  <c r="S112" i="1"/>
  <c r="S108" i="1" s="1"/>
  <c r="S113" i="1"/>
  <c r="S109" i="1" s="1"/>
  <c r="S114" i="1"/>
  <c r="S110" i="1" s="1"/>
  <c r="S111" i="1"/>
  <c r="S107" i="1" s="1"/>
  <c r="AB81" i="1"/>
  <c r="C16" i="2"/>
  <c r="F28" i="1"/>
  <c r="F26" i="1"/>
  <c r="AD78" i="1"/>
  <c r="L179" i="1"/>
  <c r="C24" i="1"/>
  <c r="C39" i="1" s="1"/>
  <c r="AY11" i="2"/>
  <c r="AY15" i="2" s="1"/>
  <c r="AV15" i="2"/>
  <c r="BC19" i="2"/>
  <c r="BE20" i="2"/>
  <c r="BF21" i="2" s="1"/>
  <c r="BD20" i="2"/>
  <c r="F33" i="1"/>
  <c r="F31" i="1"/>
  <c r="C33" i="1"/>
  <c r="C26" i="1"/>
  <c r="C32" i="1"/>
  <c r="O62" i="1"/>
  <c r="Y80" i="1"/>
  <c r="Y78" i="1"/>
  <c r="W78" i="1" s="1"/>
  <c r="AQ64" i="2"/>
  <c r="S143" i="1"/>
  <c r="S142" i="1" s="1"/>
  <c r="S141" i="1" s="1"/>
  <c r="S121" i="1"/>
  <c r="S120" i="1" s="1"/>
  <c r="S119" i="1" s="1"/>
  <c r="M8" i="2"/>
  <c r="M9" i="2" s="1"/>
  <c r="AQ20" i="2"/>
  <c r="AQ25" i="2"/>
  <c r="AQ39" i="2"/>
  <c r="AQ40" i="2"/>
  <c r="AQ41" i="2"/>
  <c r="AQ42" i="2"/>
  <c r="AQ62" i="2"/>
  <c r="S155" i="1"/>
  <c r="S154" i="1" s="1"/>
  <c r="AK9" i="2"/>
  <c r="L190" i="1"/>
  <c r="M71" i="1"/>
  <c r="AE1" i="2"/>
  <c r="X2" i="2"/>
  <c r="X1" i="2"/>
  <c r="AB1" i="2" s="1"/>
  <c r="M72" i="1"/>
  <c r="E9" i="2"/>
  <c r="W80" i="1"/>
  <c r="W79" i="1"/>
  <c r="V99" i="1"/>
  <c r="V100" i="1"/>
  <c r="V101" i="1"/>
  <c r="V97" i="1"/>
  <c r="V96" i="1"/>
  <c r="V95" i="1"/>
  <c r="C30" i="1"/>
  <c r="K44" i="1"/>
  <c r="N173" i="1"/>
  <c r="N186" i="1" s="1"/>
  <c r="P7" i="1"/>
  <c r="N182" i="1"/>
  <c r="N179" i="1"/>
  <c r="N196" i="1"/>
  <c r="L50" i="1"/>
  <c r="L49" i="1"/>
  <c r="L48" i="1"/>
  <c r="L46" i="1"/>
  <c r="M51" i="1"/>
  <c r="E8" i="2"/>
  <c r="J19" i="2" s="1"/>
  <c r="K11" i="2"/>
  <c r="AB10" i="2" s="1"/>
  <c r="V84" i="1"/>
  <c r="L43" i="1"/>
  <c r="O61" i="1"/>
  <c r="O60" i="1"/>
  <c r="M49" i="1"/>
  <c r="M50" i="1"/>
  <c r="M48" i="1"/>
  <c r="C34" i="1" s="1"/>
  <c r="M47" i="1"/>
  <c r="L93" i="1"/>
  <c r="N198" i="1"/>
  <c r="N197" i="1"/>
  <c r="V80" i="1"/>
  <c r="O82" i="1" s="1"/>
  <c r="N178" i="1"/>
  <c r="N177" i="1"/>
  <c r="N180" i="1"/>
  <c r="N190" i="1"/>
  <c r="N181" i="1"/>
  <c r="C6" i="1"/>
  <c r="V87" i="1"/>
  <c r="V86" i="1"/>
  <c r="V85" i="1"/>
  <c r="W74" i="1"/>
  <c r="K8" i="2"/>
  <c r="Y321" i="2"/>
  <c r="K20" i="2"/>
  <c r="L5" i="2"/>
  <c r="L31" i="1"/>
  <c r="AE13" i="2"/>
  <c r="AH20" i="2"/>
  <c r="AG77" i="2" s="1"/>
  <c r="Q8" i="2"/>
  <c r="K41" i="1"/>
  <c r="M40" i="1" s="1"/>
  <c r="N170" i="1"/>
  <c r="AQ61" i="2"/>
  <c r="AP33" i="2"/>
  <c r="AP29" i="2" s="1"/>
  <c r="AQ29" i="2" s="1"/>
  <c r="AQ19" i="2"/>
  <c r="AQ36" i="2"/>
  <c r="N104" i="1"/>
  <c r="N103" i="1" s="1"/>
  <c r="N102" i="1" s="1"/>
  <c r="V102" i="1" l="1"/>
  <c r="U106" i="1"/>
  <c r="U105" i="1"/>
  <c r="U104" i="1"/>
  <c r="U103" i="1"/>
  <c r="U102" i="1"/>
  <c r="O64" i="1"/>
  <c r="C31" i="1"/>
  <c r="AQ70" i="2"/>
  <c r="AQ65" i="2"/>
  <c r="AP31" i="2"/>
  <c r="L54" i="1"/>
  <c r="K12" i="2"/>
  <c r="AP72" i="2"/>
  <c r="AQ72" i="2" s="1"/>
  <c r="AQ71" i="2"/>
  <c r="AQ33" i="2"/>
  <c r="AQ32" i="2"/>
  <c r="AP28" i="2"/>
  <c r="AQ28" i="2" s="1"/>
  <c r="AP17" i="2"/>
  <c r="AQ17" i="2" s="1"/>
  <c r="AQ18" i="2"/>
  <c r="AQ66" i="2"/>
  <c r="AP67" i="2"/>
  <c r="AQ67" i="2" s="1"/>
  <c r="AP22" i="2"/>
  <c r="AQ22" i="2" s="1"/>
  <c r="AQ23" i="2"/>
  <c r="AP59" i="2"/>
  <c r="AQ60" i="2"/>
  <c r="AQ24" i="2"/>
  <c r="AP34" i="2"/>
  <c r="X35" i="2"/>
  <c r="X47" i="2" s="1"/>
  <c r="X59" i="2" s="1"/>
  <c r="X71" i="2" s="1"/>
  <c r="X83" i="2" s="1"/>
  <c r="X95" i="2" s="1"/>
  <c r="X107" i="2" s="1"/>
  <c r="X119" i="2" s="1"/>
  <c r="X131" i="2" s="1"/>
  <c r="X143" i="2" s="1"/>
  <c r="X155" i="2" s="1"/>
  <c r="X167" i="2" s="1"/>
  <c r="X179" i="2" s="1"/>
  <c r="X191" i="2" s="1"/>
  <c r="X203" i="2" s="1"/>
  <c r="X215" i="2" s="1"/>
  <c r="X227" i="2" s="1"/>
  <c r="X239" i="2" s="1"/>
  <c r="X251" i="2" s="1"/>
  <c r="X263" i="2" s="1"/>
  <c r="X275" i="2" s="1"/>
  <c r="X287" i="2" s="1"/>
  <c r="X299" i="2" s="1"/>
  <c r="X311" i="2" s="1"/>
  <c r="L55" i="1"/>
  <c r="V129" i="1"/>
  <c r="V180" i="1"/>
  <c r="S180" i="1" s="1"/>
  <c r="V173" i="1"/>
  <c r="S173" i="1" s="1"/>
  <c r="V137" i="1"/>
  <c r="V174" i="1"/>
  <c r="S174" i="1" s="1"/>
  <c r="V171" i="1"/>
  <c r="S171" i="1" s="1"/>
  <c r="V139" i="1"/>
  <c r="S139" i="1" s="1"/>
  <c r="X38" i="2"/>
  <c r="X50" i="2" s="1"/>
  <c r="X62" i="2" s="1"/>
  <c r="X74" i="2" s="1"/>
  <c r="X86" i="2" s="1"/>
  <c r="X98" i="2" s="1"/>
  <c r="X110" i="2" s="1"/>
  <c r="X122" i="2" s="1"/>
  <c r="X134" i="2" s="1"/>
  <c r="X146" i="2" s="1"/>
  <c r="X158" i="2" s="1"/>
  <c r="X170" i="2" s="1"/>
  <c r="X182" i="2" s="1"/>
  <c r="X194" i="2" s="1"/>
  <c r="X206" i="2" s="1"/>
  <c r="X218" i="2" s="1"/>
  <c r="X230" i="2" s="1"/>
  <c r="X242" i="2" s="1"/>
  <c r="X254" i="2" s="1"/>
  <c r="X266" i="2" s="1"/>
  <c r="X278" i="2" s="1"/>
  <c r="X290" i="2" s="1"/>
  <c r="X302" i="2" s="1"/>
  <c r="X314" i="2" s="1"/>
  <c r="V140" i="1"/>
  <c r="V178" i="1"/>
  <c r="S178" i="1" s="1"/>
  <c r="V179" i="1"/>
  <c r="S179" i="1" s="1"/>
  <c r="V169" i="1"/>
  <c r="S169" i="1" s="1"/>
  <c r="V98" i="1"/>
  <c r="V172" i="1"/>
  <c r="S172" i="1" s="1"/>
  <c r="C14" i="2"/>
  <c r="C10" i="2"/>
  <c r="H5" i="2"/>
  <c r="X43" i="2"/>
  <c r="X55" i="2" s="1"/>
  <c r="X67" i="2" s="1"/>
  <c r="X79" i="2" s="1"/>
  <c r="X91" i="2" s="1"/>
  <c r="X103" i="2" s="1"/>
  <c r="X115" i="2" s="1"/>
  <c r="X127" i="2" s="1"/>
  <c r="X139" i="2" s="1"/>
  <c r="X151" i="2" s="1"/>
  <c r="X163" i="2" s="1"/>
  <c r="X175" i="2" s="1"/>
  <c r="X187" i="2" s="1"/>
  <c r="X199" i="2" s="1"/>
  <c r="X211" i="2" s="1"/>
  <c r="X223" i="2" s="1"/>
  <c r="X235" i="2" s="1"/>
  <c r="X247" i="2" s="1"/>
  <c r="X259" i="2" s="1"/>
  <c r="X271" i="2" s="1"/>
  <c r="X283" i="2" s="1"/>
  <c r="X295" i="2" s="1"/>
  <c r="X307" i="2" s="1"/>
  <c r="X319" i="2" s="1"/>
  <c r="V106" i="1"/>
  <c r="E7" i="2"/>
  <c r="V175" i="1"/>
  <c r="S175" i="1" s="1"/>
  <c r="V176" i="1"/>
  <c r="S176" i="1" s="1"/>
  <c r="X40" i="2"/>
  <c r="X52" i="2" s="1"/>
  <c r="X64" i="2" s="1"/>
  <c r="X76" i="2" s="1"/>
  <c r="X88" i="2" s="1"/>
  <c r="X100" i="2" s="1"/>
  <c r="X112" i="2" s="1"/>
  <c r="X124" i="2" s="1"/>
  <c r="X136" i="2" s="1"/>
  <c r="X148" i="2" s="1"/>
  <c r="X160" i="2" s="1"/>
  <c r="X172" i="2" s="1"/>
  <c r="X184" i="2" s="1"/>
  <c r="X196" i="2" s="1"/>
  <c r="X208" i="2" s="1"/>
  <c r="X220" i="2" s="1"/>
  <c r="X232" i="2" s="1"/>
  <c r="X244" i="2" s="1"/>
  <c r="X256" i="2" s="1"/>
  <c r="X268" i="2" s="1"/>
  <c r="X280" i="2" s="1"/>
  <c r="X292" i="2" s="1"/>
  <c r="X304" i="2" s="1"/>
  <c r="X316" i="2" s="1"/>
  <c r="V103" i="1"/>
  <c r="V104" i="1"/>
  <c r="V138" i="1"/>
  <c r="V130" i="1"/>
  <c r="V94" i="1"/>
  <c r="V170" i="1"/>
  <c r="S170" i="1" s="1"/>
  <c r="V128" i="1"/>
  <c r="X34" i="2"/>
  <c r="X46" i="2" s="1"/>
  <c r="X58" i="2" s="1"/>
  <c r="X70" i="2" s="1"/>
  <c r="X82" i="2" s="1"/>
  <c r="X94" i="2" s="1"/>
  <c r="X106" i="2" s="1"/>
  <c r="X118" i="2" s="1"/>
  <c r="X130" i="2" s="1"/>
  <c r="X142" i="2" s="1"/>
  <c r="X154" i="2" s="1"/>
  <c r="X166" i="2" s="1"/>
  <c r="X178" i="2" s="1"/>
  <c r="X190" i="2" s="1"/>
  <c r="X202" i="2" s="1"/>
  <c r="X214" i="2" s="1"/>
  <c r="X226" i="2" s="1"/>
  <c r="X238" i="2" s="1"/>
  <c r="X250" i="2" s="1"/>
  <c r="X262" i="2" s="1"/>
  <c r="X274" i="2" s="1"/>
  <c r="X286" i="2" s="1"/>
  <c r="X298" i="2" s="1"/>
  <c r="X310" i="2" s="1"/>
  <c r="X36" i="2"/>
  <c r="X48" i="2" s="1"/>
  <c r="X60" i="2" s="1"/>
  <c r="X72" i="2" s="1"/>
  <c r="X84" i="2" s="1"/>
  <c r="X96" i="2" s="1"/>
  <c r="X108" i="2" s="1"/>
  <c r="X120" i="2" s="1"/>
  <c r="X132" i="2" s="1"/>
  <c r="X144" i="2" s="1"/>
  <c r="X156" i="2" s="1"/>
  <c r="X168" i="2" s="1"/>
  <c r="X180" i="2" s="1"/>
  <c r="X192" i="2" s="1"/>
  <c r="X204" i="2" s="1"/>
  <c r="X216" i="2" s="1"/>
  <c r="X228" i="2" s="1"/>
  <c r="X240" i="2" s="1"/>
  <c r="X252" i="2" s="1"/>
  <c r="X264" i="2" s="1"/>
  <c r="X276" i="2" s="1"/>
  <c r="X288" i="2" s="1"/>
  <c r="X300" i="2" s="1"/>
  <c r="X312" i="2" s="1"/>
  <c r="X44" i="2"/>
  <c r="X56" i="2" s="1"/>
  <c r="X68" i="2" s="1"/>
  <c r="X80" i="2" s="1"/>
  <c r="X92" i="2" s="1"/>
  <c r="X104" i="2" s="1"/>
  <c r="X116" i="2" s="1"/>
  <c r="X128" i="2" s="1"/>
  <c r="X140" i="2" s="1"/>
  <c r="X152" i="2" s="1"/>
  <c r="X164" i="2" s="1"/>
  <c r="X176" i="2" s="1"/>
  <c r="X188" i="2" s="1"/>
  <c r="X200" i="2" s="1"/>
  <c r="X212" i="2" s="1"/>
  <c r="X224" i="2" s="1"/>
  <c r="X236" i="2" s="1"/>
  <c r="X248" i="2" s="1"/>
  <c r="X260" i="2" s="1"/>
  <c r="X272" i="2" s="1"/>
  <c r="X284" i="2" s="1"/>
  <c r="X296" i="2" s="1"/>
  <c r="X308" i="2" s="1"/>
  <c r="X320" i="2" s="1"/>
  <c r="V105" i="1"/>
  <c r="V177" i="1"/>
  <c r="S177" i="1" s="1"/>
  <c r="K42" i="1"/>
  <c r="L42" i="1" s="1"/>
  <c r="L184" i="1"/>
  <c r="L183" i="1"/>
  <c r="O42" i="1" s="1"/>
  <c r="N171" i="1"/>
  <c r="Y70" i="1" s="1"/>
  <c r="C35" i="1"/>
  <c r="X39" i="2"/>
  <c r="X51" i="2" s="1"/>
  <c r="X63" i="2" s="1"/>
  <c r="X75" i="2" s="1"/>
  <c r="X87" i="2" s="1"/>
  <c r="X99" i="2" s="1"/>
  <c r="X111" i="2" s="1"/>
  <c r="X123" i="2" s="1"/>
  <c r="X135" i="2" s="1"/>
  <c r="X147" i="2" s="1"/>
  <c r="X159" i="2" s="1"/>
  <c r="X171" i="2" s="1"/>
  <c r="X183" i="2" s="1"/>
  <c r="X195" i="2" s="1"/>
  <c r="X207" i="2" s="1"/>
  <c r="X219" i="2" s="1"/>
  <c r="X231" i="2" s="1"/>
  <c r="X243" i="2" s="1"/>
  <c r="X255" i="2" s="1"/>
  <c r="X267" i="2" s="1"/>
  <c r="X279" i="2" s="1"/>
  <c r="X291" i="2" s="1"/>
  <c r="X303" i="2" s="1"/>
  <c r="X315" i="2" s="1"/>
  <c r="C11" i="2"/>
  <c r="X37" i="2"/>
  <c r="X49" i="2" s="1"/>
  <c r="X61" i="2" s="1"/>
  <c r="X73" i="2" s="1"/>
  <c r="X85" i="2" s="1"/>
  <c r="X97" i="2" s="1"/>
  <c r="X109" i="2" s="1"/>
  <c r="X121" i="2" s="1"/>
  <c r="X133" i="2" s="1"/>
  <c r="X145" i="2" s="1"/>
  <c r="X157" i="2" s="1"/>
  <c r="X169" i="2" s="1"/>
  <c r="X181" i="2" s="1"/>
  <c r="X193" i="2" s="1"/>
  <c r="X205" i="2" s="1"/>
  <c r="X217" i="2" s="1"/>
  <c r="X229" i="2" s="1"/>
  <c r="X241" i="2" s="1"/>
  <c r="X253" i="2" s="1"/>
  <c r="X265" i="2" s="1"/>
  <c r="X277" i="2" s="1"/>
  <c r="X289" i="2" s="1"/>
  <c r="X301" i="2" s="1"/>
  <c r="X313" i="2" s="1"/>
  <c r="X41" i="2"/>
  <c r="X53" i="2" s="1"/>
  <c r="X65" i="2" s="1"/>
  <c r="X77" i="2" s="1"/>
  <c r="X89" i="2" s="1"/>
  <c r="X101" i="2" s="1"/>
  <c r="X113" i="2" s="1"/>
  <c r="X125" i="2" s="1"/>
  <c r="X137" i="2" s="1"/>
  <c r="X149" i="2" s="1"/>
  <c r="X161" i="2" s="1"/>
  <c r="X173" i="2" s="1"/>
  <c r="X185" i="2" s="1"/>
  <c r="X197" i="2" s="1"/>
  <c r="X209" i="2" s="1"/>
  <c r="X221" i="2" s="1"/>
  <c r="X233" i="2" s="1"/>
  <c r="X245" i="2" s="1"/>
  <c r="X257" i="2" s="1"/>
  <c r="X269" i="2" s="1"/>
  <c r="X281" i="2" s="1"/>
  <c r="X293" i="2" s="1"/>
  <c r="X305" i="2" s="1"/>
  <c r="X317" i="2" s="1"/>
  <c r="X42" i="2"/>
  <c r="X54" i="2" s="1"/>
  <c r="X66" i="2" s="1"/>
  <c r="X78" i="2" s="1"/>
  <c r="X90" i="2" s="1"/>
  <c r="X102" i="2" s="1"/>
  <c r="X114" i="2" s="1"/>
  <c r="X126" i="2" s="1"/>
  <c r="X138" i="2" s="1"/>
  <c r="X150" i="2" s="1"/>
  <c r="X162" i="2" s="1"/>
  <c r="X174" i="2" s="1"/>
  <c r="X186" i="2" s="1"/>
  <c r="X198" i="2" s="1"/>
  <c r="X210" i="2" s="1"/>
  <c r="X222" i="2" s="1"/>
  <c r="X234" i="2" s="1"/>
  <c r="X246" i="2" s="1"/>
  <c r="X258" i="2" s="1"/>
  <c r="X270" i="2" s="1"/>
  <c r="X282" i="2" s="1"/>
  <c r="X294" i="2" s="1"/>
  <c r="X306" i="2" s="1"/>
  <c r="X318" i="2" s="1"/>
  <c r="E10" i="2"/>
  <c r="AE14" i="2" s="1"/>
  <c r="X33" i="2"/>
  <c r="X45" i="2" s="1"/>
  <c r="X57" i="2" s="1"/>
  <c r="X69" i="2" s="1"/>
  <c r="X81" i="2" s="1"/>
  <c r="X93" i="2" s="1"/>
  <c r="X105" i="2" s="1"/>
  <c r="X117" i="2" s="1"/>
  <c r="X129" i="2" s="1"/>
  <c r="X141" i="2" s="1"/>
  <c r="X153" i="2" s="1"/>
  <c r="X165" i="2" s="1"/>
  <c r="X177" i="2" s="1"/>
  <c r="X189" i="2" s="1"/>
  <c r="X201" i="2" s="1"/>
  <c r="X213" i="2" s="1"/>
  <c r="X225" i="2" s="1"/>
  <c r="X237" i="2" s="1"/>
  <c r="X249" i="2" s="1"/>
  <c r="X261" i="2" s="1"/>
  <c r="X273" i="2" s="1"/>
  <c r="X285" i="2" s="1"/>
  <c r="X297" i="2" s="1"/>
  <c r="X309" i="2" s="1"/>
  <c r="C329" i="2"/>
  <c r="AG158" i="2"/>
  <c r="AG68" i="2"/>
  <c r="AG21" i="2"/>
  <c r="AG203" i="2"/>
  <c r="AK7" i="2"/>
  <c r="AG241" i="2"/>
  <c r="AG232" i="2"/>
  <c r="AG149" i="2"/>
  <c r="BJ21" i="2"/>
  <c r="AG249" i="2"/>
  <c r="AG104" i="2"/>
  <c r="AG97" i="2"/>
  <c r="AG214" i="2"/>
  <c r="AG316" i="2"/>
  <c r="AG183" i="2"/>
  <c r="AG52" i="2"/>
  <c r="AG301" i="2"/>
  <c r="T21" i="2"/>
  <c r="AG185" i="2"/>
  <c r="AG88" i="2"/>
  <c r="AG114" i="2"/>
  <c r="AG243" i="2"/>
  <c r="AG151" i="2"/>
  <c r="AG186" i="2"/>
  <c r="AG117" i="2"/>
  <c r="AG119" i="2"/>
  <c r="AG59" i="2"/>
  <c r="AG142" i="2"/>
  <c r="AG291" i="2"/>
  <c r="AG122" i="2"/>
  <c r="AG32" i="2"/>
  <c r="AG268" i="2"/>
  <c r="L56" i="1"/>
  <c r="L52" i="1"/>
  <c r="L53" i="1"/>
  <c r="AG246" i="2"/>
  <c r="AG26" i="2"/>
  <c r="AG75" i="2"/>
  <c r="AG284" i="2"/>
  <c r="AG320" i="2"/>
  <c r="AG297" i="2"/>
  <c r="AG54" i="2"/>
  <c r="AG92" i="2"/>
  <c r="AG173" i="2"/>
  <c r="AG144" i="2"/>
  <c r="AG99" i="2"/>
  <c r="AG153" i="2"/>
  <c r="AG247" i="2"/>
  <c r="AG154" i="2"/>
  <c r="AG65" i="2"/>
  <c r="AG57" i="2"/>
  <c r="AG287" i="2"/>
  <c r="AG308" i="2"/>
  <c r="AG70" i="2"/>
  <c r="AG124" i="2"/>
  <c r="AG189" i="2"/>
  <c r="AG160" i="2"/>
  <c r="AG131" i="2"/>
  <c r="AG178" i="2"/>
  <c r="AG74" i="2"/>
  <c r="AG206" i="2"/>
  <c r="AG148" i="2"/>
  <c r="AG106" i="2"/>
  <c r="AG266" i="2"/>
  <c r="AG86" i="2"/>
  <c r="AG140" i="2"/>
  <c r="AG229" i="2"/>
  <c r="AG176" i="2"/>
  <c r="AG155" i="2"/>
  <c r="AG242" i="2"/>
  <c r="AG138" i="2"/>
  <c r="AG244" i="2"/>
  <c r="AG63" i="2"/>
  <c r="AG156" i="2"/>
  <c r="AG270" i="2"/>
  <c r="AG126" i="2"/>
  <c r="AG45" i="2"/>
  <c r="AG245" i="2"/>
  <c r="AG216" i="2"/>
  <c r="AG171" i="2"/>
  <c r="AG261" i="2"/>
  <c r="AG188" i="2"/>
  <c r="AG262" i="2"/>
  <c r="AG113" i="2"/>
  <c r="AG207" i="2"/>
  <c r="AG296" i="2"/>
  <c r="AG33" i="2"/>
  <c r="AG101" i="2"/>
  <c r="AG72" i="2"/>
  <c r="AG27" i="2"/>
  <c r="AG227" i="2"/>
  <c r="AG130" i="2"/>
  <c r="AG251" i="2"/>
  <c r="AG159" i="2"/>
  <c r="AG215" i="2"/>
  <c r="AG50" i="2"/>
  <c r="AG313" i="2"/>
  <c r="AG290" i="2"/>
  <c r="AG310" i="2"/>
  <c r="AG302" i="2"/>
  <c r="AG286" i="2"/>
  <c r="AG272" i="2"/>
  <c r="AG271" i="2"/>
  <c r="AG277" i="2"/>
  <c r="AG300" i="2"/>
  <c r="AG295" i="2"/>
  <c r="AG282" i="2"/>
  <c r="AG285" i="2"/>
  <c r="AG288" i="2"/>
  <c r="AG299" i="2"/>
  <c r="AG289" i="2"/>
  <c r="AG38" i="2"/>
  <c r="AG102" i="2"/>
  <c r="AG41" i="2"/>
  <c r="AG84" i="2"/>
  <c r="AG29" i="2"/>
  <c r="AG93" i="2"/>
  <c r="AG157" i="2"/>
  <c r="AG221" i="2"/>
  <c r="AG56" i="2"/>
  <c r="AG120" i="2"/>
  <c r="AG184" i="2"/>
  <c r="AG248" i="2"/>
  <c r="AG83" i="2"/>
  <c r="AG147" i="2"/>
  <c r="AG211" i="2"/>
  <c r="AG87" i="2"/>
  <c r="AG217" i="2"/>
  <c r="AG66" i="2"/>
  <c r="AG196" i="2"/>
  <c r="AG103" i="2"/>
  <c r="AG226" i="2"/>
  <c r="AG82" i="2"/>
  <c r="AG218" i="2"/>
  <c r="AG105" i="2"/>
  <c r="AG223" i="2"/>
  <c r="AG250" i="2"/>
  <c r="AG164" i="2"/>
  <c r="AG260" i="2"/>
  <c r="AG121" i="2"/>
  <c r="AG233" i="2"/>
  <c r="AG314" i="2"/>
  <c r="AG309" i="2"/>
  <c r="AG306" i="2"/>
  <c r="AG318" i="2"/>
  <c r="AG275" i="2"/>
  <c r="AG273" i="2"/>
  <c r="AG30" i="2"/>
  <c r="AG110" i="2"/>
  <c r="AG36" i="2"/>
  <c r="AG108" i="2"/>
  <c r="AG61" i="2"/>
  <c r="AG133" i="2"/>
  <c r="AG205" i="2"/>
  <c r="AG48" i="2"/>
  <c r="AG128" i="2"/>
  <c r="AG200" i="2"/>
  <c r="AG43" i="2"/>
  <c r="AG115" i="2"/>
  <c r="AG187" i="2"/>
  <c r="AG58" i="2"/>
  <c r="AG204" i="2"/>
  <c r="AG81" i="2"/>
  <c r="AG222" i="2"/>
  <c r="AG162" i="2"/>
  <c r="AG212" i="2"/>
  <c r="AG180" i="2"/>
  <c r="AG55" i="2"/>
  <c r="AG210" i="2"/>
  <c r="AG258" i="2"/>
  <c r="AG190" i="2"/>
  <c r="AG161" i="2"/>
  <c r="AG182" i="2"/>
  <c r="AG199" i="2"/>
  <c r="AG317" i="2"/>
  <c r="AG278" i="2"/>
  <c r="AG312" i="2"/>
  <c r="AG264" i="2"/>
  <c r="AG283" i="2"/>
  <c r="AG281" i="2"/>
  <c r="AG46" i="2"/>
  <c r="AG118" i="2"/>
  <c r="AG44" i="2"/>
  <c r="AG116" i="2"/>
  <c r="AG69" i="2"/>
  <c r="AG141" i="2"/>
  <c r="AG213" i="2"/>
  <c r="AG64" i="2"/>
  <c r="AG136" i="2"/>
  <c r="AG208" i="2"/>
  <c r="AG51" i="2"/>
  <c r="AG123" i="2"/>
  <c r="AG195" i="2"/>
  <c r="AG73" i="2"/>
  <c r="AG230" i="2"/>
  <c r="AG95" i="2"/>
  <c r="AG234" i="2"/>
  <c r="AG175" i="2"/>
  <c r="AG238" i="2"/>
  <c r="AG193" i="2"/>
  <c r="AG90" i="2"/>
  <c r="AG236" i="2"/>
  <c r="AG49" i="2"/>
  <c r="AG202" i="2"/>
  <c r="AG31" i="2"/>
  <c r="AG194" i="2"/>
  <c r="AG225" i="2"/>
  <c r="AG263" i="2"/>
  <c r="AG319" i="2"/>
  <c r="AG269" i="2"/>
  <c r="AG280" i="2"/>
  <c r="AG307" i="2"/>
  <c r="AG305" i="2"/>
  <c r="AG62" i="2"/>
  <c r="AG134" i="2"/>
  <c r="AG60" i="2"/>
  <c r="AG132" i="2"/>
  <c r="AG85" i="2"/>
  <c r="AG165" i="2"/>
  <c r="AG237" i="2"/>
  <c r="AG80" i="2"/>
  <c r="AG152" i="2"/>
  <c r="AG224" i="2"/>
  <c r="AG67" i="2"/>
  <c r="AG139" i="2"/>
  <c r="AG219" i="2"/>
  <c r="AG137" i="2"/>
  <c r="AG253" i="2"/>
  <c r="AG145" i="2"/>
  <c r="AG256" i="2"/>
  <c r="AG201" i="2"/>
  <c r="AG47" i="2"/>
  <c r="AG231" i="2"/>
  <c r="AG146" i="2"/>
  <c r="AG257" i="2"/>
  <c r="AG98" i="2"/>
  <c r="AG228" i="2"/>
  <c r="AG71" i="2"/>
  <c r="AG220" i="2"/>
  <c r="AG276" i="2"/>
  <c r="AG279" i="2"/>
  <c r="AG274" i="2"/>
  <c r="AG293" i="2"/>
  <c r="AG304" i="2"/>
  <c r="AG294" i="2"/>
  <c r="AG311" i="2"/>
  <c r="AG78" i="2"/>
  <c r="AG25" i="2"/>
  <c r="AG76" i="2"/>
  <c r="AG37" i="2"/>
  <c r="AG109" i="2"/>
  <c r="AG181" i="2"/>
  <c r="AG24" i="2"/>
  <c r="AG96" i="2"/>
  <c r="AG168" i="2"/>
  <c r="AG240" i="2"/>
  <c r="AG91" i="2"/>
  <c r="AG163" i="2"/>
  <c r="AG235" i="2"/>
  <c r="AG166" i="2"/>
  <c r="AG42" i="2"/>
  <c r="AG170" i="2"/>
  <c r="AG89" i="2"/>
  <c r="AG239" i="2"/>
  <c r="AG111" i="2"/>
  <c r="AG254" i="2"/>
  <c r="AG172" i="2"/>
  <c r="AG129" i="2"/>
  <c r="AG127" i="2"/>
  <c r="AG252" i="2"/>
  <c r="AG135" i="2"/>
  <c r="AG255" i="2"/>
  <c r="AG292" i="2"/>
  <c r="AG303" i="2"/>
  <c r="AG298" i="2"/>
  <c r="AG315" i="2"/>
  <c r="AG267" i="2"/>
  <c r="AG265" i="2"/>
  <c r="AG22" i="2"/>
  <c r="AG94" i="2"/>
  <c r="AG28" i="2"/>
  <c r="AG100" i="2"/>
  <c r="AG53" i="2"/>
  <c r="AG125" i="2"/>
  <c r="AG197" i="2"/>
  <c r="AG40" i="2"/>
  <c r="AG112" i="2"/>
  <c r="AG192" i="2"/>
  <c r="AG35" i="2"/>
  <c r="AG107" i="2"/>
  <c r="AG179" i="2"/>
  <c r="AG23" i="2"/>
  <c r="AG191" i="2"/>
  <c r="AG34" i="2"/>
  <c r="AG209" i="2"/>
  <c r="AG150" i="2"/>
  <c r="AG259" i="2"/>
  <c r="AG167" i="2"/>
  <c r="AG39" i="2"/>
  <c r="AG198" i="2"/>
  <c r="AG174" i="2"/>
  <c r="AG177" i="2"/>
  <c r="AG143" i="2"/>
  <c r="AG169" i="2"/>
  <c r="AG79" i="2"/>
  <c r="AP27" i="2" l="1"/>
  <c r="AQ27" i="2" s="1"/>
  <c r="AQ31" i="2"/>
  <c r="AQ34" i="2"/>
  <c r="AP30" i="2"/>
  <c r="AQ30" i="2" s="1"/>
  <c r="AQ59" i="2"/>
  <c r="AP58" i="2"/>
  <c r="S138" i="1"/>
  <c r="S137" i="1" s="1"/>
  <c r="H15" i="2"/>
  <c r="H7" i="2"/>
  <c r="C330" i="2"/>
  <c r="AP57" i="2" l="1"/>
  <c r="AQ58" i="2"/>
  <c r="AP56" i="2" l="1"/>
  <c r="AQ57" i="2"/>
  <c r="AQ56" i="2" l="1"/>
  <c r="AP55" i="2"/>
  <c r="AQ55" i="2" l="1"/>
  <c r="AP54" i="2"/>
  <c r="AQ54" i="2" l="1"/>
  <c r="AP53" i="2"/>
  <c r="AP52" i="2" l="1"/>
  <c r="AQ53" i="2"/>
  <c r="AP51" i="2" l="1"/>
  <c r="AQ52" i="2"/>
  <c r="AQ51" i="2" l="1"/>
  <c r="AP50" i="2"/>
  <c r="AP49" i="2" l="1"/>
  <c r="AQ50" i="2"/>
  <c r="AQ49" i="2" l="1"/>
  <c r="AP48" i="2"/>
  <c r="AQ48" i="2" l="1"/>
  <c r="AP47" i="2"/>
  <c r="AQ47" i="2" s="1"/>
  <c r="Y71" i="1" l="1"/>
  <c r="Y72" i="1" s="1"/>
  <c r="W72" i="1" l="1"/>
  <c r="W71" i="1"/>
  <c r="AG77" i="1" l="1"/>
  <c r="W82" i="1"/>
  <c r="W81" i="1"/>
  <c r="F32" i="1" l="1"/>
  <c r="I32" i="1" l="1"/>
  <c r="I33" i="1" l="1"/>
  <c r="AY9" i="2"/>
  <c r="AW21" i="2" s="1"/>
  <c r="BH21" i="2" l="1"/>
  <c r="AY21" i="2" s="1"/>
  <c r="AZ21" i="2"/>
  <c r="BA21" i="2"/>
  <c r="BB21" i="2"/>
  <c r="AX21" i="2" l="1"/>
  <c r="BC21" i="2"/>
  <c r="BD21" i="2" l="1"/>
  <c r="BE21" i="2"/>
  <c r="BF22" i="2" s="1"/>
  <c r="BK21" i="2"/>
  <c r="AW22" i="2"/>
  <c r="BK22" i="2" s="1"/>
  <c r="AV22" i="2" l="1"/>
  <c r="BJ22" i="2" s="1"/>
  <c r="BD22" i="2"/>
  <c r="AZ22" i="2"/>
  <c r="BH22" i="2"/>
  <c r="BE22" i="2"/>
  <c r="AV23" i="2" s="1"/>
  <c r="BJ23" i="2" s="1"/>
  <c r="BA22" i="2"/>
  <c r="BB22" i="2"/>
  <c r="AX22" i="2"/>
  <c r="AY22" i="2"/>
  <c r="BC22" i="2" s="1"/>
  <c r="AW23" i="2"/>
  <c r="BK23" i="2" s="1"/>
  <c r="BD23" i="2" l="1"/>
  <c r="BF23" i="2"/>
  <c r="BA23" i="2"/>
  <c r="AX23" i="2"/>
  <c r="BH23" i="2"/>
  <c r="AW24" i="2"/>
  <c r="BE24" i="2" s="1"/>
  <c r="AZ23" i="2"/>
  <c r="BB23" i="2"/>
  <c r="AY23" i="2"/>
  <c r="BC23" i="2" s="1"/>
  <c r="BE23" i="2"/>
  <c r="BF24" i="2" s="1"/>
  <c r="BK24" i="2" l="1"/>
  <c r="BB24" i="2"/>
  <c r="AZ24" i="2"/>
  <c r="BA24" i="2"/>
  <c r="AX24" i="2"/>
  <c r="AW25" i="2"/>
  <c r="AZ25" i="2" s="1"/>
  <c r="BD24" i="2"/>
  <c r="AY24" i="2"/>
  <c r="BC24" i="2" s="1"/>
  <c r="AV24" i="2"/>
  <c r="BJ24" i="2" s="1"/>
  <c r="BH24" i="2"/>
  <c r="BF25" i="2"/>
  <c r="AV25" i="2"/>
  <c r="BJ25" i="2" s="1"/>
  <c r="BA25" i="2" l="1"/>
  <c r="BB25" i="2"/>
  <c r="BK25" i="2"/>
  <c r="BH25" i="2"/>
  <c r="AW26" i="2"/>
  <c r="BE26" i="2" s="1"/>
  <c r="BD25" i="2"/>
  <c r="AX25" i="2"/>
  <c r="AY25" i="2"/>
  <c r="BC25" i="2" s="1"/>
  <c r="BE25" i="2"/>
  <c r="BF26" i="2" s="1"/>
  <c r="AY26" i="2" l="1"/>
  <c r="BC26" i="2" s="1"/>
  <c r="BA26" i="2"/>
  <c r="BB26" i="2"/>
  <c r="AX26" i="2"/>
  <c r="BK26" i="2"/>
  <c r="BD26" i="2"/>
  <c r="AZ26" i="2"/>
  <c r="BH26" i="2"/>
  <c r="AW27" i="2"/>
  <c r="BK27" i="2" s="1"/>
  <c r="AV26" i="2"/>
  <c r="BJ26" i="2" s="1"/>
  <c r="BF27" i="2"/>
  <c r="AV27" i="2"/>
  <c r="BJ27" i="2" s="1"/>
  <c r="BB27" i="2" l="1"/>
  <c r="BD27" i="2"/>
  <c r="BA27" i="2"/>
  <c r="AZ27" i="2"/>
  <c r="AX27" i="2"/>
  <c r="AW28" i="2"/>
  <c r="BK28" i="2" s="1"/>
  <c r="BE27" i="2"/>
  <c r="BF28" i="2" s="1"/>
  <c r="BH27" i="2"/>
  <c r="AY27" i="2"/>
  <c r="BC27" i="2" s="1"/>
  <c r="BD28" i="2" l="1"/>
  <c r="AX28" i="2"/>
  <c r="AY28" i="2"/>
  <c r="BC28" i="2" s="1"/>
  <c r="AW29" i="2"/>
  <c r="BE29" i="2" s="1"/>
  <c r="AV28" i="2"/>
  <c r="BJ28" i="2" s="1"/>
  <c r="AZ28" i="2"/>
  <c r="BH28" i="2"/>
  <c r="BE28" i="2"/>
  <c r="BF29" i="2" s="1"/>
  <c r="BB28" i="2"/>
  <c r="BA28" i="2"/>
  <c r="BA29" i="2" l="1"/>
  <c r="BB29" i="2"/>
  <c r="BK29" i="2"/>
  <c r="AZ29" i="2"/>
  <c r="BD29" i="2"/>
  <c r="AX29" i="2"/>
  <c r="BH29" i="2"/>
  <c r="AV29" i="2"/>
  <c r="BJ29" i="2" s="1"/>
  <c r="AW30" i="2"/>
  <c r="BE30" i="2" s="1"/>
  <c r="AY29" i="2"/>
  <c r="BC29" i="2" s="1"/>
  <c r="BF30" i="2"/>
  <c r="AV30" i="2"/>
  <c r="BJ30" i="2" s="1"/>
  <c r="AY30" i="2" l="1"/>
  <c r="BC30" i="2" s="1"/>
  <c r="BB30" i="2"/>
  <c r="AW31" i="2"/>
  <c r="AX31" i="2" s="1"/>
  <c r="BK30" i="2"/>
  <c r="BD30" i="2"/>
  <c r="AX30" i="2"/>
  <c r="AZ30" i="2"/>
  <c r="BA30" i="2"/>
  <c r="BH30" i="2"/>
  <c r="BF31" i="2"/>
  <c r="AV31" i="2"/>
  <c r="BJ31" i="2" s="1"/>
  <c r="AW32" i="2" l="1"/>
  <c r="BE32" i="2" s="1"/>
  <c r="BK31" i="2"/>
  <c r="AZ31" i="2"/>
  <c r="BA31" i="2"/>
  <c r="BB31" i="2"/>
  <c r="BH31" i="2"/>
  <c r="AY31" i="2"/>
  <c r="BC31" i="2" s="1"/>
  <c r="BE31" i="2"/>
  <c r="BF32" i="2" s="1"/>
  <c r="BD31" i="2"/>
  <c r="BK32" i="2" l="1"/>
  <c r="AZ32" i="2"/>
  <c r="BD32" i="2"/>
  <c r="AY32" i="2"/>
  <c r="BC32" i="2" s="1"/>
  <c r="AW33" i="2"/>
  <c r="BA33" i="2" s="1"/>
  <c r="AX32" i="2"/>
  <c r="BA32" i="2"/>
  <c r="BB32" i="2"/>
  <c r="BH32" i="2"/>
  <c r="AV32" i="2"/>
  <c r="BJ32" i="2" s="1"/>
  <c r="BF33" i="2"/>
  <c r="AV33" i="2"/>
  <c r="BJ33" i="2" s="1"/>
  <c r="BK33" i="2" l="1"/>
  <c r="BD33" i="2"/>
  <c r="AW34" i="2"/>
  <c r="BB34" i="2" s="1"/>
  <c r="BE33" i="2"/>
  <c r="BF34" i="2" s="1"/>
  <c r="BB33" i="2"/>
  <c r="BH33" i="2"/>
  <c r="AY33" i="2"/>
  <c r="BC33" i="2" s="1"/>
  <c r="AX33" i="2"/>
  <c r="AZ33" i="2"/>
  <c r="AY34" i="2" l="1"/>
  <c r="BC34" i="2" s="1"/>
  <c r="BK34" i="2"/>
  <c r="BD34" i="2"/>
  <c r="AX34" i="2"/>
  <c r="AZ34" i="2"/>
  <c r="BE34" i="2"/>
  <c r="BF35" i="2" s="1"/>
  <c r="AW35" i="2"/>
  <c r="AX35" i="2" s="1"/>
  <c r="BH34" i="2"/>
  <c r="BA34" i="2"/>
  <c r="AV34" i="2"/>
  <c r="BJ34" i="2" s="1"/>
  <c r="AV35" i="2" l="1"/>
  <c r="BJ35" i="2" s="1"/>
  <c r="BK35" i="2"/>
  <c r="BD35" i="2"/>
  <c r="BH35" i="2"/>
  <c r="BE35" i="2"/>
  <c r="BF36" i="2" s="1"/>
  <c r="AY35" i="2"/>
  <c r="BC35" i="2" s="1"/>
  <c r="AW36" i="2"/>
  <c r="BE36" i="2" s="1"/>
  <c r="BA35" i="2"/>
  <c r="BB35" i="2"/>
  <c r="AZ35" i="2"/>
  <c r="BK36" i="2" l="1"/>
  <c r="AV36" i="2"/>
  <c r="BJ36" i="2" s="1"/>
  <c r="AZ36" i="2"/>
  <c r="AX36" i="2"/>
  <c r="AW37" i="2"/>
  <c r="BB37" i="2" s="1"/>
  <c r="AY36" i="2"/>
  <c r="BC36" i="2" s="1"/>
  <c r="BA36" i="2"/>
  <c r="BD36" i="2"/>
  <c r="BB36" i="2"/>
  <c r="BH36" i="2"/>
  <c r="BF37" i="2"/>
  <c r="AV37" i="2"/>
  <c r="BJ37" i="2" s="1"/>
  <c r="BD37" i="2" l="1"/>
  <c r="AZ37" i="2"/>
  <c r="BA37" i="2"/>
  <c r="BK37" i="2"/>
  <c r="AX37" i="2"/>
  <c r="AW38" i="2"/>
  <c r="BB38" i="2" s="1"/>
  <c r="AY37" i="2"/>
  <c r="BC37" i="2" s="1"/>
  <c r="BH37" i="2"/>
  <c r="BE37" i="2"/>
  <c r="BF38" i="2" s="1"/>
  <c r="AV38" i="2" l="1"/>
  <c r="BJ38" i="2" s="1"/>
  <c r="BK38" i="2"/>
  <c r="AX38" i="2"/>
  <c r="BA38" i="2"/>
  <c r="BH38" i="2"/>
  <c r="BE38" i="2"/>
  <c r="BF39" i="2" s="1"/>
  <c r="AZ38" i="2"/>
  <c r="AW39" i="2"/>
  <c r="BD39" i="2" s="1"/>
  <c r="BD38" i="2"/>
  <c r="AY38" i="2"/>
  <c r="BC38" i="2" s="1"/>
  <c r="AZ39" i="2" l="1"/>
  <c r="AX39" i="2"/>
  <c r="AV39" i="2"/>
  <c r="BJ39" i="2" s="1"/>
  <c r="BA39" i="2"/>
  <c r="BB39" i="2"/>
  <c r="BH39" i="2"/>
  <c r="AW40" i="2"/>
  <c r="BE40" i="2" s="1"/>
  <c r="AY39" i="2"/>
  <c r="BC39" i="2" s="1"/>
  <c r="BE39" i="2"/>
  <c r="AV40" i="2" s="1"/>
  <c r="BJ40" i="2" s="1"/>
  <c r="BK39" i="2"/>
  <c r="BD40" i="2" l="1"/>
  <c r="AZ40" i="2"/>
  <c r="BA40" i="2"/>
  <c r="BB40" i="2"/>
  <c r="AX40" i="2"/>
  <c r="AW41" i="2"/>
  <c r="BA41" i="2" s="1"/>
  <c r="AY40" i="2"/>
  <c r="BC40" i="2" s="1"/>
  <c r="BK40" i="2"/>
  <c r="BF40" i="2"/>
  <c r="BH40" i="2"/>
  <c r="BF41" i="2"/>
  <c r="AV41" i="2"/>
  <c r="BJ41" i="2" s="1"/>
  <c r="BB41" i="2" l="1"/>
  <c r="BK41" i="2"/>
  <c r="AY41" i="2"/>
  <c r="BC41" i="2" s="1"/>
  <c r="AW42" i="2"/>
  <c r="AW43" i="2" s="1"/>
  <c r="BH41" i="2"/>
  <c r="BE41" i="2"/>
  <c r="AV42" i="2" s="1"/>
  <c r="BJ42" i="2" s="1"/>
  <c r="BD41" i="2"/>
  <c r="AZ41" i="2"/>
  <c r="AX41" i="2"/>
  <c r="AY42" i="2" l="1"/>
  <c r="BC42" i="2" s="1"/>
  <c r="AX42" i="2"/>
  <c r="BF42" i="2"/>
  <c r="BB42" i="2"/>
  <c r="BA42" i="2"/>
  <c r="AZ42" i="2"/>
  <c r="BE42" i="2"/>
  <c r="AV43" i="2" s="1"/>
  <c r="BJ43" i="2" s="1"/>
  <c r="BK42" i="2"/>
  <c r="BD42" i="2"/>
  <c r="BH42" i="2"/>
  <c r="AW44" i="2"/>
  <c r="BE43" i="2"/>
  <c r="AX43" i="2"/>
  <c r="AZ43" i="2"/>
  <c r="BD43" i="2"/>
  <c r="BK43" i="2"/>
  <c r="BB43" i="2"/>
  <c r="BA43" i="2"/>
  <c r="AY43" i="2"/>
  <c r="BC43" i="2" s="1"/>
  <c r="BH43" i="2"/>
  <c r="BF43" i="2" l="1"/>
  <c r="BF44" i="2"/>
  <c r="AV44" i="2"/>
  <c r="BJ44" i="2" s="1"/>
  <c r="BE44" i="2"/>
  <c r="AW45" i="2"/>
  <c r="AZ44" i="2"/>
  <c r="BD44" i="2"/>
  <c r="BK44" i="2"/>
  <c r="BB44" i="2"/>
  <c r="BA44" i="2"/>
  <c r="AX44" i="2"/>
  <c r="AY44" i="2"/>
  <c r="BC44" i="2" s="1"/>
  <c r="BH44" i="2"/>
  <c r="BE45" i="2" l="1"/>
  <c r="AW46" i="2"/>
  <c r="AX45" i="2"/>
  <c r="AZ45" i="2"/>
  <c r="BD45" i="2"/>
  <c r="BK45" i="2"/>
  <c r="BB45" i="2"/>
  <c r="BA45" i="2"/>
  <c r="BH45" i="2"/>
  <c r="AY45" i="2"/>
  <c r="BC45" i="2" s="1"/>
  <c r="BF45" i="2"/>
  <c r="AV45" i="2"/>
  <c r="BJ45" i="2" s="1"/>
  <c r="AW47" i="2" l="1"/>
  <c r="BE46" i="2"/>
  <c r="BA46" i="2"/>
  <c r="AX46" i="2"/>
  <c r="AZ46" i="2"/>
  <c r="BD46" i="2"/>
  <c r="BK46" i="2"/>
  <c r="BB46" i="2"/>
  <c r="AY46" i="2"/>
  <c r="BC46" i="2" s="1"/>
  <c r="BH46" i="2"/>
  <c r="BF46" i="2"/>
  <c r="AV46" i="2"/>
  <c r="BJ46" i="2" s="1"/>
  <c r="BF47" i="2" l="1"/>
  <c r="AV47" i="2"/>
  <c r="BJ47" i="2" s="1"/>
  <c r="BE47" i="2"/>
  <c r="AW48" i="2"/>
  <c r="BB47" i="2"/>
  <c r="BA47" i="2"/>
  <c r="AX47" i="2"/>
  <c r="AZ47" i="2"/>
  <c r="BD47" i="2"/>
  <c r="BK47" i="2"/>
  <c r="AY47" i="2"/>
  <c r="BC47" i="2" s="1"/>
  <c r="BH47" i="2"/>
  <c r="BE48" i="2" l="1"/>
  <c r="AW49" i="2"/>
  <c r="BB48" i="2"/>
  <c r="BA48" i="2"/>
  <c r="AX48" i="2"/>
  <c r="AZ48" i="2"/>
  <c r="BD48" i="2"/>
  <c r="BK48" i="2"/>
  <c r="AY48" i="2"/>
  <c r="BC48" i="2" s="1"/>
  <c r="BH48" i="2"/>
  <c r="BF48" i="2"/>
  <c r="AV48" i="2"/>
  <c r="BJ48" i="2" s="1"/>
  <c r="BE49" i="2" l="1"/>
  <c r="AW50" i="2"/>
  <c r="AX49" i="2"/>
  <c r="BD49" i="2"/>
  <c r="BK49" i="2"/>
  <c r="BB49" i="2"/>
  <c r="BA49" i="2"/>
  <c r="AZ49" i="2"/>
  <c r="BH49" i="2"/>
  <c r="AY49" i="2"/>
  <c r="BC49" i="2" s="1"/>
  <c r="BF49" i="2"/>
  <c r="AV49" i="2"/>
  <c r="BJ49" i="2" s="1"/>
  <c r="BE50" i="2" l="1"/>
  <c r="AW51" i="2"/>
  <c r="AZ50" i="2"/>
  <c r="BD50" i="2"/>
  <c r="BK50" i="2"/>
  <c r="BB50" i="2"/>
  <c r="AX50" i="2"/>
  <c r="BA50" i="2"/>
  <c r="BH50" i="2"/>
  <c r="AY50" i="2"/>
  <c r="BC50" i="2" s="1"/>
  <c r="BF50" i="2"/>
  <c r="AV50" i="2"/>
  <c r="BJ50" i="2" s="1"/>
  <c r="BF51" i="2" l="1"/>
  <c r="AV51" i="2"/>
  <c r="BJ51" i="2" s="1"/>
  <c r="AW52" i="2"/>
  <c r="BE51" i="2"/>
  <c r="AX51" i="2"/>
  <c r="AZ51" i="2"/>
  <c r="BD51" i="2"/>
  <c r="BK51" i="2"/>
  <c r="BB51" i="2"/>
  <c r="BA51" i="2"/>
  <c r="AY51" i="2"/>
  <c r="BC51" i="2" s="1"/>
  <c r="BH51" i="2"/>
  <c r="BF52" i="2" l="1"/>
  <c r="AV52" i="2"/>
  <c r="BJ52" i="2" s="1"/>
  <c r="BE52" i="2"/>
  <c r="AW53" i="2"/>
  <c r="AZ52" i="2"/>
  <c r="BD52" i="2"/>
  <c r="BK52" i="2"/>
  <c r="AX52" i="2"/>
  <c r="BB52" i="2"/>
  <c r="BA52" i="2"/>
  <c r="AY52" i="2"/>
  <c r="BC52" i="2" s="1"/>
  <c r="BH52" i="2"/>
  <c r="BE53" i="2" l="1"/>
  <c r="AW54" i="2"/>
  <c r="AZ53" i="2"/>
  <c r="BD53" i="2"/>
  <c r="BK53" i="2"/>
  <c r="AX53" i="2"/>
  <c r="BB53" i="2"/>
  <c r="BA53" i="2"/>
  <c r="AY53" i="2"/>
  <c r="BC53" i="2" s="1"/>
  <c r="BH53" i="2"/>
  <c r="BF53" i="2"/>
  <c r="AV53" i="2"/>
  <c r="BJ53" i="2" s="1"/>
  <c r="AW55" i="2" l="1"/>
  <c r="BE54" i="2"/>
  <c r="BA54" i="2"/>
  <c r="AZ54" i="2"/>
  <c r="BD54" i="2"/>
  <c r="BK54" i="2"/>
  <c r="AX54" i="2"/>
  <c r="BB54" i="2"/>
  <c r="BH54" i="2"/>
  <c r="AY54" i="2"/>
  <c r="BC54" i="2" s="1"/>
  <c r="BF54" i="2"/>
  <c r="AV54" i="2"/>
  <c r="BJ54" i="2" s="1"/>
  <c r="BF55" i="2" l="1"/>
  <c r="AV55" i="2"/>
  <c r="BJ55" i="2" s="1"/>
  <c r="BE55" i="2"/>
  <c r="AW56" i="2"/>
  <c r="AX55" i="2"/>
  <c r="BB55" i="2"/>
  <c r="BA55" i="2"/>
  <c r="AZ55" i="2"/>
  <c r="BD55" i="2"/>
  <c r="BK55" i="2"/>
  <c r="BH55" i="2"/>
  <c r="AY55" i="2"/>
  <c r="BC55" i="2" s="1"/>
  <c r="BF56" i="2" l="1"/>
  <c r="AV56" i="2"/>
  <c r="BJ56" i="2" s="1"/>
  <c r="BE56" i="2"/>
  <c r="AW57" i="2"/>
  <c r="AX56" i="2"/>
  <c r="BB56" i="2"/>
  <c r="BA56" i="2"/>
  <c r="AZ56" i="2"/>
  <c r="BD56" i="2"/>
  <c r="BK56" i="2"/>
  <c r="BH56" i="2"/>
  <c r="AY56" i="2"/>
  <c r="BC56" i="2" s="1"/>
  <c r="BE57" i="2" l="1"/>
  <c r="AW58" i="2"/>
  <c r="AX57" i="2"/>
  <c r="BD57" i="2"/>
  <c r="BK57" i="2"/>
  <c r="BB57" i="2"/>
  <c r="BA57" i="2"/>
  <c r="AZ57" i="2"/>
  <c r="AY57" i="2"/>
  <c r="BC57" i="2" s="1"/>
  <c r="BH57" i="2"/>
  <c r="BF57" i="2"/>
  <c r="AV57" i="2"/>
  <c r="BJ57" i="2" s="1"/>
  <c r="BE58" i="2" l="1"/>
  <c r="AW59" i="2"/>
  <c r="AZ58" i="2"/>
  <c r="BD58" i="2"/>
  <c r="BK58" i="2"/>
  <c r="AX58" i="2"/>
  <c r="BB58" i="2"/>
  <c r="BA58" i="2"/>
  <c r="BH58" i="2"/>
  <c r="AY58" i="2"/>
  <c r="BC58" i="2" s="1"/>
  <c r="BF58" i="2"/>
  <c r="AV58" i="2"/>
  <c r="BJ58" i="2" s="1"/>
  <c r="AW60" i="2" l="1"/>
  <c r="BE59" i="2"/>
  <c r="AX59" i="2"/>
  <c r="AZ59" i="2"/>
  <c r="BD59" i="2"/>
  <c r="BK59" i="2"/>
  <c r="BB59" i="2"/>
  <c r="BA59" i="2"/>
  <c r="AY59" i="2"/>
  <c r="BC59" i="2" s="1"/>
  <c r="BH59" i="2"/>
  <c r="BF59" i="2"/>
  <c r="AV59" i="2"/>
  <c r="BJ59" i="2" s="1"/>
  <c r="BF60" i="2" l="1"/>
  <c r="AV60" i="2"/>
  <c r="BJ60" i="2" s="1"/>
  <c r="BE60" i="2"/>
  <c r="AW61" i="2"/>
  <c r="AZ60" i="2"/>
  <c r="AX60" i="2"/>
  <c r="BD60" i="2"/>
  <c r="BK60" i="2"/>
  <c r="BB60" i="2"/>
  <c r="BA60" i="2"/>
  <c r="BH60" i="2"/>
  <c r="AY60" i="2"/>
  <c r="BC60" i="2" s="1"/>
  <c r="BE61" i="2" l="1"/>
  <c r="AW62" i="2"/>
  <c r="AZ61" i="2"/>
  <c r="AX61" i="2"/>
  <c r="BD61" i="2"/>
  <c r="BK61" i="2"/>
  <c r="BB61" i="2"/>
  <c r="BA61" i="2"/>
  <c r="AY61" i="2"/>
  <c r="BC61" i="2" s="1"/>
  <c r="BH61" i="2"/>
  <c r="BF61" i="2"/>
  <c r="AV61" i="2"/>
  <c r="BJ61" i="2" s="1"/>
  <c r="AW63" i="2" l="1"/>
  <c r="BE62" i="2"/>
  <c r="BA62" i="2"/>
  <c r="AZ62" i="2"/>
  <c r="AX62" i="2"/>
  <c r="BD62" i="2"/>
  <c r="BK62" i="2"/>
  <c r="BB62" i="2"/>
  <c r="AY62" i="2"/>
  <c r="BC62" i="2" s="1"/>
  <c r="BH62" i="2"/>
  <c r="BF62" i="2"/>
  <c r="AV62" i="2"/>
  <c r="BJ62" i="2" s="1"/>
  <c r="BF63" i="2" l="1"/>
  <c r="AV63" i="2"/>
  <c r="BJ63" i="2" s="1"/>
  <c r="BE63" i="2"/>
  <c r="AW64" i="2"/>
  <c r="BB63" i="2"/>
  <c r="BA63" i="2"/>
  <c r="AZ63" i="2"/>
  <c r="AX63" i="2"/>
  <c r="BD63" i="2"/>
  <c r="BK63" i="2"/>
  <c r="BH63" i="2"/>
  <c r="AY63" i="2"/>
  <c r="BC63" i="2" s="1"/>
  <c r="BF64" i="2" l="1"/>
  <c r="AV64" i="2"/>
  <c r="BJ64" i="2" s="1"/>
  <c r="BE64" i="2"/>
  <c r="AW65" i="2"/>
  <c r="BB64" i="2"/>
  <c r="BA64" i="2"/>
  <c r="AZ64" i="2"/>
  <c r="AX64" i="2"/>
  <c r="BD64" i="2"/>
  <c r="BK64" i="2"/>
  <c r="AY64" i="2"/>
  <c r="BC64" i="2" s="1"/>
  <c r="BH64" i="2"/>
  <c r="BE65" i="2" l="1"/>
  <c r="AW66" i="2"/>
  <c r="AX65" i="2"/>
  <c r="BD65" i="2"/>
  <c r="BK65" i="2"/>
  <c r="BB65" i="2"/>
  <c r="BA65" i="2"/>
  <c r="AZ65" i="2"/>
  <c r="BH65" i="2"/>
  <c r="AY65" i="2"/>
  <c r="BC65" i="2" s="1"/>
  <c r="BF65" i="2"/>
  <c r="AV65" i="2"/>
  <c r="BJ65" i="2" s="1"/>
  <c r="BF66" i="2" l="1"/>
  <c r="AV66" i="2"/>
  <c r="BJ66" i="2" s="1"/>
  <c r="BE66" i="2"/>
  <c r="AW67" i="2"/>
  <c r="AZ66" i="2"/>
  <c r="AX66" i="2"/>
  <c r="BD66" i="2"/>
  <c r="BK66" i="2"/>
  <c r="BB66" i="2"/>
  <c r="BA66" i="2"/>
  <c r="AY66" i="2"/>
  <c r="BC66" i="2" s="1"/>
  <c r="BH66" i="2"/>
  <c r="AW68" i="2" l="1"/>
  <c r="BE67" i="2"/>
  <c r="AX67" i="2"/>
  <c r="AZ67" i="2"/>
  <c r="BD67" i="2"/>
  <c r="BK67" i="2"/>
  <c r="BB67" i="2"/>
  <c r="BA67" i="2"/>
  <c r="AY67" i="2"/>
  <c r="BC67" i="2" s="1"/>
  <c r="BH67" i="2"/>
  <c r="BF67" i="2"/>
  <c r="AV67" i="2"/>
  <c r="BJ67" i="2" s="1"/>
  <c r="BF68" i="2" l="1"/>
  <c r="AV68" i="2"/>
  <c r="BJ68" i="2" s="1"/>
  <c r="BE68" i="2"/>
  <c r="AW69" i="2"/>
  <c r="AX68" i="2"/>
  <c r="AZ68" i="2"/>
  <c r="BD68" i="2"/>
  <c r="BK68" i="2"/>
  <c r="BB68" i="2"/>
  <c r="BA68" i="2"/>
  <c r="BH68" i="2"/>
  <c r="AY68" i="2"/>
  <c r="BC68" i="2" s="1"/>
  <c r="BE69" i="2" l="1"/>
  <c r="AW70" i="2"/>
  <c r="AX69" i="2"/>
  <c r="AZ69" i="2"/>
  <c r="BD69" i="2"/>
  <c r="BK69" i="2"/>
  <c r="BB69" i="2"/>
  <c r="BA69" i="2"/>
  <c r="BH69" i="2"/>
  <c r="AY69" i="2"/>
  <c r="BC69" i="2" s="1"/>
  <c r="BF69" i="2"/>
  <c r="AV69" i="2"/>
  <c r="BJ69" i="2" s="1"/>
  <c r="AW71" i="2" l="1"/>
  <c r="BE70" i="2"/>
  <c r="BA70" i="2"/>
  <c r="AX70" i="2"/>
  <c r="AZ70" i="2"/>
  <c r="BD70" i="2"/>
  <c r="BK70" i="2"/>
  <c r="BB70" i="2"/>
  <c r="BH70" i="2"/>
  <c r="AY70" i="2"/>
  <c r="BC70" i="2" s="1"/>
  <c r="BF70" i="2"/>
  <c r="AV70" i="2"/>
  <c r="BJ70" i="2" s="1"/>
  <c r="BF71" i="2" l="1"/>
  <c r="AV71" i="2"/>
  <c r="BJ71" i="2" s="1"/>
  <c r="BE71" i="2"/>
  <c r="AW72" i="2"/>
  <c r="BB71" i="2"/>
  <c r="BA71" i="2"/>
  <c r="AX71" i="2"/>
  <c r="AZ71" i="2"/>
  <c r="BD71" i="2"/>
  <c r="BK71" i="2"/>
  <c r="AY71" i="2"/>
  <c r="BC71" i="2" s="1"/>
  <c r="BH71" i="2"/>
  <c r="BE72" i="2" l="1"/>
  <c r="AW73" i="2"/>
  <c r="BB72" i="2"/>
  <c r="BA72" i="2"/>
  <c r="AX72" i="2"/>
  <c r="AZ72" i="2"/>
  <c r="BD72" i="2"/>
  <c r="BK72" i="2"/>
  <c r="AY72" i="2"/>
  <c r="BC72" i="2" s="1"/>
  <c r="BH72" i="2"/>
  <c r="BF72" i="2"/>
  <c r="AV72" i="2"/>
  <c r="BJ72" i="2" s="1"/>
  <c r="BE73" i="2" l="1"/>
  <c r="AW74" i="2"/>
  <c r="BD73" i="2"/>
  <c r="BK73" i="2"/>
  <c r="BB73" i="2"/>
  <c r="BA73" i="2"/>
  <c r="AX73" i="2"/>
  <c r="AZ73" i="2"/>
  <c r="AY73" i="2"/>
  <c r="BC73" i="2" s="1"/>
  <c r="BH73" i="2"/>
  <c r="BF73" i="2"/>
  <c r="AV73" i="2"/>
  <c r="BJ73" i="2" s="1"/>
  <c r="BE74" i="2" l="1"/>
  <c r="AW75" i="2"/>
  <c r="AX74" i="2"/>
  <c r="AZ74" i="2"/>
  <c r="BD74" i="2"/>
  <c r="BK74" i="2"/>
  <c r="BB74" i="2"/>
  <c r="BA74" i="2"/>
  <c r="AY74" i="2"/>
  <c r="BC74" i="2" s="1"/>
  <c r="BH74" i="2"/>
  <c r="BF74" i="2"/>
  <c r="AV74" i="2"/>
  <c r="BJ74" i="2" s="1"/>
  <c r="AW76" i="2" l="1"/>
  <c r="BE75" i="2"/>
  <c r="AX75" i="2"/>
  <c r="AZ75" i="2"/>
  <c r="BD75" i="2"/>
  <c r="BK75" i="2"/>
  <c r="BB75" i="2"/>
  <c r="BA75" i="2"/>
  <c r="BH75" i="2"/>
  <c r="AY75" i="2"/>
  <c r="BC75" i="2" s="1"/>
  <c r="BF75" i="2"/>
  <c r="AV75" i="2"/>
  <c r="BJ75" i="2" s="1"/>
  <c r="BF76" i="2" l="1"/>
  <c r="AV76" i="2"/>
  <c r="BJ76" i="2" s="1"/>
  <c r="BE76" i="2"/>
  <c r="AW77" i="2"/>
  <c r="AX76" i="2"/>
  <c r="AZ76" i="2"/>
  <c r="BD76" i="2"/>
  <c r="BK76" i="2"/>
  <c r="BB76" i="2"/>
  <c r="BA76" i="2"/>
  <c r="AY76" i="2"/>
  <c r="BC76" i="2" s="1"/>
  <c r="BH76" i="2"/>
  <c r="BE77" i="2" l="1"/>
  <c r="AW78" i="2"/>
  <c r="AX77" i="2"/>
  <c r="AZ77" i="2"/>
  <c r="BD77" i="2"/>
  <c r="BK77" i="2"/>
  <c r="BB77" i="2"/>
  <c r="BA77" i="2"/>
  <c r="BH77" i="2"/>
  <c r="AY77" i="2"/>
  <c r="BC77" i="2" s="1"/>
  <c r="BF77" i="2"/>
  <c r="AV77" i="2"/>
  <c r="BJ77" i="2" s="1"/>
  <c r="AW79" i="2" l="1"/>
  <c r="BE78" i="2"/>
  <c r="BA78" i="2"/>
  <c r="AX78" i="2"/>
  <c r="AZ78" i="2"/>
  <c r="BD78" i="2"/>
  <c r="BK78" i="2"/>
  <c r="BB78" i="2"/>
  <c r="AY78" i="2"/>
  <c r="BC78" i="2" s="1"/>
  <c r="BH78" i="2"/>
  <c r="BF78" i="2"/>
  <c r="AV78" i="2"/>
  <c r="BJ78" i="2" s="1"/>
  <c r="BE79" i="2" l="1"/>
  <c r="AW80" i="2"/>
  <c r="BB79" i="2"/>
  <c r="BA79" i="2"/>
  <c r="AX79" i="2"/>
  <c r="AZ79" i="2"/>
  <c r="BD79" i="2"/>
  <c r="BK79" i="2"/>
  <c r="AY79" i="2"/>
  <c r="BC79" i="2" s="1"/>
  <c r="BH79" i="2"/>
  <c r="BF79" i="2"/>
  <c r="AV79" i="2"/>
  <c r="BJ79" i="2" s="1"/>
  <c r="BE80" i="2" l="1"/>
  <c r="AW81" i="2"/>
  <c r="BB80" i="2"/>
  <c r="BA80" i="2"/>
  <c r="AX80" i="2"/>
  <c r="AZ80" i="2"/>
  <c r="BD80" i="2"/>
  <c r="BK80" i="2"/>
  <c r="BH80" i="2"/>
  <c r="AY80" i="2"/>
  <c r="BC80" i="2" s="1"/>
  <c r="BF80" i="2"/>
  <c r="AV80" i="2"/>
  <c r="BJ80" i="2" s="1"/>
  <c r="BE81" i="2" l="1"/>
  <c r="AW82" i="2"/>
  <c r="BD81" i="2"/>
  <c r="BK81" i="2"/>
  <c r="BB81" i="2"/>
  <c r="BA81" i="2"/>
  <c r="AX81" i="2"/>
  <c r="AZ81" i="2"/>
  <c r="AY81" i="2"/>
  <c r="BC81" i="2" s="1"/>
  <c r="BH81" i="2"/>
  <c r="BF81" i="2"/>
  <c r="AV81" i="2"/>
  <c r="BJ81" i="2" s="1"/>
  <c r="BE82" i="2" l="1"/>
  <c r="AW83" i="2"/>
  <c r="AZ82" i="2"/>
  <c r="BD82" i="2"/>
  <c r="BK82" i="2"/>
  <c r="BB82" i="2"/>
  <c r="BA82" i="2"/>
  <c r="AX82" i="2"/>
  <c r="AY82" i="2"/>
  <c r="BC82" i="2" s="1"/>
  <c r="BH82" i="2"/>
  <c r="BF82" i="2"/>
  <c r="AV82" i="2"/>
  <c r="BJ82" i="2" s="1"/>
  <c r="AW84" i="2" l="1"/>
  <c r="BE83" i="2"/>
  <c r="AX83" i="2"/>
  <c r="AZ83" i="2"/>
  <c r="BD83" i="2"/>
  <c r="BK83" i="2"/>
  <c r="BB83" i="2"/>
  <c r="BA83" i="2"/>
  <c r="AY83" i="2"/>
  <c r="BC83" i="2" s="1"/>
  <c r="BH83" i="2"/>
  <c r="BF83" i="2"/>
  <c r="AV83" i="2"/>
  <c r="BJ83" i="2" s="1"/>
  <c r="BF84" i="2" l="1"/>
  <c r="AV84" i="2"/>
  <c r="BJ84" i="2" s="1"/>
  <c r="BE84" i="2"/>
  <c r="AW85" i="2"/>
  <c r="AX84" i="2"/>
  <c r="AZ84" i="2"/>
  <c r="BD84" i="2"/>
  <c r="BK84" i="2"/>
  <c r="BB84" i="2"/>
  <c r="BA84" i="2"/>
  <c r="BH84" i="2"/>
  <c r="AY84" i="2"/>
  <c r="BC84" i="2" s="1"/>
  <c r="BE85" i="2" l="1"/>
  <c r="AW86" i="2"/>
  <c r="AX85" i="2"/>
  <c r="AZ85" i="2"/>
  <c r="BD85" i="2"/>
  <c r="BK85" i="2"/>
  <c r="BB85" i="2"/>
  <c r="BA85" i="2"/>
  <c r="BH85" i="2"/>
  <c r="AY85" i="2"/>
  <c r="BC85" i="2" s="1"/>
  <c r="BF85" i="2"/>
  <c r="AV85" i="2"/>
  <c r="BJ85" i="2" s="1"/>
  <c r="AW87" i="2" l="1"/>
  <c r="BE86" i="2"/>
  <c r="BA86" i="2"/>
  <c r="AX86" i="2"/>
  <c r="AZ86" i="2"/>
  <c r="BD86" i="2"/>
  <c r="BK86" i="2"/>
  <c r="BB86" i="2"/>
  <c r="BH86" i="2"/>
  <c r="AY86" i="2"/>
  <c r="BC86" i="2" s="1"/>
  <c r="BF86" i="2"/>
  <c r="AV86" i="2"/>
  <c r="BJ86" i="2" s="1"/>
  <c r="BF87" i="2" l="1"/>
  <c r="AV87" i="2"/>
  <c r="BJ87" i="2" s="1"/>
  <c r="BE87" i="2"/>
  <c r="AW88" i="2"/>
  <c r="BB87" i="2"/>
  <c r="BA87" i="2"/>
  <c r="AX87" i="2"/>
  <c r="AZ87" i="2"/>
  <c r="BD87" i="2"/>
  <c r="BK87" i="2"/>
  <c r="BH87" i="2"/>
  <c r="AY87" i="2"/>
  <c r="BC87" i="2" s="1"/>
  <c r="BE88" i="2" l="1"/>
  <c r="AW89" i="2"/>
  <c r="BB88" i="2"/>
  <c r="BA88" i="2"/>
  <c r="AX88" i="2"/>
  <c r="AZ88" i="2"/>
  <c r="BD88" i="2"/>
  <c r="BK88" i="2"/>
  <c r="AY88" i="2"/>
  <c r="BC88" i="2" s="1"/>
  <c r="BH88" i="2"/>
  <c r="BF88" i="2"/>
  <c r="AV88" i="2"/>
  <c r="BJ88" i="2" s="1"/>
  <c r="BE89" i="2" l="1"/>
  <c r="AW90" i="2"/>
  <c r="BD89" i="2"/>
  <c r="BK89" i="2"/>
  <c r="BB89" i="2"/>
  <c r="BA89" i="2"/>
  <c r="AX89" i="2"/>
  <c r="AZ89" i="2"/>
  <c r="AY89" i="2"/>
  <c r="BC89" i="2" s="1"/>
  <c r="BH89" i="2"/>
  <c r="BF89" i="2"/>
  <c r="AV89" i="2"/>
  <c r="BJ89" i="2" s="1"/>
  <c r="BE90" i="2" l="1"/>
  <c r="AW91" i="2"/>
  <c r="AZ90" i="2"/>
  <c r="BD90" i="2"/>
  <c r="BK90" i="2"/>
  <c r="BB90" i="2"/>
  <c r="BA90" i="2"/>
  <c r="AX90" i="2"/>
  <c r="BH90" i="2"/>
  <c r="AY90" i="2"/>
  <c r="BC90" i="2" s="1"/>
  <c r="BF90" i="2"/>
  <c r="AV90" i="2"/>
  <c r="BJ90" i="2" s="1"/>
  <c r="AW92" i="2" l="1"/>
  <c r="BE91" i="2"/>
  <c r="AX91" i="2"/>
  <c r="AZ91" i="2"/>
  <c r="BD91" i="2"/>
  <c r="BK91" i="2"/>
  <c r="BB91" i="2"/>
  <c r="BA91" i="2"/>
  <c r="BH91" i="2"/>
  <c r="AY91" i="2"/>
  <c r="BC91" i="2" s="1"/>
  <c r="BF91" i="2"/>
  <c r="AV91" i="2"/>
  <c r="BJ91" i="2" s="1"/>
  <c r="BF92" i="2" l="1"/>
  <c r="AV92" i="2"/>
  <c r="BJ92" i="2" s="1"/>
  <c r="BE92" i="2"/>
  <c r="AW93" i="2"/>
  <c r="AZ92" i="2"/>
  <c r="BD92" i="2"/>
  <c r="BK92" i="2"/>
  <c r="BB92" i="2"/>
  <c r="BA92" i="2"/>
  <c r="AX92" i="2"/>
  <c r="BH92" i="2"/>
  <c r="AY92" i="2"/>
  <c r="BC92" i="2" s="1"/>
  <c r="BE93" i="2" l="1"/>
  <c r="AW94" i="2"/>
  <c r="AX93" i="2"/>
  <c r="AZ93" i="2"/>
  <c r="BD93" i="2"/>
  <c r="BK93" i="2"/>
  <c r="BB93" i="2"/>
  <c r="BA93" i="2"/>
  <c r="BH93" i="2"/>
  <c r="AY93" i="2"/>
  <c r="BC93" i="2" s="1"/>
  <c r="BF93" i="2"/>
  <c r="AV93" i="2"/>
  <c r="BJ93" i="2" s="1"/>
  <c r="AW95" i="2" l="1"/>
  <c r="BE94" i="2"/>
  <c r="BA94" i="2"/>
  <c r="AX94" i="2"/>
  <c r="AZ94" i="2"/>
  <c r="BD94" i="2"/>
  <c r="BK94" i="2"/>
  <c r="BB94" i="2"/>
  <c r="AY94" i="2"/>
  <c r="BC94" i="2" s="1"/>
  <c r="BH94" i="2"/>
  <c r="BF94" i="2"/>
  <c r="AV94" i="2"/>
  <c r="BJ94" i="2" s="1"/>
  <c r="BE95" i="2" l="1"/>
  <c r="AW96" i="2"/>
  <c r="BB95" i="2"/>
  <c r="BA95" i="2"/>
  <c r="AX95" i="2"/>
  <c r="AZ95" i="2"/>
  <c r="BD95" i="2"/>
  <c r="BK95" i="2"/>
  <c r="BH95" i="2"/>
  <c r="AY95" i="2"/>
  <c r="BC95" i="2" s="1"/>
  <c r="BF95" i="2"/>
  <c r="AV95" i="2"/>
  <c r="BJ95" i="2" s="1"/>
  <c r="BE96" i="2" l="1"/>
  <c r="AW97" i="2"/>
  <c r="BB96" i="2"/>
  <c r="BA96" i="2"/>
  <c r="AX96" i="2"/>
  <c r="AZ96" i="2"/>
  <c r="BD96" i="2"/>
  <c r="BK96" i="2"/>
  <c r="AY96" i="2"/>
  <c r="BC96" i="2" s="1"/>
  <c r="BH96" i="2"/>
  <c r="BF96" i="2"/>
  <c r="AV96" i="2"/>
  <c r="BJ96" i="2" s="1"/>
  <c r="BE97" i="2" l="1"/>
  <c r="AW98" i="2"/>
  <c r="BD97" i="2"/>
  <c r="BK97" i="2"/>
  <c r="BB97" i="2"/>
  <c r="BA97" i="2"/>
  <c r="AX97" i="2"/>
  <c r="AZ97" i="2"/>
  <c r="BH97" i="2"/>
  <c r="AY97" i="2"/>
  <c r="BC97" i="2" s="1"/>
  <c r="BF97" i="2"/>
  <c r="AV97" i="2"/>
  <c r="BJ97" i="2" s="1"/>
  <c r="BE98" i="2" l="1"/>
  <c r="AW99" i="2"/>
  <c r="AZ98" i="2"/>
  <c r="BD98" i="2"/>
  <c r="BK98" i="2"/>
  <c r="BB98" i="2"/>
  <c r="BA98" i="2"/>
  <c r="AX98" i="2"/>
  <c r="BH98" i="2"/>
  <c r="AY98" i="2"/>
  <c r="BC98" i="2" s="1"/>
  <c r="BF98" i="2"/>
  <c r="AV98" i="2"/>
  <c r="BJ98" i="2" s="1"/>
  <c r="BF99" i="2" l="1"/>
  <c r="AV99" i="2"/>
  <c r="BJ99" i="2" s="1"/>
  <c r="AW100" i="2"/>
  <c r="BE99" i="2"/>
  <c r="AZ99" i="2"/>
  <c r="BD99" i="2"/>
  <c r="BK99" i="2"/>
  <c r="BB99" i="2"/>
  <c r="BA99" i="2"/>
  <c r="AX99" i="2"/>
  <c r="BH99" i="2"/>
  <c r="AY99" i="2"/>
  <c r="BC99" i="2" s="1"/>
  <c r="BF100" i="2" l="1"/>
  <c r="AV100" i="2"/>
  <c r="BJ100" i="2" s="1"/>
  <c r="BE100" i="2"/>
  <c r="AW101" i="2"/>
  <c r="AZ100" i="2"/>
  <c r="BD100" i="2"/>
  <c r="BK100" i="2"/>
  <c r="BB100" i="2"/>
  <c r="BA100" i="2"/>
  <c r="AX100" i="2"/>
  <c r="BH100" i="2"/>
  <c r="AY100" i="2"/>
  <c r="BC100" i="2" s="1"/>
  <c r="BE101" i="2" l="1"/>
  <c r="AW102" i="2"/>
  <c r="AX101" i="2"/>
  <c r="AZ101" i="2"/>
  <c r="BD101" i="2"/>
  <c r="BK101" i="2"/>
  <c r="BB101" i="2"/>
  <c r="BA101" i="2"/>
  <c r="BH101" i="2"/>
  <c r="AY101" i="2"/>
  <c r="BC101" i="2" s="1"/>
  <c r="BF101" i="2"/>
  <c r="AV101" i="2"/>
  <c r="BJ101" i="2" s="1"/>
  <c r="AW103" i="2" l="1"/>
  <c r="BE102" i="2"/>
  <c r="BA102" i="2"/>
  <c r="AX102" i="2"/>
  <c r="AZ102" i="2"/>
  <c r="BD102" i="2"/>
  <c r="BK102" i="2"/>
  <c r="BB102" i="2"/>
  <c r="BH102" i="2"/>
  <c r="AY102" i="2"/>
  <c r="BC102" i="2" s="1"/>
  <c r="BF102" i="2"/>
  <c r="AV102" i="2"/>
  <c r="BJ102" i="2" s="1"/>
  <c r="BE103" i="2" l="1"/>
  <c r="AW104" i="2"/>
  <c r="BB103" i="2"/>
  <c r="BA103" i="2"/>
  <c r="AX103" i="2"/>
  <c r="AZ103" i="2"/>
  <c r="BD103" i="2"/>
  <c r="BK103" i="2"/>
  <c r="BH103" i="2"/>
  <c r="AY103" i="2"/>
  <c r="BC103" i="2" s="1"/>
  <c r="BF103" i="2"/>
  <c r="AV103" i="2"/>
  <c r="BJ103" i="2" s="1"/>
  <c r="BE104" i="2" l="1"/>
  <c r="AW105" i="2"/>
  <c r="BB104" i="2"/>
  <c r="BA104" i="2"/>
  <c r="AX104" i="2"/>
  <c r="AZ104" i="2"/>
  <c r="BD104" i="2"/>
  <c r="BK104" i="2"/>
  <c r="AY104" i="2"/>
  <c r="BC104" i="2" s="1"/>
  <c r="BH104" i="2"/>
  <c r="BF104" i="2"/>
  <c r="AV104" i="2"/>
  <c r="BJ104" i="2" s="1"/>
  <c r="BE105" i="2" l="1"/>
  <c r="AW106" i="2"/>
  <c r="BD105" i="2"/>
  <c r="BK105" i="2"/>
  <c r="BB105" i="2"/>
  <c r="BA105" i="2"/>
  <c r="AX105" i="2"/>
  <c r="AZ105" i="2"/>
  <c r="BH105" i="2"/>
  <c r="AY105" i="2"/>
  <c r="BC105" i="2" s="1"/>
  <c r="BF105" i="2"/>
  <c r="AV105" i="2"/>
  <c r="BJ105" i="2" s="1"/>
  <c r="BE106" i="2" l="1"/>
  <c r="AW107" i="2"/>
  <c r="AZ106" i="2"/>
  <c r="BD106" i="2"/>
  <c r="BK106" i="2"/>
  <c r="BB106" i="2"/>
  <c r="BA106" i="2"/>
  <c r="AX106" i="2"/>
  <c r="AY106" i="2"/>
  <c r="BC106" i="2" s="1"/>
  <c r="BH106" i="2"/>
  <c r="BF106" i="2"/>
  <c r="AV106" i="2"/>
  <c r="BJ106" i="2" s="1"/>
  <c r="AW108" i="2" l="1"/>
  <c r="BE107" i="2"/>
  <c r="AZ107" i="2"/>
  <c r="BD107" i="2"/>
  <c r="BK107" i="2"/>
  <c r="BB107" i="2"/>
  <c r="BA107" i="2"/>
  <c r="AX107" i="2"/>
  <c r="BH107" i="2"/>
  <c r="AY107" i="2"/>
  <c r="BC107" i="2" s="1"/>
  <c r="BF107" i="2"/>
  <c r="AV107" i="2"/>
  <c r="BJ107" i="2" s="1"/>
  <c r="BF108" i="2" l="1"/>
  <c r="AV108" i="2"/>
  <c r="BJ108" i="2" s="1"/>
  <c r="BE108" i="2"/>
  <c r="AW109" i="2"/>
  <c r="AZ108" i="2"/>
  <c r="BD108" i="2"/>
  <c r="BK108" i="2"/>
  <c r="BB108" i="2"/>
  <c r="BA108" i="2"/>
  <c r="AX108" i="2"/>
  <c r="AY108" i="2"/>
  <c r="BC108" i="2" s="1"/>
  <c r="BH108" i="2"/>
  <c r="BE109" i="2" l="1"/>
  <c r="AW110" i="2"/>
  <c r="AX109" i="2"/>
  <c r="AZ109" i="2"/>
  <c r="BD109" i="2"/>
  <c r="BK109" i="2"/>
  <c r="BB109" i="2"/>
  <c r="BA109" i="2"/>
  <c r="AY109" i="2"/>
  <c r="BC109" i="2" s="1"/>
  <c r="BH109" i="2"/>
  <c r="BF109" i="2"/>
  <c r="AV109" i="2"/>
  <c r="BJ109" i="2" s="1"/>
  <c r="BF110" i="2" l="1"/>
  <c r="AV110" i="2"/>
  <c r="BJ110" i="2" s="1"/>
  <c r="AW111" i="2"/>
  <c r="BE110" i="2"/>
  <c r="BA110" i="2"/>
  <c r="AX110" i="2"/>
  <c r="AZ110" i="2"/>
  <c r="BD110" i="2"/>
  <c r="BK110" i="2"/>
  <c r="BB110" i="2"/>
  <c r="BH110" i="2"/>
  <c r="AY110" i="2"/>
  <c r="BC110" i="2" s="1"/>
  <c r="BF111" i="2" l="1"/>
  <c r="AV111" i="2"/>
  <c r="BJ111" i="2" s="1"/>
  <c r="BE111" i="2"/>
  <c r="AW112" i="2"/>
  <c r="BB111" i="2"/>
  <c r="BA111" i="2"/>
  <c r="AX111" i="2"/>
  <c r="AZ111" i="2"/>
  <c r="BD111" i="2"/>
  <c r="BK111" i="2"/>
  <c r="BH111" i="2"/>
  <c r="AY111" i="2"/>
  <c r="BC111" i="2" s="1"/>
  <c r="BF112" i="2" l="1"/>
  <c r="AV112" i="2"/>
  <c r="BJ112" i="2" s="1"/>
  <c r="BE112" i="2"/>
  <c r="AW113" i="2"/>
  <c r="BB112" i="2"/>
  <c r="BA112" i="2"/>
  <c r="AX112" i="2"/>
  <c r="AZ112" i="2"/>
  <c r="BD112" i="2"/>
  <c r="BK112" i="2"/>
  <c r="BH112" i="2"/>
  <c r="AY112" i="2"/>
  <c r="BC112" i="2" s="1"/>
  <c r="BF113" i="2" l="1"/>
  <c r="AV113" i="2"/>
  <c r="BJ113" i="2" s="1"/>
  <c r="BE113" i="2"/>
  <c r="AW114" i="2"/>
  <c r="BD113" i="2"/>
  <c r="BK113" i="2"/>
  <c r="BB113" i="2"/>
  <c r="BA113" i="2"/>
  <c r="AX113" i="2"/>
  <c r="AZ113" i="2"/>
  <c r="BH113" i="2"/>
  <c r="AY113" i="2"/>
  <c r="BC113" i="2" s="1"/>
  <c r="BE114" i="2" l="1"/>
  <c r="AW115" i="2"/>
  <c r="AZ114" i="2"/>
  <c r="BD114" i="2"/>
  <c r="BK114" i="2"/>
  <c r="BB114" i="2"/>
  <c r="BA114" i="2"/>
  <c r="AX114" i="2"/>
  <c r="AY114" i="2"/>
  <c r="BC114" i="2" s="1"/>
  <c r="BH114" i="2"/>
  <c r="BF114" i="2"/>
  <c r="AV114" i="2"/>
  <c r="BJ114" i="2" s="1"/>
  <c r="AW116" i="2" l="1"/>
  <c r="BE115" i="2"/>
  <c r="AZ115" i="2"/>
  <c r="BD115" i="2"/>
  <c r="BK115" i="2"/>
  <c r="BB115" i="2"/>
  <c r="BA115" i="2"/>
  <c r="AX115" i="2"/>
  <c r="BH115" i="2"/>
  <c r="AY115" i="2"/>
  <c r="BC115" i="2" s="1"/>
  <c r="BF115" i="2"/>
  <c r="AV115" i="2"/>
  <c r="BJ115" i="2" s="1"/>
  <c r="BF116" i="2" l="1"/>
  <c r="AV116" i="2"/>
  <c r="BJ116" i="2" s="1"/>
  <c r="BE116" i="2"/>
  <c r="AW117" i="2"/>
  <c r="AZ116" i="2"/>
  <c r="BD116" i="2"/>
  <c r="BK116" i="2"/>
  <c r="BB116" i="2"/>
  <c r="BA116" i="2"/>
  <c r="AX116" i="2"/>
  <c r="AY116" i="2"/>
  <c r="BC116" i="2" s="1"/>
  <c r="BH116" i="2"/>
  <c r="BE117" i="2" l="1"/>
  <c r="AW118" i="2"/>
  <c r="AX117" i="2"/>
  <c r="AZ117" i="2"/>
  <c r="BD117" i="2"/>
  <c r="BK117" i="2"/>
  <c r="BB117" i="2"/>
  <c r="BA117" i="2"/>
  <c r="AY117" i="2"/>
  <c r="BC117" i="2" s="1"/>
  <c r="BH117" i="2"/>
  <c r="BF117" i="2"/>
  <c r="AV117" i="2"/>
  <c r="BJ117" i="2" s="1"/>
  <c r="AW119" i="2" l="1"/>
  <c r="BE118" i="2"/>
  <c r="BA118" i="2"/>
  <c r="AX118" i="2"/>
  <c r="AZ118" i="2"/>
  <c r="BD118" i="2"/>
  <c r="BK118" i="2"/>
  <c r="BB118" i="2"/>
  <c r="AY118" i="2"/>
  <c r="BC118" i="2" s="1"/>
  <c r="BH118" i="2"/>
  <c r="BF118" i="2"/>
  <c r="AV118" i="2"/>
  <c r="BJ118" i="2" s="1"/>
  <c r="BE119" i="2" l="1"/>
  <c r="AW120" i="2"/>
  <c r="BB119" i="2"/>
  <c r="BA119" i="2"/>
  <c r="AX119" i="2"/>
  <c r="AZ119" i="2"/>
  <c r="BD119" i="2"/>
  <c r="BK119" i="2"/>
  <c r="AY119" i="2"/>
  <c r="BC119" i="2" s="1"/>
  <c r="BH119" i="2"/>
  <c r="BF119" i="2"/>
  <c r="AV119" i="2"/>
  <c r="BJ119" i="2" s="1"/>
  <c r="BE120" i="2" l="1"/>
  <c r="AW121" i="2"/>
  <c r="BB120" i="2"/>
  <c r="BA120" i="2"/>
  <c r="AX120" i="2"/>
  <c r="AZ120" i="2"/>
  <c r="BD120" i="2"/>
  <c r="BK120" i="2"/>
  <c r="BH120" i="2"/>
  <c r="AY120" i="2"/>
  <c r="BC120" i="2" s="1"/>
  <c r="BF120" i="2"/>
  <c r="AV120" i="2"/>
  <c r="BJ120" i="2" s="1"/>
  <c r="BE121" i="2" l="1"/>
  <c r="AW122" i="2"/>
  <c r="BD121" i="2"/>
  <c r="BK121" i="2"/>
  <c r="BB121" i="2"/>
  <c r="BA121" i="2"/>
  <c r="AX121" i="2"/>
  <c r="AZ121" i="2"/>
  <c r="BH121" i="2"/>
  <c r="AY121" i="2"/>
  <c r="BC121" i="2" s="1"/>
  <c r="BF121" i="2"/>
  <c r="AV121" i="2"/>
  <c r="BJ121" i="2" s="1"/>
  <c r="BE122" i="2" l="1"/>
  <c r="AW123" i="2"/>
  <c r="AZ122" i="2"/>
  <c r="BD122" i="2"/>
  <c r="BK122" i="2"/>
  <c r="BB122" i="2"/>
  <c r="BA122" i="2"/>
  <c r="AX122" i="2"/>
  <c r="BH122" i="2"/>
  <c r="AY122" i="2"/>
  <c r="BC122" i="2" s="1"/>
  <c r="BF122" i="2"/>
  <c r="AV122" i="2"/>
  <c r="BJ122" i="2" s="1"/>
  <c r="AW124" i="2" l="1"/>
  <c r="BE123" i="2"/>
  <c r="AZ123" i="2"/>
  <c r="BD123" i="2"/>
  <c r="BK123" i="2"/>
  <c r="BB123" i="2"/>
  <c r="BA123" i="2"/>
  <c r="AX123" i="2"/>
  <c r="BH123" i="2"/>
  <c r="AY123" i="2"/>
  <c r="BC123" i="2" s="1"/>
  <c r="BF123" i="2"/>
  <c r="AV123" i="2"/>
  <c r="BJ123" i="2" s="1"/>
  <c r="BF124" i="2" l="1"/>
  <c r="AV124" i="2"/>
  <c r="BJ124" i="2" s="1"/>
  <c r="BE124" i="2"/>
  <c r="AW125" i="2"/>
  <c r="AZ124" i="2"/>
  <c r="BD124" i="2"/>
  <c r="BK124" i="2"/>
  <c r="BB124" i="2"/>
  <c r="BA124" i="2"/>
  <c r="AX124" i="2"/>
  <c r="BH124" i="2"/>
  <c r="AY124" i="2"/>
  <c r="BC124" i="2" s="1"/>
  <c r="BE125" i="2" l="1"/>
  <c r="AW126" i="2"/>
  <c r="AX125" i="2"/>
  <c r="AZ125" i="2"/>
  <c r="BD125" i="2"/>
  <c r="BK125" i="2"/>
  <c r="BB125" i="2"/>
  <c r="BA125" i="2"/>
  <c r="AY125" i="2"/>
  <c r="BC125" i="2" s="1"/>
  <c r="BH125" i="2"/>
  <c r="BF125" i="2"/>
  <c r="AV125" i="2"/>
  <c r="BJ125" i="2" s="1"/>
  <c r="AW127" i="2" l="1"/>
  <c r="BE126" i="2"/>
  <c r="BA126" i="2"/>
  <c r="AX126" i="2"/>
  <c r="AZ126" i="2"/>
  <c r="BD126" i="2"/>
  <c r="BK126" i="2"/>
  <c r="BB126" i="2"/>
  <c r="BH126" i="2"/>
  <c r="AY126" i="2"/>
  <c r="BC126" i="2" s="1"/>
  <c r="BF126" i="2"/>
  <c r="AV126" i="2"/>
  <c r="BJ126" i="2" s="1"/>
  <c r="BF127" i="2" l="1"/>
  <c r="AV127" i="2"/>
  <c r="BJ127" i="2" s="1"/>
  <c r="BE127" i="2"/>
  <c r="AW128" i="2"/>
  <c r="BB127" i="2"/>
  <c r="BA127" i="2"/>
  <c r="AX127" i="2"/>
  <c r="AZ127" i="2"/>
  <c r="BD127" i="2"/>
  <c r="BK127" i="2"/>
  <c r="AY127" i="2"/>
  <c r="BC127" i="2" s="1"/>
  <c r="BH127" i="2"/>
  <c r="BE128" i="2" l="1"/>
  <c r="AW129" i="2"/>
  <c r="BB128" i="2"/>
  <c r="BA128" i="2"/>
  <c r="AX128" i="2"/>
  <c r="AZ128" i="2"/>
  <c r="BD128" i="2"/>
  <c r="BK128" i="2"/>
  <c r="AY128" i="2"/>
  <c r="BC128" i="2" s="1"/>
  <c r="BH128" i="2"/>
  <c r="BF128" i="2"/>
  <c r="AV128" i="2"/>
  <c r="BJ128" i="2" s="1"/>
  <c r="BE129" i="2" l="1"/>
  <c r="AW130" i="2"/>
  <c r="BD129" i="2"/>
  <c r="BK129" i="2"/>
  <c r="BB129" i="2"/>
  <c r="BA129" i="2"/>
  <c r="AX129" i="2"/>
  <c r="AZ129" i="2"/>
  <c r="BH129" i="2"/>
  <c r="AY129" i="2"/>
  <c r="BC129" i="2" s="1"/>
  <c r="BF129" i="2"/>
  <c r="AV129" i="2"/>
  <c r="BJ129" i="2" s="1"/>
  <c r="BE130" i="2" l="1"/>
  <c r="AW131" i="2"/>
  <c r="AZ130" i="2"/>
  <c r="BD130" i="2"/>
  <c r="BK130" i="2"/>
  <c r="BB130" i="2"/>
  <c r="BA130" i="2"/>
  <c r="AX130" i="2"/>
  <c r="BH130" i="2"/>
  <c r="AY130" i="2"/>
  <c r="BC130" i="2" s="1"/>
  <c r="BF130" i="2"/>
  <c r="AV130" i="2"/>
  <c r="BJ130" i="2" s="1"/>
  <c r="AW132" i="2" l="1"/>
  <c r="BE131" i="2"/>
  <c r="AZ131" i="2"/>
  <c r="BD131" i="2"/>
  <c r="BB131" i="2"/>
  <c r="BA131" i="2"/>
  <c r="AX131" i="2"/>
  <c r="BK131" i="2"/>
  <c r="BH131" i="2"/>
  <c r="AY131" i="2"/>
  <c r="BC131" i="2" s="1"/>
  <c r="BF131" i="2"/>
  <c r="AV131" i="2"/>
  <c r="BJ131" i="2" s="1"/>
  <c r="BF132" i="2" l="1"/>
  <c r="AV132" i="2"/>
  <c r="BJ132" i="2" s="1"/>
  <c r="BE132" i="2"/>
  <c r="AW133" i="2"/>
  <c r="AZ132" i="2"/>
  <c r="BD132" i="2"/>
  <c r="BB132" i="2"/>
  <c r="BA132" i="2"/>
  <c r="AX132" i="2"/>
  <c r="AY132" i="2"/>
  <c r="BC132" i="2" s="1"/>
  <c r="BK132" i="2"/>
  <c r="BH132" i="2"/>
  <c r="BE133" i="2" l="1"/>
  <c r="AW134" i="2"/>
  <c r="AX133" i="2"/>
  <c r="AZ133" i="2"/>
  <c r="BD133" i="2"/>
  <c r="BK133" i="2"/>
  <c r="BB133" i="2"/>
  <c r="BA133" i="2"/>
  <c r="AY133" i="2"/>
  <c r="BC133" i="2" s="1"/>
  <c r="BH133" i="2"/>
  <c r="BF133" i="2"/>
  <c r="AV133" i="2"/>
  <c r="BJ133" i="2" s="1"/>
  <c r="AW135" i="2" l="1"/>
  <c r="BE134" i="2"/>
  <c r="BA134" i="2"/>
  <c r="AX134" i="2"/>
  <c r="AZ134" i="2"/>
  <c r="BD134" i="2"/>
  <c r="BK134" i="2"/>
  <c r="BB134" i="2"/>
  <c r="AY134" i="2"/>
  <c r="BC134" i="2" s="1"/>
  <c r="BH134" i="2"/>
  <c r="BF134" i="2"/>
  <c r="AV134" i="2"/>
  <c r="BJ134" i="2" s="1"/>
  <c r="BE135" i="2" l="1"/>
  <c r="AW136" i="2"/>
  <c r="BB135" i="2"/>
  <c r="BA135" i="2"/>
  <c r="AX135" i="2"/>
  <c r="AZ135" i="2"/>
  <c r="BD135" i="2"/>
  <c r="BK135" i="2"/>
  <c r="BH135" i="2"/>
  <c r="AY135" i="2"/>
  <c r="BC135" i="2" s="1"/>
  <c r="BF135" i="2"/>
  <c r="AV135" i="2"/>
  <c r="BJ135" i="2" s="1"/>
  <c r="BE136" i="2" l="1"/>
  <c r="AW137" i="2"/>
  <c r="BB136" i="2"/>
  <c r="BA136" i="2"/>
  <c r="AX136" i="2"/>
  <c r="AZ136" i="2"/>
  <c r="BD136" i="2"/>
  <c r="BK136" i="2"/>
  <c r="BH136" i="2"/>
  <c r="AY136" i="2"/>
  <c r="BC136" i="2" s="1"/>
  <c r="BF136" i="2"/>
  <c r="AV136" i="2"/>
  <c r="BJ136" i="2" s="1"/>
  <c r="BF137" i="2" l="1"/>
  <c r="AV137" i="2"/>
  <c r="BJ137" i="2" s="1"/>
  <c r="BE137" i="2"/>
  <c r="AW138" i="2"/>
  <c r="BD137" i="2"/>
  <c r="BK137" i="2"/>
  <c r="BB137" i="2"/>
  <c r="BA137" i="2"/>
  <c r="AX137" i="2"/>
  <c r="AZ137" i="2"/>
  <c r="BH137" i="2"/>
  <c r="AY137" i="2"/>
  <c r="BC137" i="2" s="1"/>
  <c r="BE138" i="2" l="1"/>
  <c r="AW139" i="2"/>
  <c r="AZ138" i="2"/>
  <c r="BD138" i="2"/>
  <c r="BK138" i="2"/>
  <c r="BB138" i="2"/>
  <c r="BA138" i="2"/>
  <c r="AX138" i="2"/>
  <c r="AY138" i="2"/>
  <c r="BC138" i="2" s="1"/>
  <c r="BH138" i="2"/>
  <c r="BF138" i="2"/>
  <c r="AV138" i="2"/>
  <c r="BJ138" i="2" s="1"/>
  <c r="AW140" i="2" l="1"/>
  <c r="BE139" i="2"/>
  <c r="AZ139" i="2"/>
  <c r="BD139" i="2"/>
  <c r="BB139" i="2"/>
  <c r="BA139" i="2"/>
  <c r="AX139" i="2"/>
  <c r="BH139" i="2"/>
  <c r="BK139" i="2"/>
  <c r="AY139" i="2"/>
  <c r="BC139" i="2" s="1"/>
  <c r="BF139" i="2"/>
  <c r="AV139" i="2"/>
  <c r="BJ139" i="2" s="1"/>
  <c r="BF140" i="2" l="1"/>
  <c r="AV140" i="2"/>
  <c r="BJ140" i="2" s="1"/>
  <c r="BE140" i="2"/>
  <c r="AW141" i="2"/>
  <c r="AZ140" i="2"/>
  <c r="BD140" i="2"/>
  <c r="BB140" i="2"/>
  <c r="BA140" i="2"/>
  <c r="AX140" i="2"/>
  <c r="AY140" i="2"/>
  <c r="BC140" i="2" s="1"/>
  <c r="BK140" i="2"/>
  <c r="BH140" i="2"/>
  <c r="BE141" i="2" l="1"/>
  <c r="AW142" i="2"/>
  <c r="AX141" i="2"/>
  <c r="AZ141" i="2"/>
  <c r="BD141" i="2"/>
  <c r="BK141" i="2"/>
  <c r="BB141" i="2"/>
  <c r="BA141" i="2"/>
  <c r="BH141" i="2"/>
  <c r="AY141" i="2"/>
  <c r="BC141" i="2" s="1"/>
  <c r="BF141" i="2"/>
  <c r="AV141" i="2"/>
  <c r="BJ141" i="2" s="1"/>
  <c r="AW143" i="2" l="1"/>
  <c r="BE142" i="2"/>
  <c r="BA142" i="2"/>
  <c r="AX142" i="2"/>
  <c r="AZ142" i="2"/>
  <c r="BD142" i="2"/>
  <c r="BK142" i="2"/>
  <c r="BB142" i="2"/>
  <c r="AY142" i="2"/>
  <c r="BC142" i="2" s="1"/>
  <c r="BH142" i="2"/>
  <c r="BF142" i="2"/>
  <c r="AV142" i="2"/>
  <c r="BJ142" i="2" s="1"/>
  <c r="BF143" i="2" l="1"/>
  <c r="AV143" i="2"/>
  <c r="BJ143" i="2" s="1"/>
  <c r="BE143" i="2"/>
  <c r="AW144" i="2"/>
  <c r="BB143" i="2"/>
  <c r="BA143" i="2"/>
  <c r="AX143" i="2"/>
  <c r="AZ143" i="2"/>
  <c r="BD143" i="2"/>
  <c r="BK143" i="2"/>
  <c r="AY143" i="2"/>
  <c r="BC143" i="2" s="1"/>
  <c r="BH143" i="2"/>
  <c r="BE144" i="2" l="1"/>
  <c r="AW145" i="2"/>
  <c r="BB144" i="2"/>
  <c r="BA144" i="2"/>
  <c r="AX144" i="2"/>
  <c r="AZ144" i="2"/>
  <c r="BD144" i="2"/>
  <c r="BK144" i="2"/>
  <c r="BH144" i="2"/>
  <c r="AY144" i="2"/>
  <c r="BC144" i="2" s="1"/>
  <c r="BF144" i="2"/>
  <c r="AV144" i="2"/>
  <c r="BJ144" i="2" s="1"/>
  <c r="BE145" i="2" l="1"/>
  <c r="AW146" i="2"/>
  <c r="BD145" i="2"/>
  <c r="BK145" i="2"/>
  <c r="BB145" i="2"/>
  <c r="BA145" i="2"/>
  <c r="AX145" i="2"/>
  <c r="AZ145" i="2"/>
  <c r="BH145" i="2"/>
  <c r="AY145" i="2"/>
  <c r="BC145" i="2" s="1"/>
  <c r="BF145" i="2"/>
  <c r="AV145" i="2"/>
  <c r="BJ145" i="2" s="1"/>
  <c r="BF146" i="2" l="1"/>
  <c r="AV146" i="2"/>
  <c r="BJ146" i="2" s="1"/>
  <c r="BE146" i="2"/>
  <c r="AW147" i="2"/>
  <c r="AZ146" i="2"/>
  <c r="BD146" i="2"/>
  <c r="BK146" i="2"/>
  <c r="BB146" i="2"/>
  <c r="BA146" i="2"/>
  <c r="AX146" i="2"/>
  <c r="BH146" i="2"/>
  <c r="AY146" i="2"/>
  <c r="BC146" i="2" s="1"/>
  <c r="BF147" i="2" l="1"/>
  <c r="AV147" i="2"/>
  <c r="BJ147" i="2" s="1"/>
  <c r="AW148" i="2"/>
  <c r="BE147" i="2"/>
  <c r="AZ147" i="2"/>
  <c r="BD147" i="2"/>
  <c r="BB147" i="2"/>
  <c r="BA147" i="2"/>
  <c r="AX147" i="2"/>
  <c r="BK147" i="2"/>
  <c r="AY147" i="2"/>
  <c r="BC147" i="2" s="1"/>
  <c r="BH147" i="2"/>
  <c r="BF148" i="2" l="1"/>
  <c r="AV148" i="2"/>
  <c r="BJ148" i="2" s="1"/>
  <c r="BE148" i="2"/>
  <c r="AW149" i="2"/>
  <c r="AZ148" i="2"/>
  <c r="BD148" i="2"/>
  <c r="BB148" i="2"/>
  <c r="BA148" i="2"/>
  <c r="AX148" i="2"/>
  <c r="AY148" i="2"/>
  <c r="BC148" i="2" s="1"/>
  <c r="BH148" i="2"/>
  <c r="BK148" i="2"/>
  <c r="BF149" i="2" l="1"/>
  <c r="AV149" i="2"/>
  <c r="BJ149" i="2" s="1"/>
  <c r="BE149" i="2"/>
  <c r="AW150" i="2"/>
  <c r="AX149" i="2"/>
  <c r="AZ149" i="2"/>
  <c r="BD149" i="2"/>
  <c r="BK149" i="2"/>
  <c r="BB149" i="2"/>
  <c r="BA149" i="2"/>
  <c r="AY149" i="2"/>
  <c r="BC149" i="2" s="1"/>
  <c r="BH149" i="2"/>
  <c r="AW151" i="2" l="1"/>
  <c r="BE150" i="2"/>
  <c r="BA150" i="2"/>
  <c r="AX150" i="2"/>
  <c r="AZ150" i="2"/>
  <c r="BD150" i="2"/>
  <c r="BK150" i="2"/>
  <c r="BB150" i="2"/>
  <c r="BH150" i="2"/>
  <c r="AY150" i="2"/>
  <c r="BC150" i="2" s="1"/>
  <c r="BF150" i="2"/>
  <c r="AV150" i="2"/>
  <c r="BJ150" i="2" s="1"/>
  <c r="BF151" i="2" l="1"/>
  <c r="AV151" i="2"/>
  <c r="BJ151" i="2" s="1"/>
  <c r="BE151" i="2"/>
  <c r="AW152" i="2"/>
  <c r="BB151" i="2"/>
  <c r="BA151" i="2"/>
  <c r="AX151" i="2"/>
  <c r="AZ151" i="2"/>
  <c r="BD151" i="2"/>
  <c r="BK151" i="2"/>
  <c r="BH151" i="2"/>
  <c r="AY151" i="2"/>
  <c r="BC151" i="2" s="1"/>
  <c r="BE152" i="2" l="1"/>
  <c r="AW153" i="2"/>
  <c r="BB152" i="2"/>
  <c r="BA152" i="2"/>
  <c r="AX152" i="2"/>
  <c r="AZ152" i="2"/>
  <c r="BD152" i="2"/>
  <c r="BK152" i="2"/>
  <c r="BH152" i="2"/>
  <c r="AY152" i="2"/>
  <c r="BC152" i="2" s="1"/>
  <c r="BF152" i="2"/>
  <c r="AV152" i="2"/>
  <c r="BJ152" i="2" s="1"/>
  <c r="BE153" i="2" l="1"/>
  <c r="AW154" i="2"/>
  <c r="BD153" i="2"/>
  <c r="BK153" i="2"/>
  <c r="BB153" i="2"/>
  <c r="BA153" i="2"/>
  <c r="AX153" i="2"/>
  <c r="AZ153" i="2"/>
  <c r="BH153" i="2"/>
  <c r="AY153" i="2"/>
  <c r="BC153" i="2" s="1"/>
  <c r="BF153" i="2"/>
  <c r="AV153" i="2"/>
  <c r="BJ153" i="2" s="1"/>
  <c r="BF154" i="2" l="1"/>
  <c r="AV154" i="2"/>
  <c r="BJ154" i="2" s="1"/>
  <c r="BE154" i="2"/>
  <c r="AW155" i="2"/>
  <c r="AZ154" i="2"/>
  <c r="BD154" i="2"/>
  <c r="BK154" i="2"/>
  <c r="BB154" i="2"/>
  <c r="BA154" i="2"/>
  <c r="AX154" i="2"/>
  <c r="AY154" i="2"/>
  <c r="BC154" i="2" s="1"/>
  <c r="BH154" i="2"/>
  <c r="AW156" i="2" l="1"/>
  <c r="BE155" i="2"/>
  <c r="AZ155" i="2"/>
  <c r="BD155" i="2"/>
  <c r="BB155" i="2"/>
  <c r="BA155" i="2"/>
  <c r="AX155" i="2"/>
  <c r="AY155" i="2"/>
  <c r="BC155" i="2" s="1"/>
  <c r="BH155" i="2"/>
  <c r="BK155" i="2"/>
  <c r="BF155" i="2"/>
  <c r="AV155" i="2"/>
  <c r="BJ155" i="2" s="1"/>
  <c r="BE156" i="2" l="1"/>
  <c r="AW157" i="2"/>
  <c r="AZ156" i="2"/>
  <c r="BD156" i="2"/>
  <c r="BB156" i="2"/>
  <c r="BA156" i="2"/>
  <c r="AX156" i="2"/>
  <c r="AY156" i="2"/>
  <c r="BC156" i="2" s="1"/>
  <c r="BK156" i="2"/>
  <c r="BH156" i="2"/>
  <c r="BF156" i="2"/>
  <c r="AV156" i="2"/>
  <c r="BJ156" i="2" s="1"/>
  <c r="BE157" i="2" l="1"/>
  <c r="AW158" i="2"/>
  <c r="AX157" i="2"/>
  <c r="AZ157" i="2"/>
  <c r="BD157" i="2"/>
  <c r="BK157" i="2"/>
  <c r="BB157" i="2"/>
  <c r="BA157" i="2"/>
  <c r="BH157" i="2"/>
  <c r="AY157" i="2"/>
  <c r="BC157" i="2" s="1"/>
  <c r="BF157" i="2"/>
  <c r="AV157" i="2"/>
  <c r="BJ157" i="2" s="1"/>
  <c r="AW159" i="2" l="1"/>
  <c r="BE158" i="2"/>
  <c r="BA158" i="2"/>
  <c r="AX158" i="2"/>
  <c r="AZ158" i="2"/>
  <c r="BD158" i="2"/>
  <c r="BK158" i="2"/>
  <c r="BB158" i="2"/>
  <c r="AY158" i="2"/>
  <c r="BC158" i="2" s="1"/>
  <c r="BH158" i="2"/>
  <c r="BF158" i="2"/>
  <c r="AV158" i="2"/>
  <c r="BJ158" i="2" s="1"/>
  <c r="BF159" i="2" l="1"/>
  <c r="AV159" i="2"/>
  <c r="BJ159" i="2" s="1"/>
  <c r="BE159" i="2"/>
  <c r="AW160" i="2"/>
  <c r="BB159" i="2"/>
  <c r="BA159" i="2"/>
  <c r="AX159" i="2"/>
  <c r="AZ159" i="2"/>
  <c r="BD159" i="2"/>
  <c r="BK159" i="2"/>
  <c r="BH159" i="2"/>
  <c r="AY159" i="2"/>
  <c r="BC159" i="2" s="1"/>
  <c r="BE160" i="2" l="1"/>
  <c r="AW161" i="2"/>
  <c r="BB160" i="2"/>
  <c r="BA160" i="2"/>
  <c r="AX160" i="2"/>
  <c r="AZ160" i="2"/>
  <c r="BD160" i="2"/>
  <c r="BK160" i="2"/>
  <c r="AY160" i="2"/>
  <c r="BC160" i="2" s="1"/>
  <c r="BH160" i="2"/>
  <c r="BF160" i="2"/>
  <c r="AV160" i="2"/>
  <c r="BJ160" i="2" s="1"/>
  <c r="BE161" i="2" l="1"/>
  <c r="AW162" i="2"/>
  <c r="BD161" i="2"/>
  <c r="BK161" i="2"/>
  <c r="BB161" i="2"/>
  <c r="BA161" i="2"/>
  <c r="AX161" i="2"/>
  <c r="AZ161" i="2"/>
  <c r="AY161" i="2"/>
  <c r="BC161" i="2" s="1"/>
  <c r="BH161" i="2"/>
  <c r="BF161" i="2"/>
  <c r="AV161" i="2"/>
  <c r="BJ161" i="2" s="1"/>
  <c r="BE162" i="2" l="1"/>
  <c r="AW163" i="2"/>
  <c r="AZ162" i="2"/>
  <c r="BD162" i="2"/>
  <c r="BK162" i="2"/>
  <c r="BB162" i="2"/>
  <c r="BA162" i="2"/>
  <c r="AX162" i="2"/>
  <c r="BH162" i="2"/>
  <c r="AY162" i="2"/>
  <c r="BC162" i="2" s="1"/>
  <c r="BF162" i="2"/>
  <c r="AV162" i="2"/>
  <c r="BJ162" i="2" s="1"/>
  <c r="AW164" i="2" l="1"/>
  <c r="BE163" i="2"/>
  <c r="AZ163" i="2"/>
  <c r="BD163" i="2"/>
  <c r="BB163" i="2"/>
  <c r="BA163" i="2"/>
  <c r="AX163" i="2"/>
  <c r="BK163" i="2"/>
  <c r="AY163" i="2"/>
  <c r="BC163" i="2" s="1"/>
  <c r="BH163" i="2"/>
  <c r="BF163" i="2"/>
  <c r="AV163" i="2"/>
  <c r="BJ163" i="2" s="1"/>
  <c r="BF164" i="2" l="1"/>
  <c r="AV164" i="2"/>
  <c r="BJ164" i="2" s="1"/>
  <c r="BE164" i="2"/>
  <c r="AW165" i="2"/>
  <c r="AZ164" i="2"/>
  <c r="BD164" i="2"/>
  <c r="BB164" i="2"/>
  <c r="BA164" i="2"/>
  <c r="AX164" i="2"/>
  <c r="BK164" i="2"/>
  <c r="AY164" i="2"/>
  <c r="BC164" i="2" s="1"/>
  <c r="BH164" i="2"/>
  <c r="BE165" i="2" l="1"/>
  <c r="AW166" i="2"/>
  <c r="AX165" i="2"/>
  <c r="AZ165" i="2"/>
  <c r="BD165" i="2"/>
  <c r="BK165" i="2"/>
  <c r="BB165" i="2"/>
  <c r="BA165" i="2"/>
  <c r="AY165" i="2"/>
  <c r="BC165" i="2" s="1"/>
  <c r="BH165" i="2"/>
  <c r="BF165" i="2"/>
  <c r="AV165" i="2"/>
  <c r="BJ165" i="2" s="1"/>
  <c r="AW167" i="2" l="1"/>
  <c r="BE166" i="2"/>
  <c r="BA166" i="2"/>
  <c r="AX166" i="2"/>
  <c r="AZ166" i="2"/>
  <c r="BD166" i="2"/>
  <c r="BK166" i="2"/>
  <c r="BB166" i="2"/>
  <c r="AY166" i="2"/>
  <c r="BC166" i="2" s="1"/>
  <c r="BH166" i="2"/>
  <c r="BF166" i="2"/>
  <c r="AV166" i="2"/>
  <c r="BJ166" i="2" s="1"/>
  <c r="BF167" i="2" l="1"/>
  <c r="AV167" i="2"/>
  <c r="BJ167" i="2" s="1"/>
  <c r="BE167" i="2"/>
  <c r="AW168" i="2"/>
  <c r="BB167" i="2"/>
  <c r="BA167" i="2"/>
  <c r="AX167" i="2"/>
  <c r="AZ167" i="2"/>
  <c r="BD167" i="2"/>
  <c r="BK167" i="2"/>
  <c r="BH167" i="2"/>
  <c r="AY167" i="2"/>
  <c r="BC167" i="2" s="1"/>
  <c r="BF168" i="2" l="1"/>
  <c r="AV168" i="2"/>
  <c r="BJ168" i="2" s="1"/>
  <c r="BE168" i="2"/>
  <c r="AW169" i="2"/>
  <c r="BB168" i="2"/>
  <c r="BA168" i="2"/>
  <c r="AX168" i="2"/>
  <c r="AZ168" i="2"/>
  <c r="BD168" i="2"/>
  <c r="BK168" i="2"/>
  <c r="BH168" i="2"/>
  <c r="AY168" i="2"/>
  <c r="BC168" i="2" s="1"/>
  <c r="BE169" i="2" l="1"/>
  <c r="AW170" i="2"/>
  <c r="BD169" i="2"/>
  <c r="BB169" i="2"/>
  <c r="BA169" i="2"/>
  <c r="AX169" i="2"/>
  <c r="AZ169" i="2"/>
  <c r="AY169" i="2"/>
  <c r="BC169" i="2" s="1"/>
  <c r="BK169" i="2"/>
  <c r="BH169" i="2"/>
  <c r="BF169" i="2"/>
  <c r="AV169" i="2"/>
  <c r="BJ169" i="2" s="1"/>
  <c r="BE170" i="2" l="1"/>
  <c r="AW171" i="2"/>
  <c r="AZ170" i="2"/>
  <c r="BD170" i="2"/>
  <c r="BK170" i="2"/>
  <c r="BB170" i="2"/>
  <c r="BA170" i="2"/>
  <c r="AX170" i="2"/>
  <c r="AY170" i="2"/>
  <c r="BC170" i="2" s="1"/>
  <c r="BH170" i="2"/>
  <c r="BF170" i="2"/>
  <c r="AV170" i="2"/>
  <c r="BJ170" i="2" s="1"/>
  <c r="AW172" i="2" l="1"/>
  <c r="BE171" i="2"/>
  <c r="AZ171" i="2"/>
  <c r="BD171" i="2"/>
  <c r="BB171" i="2"/>
  <c r="BA171" i="2"/>
  <c r="AX171" i="2"/>
  <c r="BK171" i="2"/>
  <c r="AY171" i="2"/>
  <c r="BC171" i="2" s="1"/>
  <c r="BH171" i="2"/>
  <c r="BF171" i="2"/>
  <c r="AV171" i="2"/>
  <c r="BJ171" i="2" s="1"/>
  <c r="BE172" i="2" l="1"/>
  <c r="AW173" i="2"/>
  <c r="AZ172" i="2"/>
  <c r="BD172" i="2"/>
  <c r="BB172" i="2"/>
  <c r="BA172" i="2"/>
  <c r="AX172" i="2"/>
  <c r="BK172" i="2"/>
  <c r="BH172" i="2"/>
  <c r="AY172" i="2"/>
  <c r="BC172" i="2" s="1"/>
  <c r="BF172" i="2"/>
  <c r="AV172" i="2"/>
  <c r="BJ172" i="2" s="1"/>
  <c r="BE173" i="2" l="1"/>
  <c r="AW174" i="2"/>
  <c r="AX173" i="2"/>
  <c r="AZ173" i="2"/>
  <c r="BD173" i="2"/>
  <c r="BB173" i="2"/>
  <c r="BA173" i="2"/>
  <c r="BH173" i="2"/>
  <c r="AY173" i="2"/>
  <c r="BC173" i="2" s="1"/>
  <c r="BK173" i="2"/>
  <c r="BF173" i="2"/>
  <c r="AV173" i="2"/>
  <c r="BJ173" i="2" s="1"/>
  <c r="AW175" i="2" l="1"/>
  <c r="BE174" i="2"/>
  <c r="BA174" i="2"/>
  <c r="AX174" i="2"/>
  <c r="AZ174" i="2"/>
  <c r="BD174" i="2"/>
  <c r="BB174" i="2"/>
  <c r="AY174" i="2"/>
  <c r="BC174" i="2" s="1"/>
  <c r="BK174" i="2"/>
  <c r="BH174" i="2"/>
  <c r="BF174" i="2"/>
  <c r="AV174" i="2"/>
  <c r="BJ174" i="2" s="1"/>
  <c r="BE175" i="2" l="1"/>
  <c r="AW176" i="2"/>
  <c r="BB175" i="2"/>
  <c r="BA175" i="2"/>
  <c r="AX175" i="2"/>
  <c r="AZ175" i="2"/>
  <c r="BD175" i="2"/>
  <c r="AY175" i="2"/>
  <c r="BC175" i="2" s="1"/>
  <c r="BK175" i="2"/>
  <c r="BH175" i="2"/>
  <c r="BF175" i="2"/>
  <c r="AV175" i="2"/>
  <c r="BJ175" i="2" s="1"/>
  <c r="BE176" i="2" l="1"/>
  <c r="AW177" i="2"/>
  <c r="BB176" i="2"/>
  <c r="BA176" i="2"/>
  <c r="AX176" i="2"/>
  <c r="AZ176" i="2"/>
  <c r="BD176" i="2"/>
  <c r="BK176" i="2"/>
  <c r="BH176" i="2"/>
  <c r="AY176" i="2"/>
  <c r="BC176" i="2" s="1"/>
  <c r="BF176" i="2"/>
  <c r="AV176" i="2"/>
  <c r="BJ176" i="2" s="1"/>
  <c r="BE177" i="2" l="1"/>
  <c r="AW178" i="2"/>
  <c r="BD177" i="2"/>
  <c r="BB177" i="2"/>
  <c r="BA177" i="2"/>
  <c r="AX177" i="2"/>
  <c r="AZ177" i="2"/>
  <c r="BK177" i="2"/>
  <c r="AY177" i="2"/>
  <c r="BC177" i="2" s="1"/>
  <c r="BH177" i="2"/>
  <c r="BF177" i="2"/>
  <c r="AV177" i="2"/>
  <c r="BJ177" i="2" s="1"/>
  <c r="BF178" i="2" l="1"/>
  <c r="AV178" i="2"/>
  <c r="BJ178" i="2" s="1"/>
  <c r="BE178" i="2"/>
  <c r="AW179" i="2"/>
  <c r="AZ178" i="2"/>
  <c r="BD178" i="2"/>
  <c r="BB178" i="2"/>
  <c r="BA178" i="2"/>
  <c r="AX178" i="2"/>
  <c r="BK178" i="2"/>
  <c r="BH178" i="2"/>
  <c r="AY178" i="2"/>
  <c r="BC178" i="2" s="1"/>
  <c r="BF179" i="2" l="1"/>
  <c r="AV179" i="2"/>
  <c r="BJ179" i="2" s="1"/>
  <c r="AW180" i="2"/>
  <c r="BE179" i="2"/>
  <c r="AZ179" i="2"/>
  <c r="BD179" i="2"/>
  <c r="BB179" i="2"/>
  <c r="BA179" i="2"/>
  <c r="AX179" i="2"/>
  <c r="BH179" i="2"/>
  <c r="AY179" i="2"/>
  <c r="BC179" i="2" s="1"/>
  <c r="BK179" i="2"/>
  <c r="BE180" i="2" l="1"/>
  <c r="AW181" i="2"/>
  <c r="AZ180" i="2"/>
  <c r="BD180" i="2"/>
  <c r="BB180" i="2"/>
  <c r="BA180" i="2"/>
  <c r="AX180" i="2"/>
  <c r="BH180" i="2"/>
  <c r="BK180" i="2"/>
  <c r="AY180" i="2"/>
  <c r="BC180" i="2" s="1"/>
  <c r="BF180" i="2"/>
  <c r="AV180" i="2"/>
  <c r="BJ180" i="2" s="1"/>
  <c r="BE181" i="2" l="1"/>
  <c r="AW182" i="2"/>
  <c r="AX181" i="2"/>
  <c r="AZ181" i="2"/>
  <c r="BD181" i="2"/>
  <c r="BB181" i="2"/>
  <c r="BA181" i="2"/>
  <c r="BK181" i="2"/>
  <c r="BH181" i="2"/>
  <c r="AY181" i="2"/>
  <c r="BC181" i="2" s="1"/>
  <c r="BF181" i="2"/>
  <c r="AV181" i="2"/>
  <c r="BJ181" i="2" s="1"/>
  <c r="AW183" i="2" l="1"/>
  <c r="BE182" i="2"/>
  <c r="BA182" i="2"/>
  <c r="AX182" i="2"/>
  <c r="AZ182" i="2"/>
  <c r="BD182" i="2"/>
  <c r="BB182" i="2"/>
  <c r="BH182" i="2"/>
  <c r="AY182" i="2"/>
  <c r="BC182" i="2" s="1"/>
  <c r="BK182" i="2"/>
  <c r="BF182" i="2"/>
  <c r="AV182" i="2"/>
  <c r="BJ182" i="2" s="1"/>
  <c r="BF183" i="2" l="1"/>
  <c r="AV183" i="2"/>
  <c r="BJ183" i="2" s="1"/>
  <c r="BE183" i="2"/>
  <c r="AW184" i="2"/>
  <c r="BB183" i="2"/>
  <c r="BA183" i="2"/>
  <c r="AX183" i="2"/>
  <c r="AZ183" i="2"/>
  <c r="BD183" i="2"/>
  <c r="BH183" i="2"/>
  <c r="AY183" i="2"/>
  <c r="BC183" i="2" s="1"/>
  <c r="BK183" i="2"/>
  <c r="BE184" i="2" l="1"/>
  <c r="AW185" i="2"/>
  <c r="BB184" i="2"/>
  <c r="BA184" i="2"/>
  <c r="AX184" i="2"/>
  <c r="AZ184" i="2"/>
  <c r="BD184" i="2"/>
  <c r="BK184" i="2"/>
  <c r="BH184" i="2"/>
  <c r="AY184" i="2"/>
  <c r="BC184" i="2" s="1"/>
  <c r="BF184" i="2"/>
  <c r="AV184" i="2"/>
  <c r="BJ184" i="2" s="1"/>
  <c r="BE185" i="2" l="1"/>
  <c r="AW186" i="2"/>
  <c r="BD185" i="2"/>
  <c r="BB185" i="2"/>
  <c r="BA185" i="2"/>
  <c r="AX185" i="2"/>
  <c r="AZ185" i="2"/>
  <c r="AY185" i="2"/>
  <c r="BC185" i="2" s="1"/>
  <c r="BK185" i="2"/>
  <c r="BH185" i="2"/>
  <c r="BF185" i="2"/>
  <c r="AV185" i="2"/>
  <c r="BJ185" i="2" s="1"/>
  <c r="BF186" i="2" l="1"/>
  <c r="AV186" i="2"/>
  <c r="BJ186" i="2" s="1"/>
  <c r="BE186" i="2"/>
  <c r="AW187" i="2"/>
  <c r="AZ186" i="2"/>
  <c r="BD186" i="2"/>
  <c r="BB186" i="2"/>
  <c r="BA186" i="2"/>
  <c r="AX186" i="2"/>
  <c r="BK186" i="2"/>
  <c r="BH186" i="2"/>
  <c r="AY186" i="2"/>
  <c r="BC186" i="2" s="1"/>
  <c r="AW188" i="2" l="1"/>
  <c r="BE187" i="2"/>
  <c r="AZ187" i="2"/>
  <c r="BD187" i="2"/>
  <c r="BB187" i="2"/>
  <c r="BA187" i="2"/>
  <c r="AX187" i="2"/>
  <c r="BK187" i="2"/>
  <c r="BH187" i="2"/>
  <c r="AY187" i="2"/>
  <c r="BC187" i="2" s="1"/>
  <c r="BF187" i="2"/>
  <c r="AV187" i="2"/>
  <c r="BJ187" i="2" s="1"/>
  <c r="BF188" i="2" l="1"/>
  <c r="AV188" i="2"/>
  <c r="BJ188" i="2" s="1"/>
  <c r="BE188" i="2"/>
  <c r="AW189" i="2"/>
  <c r="AZ188" i="2"/>
  <c r="BD188" i="2"/>
  <c r="BB188" i="2"/>
  <c r="BA188" i="2"/>
  <c r="AX188" i="2"/>
  <c r="AY188" i="2"/>
  <c r="BC188" i="2" s="1"/>
  <c r="BH188" i="2"/>
  <c r="BK188" i="2"/>
  <c r="BF189" i="2" l="1"/>
  <c r="AV189" i="2"/>
  <c r="BJ189" i="2" s="1"/>
  <c r="BE189" i="2"/>
  <c r="AW190" i="2"/>
  <c r="AX189" i="2"/>
  <c r="AZ189" i="2"/>
  <c r="BD189" i="2"/>
  <c r="BB189" i="2"/>
  <c r="BA189" i="2"/>
  <c r="BH189" i="2"/>
  <c r="AY189" i="2"/>
  <c r="BC189" i="2" s="1"/>
  <c r="BK189" i="2"/>
  <c r="AW191" i="2" l="1"/>
  <c r="BE190" i="2"/>
  <c r="BA190" i="2"/>
  <c r="AX190" i="2"/>
  <c r="AZ190" i="2"/>
  <c r="BD190" i="2"/>
  <c r="BB190" i="2"/>
  <c r="BK190" i="2"/>
  <c r="BH190" i="2"/>
  <c r="AY190" i="2"/>
  <c r="BC190" i="2" s="1"/>
  <c r="BF190" i="2"/>
  <c r="AV190" i="2"/>
  <c r="BJ190" i="2" s="1"/>
  <c r="BE191" i="2" l="1"/>
  <c r="AW192" i="2"/>
  <c r="BB191" i="2"/>
  <c r="BA191" i="2"/>
  <c r="AX191" i="2"/>
  <c r="AZ191" i="2"/>
  <c r="BD191" i="2"/>
  <c r="BH191" i="2"/>
  <c r="AY191" i="2"/>
  <c r="BC191" i="2" s="1"/>
  <c r="BK191" i="2"/>
  <c r="BF191" i="2"/>
  <c r="AV191" i="2"/>
  <c r="BJ191" i="2" s="1"/>
  <c r="BE192" i="2" l="1"/>
  <c r="AW193" i="2"/>
  <c r="BB192" i="2"/>
  <c r="BA192" i="2"/>
  <c r="AX192" i="2"/>
  <c r="AZ192" i="2"/>
  <c r="BD192" i="2"/>
  <c r="BK192" i="2"/>
  <c r="BH192" i="2"/>
  <c r="AY192" i="2"/>
  <c r="BC192" i="2" s="1"/>
  <c r="BF192" i="2"/>
  <c r="AV192" i="2"/>
  <c r="BJ192" i="2" s="1"/>
  <c r="BE193" i="2" l="1"/>
  <c r="AW194" i="2"/>
  <c r="BD193" i="2"/>
  <c r="BB193" i="2"/>
  <c r="BA193" i="2"/>
  <c r="AX193" i="2"/>
  <c r="AZ193" i="2"/>
  <c r="BK193" i="2"/>
  <c r="AY193" i="2"/>
  <c r="BC193" i="2" s="1"/>
  <c r="BH193" i="2"/>
  <c r="BF193" i="2"/>
  <c r="AV193" i="2"/>
  <c r="BJ193" i="2" s="1"/>
  <c r="BE194" i="2" l="1"/>
  <c r="AW195" i="2"/>
  <c r="AZ194" i="2"/>
  <c r="BD194" i="2"/>
  <c r="BB194" i="2"/>
  <c r="BA194" i="2"/>
  <c r="AX194" i="2"/>
  <c r="BH194" i="2"/>
  <c r="AY194" i="2"/>
  <c r="BC194" i="2" s="1"/>
  <c r="BK194" i="2"/>
  <c r="BF194" i="2"/>
  <c r="AV194" i="2"/>
  <c r="BJ194" i="2" s="1"/>
  <c r="AW196" i="2" l="1"/>
  <c r="BE195" i="2"/>
  <c r="AZ195" i="2"/>
  <c r="BD195" i="2"/>
  <c r="BB195" i="2"/>
  <c r="BA195" i="2"/>
  <c r="AX195" i="2"/>
  <c r="BK195" i="2"/>
  <c r="BH195" i="2"/>
  <c r="AY195" i="2"/>
  <c r="BC195" i="2" s="1"/>
  <c r="BF195" i="2"/>
  <c r="AV195" i="2"/>
  <c r="BJ195" i="2" s="1"/>
  <c r="BF196" i="2" l="1"/>
  <c r="AV196" i="2"/>
  <c r="BJ196" i="2" s="1"/>
  <c r="BE196" i="2"/>
  <c r="AW197" i="2"/>
  <c r="AZ196" i="2"/>
  <c r="BD196" i="2"/>
  <c r="BB196" i="2"/>
  <c r="BA196" i="2"/>
  <c r="AX196" i="2"/>
  <c r="BK196" i="2"/>
  <c r="BH196" i="2"/>
  <c r="AY196" i="2"/>
  <c r="BC196" i="2" s="1"/>
  <c r="BE197" i="2" l="1"/>
  <c r="AW198" i="2"/>
  <c r="AX197" i="2"/>
  <c r="AZ197" i="2"/>
  <c r="BD197" i="2"/>
  <c r="BB197" i="2"/>
  <c r="BA197" i="2"/>
  <c r="BH197" i="2"/>
  <c r="BK197" i="2"/>
  <c r="AY197" i="2"/>
  <c r="BC197" i="2" s="1"/>
  <c r="BF197" i="2"/>
  <c r="AV197" i="2"/>
  <c r="BJ197" i="2" s="1"/>
  <c r="AW199" i="2" l="1"/>
  <c r="BE198" i="2"/>
  <c r="BA198" i="2"/>
  <c r="AX198" i="2"/>
  <c r="AZ198" i="2"/>
  <c r="BD198" i="2"/>
  <c r="BB198" i="2"/>
  <c r="AY198" i="2"/>
  <c r="BC198" i="2" s="1"/>
  <c r="BH198" i="2"/>
  <c r="BK198" i="2"/>
  <c r="BF198" i="2"/>
  <c r="AV198" i="2"/>
  <c r="BJ198" i="2" s="1"/>
  <c r="BF199" i="2" l="1"/>
  <c r="AV199" i="2"/>
  <c r="BJ199" i="2" s="1"/>
  <c r="BE199" i="2"/>
  <c r="AW200" i="2"/>
  <c r="BB199" i="2"/>
  <c r="BA199" i="2"/>
  <c r="AX199" i="2"/>
  <c r="AZ199" i="2"/>
  <c r="BD199" i="2"/>
  <c r="BH199" i="2"/>
  <c r="AY199" i="2"/>
  <c r="BC199" i="2" s="1"/>
  <c r="BK199" i="2"/>
  <c r="BE200" i="2" l="1"/>
  <c r="AW201" i="2"/>
  <c r="BB200" i="2"/>
  <c r="BA200" i="2"/>
  <c r="AX200" i="2"/>
  <c r="AZ200" i="2"/>
  <c r="BD200" i="2"/>
  <c r="BK200" i="2"/>
  <c r="BH200" i="2"/>
  <c r="AY200" i="2"/>
  <c r="BC200" i="2" s="1"/>
  <c r="BF200" i="2"/>
  <c r="AV200" i="2"/>
  <c r="BJ200" i="2" s="1"/>
  <c r="BE201" i="2" l="1"/>
  <c r="AW202" i="2"/>
  <c r="BD201" i="2"/>
  <c r="BB201" i="2"/>
  <c r="BA201" i="2"/>
  <c r="AX201" i="2"/>
  <c r="AZ201" i="2"/>
  <c r="BK201" i="2"/>
  <c r="BH201" i="2"/>
  <c r="AY201" i="2"/>
  <c r="BC201" i="2" s="1"/>
  <c r="BF201" i="2"/>
  <c r="AV201" i="2"/>
  <c r="BJ201" i="2" s="1"/>
  <c r="BE202" i="2" l="1"/>
  <c r="AW203" i="2"/>
  <c r="AZ202" i="2"/>
  <c r="BD202" i="2"/>
  <c r="BB202" i="2"/>
  <c r="BA202" i="2"/>
  <c r="AX202" i="2"/>
  <c r="BK202" i="2"/>
  <c r="BH202" i="2"/>
  <c r="AY202" i="2"/>
  <c r="BC202" i="2" s="1"/>
  <c r="BF202" i="2"/>
  <c r="AV202" i="2"/>
  <c r="BJ202" i="2" s="1"/>
  <c r="BF203" i="2" l="1"/>
  <c r="AV203" i="2"/>
  <c r="BJ203" i="2" s="1"/>
  <c r="AW204" i="2"/>
  <c r="BE203" i="2"/>
  <c r="AZ203" i="2"/>
  <c r="BD203" i="2"/>
  <c r="BB203" i="2"/>
  <c r="BA203" i="2"/>
  <c r="AX203" i="2"/>
  <c r="BH203" i="2"/>
  <c r="BK203" i="2"/>
  <c r="AY203" i="2"/>
  <c r="BC203" i="2" s="1"/>
  <c r="BE204" i="2" l="1"/>
  <c r="AW205" i="2"/>
  <c r="AZ204" i="2"/>
  <c r="BD204" i="2"/>
  <c r="BB204" i="2"/>
  <c r="BA204" i="2"/>
  <c r="AX204" i="2"/>
  <c r="AY204" i="2"/>
  <c r="BC204" i="2" s="1"/>
  <c r="BK204" i="2"/>
  <c r="BH204" i="2"/>
  <c r="BF204" i="2"/>
  <c r="AV204" i="2"/>
  <c r="BJ204" i="2" s="1"/>
  <c r="BE205" i="2" l="1"/>
  <c r="AW206" i="2"/>
  <c r="AX205" i="2"/>
  <c r="AZ205" i="2"/>
  <c r="BD205" i="2"/>
  <c r="BB205" i="2"/>
  <c r="BA205" i="2"/>
  <c r="BH205" i="2"/>
  <c r="BK205" i="2"/>
  <c r="AY205" i="2"/>
  <c r="BC205" i="2" s="1"/>
  <c r="BF205" i="2"/>
  <c r="AV205" i="2"/>
  <c r="BJ205" i="2" s="1"/>
  <c r="AW207" i="2" l="1"/>
  <c r="BE206" i="2"/>
  <c r="BA206" i="2"/>
  <c r="AX206" i="2"/>
  <c r="AZ206" i="2"/>
  <c r="BD206" i="2"/>
  <c r="BB206" i="2"/>
  <c r="BH206" i="2"/>
  <c r="BK206" i="2"/>
  <c r="AY206" i="2"/>
  <c r="BC206" i="2" s="1"/>
  <c r="BF206" i="2"/>
  <c r="AV206" i="2"/>
  <c r="BJ206" i="2" s="1"/>
  <c r="BF207" i="2" l="1"/>
  <c r="AV207" i="2"/>
  <c r="BJ207" i="2" s="1"/>
  <c r="BE207" i="2"/>
  <c r="AW208" i="2"/>
  <c r="BB207" i="2"/>
  <c r="BA207" i="2"/>
  <c r="AX207" i="2"/>
  <c r="AZ207" i="2"/>
  <c r="BD207" i="2"/>
  <c r="AY207" i="2"/>
  <c r="BC207" i="2" s="1"/>
  <c r="BH207" i="2"/>
  <c r="BK207" i="2"/>
  <c r="BF208" i="2" l="1"/>
  <c r="AV208" i="2"/>
  <c r="BJ208" i="2" s="1"/>
  <c r="BE208" i="2"/>
  <c r="AW209" i="2"/>
  <c r="BB208" i="2"/>
  <c r="BA208" i="2"/>
  <c r="AX208" i="2"/>
  <c r="AZ208" i="2"/>
  <c r="BD208" i="2"/>
  <c r="BK208" i="2"/>
  <c r="AY208" i="2"/>
  <c r="BC208" i="2" s="1"/>
  <c r="BH208" i="2"/>
  <c r="BE209" i="2" l="1"/>
  <c r="AW210" i="2"/>
  <c r="BD209" i="2"/>
  <c r="BB209" i="2"/>
  <c r="BA209" i="2"/>
  <c r="AX209" i="2"/>
  <c r="AZ209" i="2"/>
  <c r="BK209" i="2"/>
  <c r="BH209" i="2"/>
  <c r="AY209" i="2"/>
  <c r="BC209" i="2" s="1"/>
  <c r="BF209" i="2"/>
  <c r="AV209" i="2"/>
  <c r="BJ209" i="2" s="1"/>
  <c r="BE210" i="2" l="1"/>
  <c r="AW211" i="2"/>
  <c r="AZ210" i="2"/>
  <c r="BD210" i="2"/>
  <c r="BB210" i="2"/>
  <c r="BA210" i="2"/>
  <c r="AX210" i="2"/>
  <c r="AY210" i="2"/>
  <c r="BC210" i="2" s="1"/>
  <c r="BK210" i="2"/>
  <c r="BH210" i="2"/>
  <c r="BF210" i="2"/>
  <c r="AV210" i="2"/>
  <c r="BJ210" i="2" s="1"/>
  <c r="AW212" i="2" l="1"/>
  <c r="BE211" i="2"/>
  <c r="AZ211" i="2"/>
  <c r="BD211" i="2"/>
  <c r="BB211" i="2"/>
  <c r="BA211" i="2"/>
  <c r="AX211" i="2"/>
  <c r="BK211" i="2"/>
  <c r="BH211" i="2"/>
  <c r="AY211" i="2"/>
  <c r="BC211" i="2" s="1"/>
  <c r="BF211" i="2"/>
  <c r="AV211" i="2"/>
  <c r="BJ211" i="2" s="1"/>
  <c r="BF212" i="2" l="1"/>
  <c r="AV212" i="2"/>
  <c r="BJ212" i="2" s="1"/>
  <c r="BE212" i="2"/>
  <c r="AW213" i="2"/>
  <c r="AZ212" i="2"/>
  <c r="BD212" i="2"/>
  <c r="BB212" i="2"/>
  <c r="BA212" i="2"/>
  <c r="AX212" i="2"/>
  <c r="BK212" i="2"/>
  <c r="BH212" i="2"/>
  <c r="AY212" i="2"/>
  <c r="BC212" i="2" s="1"/>
  <c r="BE213" i="2" l="1"/>
  <c r="AW214" i="2"/>
  <c r="AX213" i="2"/>
  <c r="AZ213" i="2"/>
  <c r="BD213" i="2"/>
  <c r="BB213" i="2"/>
  <c r="BA213" i="2"/>
  <c r="AY213" i="2"/>
  <c r="BC213" i="2" s="1"/>
  <c r="BH213" i="2"/>
  <c r="BK213" i="2"/>
  <c r="BF213" i="2"/>
  <c r="AV213" i="2"/>
  <c r="BJ213" i="2" s="1"/>
  <c r="AW215" i="2" l="1"/>
  <c r="BE214" i="2"/>
  <c r="BA214" i="2"/>
  <c r="AX214" i="2"/>
  <c r="AZ214" i="2"/>
  <c r="BD214" i="2"/>
  <c r="BB214" i="2"/>
  <c r="BH214" i="2"/>
  <c r="AY214" i="2"/>
  <c r="BC214" i="2" s="1"/>
  <c r="BK214" i="2"/>
  <c r="BF214" i="2"/>
  <c r="AV214" i="2"/>
  <c r="BJ214" i="2" s="1"/>
  <c r="BE215" i="2" l="1"/>
  <c r="AW216" i="2"/>
  <c r="BB215" i="2"/>
  <c r="BA215" i="2"/>
  <c r="AX215" i="2"/>
  <c r="AZ215" i="2"/>
  <c r="BD215" i="2"/>
  <c r="BH215" i="2"/>
  <c r="AY215" i="2"/>
  <c r="BC215" i="2" s="1"/>
  <c r="BK215" i="2"/>
  <c r="BF215" i="2"/>
  <c r="AV215" i="2"/>
  <c r="BJ215" i="2" s="1"/>
  <c r="BE216" i="2" l="1"/>
  <c r="AW217" i="2"/>
  <c r="BB216" i="2"/>
  <c r="BA216" i="2"/>
  <c r="AX216" i="2"/>
  <c r="AZ216" i="2"/>
  <c r="BD216" i="2"/>
  <c r="BK216" i="2"/>
  <c r="AY216" i="2"/>
  <c r="BC216" i="2" s="1"/>
  <c r="BH216" i="2"/>
  <c r="BF216" i="2"/>
  <c r="AV216" i="2"/>
  <c r="BJ216" i="2" s="1"/>
  <c r="BE217" i="2" l="1"/>
  <c r="AW218" i="2"/>
  <c r="BD217" i="2"/>
  <c r="BB217" i="2"/>
  <c r="BA217" i="2"/>
  <c r="AX217" i="2"/>
  <c r="AZ217" i="2"/>
  <c r="BK217" i="2"/>
  <c r="AY217" i="2"/>
  <c r="BC217" i="2" s="1"/>
  <c r="BH217" i="2"/>
  <c r="BF217" i="2"/>
  <c r="AV217" i="2"/>
  <c r="BJ217" i="2" s="1"/>
  <c r="BF218" i="2" l="1"/>
  <c r="AV218" i="2"/>
  <c r="BJ218" i="2" s="1"/>
  <c r="BE218" i="2"/>
  <c r="AW219" i="2"/>
  <c r="AZ218" i="2"/>
  <c r="BD218" i="2"/>
  <c r="BB218" i="2"/>
  <c r="BA218" i="2"/>
  <c r="AX218" i="2"/>
  <c r="BK218" i="2"/>
  <c r="BH218" i="2"/>
  <c r="AY218" i="2"/>
  <c r="BC218" i="2" s="1"/>
  <c r="AW220" i="2" l="1"/>
  <c r="BE219" i="2"/>
  <c r="AZ219" i="2"/>
  <c r="BD219" i="2"/>
  <c r="BB219" i="2"/>
  <c r="BA219" i="2"/>
  <c r="AX219" i="2"/>
  <c r="BH219" i="2"/>
  <c r="AY219" i="2"/>
  <c r="BC219" i="2" s="1"/>
  <c r="BK219" i="2"/>
  <c r="BF219" i="2"/>
  <c r="AV219" i="2"/>
  <c r="BJ219" i="2" s="1"/>
  <c r="BF220" i="2" l="1"/>
  <c r="AV220" i="2"/>
  <c r="BJ220" i="2" s="1"/>
  <c r="BE220" i="2"/>
  <c r="AW221" i="2"/>
  <c r="AZ220" i="2"/>
  <c r="BD220" i="2"/>
  <c r="BB220" i="2"/>
  <c r="BA220" i="2"/>
  <c r="AX220" i="2"/>
  <c r="AY220" i="2"/>
  <c r="BC220" i="2" s="1"/>
  <c r="BK220" i="2"/>
  <c r="BH220" i="2"/>
  <c r="BF221" i="2" l="1"/>
  <c r="AV221" i="2"/>
  <c r="BJ221" i="2" s="1"/>
  <c r="BE221" i="2"/>
  <c r="AW222" i="2"/>
  <c r="AX221" i="2"/>
  <c r="AZ221" i="2"/>
  <c r="BD221" i="2"/>
  <c r="BB221" i="2"/>
  <c r="BA221" i="2"/>
  <c r="BK221" i="2"/>
  <c r="AY221" i="2"/>
  <c r="BC221" i="2" s="1"/>
  <c r="BH221" i="2"/>
  <c r="BF222" i="2" l="1"/>
  <c r="AV222" i="2"/>
  <c r="BJ222" i="2" s="1"/>
  <c r="AW223" i="2"/>
  <c r="BE222" i="2"/>
  <c r="BA222" i="2"/>
  <c r="AX222" i="2"/>
  <c r="AZ222" i="2"/>
  <c r="BD222" i="2"/>
  <c r="BB222" i="2"/>
  <c r="AY222" i="2"/>
  <c r="BC222" i="2" s="1"/>
  <c r="BH222" i="2"/>
  <c r="BK222" i="2"/>
  <c r="BF223" i="2" l="1"/>
  <c r="AV223" i="2"/>
  <c r="BJ223" i="2" s="1"/>
  <c r="BE223" i="2"/>
  <c r="AW224" i="2"/>
  <c r="BB223" i="2"/>
  <c r="BA223" i="2"/>
  <c r="AX223" i="2"/>
  <c r="AZ223" i="2"/>
  <c r="BD223" i="2"/>
  <c r="BH223" i="2"/>
  <c r="AY223" i="2"/>
  <c r="BC223" i="2" s="1"/>
  <c r="BK223" i="2"/>
  <c r="BE224" i="2" l="1"/>
  <c r="AW225" i="2"/>
  <c r="BB224" i="2"/>
  <c r="BA224" i="2"/>
  <c r="AX224" i="2"/>
  <c r="AZ224" i="2"/>
  <c r="BD224" i="2"/>
  <c r="BK224" i="2"/>
  <c r="AY224" i="2"/>
  <c r="BC224" i="2" s="1"/>
  <c r="BH224" i="2"/>
  <c r="BF224" i="2"/>
  <c r="AV224" i="2"/>
  <c r="BJ224" i="2" s="1"/>
  <c r="BF225" i="2" l="1"/>
  <c r="AV225" i="2"/>
  <c r="BJ225" i="2" s="1"/>
  <c r="BE225" i="2"/>
  <c r="AW226" i="2"/>
  <c r="BD225" i="2"/>
  <c r="BB225" i="2"/>
  <c r="BA225" i="2"/>
  <c r="AX225" i="2"/>
  <c r="AZ225" i="2"/>
  <c r="AY225" i="2"/>
  <c r="BC225" i="2" s="1"/>
  <c r="BK225" i="2"/>
  <c r="BH225" i="2"/>
  <c r="BE226" i="2" l="1"/>
  <c r="AW227" i="2"/>
  <c r="AZ226" i="2"/>
  <c r="BD226" i="2"/>
  <c r="BB226" i="2"/>
  <c r="BA226" i="2"/>
  <c r="AX226" i="2"/>
  <c r="BK226" i="2"/>
  <c r="BH226" i="2"/>
  <c r="AY226" i="2"/>
  <c r="BC226" i="2" s="1"/>
  <c r="BF226" i="2"/>
  <c r="AV226" i="2"/>
  <c r="BJ226" i="2" s="1"/>
  <c r="AW228" i="2" l="1"/>
  <c r="BE227" i="2"/>
  <c r="AZ227" i="2"/>
  <c r="BD227" i="2"/>
  <c r="BB227" i="2"/>
  <c r="BA227" i="2"/>
  <c r="AX227" i="2"/>
  <c r="BK227" i="2"/>
  <c r="AY227" i="2"/>
  <c r="BC227" i="2" s="1"/>
  <c r="BH227" i="2"/>
  <c r="BF227" i="2"/>
  <c r="AV227" i="2"/>
  <c r="BJ227" i="2" s="1"/>
  <c r="BF228" i="2" l="1"/>
  <c r="AV228" i="2"/>
  <c r="BJ228" i="2" s="1"/>
  <c r="BE228" i="2"/>
  <c r="AW229" i="2"/>
  <c r="AZ228" i="2"/>
  <c r="BD228" i="2"/>
  <c r="BB228" i="2"/>
  <c r="BA228" i="2"/>
  <c r="AX228" i="2"/>
  <c r="BH228" i="2"/>
  <c r="BK228" i="2"/>
  <c r="AY228" i="2"/>
  <c r="BC228" i="2" s="1"/>
  <c r="BE229" i="2" l="1"/>
  <c r="AW230" i="2"/>
  <c r="AX229" i="2"/>
  <c r="AZ229" i="2"/>
  <c r="BD229" i="2"/>
  <c r="BB229" i="2"/>
  <c r="BA229" i="2"/>
  <c r="AY229" i="2"/>
  <c r="BC229" i="2" s="1"/>
  <c r="BH229" i="2"/>
  <c r="BK229" i="2"/>
  <c r="BF229" i="2"/>
  <c r="AV229" i="2"/>
  <c r="BJ229" i="2" s="1"/>
  <c r="AW231" i="2" l="1"/>
  <c r="BE230" i="2"/>
  <c r="BA230" i="2"/>
  <c r="AX230" i="2"/>
  <c r="AZ230" i="2"/>
  <c r="BD230" i="2"/>
  <c r="BB230" i="2"/>
  <c r="AY230" i="2"/>
  <c r="BC230" i="2" s="1"/>
  <c r="BK230" i="2"/>
  <c r="BH230" i="2"/>
  <c r="BF230" i="2"/>
  <c r="AV230" i="2"/>
  <c r="BJ230" i="2" s="1"/>
  <c r="BF231" i="2" l="1"/>
  <c r="AV231" i="2"/>
  <c r="BJ231" i="2" s="1"/>
  <c r="BE231" i="2"/>
  <c r="AW232" i="2"/>
  <c r="BB231" i="2"/>
  <c r="BA231" i="2"/>
  <c r="AX231" i="2"/>
  <c r="AZ231" i="2"/>
  <c r="BD231" i="2"/>
  <c r="AY231" i="2"/>
  <c r="BC231" i="2" s="1"/>
  <c r="BK231" i="2"/>
  <c r="BH231" i="2"/>
  <c r="BE232" i="2" l="1"/>
  <c r="AW233" i="2"/>
  <c r="BB232" i="2"/>
  <c r="BA232" i="2"/>
  <c r="AX232" i="2"/>
  <c r="AZ232" i="2"/>
  <c r="BD232" i="2"/>
  <c r="BK232" i="2"/>
  <c r="BH232" i="2"/>
  <c r="AY232" i="2"/>
  <c r="BC232" i="2" s="1"/>
  <c r="BF232" i="2"/>
  <c r="AV232" i="2"/>
  <c r="BJ232" i="2" s="1"/>
  <c r="BE233" i="2" l="1"/>
  <c r="AW234" i="2"/>
  <c r="BD233" i="2"/>
  <c r="BB233" i="2"/>
  <c r="BA233" i="2"/>
  <c r="AX233" i="2"/>
  <c r="AZ233" i="2"/>
  <c r="BK233" i="2"/>
  <c r="AY233" i="2"/>
  <c r="BC233" i="2" s="1"/>
  <c r="BH233" i="2"/>
  <c r="BF233" i="2"/>
  <c r="AV233" i="2"/>
  <c r="BJ233" i="2" s="1"/>
  <c r="BE234" i="2" l="1"/>
  <c r="AW235" i="2"/>
  <c r="AZ234" i="2"/>
  <c r="BD234" i="2"/>
  <c r="BB234" i="2"/>
  <c r="BA234" i="2"/>
  <c r="AX234" i="2"/>
  <c r="BH234" i="2"/>
  <c r="BK234" i="2"/>
  <c r="AY234" i="2"/>
  <c r="BC234" i="2" s="1"/>
  <c r="BF234" i="2"/>
  <c r="AV234" i="2"/>
  <c r="BJ234" i="2" s="1"/>
  <c r="AW236" i="2" l="1"/>
  <c r="BE235" i="2"/>
  <c r="AZ235" i="2"/>
  <c r="BD235" i="2"/>
  <c r="BB235" i="2"/>
  <c r="BA235" i="2"/>
  <c r="AX235" i="2"/>
  <c r="AY235" i="2"/>
  <c r="BC235" i="2" s="1"/>
  <c r="BK235" i="2"/>
  <c r="BH235" i="2"/>
  <c r="BF235" i="2"/>
  <c r="AV235" i="2"/>
  <c r="BJ235" i="2" s="1"/>
  <c r="BF236" i="2" l="1"/>
  <c r="AV236" i="2"/>
  <c r="BJ236" i="2" s="1"/>
  <c r="BE236" i="2"/>
  <c r="AW237" i="2"/>
  <c r="AZ236" i="2"/>
  <c r="BD236" i="2"/>
  <c r="BB236" i="2"/>
  <c r="BA236" i="2"/>
  <c r="AX236" i="2"/>
  <c r="BK236" i="2"/>
  <c r="BH236" i="2"/>
  <c r="AY236" i="2"/>
  <c r="BC236" i="2" s="1"/>
  <c r="BF237" i="2" l="1"/>
  <c r="AV237" i="2"/>
  <c r="BJ237" i="2" s="1"/>
  <c r="BE237" i="2"/>
  <c r="AW238" i="2"/>
  <c r="AX237" i="2"/>
  <c r="AZ237" i="2"/>
  <c r="BD237" i="2"/>
  <c r="BB237" i="2"/>
  <c r="BA237" i="2"/>
  <c r="BK237" i="2"/>
  <c r="BH237" i="2"/>
  <c r="AY237" i="2"/>
  <c r="BC237" i="2" s="1"/>
  <c r="AW239" i="2" l="1"/>
  <c r="BE238" i="2"/>
  <c r="BA238" i="2"/>
  <c r="AX238" i="2"/>
  <c r="AZ238" i="2"/>
  <c r="BD238" i="2"/>
  <c r="BB238" i="2"/>
  <c r="AY238" i="2"/>
  <c r="BC238" i="2" s="1"/>
  <c r="BH238" i="2"/>
  <c r="BK238" i="2"/>
  <c r="BF238" i="2"/>
  <c r="AV238" i="2"/>
  <c r="BJ238" i="2" s="1"/>
  <c r="BF239" i="2" l="1"/>
  <c r="AV239" i="2"/>
  <c r="BJ239" i="2" s="1"/>
  <c r="BE239" i="2"/>
  <c r="AW240" i="2"/>
  <c r="BB239" i="2"/>
  <c r="BA239" i="2"/>
  <c r="AX239" i="2"/>
  <c r="AZ239" i="2"/>
  <c r="BD239" i="2"/>
  <c r="BH239" i="2"/>
  <c r="AY239" i="2"/>
  <c r="BC239" i="2" s="1"/>
  <c r="BK239" i="2"/>
  <c r="BE240" i="2" l="1"/>
  <c r="AW241" i="2"/>
  <c r="BB240" i="2"/>
  <c r="BA240" i="2"/>
  <c r="AX240" i="2"/>
  <c r="AZ240" i="2"/>
  <c r="BD240" i="2"/>
  <c r="BK240" i="2"/>
  <c r="BH240" i="2"/>
  <c r="AY240" i="2"/>
  <c r="BC240" i="2" s="1"/>
  <c r="BF240" i="2"/>
  <c r="AV240" i="2"/>
  <c r="BJ240" i="2" s="1"/>
  <c r="BE241" i="2" l="1"/>
  <c r="AW242" i="2"/>
  <c r="BD241" i="2"/>
  <c r="BB241" i="2"/>
  <c r="BA241" i="2"/>
  <c r="AX241" i="2"/>
  <c r="AZ241" i="2"/>
  <c r="BK241" i="2"/>
  <c r="AY241" i="2"/>
  <c r="BC241" i="2" s="1"/>
  <c r="BH241" i="2"/>
  <c r="BF241" i="2"/>
  <c r="AV241" i="2"/>
  <c r="BJ241" i="2" s="1"/>
  <c r="BE242" i="2" l="1"/>
  <c r="AW243" i="2"/>
  <c r="AZ242" i="2"/>
  <c r="BD242" i="2"/>
  <c r="BB242" i="2"/>
  <c r="BA242" i="2"/>
  <c r="AX242" i="2"/>
  <c r="BK242" i="2"/>
  <c r="AY242" i="2"/>
  <c r="BC242" i="2" s="1"/>
  <c r="BH242" i="2"/>
  <c r="BF242" i="2"/>
  <c r="AV242" i="2"/>
  <c r="BJ242" i="2" s="1"/>
  <c r="AW244" i="2" l="1"/>
  <c r="BE243" i="2"/>
  <c r="AZ243" i="2"/>
  <c r="BD243" i="2"/>
  <c r="BB243" i="2"/>
  <c r="BA243" i="2"/>
  <c r="AX243" i="2"/>
  <c r="BK243" i="2"/>
  <c r="AY243" i="2"/>
  <c r="BC243" i="2" s="1"/>
  <c r="BH243" i="2"/>
  <c r="BF243" i="2"/>
  <c r="AV243" i="2"/>
  <c r="BJ243" i="2" s="1"/>
  <c r="BF244" i="2" l="1"/>
  <c r="AV244" i="2"/>
  <c r="BJ244" i="2" s="1"/>
  <c r="BE244" i="2"/>
  <c r="AW245" i="2"/>
  <c r="AZ244" i="2"/>
  <c r="BD244" i="2"/>
  <c r="BB244" i="2"/>
  <c r="BA244" i="2"/>
  <c r="AX244" i="2"/>
  <c r="AY244" i="2"/>
  <c r="BC244" i="2" s="1"/>
  <c r="BH244" i="2"/>
  <c r="BK244" i="2"/>
  <c r="BE245" i="2" l="1"/>
  <c r="AW246" i="2"/>
  <c r="AX245" i="2"/>
  <c r="AZ245" i="2"/>
  <c r="BD245" i="2"/>
  <c r="BB245" i="2"/>
  <c r="BA245" i="2"/>
  <c r="BH245" i="2"/>
  <c r="AY245" i="2"/>
  <c r="BC245" i="2" s="1"/>
  <c r="BK245" i="2"/>
  <c r="BF245" i="2"/>
  <c r="AV245" i="2"/>
  <c r="BJ245" i="2" s="1"/>
  <c r="BF246" i="2" l="1"/>
  <c r="AV246" i="2"/>
  <c r="BJ246" i="2" s="1"/>
  <c r="AW247" i="2"/>
  <c r="BE246" i="2"/>
  <c r="BA246" i="2"/>
  <c r="AX246" i="2"/>
  <c r="AZ246" i="2"/>
  <c r="BD246" i="2"/>
  <c r="BB246" i="2"/>
  <c r="BK246" i="2"/>
  <c r="BH246" i="2"/>
  <c r="AY246" i="2"/>
  <c r="BC246" i="2" s="1"/>
  <c r="BF247" i="2" l="1"/>
  <c r="AV247" i="2"/>
  <c r="BJ247" i="2" s="1"/>
  <c r="BE247" i="2"/>
  <c r="AW248" i="2"/>
  <c r="BB247" i="2"/>
  <c r="BA247" i="2"/>
  <c r="AX247" i="2"/>
  <c r="AZ247" i="2"/>
  <c r="BD247" i="2"/>
  <c r="AY247" i="2"/>
  <c r="BC247" i="2" s="1"/>
  <c r="BH247" i="2"/>
  <c r="BK247" i="2"/>
  <c r="BE248" i="2" l="1"/>
  <c r="AW249" i="2"/>
  <c r="BB248" i="2"/>
  <c r="BA248" i="2"/>
  <c r="AX248" i="2"/>
  <c r="AZ248" i="2"/>
  <c r="BD248" i="2"/>
  <c r="BK248" i="2"/>
  <c r="BH248" i="2"/>
  <c r="AY248" i="2"/>
  <c r="BC248" i="2" s="1"/>
  <c r="BF248" i="2"/>
  <c r="AV248" i="2"/>
  <c r="BJ248" i="2" s="1"/>
  <c r="BE249" i="2" l="1"/>
  <c r="AW250" i="2"/>
  <c r="BD249" i="2"/>
  <c r="BB249" i="2"/>
  <c r="BA249" i="2"/>
  <c r="AX249" i="2"/>
  <c r="AZ249" i="2"/>
  <c r="BK249" i="2"/>
  <c r="BH249" i="2"/>
  <c r="AY249" i="2"/>
  <c r="BC249" i="2" s="1"/>
  <c r="BF249" i="2"/>
  <c r="AV249" i="2"/>
  <c r="BJ249" i="2" s="1"/>
  <c r="BE250" i="2" l="1"/>
  <c r="AW251" i="2"/>
  <c r="AZ250" i="2"/>
  <c r="BD250" i="2"/>
  <c r="BB250" i="2"/>
  <c r="BA250" i="2"/>
  <c r="AX250" i="2"/>
  <c r="BH250" i="2"/>
  <c r="AY250" i="2"/>
  <c r="BC250" i="2" s="1"/>
  <c r="BK250" i="2"/>
  <c r="BF250" i="2"/>
  <c r="AV250" i="2"/>
  <c r="BJ250" i="2" s="1"/>
  <c r="BF251" i="2" l="1"/>
  <c r="AV251" i="2"/>
  <c r="BJ251" i="2" s="1"/>
  <c r="AW252" i="2"/>
  <c r="BE251" i="2"/>
  <c r="AZ251" i="2"/>
  <c r="BD251" i="2"/>
  <c r="BB251" i="2"/>
  <c r="BA251" i="2"/>
  <c r="AX251" i="2"/>
  <c r="BK251" i="2"/>
  <c r="AY251" i="2"/>
  <c r="BC251" i="2" s="1"/>
  <c r="BH251" i="2"/>
  <c r="BF252" i="2" l="1"/>
  <c r="AV252" i="2"/>
  <c r="BJ252" i="2" s="1"/>
  <c r="BE252" i="2"/>
  <c r="AW253" i="2"/>
  <c r="AZ252" i="2"/>
  <c r="BD252" i="2"/>
  <c r="BB252" i="2"/>
  <c r="BA252" i="2"/>
  <c r="AX252" i="2"/>
  <c r="BH252" i="2"/>
  <c r="BK252" i="2"/>
  <c r="AY252" i="2"/>
  <c r="BC252" i="2" s="1"/>
  <c r="BE253" i="2" l="1"/>
  <c r="AW254" i="2"/>
  <c r="AX253" i="2"/>
  <c r="AZ253" i="2"/>
  <c r="BD253" i="2"/>
  <c r="BB253" i="2"/>
  <c r="BA253" i="2"/>
  <c r="AY253" i="2"/>
  <c r="BC253" i="2" s="1"/>
  <c r="BH253" i="2"/>
  <c r="BK253" i="2"/>
  <c r="BF253" i="2"/>
  <c r="AV253" i="2"/>
  <c r="BJ253" i="2" s="1"/>
  <c r="AW255" i="2" l="1"/>
  <c r="BE254" i="2"/>
  <c r="BA254" i="2"/>
  <c r="AX254" i="2"/>
  <c r="AZ254" i="2"/>
  <c r="BD254" i="2"/>
  <c r="BB254" i="2"/>
  <c r="AY254" i="2"/>
  <c r="BC254" i="2" s="1"/>
  <c r="BH254" i="2"/>
  <c r="BK254" i="2"/>
  <c r="BF254" i="2"/>
  <c r="AV254" i="2"/>
  <c r="BJ254" i="2" s="1"/>
  <c r="BF255" i="2" l="1"/>
  <c r="AV255" i="2"/>
  <c r="BJ255" i="2" s="1"/>
  <c r="BE255" i="2"/>
  <c r="AW256" i="2"/>
  <c r="BB255" i="2"/>
  <c r="BA255" i="2"/>
  <c r="AX255" i="2"/>
  <c r="AZ255" i="2"/>
  <c r="BD255" i="2"/>
  <c r="BH255" i="2"/>
  <c r="AY255" i="2"/>
  <c r="BC255" i="2" s="1"/>
  <c r="BK255" i="2"/>
  <c r="BE256" i="2" l="1"/>
  <c r="AW257" i="2"/>
  <c r="BB256" i="2"/>
  <c r="BA256" i="2"/>
  <c r="AX256" i="2"/>
  <c r="AZ256" i="2"/>
  <c r="BD256" i="2"/>
  <c r="BK256" i="2"/>
  <c r="AY256" i="2"/>
  <c r="BC256" i="2" s="1"/>
  <c r="BH256" i="2"/>
  <c r="BF256" i="2"/>
  <c r="AV256" i="2"/>
  <c r="BJ256" i="2" s="1"/>
  <c r="BE257" i="2" l="1"/>
  <c r="AW258" i="2"/>
  <c r="BD257" i="2"/>
  <c r="BB257" i="2"/>
  <c r="BA257" i="2"/>
  <c r="AX257" i="2"/>
  <c r="AZ257" i="2"/>
  <c r="BK257" i="2"/>
  <c r="AY257" i="2"/>
  <c r="BC257" i="2" s="1"/>
  <c r="BH257" i="2"/>
  <c r="BF257" i="2"/>
  <c r="AV257" i="2"/>
  <c r="BJ257" i="2" s="1"/>
  <c r="BE258" i="2" l="1"/>
  <c r="AW259" i="2"/>
  <c r="AZ258" i="2"/>
  <c r="BD258" i="2"/>
  <c r="BB258" i="2"/>
  <c r="BA258" i="2"/>
  <c r="AX258" i="2"/>
  <c r="BK258" i="2"/>
  <c r="BH258" i="2"/>
  <c r="AY258" i="2"/>
  <c r="BC258" i="2" s="1"/>
  <c r="BF258" i="2"/>
  <c r="AV258" i="2"/>
  <c r="BJ258" i="2" s="1"/>
  <c r="AW260" i="2" l="1"/>
  <c r="BE259" i="2"/>
  <c r="AZ259" i="2"/>
  <c r="BD259" i="2"/>
  <c r="BB259" i="2"/>
  <c r="BA259" i="2"/>
  <c r="AX259" i="2"/>
  <c r="BH259" i="2"/>
  <c r="AY259" i="2"/>
  <c r="BC259" i="2" s="1"/>
  <c r="BK259" i="2"/>
  <c r="BF259" i="2"/>
  <c r="AV259" i="2"/>
  <c r="BJ259" i="2" s="1"/>
  <c r="BF260" i="2" l="1"/>
  <c r="AV260" i="2"/>
  <c r="BJ260" i="2" s="1"/>
  <c r="BE260" i="2"/>
  <c r="AZ260" i="2"/>
  <c r="BD260" i="2"/>
  <c r="AY12" i="2" s="1"/>
  <c r="BK20" i="2" s="1"/>
  <c r="AW261" i="2"/>
  <c r="BB260" i="2"/>
  <c r="BA260" i="2"/>
  <c r="AX260" i="2"/>
  <c r="BK260" i="2"/>
  <c r="BH260" i="2"/>
  <c r="AY260" i="2"/>
  <c r="BC260" i="2" s="1"/>
  <c r="BE261" i="2" l="1"/>
  <c r="AX261" i="2"/>
  <c r="AZ261" i="2"/>
  <c r="BD261" i="2"/>
  <c r="AW262" i="2"/>
  <c r="BB261" i="2"/>
  <c r="BA261" i="2"/>
  <c r="BK261" i="2"/>
  <c r="BH261" i="2"/>
  <c r="AY261" i="2"/>
  <c r="BC261" i="2" s="1"/>
  <c r="BF261" i="2"/>
  <c r="AV261" i="2"/>
  <c r="BJ261" i="2" s="1"/>
  <c r="BE262" i="2" l="1"/>
  <c r="BF263" i="2" s="1"/>
  <c r="BA262" i="2"/>
  <c r="BA321" i="2" s="1"/>
  <c r="AX262" i="2"/>
  <c r="AX321" i="2" s="1"/>
  <c r="BH262" i="2"/>
  <c r="AZ262" i="2"/>
  <c r="AZ321" i="2" s="1"/>
  <c r="BD262" i="2"/>
  <c r="BD321" i="2" s="1"/>
  <c r="AY262" i="2"/>
  <c r="BB262" i="2"/>
  <c r="BB321" i="2" s="1"/>
  <c r="BK262" i="2"/>
  <c r="AY17" i="2" s="1"/>
  <c r="BF262" i="2"/>
  <c r="AV262" i="2"/>
  <c r="BJ262" i="2" s="1"/>
  <c r="AY321" i="2" l="1"/>
  <c r="BC321" i="2" s="1"/>
  <c r="BC262" i="2"/>
  <c r="BF321" i="2"/>
  <c r="H21" i="1" l="1"/>
  <c r="M59" i="1" s="1"/>
  <c r="J21" i="2" l="1"/>
  <c r="J22" i="2" l="1"/>
  <c r="J25" i="2" l="1"/>
  <c r="J27" i="2" l="1"/>
  <c r="J320" i="2" l="1"/>
  <c r="O50" i="1"/>
  <c r="J319" i="2"/>
  <c r="J318" i="2"/>
  <c r="J317" i="2"/>
  <c r="J316" i="2"/>
  <c r="J315" i="2"/>
  <c r="J314" i="2"/>
  <c r="J313" i="2"/>
  <c r="J312" i="2"/>
  <c r="J311" i="2"/>
  <c r="J310" i="2"/>
  <c r="J309" i="2"/>
  <c r="J308" i="2"/>
  <c r="J307" i="2"/>
  <c r="J306" i="2"/>
  <c r="J305" i="2"/>
  <c r="J304" i="2"/>
  <c r="J303" i="2"/>
  <c r="J302" i="2"/>
  <c r="J301" i="2"/>
  <c r="J300" i="2"/>
  <c r="J299" i="2"/>
  <c r="J298" i="2"/>
  <c r="J297" i="2"/>
  <c r="J296" i="2"/>
  <c r="J295" i="2"/>
  <c r="J294" i="2"/>
  <c r="J293" i="2"/>
  <c r="J292" i="2"/>
  <c r="J291" i="2"/>
  <c r="J290" i="2"/>
  <c r="J289" i="2"/>
  <c r="J288" i="2"/>
  <c r="J287" i="2"/>
  <c r="J286" i="2"/>
  <c r="J285" i="2"/>
  <c r="J284" i="2"/>
  <c r="J283" i="2"/>
  <c r="J282" i="2"/>
  <c r="J281" i="2"/>
  <c r="J280" i="2"/>
  <c r="J279" i="2"/>
  <c r="J278" i="2"/>
  <c r="J277" i="2"/>
  <c r="J276" i="2"/>
  <c r="J275" i="2"/>
  <c r="J274" i="2"/>
  <c r="J273" i="2"/>
  <c r="J272" i="2"/>
  <c r="J271" i="2"/>
  <c r="J270" i="2"/>
  <c r="J269" i="2"/>
  <c r="J268" i="2"/>
  <c r="J267" i="2"/>
  <c r="J266" i="2"/>
  <c r="J265" i="2"/>
  <c r="J264" i="2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6" i="2"/>
  <c r="J24" i="2"/>
  <c r="J321" i="2"/>
  <c r="J23" i="2"/>
  <c r="AB77" i="1" l="1"/>
  <c r="Y77" i="1" s="1"/>
  <c r="AC78" i="1"/>
  <c r="F5" i="2"/>
  <c r="M45" i="1"/>
  <c r="L47" i="1"/>
  <c r="AG79" i="1" l="1"/>
  <c r="P76" i="1"/>
  <c r="M82" i="1" s="1"/>
  <c r="M81" i="1" s="1"/>
  <c r="M83" i="1" s="1"/>
  <c r="N83" i="1" s="1"/>
  <c r="W77" i="1"/>
  <c r="M74" i="1"/>
  <c r="G32" i="1"/>
  <c r="K10" i="2"/>
  <c r="M79" i="1" l="1"/>
  <c r="M76" i="1"/>
  <c r="AQ10" i="2"/>
  <c r="K15" i="2" s="1"/>
  <c r="AK10" i="2"/>
  <c r="C38" i="1" l="1"/>
  <c r="H19" i="1" l="1"/>
  <c r="T103" i="1" l="1"/>
  <c r="T104" i="1"/>
  <c r="T102" i="1"/>
  <c r="T105" i="1"/>
  <c r="G29" i="1" l="1"/>
  <c r="X78" i="1" s="1"/>
  <c r="X77" i="1"/>
  <c r="P75" i="1" s="1"/>
  <c r="M58" i="1" s="1"/>
  <c r="X81" i="1"/>
  <c r="C37" i="1"/>
  <c r="T96" i="1"/>
  <c r="T106" i="1" s="1"/>
  <c r="X82" i="1" l="1"/>
  <c r="X80" i="1"/>
  <c r="X79" i="1"/>
  <c r="M60" i="1"/>
  <c r="M61" i="1" s="1"/>
  <c r="M64" i="1"/>
  <c r="H25" i="1" s="1"/>
  <c r="K9" i="2" l="1"/>
  <c r="N194" i="1"/>
  <c r="G17" i="1"/>
  <c r="N183" i="1"/>
  <c r="N195" i="1"/>
  <c r="F68" i="1"/>
  <c r="Y84" i="1"/>
  <c r="O45" i="1"/>
  <c r="N200" i="1"/>
  <c r="O46" i="1"/>
  <c r="N184" i="1"/>
  <c r="G25" i="1"/>
  <c r="O44" i="1"/>
  <c r="O47" i="1"/>
  <c r="O43" i="1"/>
  <c r="N192" i="1"/>
  <c r="G33" i="1"/>
  <c r="O48" i="1"/>
  <c r="W94" i="1"/>
  <c r="X94" i="1" s="1"/>
  <c r="N58" i="1"/>
  <c r="O58" i="1" s="1"/>
  <c r="N188" i="1" l="1"/>
  <c r="N199" i="1"/>
  <c r="T94" i="1"/>
  <c r="T95" i="1" s="1"/>
  <c r="N189" i="1"/>
  <c r="G22" i="1"/>
  <c r="F17" i="1"/>
  <c r="U20" i="2"/>
  <c r="AE21" i="2"/>
  <c r="V20" i="2"/>
  <c r="D21" i="2"/>
  <c r="L20" i="2"/>
  <c r="AB21" i="2" l="1"/>
  <c r="H21" i="2" s="1"/>
  <c r="H321" i="2" s="1"/>
  <c r="M21" i="2"/>
  <c r="O21" i="2" s="1"/>
  <c r="P21" i="2" s="1"/>
  <c r="I21" i="2"/>
  <c r="R21" i="2"/>
  <c r="F21" i="2" s="1"/>
  <c r="E21" i="2" s="1"/>
  <c r="G21" i="2"/>
  <c r="N21" i="2" l="1"/>
  <c r="AH21" i="2" s="1"/>
  <c r="K21" i="2"/>
  <c r="G27" i="1" s="1"/>
  <c r="U21" i="2"/>
  <c r="AI21" i="2" l="1"/>
  <c r="L21" i="2" s="1"/>
  <c r="V21" i="2"/>
  <c r="D22" i="2" l="1"/>
  <c r="D23" i="2" s="1"/>
  <c r="I22" i="2"/>
  <c r="I321" i="2" s="1"/>
  <c r="E22" i="2"/>
  <c r="E321" i="2" s="1"/>
  <c r="G22" i="2"/>
  <c r="G321" i="2" s="1"/>
  <c r="K22" i="2"/>
  <c r="H22" i="2"/>
  <c r="R22" i="2"/>
  <c r="U22" i="2"/>
  <c r="C22" i="2"/>
  <c r="Q22" i="2"/>
  <c r="AB22" i="2"/>
  <c r="F22" i="2" l="1"/>
  <c r="F321" i="2" s="1"/>
  <c r="L22" i="2"/>
  <c r="M23" i="2"/>
  <c r="C23" i="2"/>
  <c r="T23" i="2" s="1"/>
  <c r="V23" i="2" s="1"/>
  <c r="AB23" i="2"/>
  <c r="O22" i="2"/>
  <c r="T22" i="2"/>
  <c r="V22" i="2" s="1"/>
  <c r="L23" i="2"/>
  <c r="D24" i="2"/>
  <c r="F23" i="2"/>
  <c r="K23" i="2"/>
  <c r="G23" i="2"/>
  <c r="I23" i="2"/>
  <c r="H23" i="2"/>
  <c r="R23" i="2"/>
  <c r="AE23" i="2" s="1"/>
  <c r="AE24" i="2" s="1"/>
  <c r="U23" i="2"/>
  <c r="E23" i="2"/>
  <c r="N22" i="2" l="1"/>
  <c r="P22" i="2"/>
  <c r="O23" i="2"/>
  <c r="D25" i="2"/>
  <c r="L24" i="2"/>
  <c r="K24" i="2"/>
  <c r="F24" i="2"/>
  <c r="E24" i="2"/>
  <c r="U24" i="2"/>
  <c r="I24" i="2"/>
  <c r="G24" i="2"/>
  <c r="R24" i="2"/>
  <c r="H24" i="2"/>
  <c r="M24" i="2"/>
  <c r="O24" i="2" s="1"/>
  <c r="AB24" i="2"/>
  <c r="C24" i="2"/>
  <c r="T24" i="2" s="1"/>
  <c r="V24" i="2" s="1"/>
  <c r="Q24" i="2"/>
  <c r="N23" i="2" l="1"/>
  <c r="AI23" i="2" s="1"/>
  <c r="P23" i="2"/>
  <c r="AI22" i="2"/>
  <c r="AH22" i="2"/>
  <c r="AH23" i="2" s="1"/>
  <c r="L25" i="2"/>
  <c r="D26" i="2"/>
  <c r="F25" i="2"/>
  <c r="K25" i="2"/>
  <c r="U25" i="2"/>
  <c r="H25" i="2"/>
  <c r="I25" i="2"/>
  <c r="E25" i="2"/>
  <c r="R25" i="2"/>
  <c r="G25" i="2"/>
  <c r="N24" i="2"/>
  <c r="AI24" i="2" s="1"/>
  <c r="P24" i="2"/>
  <c r="W87" i="1"/>
  <c r="W85" i="1"/>
  <c r="W84" i="1"/>
  <c r="W86" i="1"/>
  <c r="M25" i="2"/>
  <c r="O25" i="2" s="1"/>
  <c r="AB25" i="2"/>
  <c r="C25" i="2"/>
  <c r="T25" i="2" s="1"/>
  <c r="V25" i="2" s="1"/>
  <c r="AH24" i="2" l="1"/>
  <c r="N25" i="2"/>
  <c r="AI25" i="2" s="1"/>
  <c r="P25" i="2"/>
  <c r="L26" i="2"/>
  <c r="D27" i="2"/>
  <c r="F26" i="2"/>
  <c r="K26" i="2"/>
  <c r="H26" i="2"/>
  <c r="G26" i="2"/>
  <c r="I26" i="2"/>
  <c r="U26" i="2"/>
  <c r="E26" i="2"/>
  <c r="R26" i="2"/>
  <c r="M26" i="2"/>
  <c r="O26" i="2" s="1"/>
  <c r="C26" i="2"/>
  <c r="T26" i="2" s="1"/>
  <c r="V26" i="2" s="1"/>
  <c r="Q26" i="2"/>
  <c r="AB26" i="2"/>
  <c r="AH25" i="2" l="1"/>
  <c r="L27" i="2"/>
  <c r="D28" i="2"/>
  <c r="F27" i="2"/>
  <c r="K27" i="2"/>
  <c r="G27" i="2"/>
  <c r="I27" i="2"/>
  <c r="U27" i="2"/>
  <c r="H27" i="2"/>
  <c r="R27" i="2"/>
  <c r="E27" i="2"/>
  <c r="C27" i="2"/>
  <c r="AB27" i="2"/>
  <c r="N26" i="2"/>
  <c r="AI26" i="2" s="1"/>
  <c r="P26" i="2"/>
  <c r="O27" i="2" l="1"/>
  <c r="T27" i="2"/>
  <c r="V27" i="2" s="1"/>
  <c r="L28" i="2"/>
  <c r="D29" i="2"/>
  <c r="F28" i="2"/>
  <c r="K28" i="2"/>
  <c r="H28" i="2"/>
  <c r="I28" i="2"/>
  <c r="E28" i="2"/>
  <c r="R28" i="2"/>
  <c r="U28" i="2"/>
  <c r="G28" i="2"/>
  <c r="AH26" i="2"/>
  <c r="M28" i="2"/>
  <c r="O28" i="2" s="1"/>
  <c r="C28" i="2"/>
  <c r="T28" i="2" s="1"/>
  <c r="V28" i="2" s="1"/>
  <c r="Q28" i="2"/>
  <c r="AB28" i="2"/>
  <c r="D30" i="2" l="1"/>
  <c r="L29" i="2"/>
  <c r="F29" i="2"/>
  <c r="K29" i="2"/>
  <c r="H29" i="2"/>
  <c r="U29" i="2"/>
  <c r="R29" i="2"/>
  <c r="E29" i="2"/>
  <c r="I29" i="2"/>
  <c r="G29" i="2"/>
  <c r="N28" i="2"/>
  <c r="AI28" i="2" s="1"/>
  <c r="P28" i="2"/>
  <c r="M29" i="2"/>
  <c r="O29" i="2" s="1"/>
  <c r="AB29" i="2"/>
  <c r="C29" i="2"/>
  <c r="T29" i="2" s="1"/>
  <c r="V29" i="2" s="1"/>
  <c r="N27" i="2"/>
  <c r="AI27" i="2" s="1"/>
  <c r="P27" i="2"/>
  <c r="N29" i="2" l="1"/>
  <c r="AI29" i="2" s="1"/>
  <c r="P29" i="2"/>
  <c r="M30" i="2"/>
  <c r="O30" i="2" s="1"/>
  <c r="AB30" i="2"/>
  <c r="C30" i="2"/>
  <c r="T30" i="2" s="1"/>
  <c r="V30" i="2" s="1"/>
  <c r="Q30" i="2"/>
  <c r="D31" i="2"/>
  <c r="L30" i="2"/>
  <c r="F30" i="2"/>
  <c r="K30" i="2"/>
  <c r="H30" i="2"/>
  <c r="U30" i="2"/>
  <c r="E30" i="2"/>
  <c r="R30" i="2"/>
  <c r="G30" i="2"/>
  <c r="I30" i="2"/>
  <c r="AH27" i="2"/>
  <c r="AH28" i="2" s="1"/>
  <c r="AH29" i="2" s="1"/>
  <c r="M31" i="2" l="1"/>
  <c r="O31" i="2" s="1"/>
  <c r="AB31" i="2"/>
  <c r="C31" i="2"/>
  <c r="T31" i="2" s="1"/>
  <c r="V31" i="2" s="1"/>
  <c r="L31" i="2"/>
  <c r="D32" i="2"/>
  <c r="F31" i="2"/>
  <c r="G31" i="2"/>
  <c r="E31" i="2"/>
  <c r="K31" i="2"/>
  <c r="H31" i="2"/>
  <c r="U31" i="2"/>
  <c r="R31" i="2"/>
  <c r="I31" i="2"/>
  <c r="N30" i="2"/>
  <c r="AI30" i="2" s="1"/>
  <c r="P30" i="2"/>
  <c r="D33" i="2" l="1"/>
  <c r="L32" i="2"/>
  <c r="F32" i="2"/>
  <c r="K32" i="2"/>
  <c r="I32" i="2"/>
  <c r="G32" i="2"/>
  <c r="E32" i="2"/>
  <c r="H32" i="2"/>
  <c r="R32" i="2"/>
  <c r="U32" i="2"/>
  <c r="M32" i="2"/>
  <c r="O32" i="2" s="1"/>
  <c r="C32" i="2"/>
  <c r="T32" i="2" s="1"/>
  <c r="V32" i="2" s="1"/>
  <c r="AB32" i="2"/>
  <c r="Q32" i="2"/>
  <c r="AH30" i="2"/>
  <c r="N31" i="2"/>
  <c r="AI31" i="2" s="1"/>
  <c r="P31" i="2"/>
  <c r="AH31" i="2" l="1"/>
  <c r="N32" i="2"/>
  <c r="AI32" i="2" s="1"/>
  <c r="P32" i="2"/>
  <c r="M33" i="2"/>
  <c r="O33" i="2" s="1"/>
  <c r="AB33" i="2"/>
  <c r="C33" i="2"/>
  <c r="T33" i="2" s="1"/>
  <c r="V33" i="2" s="1"/>
  <c r="L33" i="2"/>
  <c r="D34" i="2"/>
  <c r="F33" i="2"/>
  <c r="K33" i="2"/>
  <c r="H33" i="2"/>
  <c r="E33" i="2"/>
  <c r="R33" i="2"/>
  <c r="U33" i="2"/>
  <c r="G33" i="2"/>
  <c r="I33" i="2"/>
  <c r="M34" i="2" l="1"/>
  <c r="O34" i="2" s="1"/>
  <c r="C34" i="2"/>
  <c r="T34" i="2" s="1"/>
  <c r="V34" i="2" s="1"/>
  <c r="AB34" i="2"/>
  <c r="Q34" i="2"/>
  <c r="L34" i="2"/>
  <c r="D35" i="2"/>
  <c r="F34" i="2"/>
  <c r="K34" i="2"/>
  <c r="I34" i="2"/>
  <c r="H34" i="2"/>
  <c r="E34" i="2"/>
  <c r="R34" i="2"/>
  <c r="G34" i="2"/>
  <c r="U34" i="2"/>
  <c r="N33" i="2"/>
  <c r="AI33" i="2" s="1"/>
  <c r="P33" i="2"/>
  <c r="AH32" i="2"/>
  <c r="L35" i="2" l="1"/>
  <c r="D36" i="2"/>
  <c r="F35" i="2"/>
  <c r="K35" i="2"/>
  <c r="H35" i="2"/>
  <c r="R35" i="2"/>
  <c r="G35" i="2"/>
  <c r="U35" i="2"/>
  <c r="I35" i="2"/>
  <c r="E35" i="2"/>
  <c r="M35" i="2"/>
  <c r="O35" i="2" s="1"/>
  <c r="AB35" i="2"/>
  <c r="C35" i="2"/>
  <c r="T35" i="2" s="1"/>
  <c r="V35" i="2" s="1"/>
  <c r="AH33" i="2"/>
  <c r="N34" i="2"/>
  <c r="AI34" i="2" s="1"/>
  <c r="P34" i="2"/>
  <c r="AH34" i="2" l="1"/>
  <c r="N35" i="2"/>
  <c r="AI35" i="2" s="1"/>
  <c r="P35" i="2"/>
  <c r="L36" i="2"/>
  <c r="D37" i="2"/>
  <c r="F36" i="2"/>
  <c r="K36" i="2"/>
  <c r="U36" i="2"/>
  <c r="G36" i="2"/>
  <c r="H36" i="2"/>
  <c r="I36" i="2"/>
  <c r="E36" i="2"/>
  <c r="R36" i="2"/>
  <c r="AH35" i="2"/>
  <c r="M36" i="2"/>
  <c r="O36" i="2" s="1"/>
  <c r="Q36" i="2"/>
  <c r="C36" i="2"/>
  <c r="T36" i="2" s="1"/>
  <c r="V36" i="2" s="1"/>
  <c r="AB36" i="2"/>
  <c r="D38" i="2" l="1"/>
  <c r="L37" i="2"/>
  <c r="F37" i="2"/>
  <c r="K37" i="2"/>
  <c r="U37" i="2"/>
  <c r="E37" i="2"/>
  <c r="I37" i="2"/>
  <c r="R37" i="2"/>
  <c r="H37" i="2"/>
  <c r="G37" i="2"/>
  <c r="N36" i="2"/>
  <c r="AI36" i="2" s="1"/>
  <c r="P36" i="2"/>
  <c r="M37" i="2"/>
  <c r="O37" i="2" s="1"/>
  <c r="AB37" i="2"/>
  <c r="C37" i="2"/>
  <c r="T37" i="2" s="1"/>
  <c r="V37" i="2" s="1"/>
  <c r="M38" i="2" l="1"/>
  <c r="O38" i="2" s="1"/>
  <c r="AB38" i="2"/>
  <c r="Q38" i="2"/>
  <c r="C38" i="2"/>
  <c r="T38" i="2" s="1"/>
  <c r="V38" i="2" s="1"/>
  <c r="N37" i="2"/>
  <c r="AI37" i="2" s="1"/>
  <c r="P37" i="2"/>
  <c r="D39" i="2"/>
  <c r="L38" i="2"/>
  <c r="F38" i="2"/>
  <c r="K38" i="2"/>
  <c r="E38" i="2"/>
  <c r="R38" i="2"/>
  <c r="U38" i="2"/>
  <c r="H38" i="2"/>
  <c r="I38" i="2"/>
  <c r="G38" i="2"/>
  <c r="AH36" i="2"/>
  <c r="L39" i="2" l="1"/>
  <c r="D40" i="2"/>
  <c r="F39" i="2"/>
  <c r="U39" i="2"/>
  <c r="G39" i="2"/>
  <c r="H39" i="2"/>
  <c r="I39" i="2"/>
  <c r="K39" i="2"/>
  <c r="E39" i="2"/>
  <c r="R39" i="2"/>
  <c r="M39" i="2"/>
  <c r="O39" i="2" s="1"/>
  <c r="C39" i="2"/>
  <c r="T39" i="2" s="1"/>
  <c r="V39" i="2" s="1"/>
  <c r="AB39" i="2"/>
  <c r="AH37" i="2"/>
  <c r="N38" i="2"/>
  <c r="AI38" i="2" s="1"/>
  <c r="P38" i="2"/>
  <c r="AH38" i="2" l="1"/>
  <c r="N39" i="2"/>
  <c r="AI39" i="2" s="1"/>
  <c r="P39" i="2"/>
  <c r="D41" i="2"/>
  <c r="L40" i="2"/>
  <c r="K40" i="2"/>
  <c r="F40" i="2"/>
  <c r="R40" i="2"/>
  <c r="U40" i="2"/>
  <c r="G40" i="2"/>
  <c r="H40" i="2"/>
  <c r="I40" i="2"/>
  <c r="E40" i="2"/>
  <c r="M40" i="2"/>
  <c r="O40" i="2" s="1"/>
  <c r="Q40" i="2"/>
  <c r="C40" i="2"/>
  <c r="T40" i="2" s="1"/>
  <c r="V40" i="2" s="1"/>
  <c r="AB40" i="2"/>
  <c r="AH39" i="2" l="1"/>
  <c r="N40" i="2"/>
  <c r="AI40" i="2" s="1"/>
  <c r="P40" i="2"/>
  <c r="M41" i="2"/>
  <c r="O41" i="2" s="1"/>
  <c r="C41" i="2"/>
  <c r="T41" i="2" s="1"/>
  <c r="V41" i="2" s="1"/>
  <c r="AB41" i="2"/>
  <c r="L41" i="2"/>
  <c r="D42" i="2"/>
  <c r="F41" i="2"/>
  <c r="K41" i="2"/>
  <c r="I41" i="2"/>
  <c r="G41" i="2"/>
  <c r="E41" i="2"/>
  <c r="R41" i="2"/>
  <c r="H41" i="2"/>
  <c r="U41" i="2"/>
  <c r="AH40" i="2" l="1"/>
  <c r="L42" i="2"/>
  <c r="D43" i="2"/>
  <c r="F42" i="2"/>
  <c r="K42" i="2"/>
  <c r="H42" i="2"/>
  <c r="G42" i="2"/>
  <c r="E42" i="2"/>
  <c r="R42" i="2"/>
  <c r="I42" i="2"/>
  <c r="U42" i="2"/>
  <c r="N41" i="2"/>
  <c r="AI41" i="2" s="1"/>
  <c r="P41" i="2"/>
  <c r="M42" i="2"/>
  <c r="O42" i="2" s="1"/>
  <c r="C42" i="2"/>
  <c r="T42" i="2" s="1"/>
  <c r="V42" i="2" s="1"/>
  <c r="AB42" i="2"/>
  <c r="Q42" i="2"/>
  <c r="AH41" i="2" l="1"/>
  <c r="L43" i="2"/>
  <c r="D44" i="2"/>
  <c r="F43" i="2"/>
  <c r="K43" i="2"/>
  <c r="R43" i="2"/>
  <c r="G43" i="2"/>
  <c r="I43" i="2"/>
  <c r="E43" i="2"/>
  <c r="H43" i="2"/>
  <c r="U43" i="2"/>
  <c r="N42" i="2"/>
  <c r="AI42" i="2" s="1"/>
  <c r="P42" i="2"/>
  <c r="M43" i="2"/>
  <c r="O43" i="2" s="1"/>
  <c r="C43" i="2"/>
  <c r="T43" i="2" s="1"/>
  <c r="V43" i="2" s="1"/>
  <c r="AB43" i="2"/>
  <c r="N43" i="2" l="1"/>
  <c r="AI43" i="2" s="1"/>
  <c r="P43" i="2"/>
  <c r="L44" i="2"/>
  <c r="D45" i="2"/>
  <c r="F44" i="2"/>
  <c r="K44" i="2"/>
  <c r="G44" i="2"/>
  <c r="H44" i="2"/>
  <c r="E44" i="2"/>
  <c r="R44" i="2"/>
  <c r="U44" i="2"/>
  <c r="I44" i="2"/>
  <c r="M44" i="2"/>
  <c r="O44" i="2" s="1"/>
  <c r="Q44" i="2"/>
  <c r="AB44" i="2"/>
  <c r="C44" i="2"/>
  <c r="T44" i="2" s="1"/>
  <c r="V44" i="2" s="1"/>
  <c r="AH42" i="2"/>
  <c r="AH43" i="2" s="1"/>
  <c r="N44" i="2" l="1"/>
  <c r="AI44" i="2" s="1"/>
  <c r="P44" i="2"/>
  <c r="M45" i="2"/>
  <c r="O45" i="2" s="1"/>
  <c r="C45" i="2"/>
  <c r="T45" i="2" s="1"/>
  <c r="V45" i="2" s="1"/>
  <c r="AB45" i="2"/>
  <c r="AH44" i="2"/>
  <c r="D46" i="2"/>
  <c r="F45" i="2"/>
  <c r="L45" i="2"/>
  <c r="K45" i="2"/>
  <c r="U45" i="2"/>
  <c r="G45" i="2"/>
  <c r="R45" i="2"/>
  <c r="I45" i="2"/>
  <c r="E45" i="2"/>
  <c r="H45" i="2"/>
  <c r="D47" i="2" l="1"/>
  <c r="L46" i="2"/>
  <c r="F46" i="2"/>
  <c r="K46" i="2"/>
  <c r="R46" i="2"/>
  <c r="H46" i="2"/>
  <c r="I46" i="2"/>
  <c r="U46" i="2"/>
  <c r="E46" i="2"/>
  <c r="G46" i="2"/>
  <c r="N45" i="2"/>
  <c r="AI45" i="2" s="1"/>
  <c r="P45" i="2"/>
  <c r="C46" i="2"/>
  <c r="Q46" i="2"/>
  <c r="AB46" i="2"/>
  <c r="O46" i="2" l="1"/>
  <c r="T46" i="2"/>
  <c r="V46" i="2" s="1"/>
  <c r="M47" i="2"/>
  <c r="O47" i="2" s="1"/>
  <c r="AB47" i="2"/>
  <c r="C47" i="2"/>
  <c r="T47" i="2" s="1"/>
  <c r="V47" i="2" s="1"/>
  <c r="AH45" i="2"/>
  <c r="L47" i="2"/>
  <c r="D48" i="2"/>
  <c r="F47" i="2"/>
  <c r="U47" i="2"/>
  <c r="I47" i="2"/>
  <c r="G47" i="2"/>
  <c r="E47" i="2"/>
  <c r="K47" i="2"/>
  <c r="R47" i="2"/>
  <c r="H47" i="2"/>
  <c r="M48" i="2" l="1"/>
  <c r="O48" i="2" s="1"/>
  <c r="AB48" i="2"/>
  <c r="C48" i="2"/>
  <c r="T48" i="2" s="1"/>
  <c r="V48" i="2" s="1"/>
  <c r="Q48" i="2"/>
  <c r="D49" i="2"/>
  <c r="L48" i="2"/>
  <c r="K48" i="2"/>
  <c r="F48" i="2"/>
  <c r="I48" i="2"/>
  <c r="H48" i="2"/>
  <c r="E48" i="2"/>
  <c r="R48" i="2"/>
  <c r="G48" i="2"/>
  <c r="U48" i="2"/>
  <c r="N47" i="2"/>
  <c r="AI47" i="2" s="1"/>
  <c r="P47" i="2"/>
  <c r="N46" i="2"/>
  <c r="AI46" i="2" s="1"/>
  <c r="P46" i="2"/>
  <c r="M49" i="2" l="1"/>
  <c r="O49" i="2" s="1"/>
  <c r="C49" i="2"/>
  <c r="T49" i="2" s="1"/>
  <c r="V49" i="2" s="1"/>
  <c r="AB49" i="2"/>
  <c r="L49" i="2"/>
  <c r="D50" i="2"/>
  <c r="F49" i="2"/>
  <c r="K49" i="2"/>
  <c r="I49" i="2"/>
  <c r="H49" i="2"/>
  <c r="G49" i="2"/>
  <c r="R49" i="2"/>
  <c r="U49" i="2"/>
  <c r="E49" i="2"/>
  <c r="N48" i="2"/>
  <c r="AI48" i="2" s="1"/>
  <c r="P48" i="2"/>
  <c r="AH46" i="2"/>
  <c r="AH47" i="2" s="1"/>
  <c r="AH48" i="2" s="1"/>
  <c r="L50" i="2" l="1"/>
  <c r="D51" i="2"/>
  <c r="F50" i="2"/>
  <c r="K50" i="2"/>
  <c r="U50" i="2"/>
  <c r="E50" i="2"/>
  <c r="H50" i="2"/>
  <c r="G50" i="2"/>
  <c r="I50" i="2"/>
  <c r="R50" i="2"/>
  <c r="C50" i="2"/>
  <c r="Q50" i="2"/>
  <c r="AB50" i="2"/>
  <c r="N49" i="2"/>
  <c r="AI49" i="2" s="1"/>
  <c r="P49" i="2"/>
  <c r="L51" i="2" l="1"/>
  <c r="D52" i="2"/>
  <c r="F51" i="2"/>
  <c r="K51" i="2"/>
  <c r="E51" i="2"/>
  <c r="R51" i="2"/>
  <c r="G51" i="2"/>
  <c r="I51" i="2"/>
  <c r="U51" i="2"/>
  <c r="H51" i="2"/>
  <c r="O50" i="2"/>
  <c r="T50" i="2"/>
  <c r="V50" i="2" s="1"/>
  <c r="M51" i="2"/>
  <c r="O51" i="2" s="1"/>
  <c r="C51" i="2"/>
  <c r="T51" i="2" s="1"/>
  <c r="V51" i="2" s="1"/>
  <c r="AB51" i="2"/>
  <c r="AH49" i="2"/>
  <c r="N51" i="2" l="1"/>
  <c r="AI51" i="2" s="1"/>
  <c r="P51" i="2"/>
  <c r="L52" i="2"/>
  <c r="F52" i="2"/>
  <c r="D53" i="2"/>
  <c r="K52" i="2"/>
  <c r="U52" i="2"/>
  <c r="H52" i="2"/>
  <c r="G52" i="2"/>
  <c r="R52" i="2"/>
  <c r="I52" i="2"/>
  <c r="E52" i="2"/>
  <c r="N50" i="2"/>
  <c r="AI50" i="2" s="1"/>
  <c r="P50" i="2"/>
  <c r="M52" i="2"/>
  <c r="O52" i="2" s="1"/>
  <c r="Q52" i="2"/>
  <c r="C52" i="2"/>
  <c r="T52" i="2" s="1"/>
  <c r="V52" i="2" s="1"/>
  <c r="AB52" i="2"/>
  <c r="N52" i="2" l="1"/>
  <c r="AI52" i="2" s="1"/>
  <c r="P52" i="2"/>
  <c r="M53" i="2"/>
  <c r="O53" i="2" s="1"/>
  <c r="C53" i="2"/>
  <c r="T53" i="2" s="1"/>
  <c r="V53" i="2" s="1"/>
  <c r="AB53" i="2"/>
  <c r="D54" i="2"/>
  <c r="L53" i="2"/>
  <c r="F53" i="2"/>
  <c r="K53" i="2"/>
  <c r="I53" i="2"/>
  <c r="G53" i="2"/>
  <c r="R53" i="2"/>
  <c r="U53" i="2"/>
  <c r="H53" i="2"/>
  <c r="E53" i="2"/>
  <c r="AH50" i="2"/>
  <c r="AH51" i="2" s="1"/>
  <c r="AH52" i="2" s="1"/>
  <c r="M54" i="2" l="1"/>
  <c r="O54" i="2" s="1"/>
  <c r="Q54" i="2"/>
  <c r="C54" i="2"/>
  <c r="T54" i="2" s="1"/>
  <c r="V54" i="2" s="1"/>
  <c r="AB54" i="2"/>
  <c r="D55" i="2"/>
  <c r="L54" i="2"/>
  <c r="F54" i="2"/>
  <c r="K54" i="2"/>
  <c r="H54" i="2"/>
  <c r="G54" i="2"/>
  <c r="R54" i="2"/>
  <c r="E54" i="2"/>
  <c r="I54" i="2"/>
  <c r="U54" i="2"/>
  <c r="N53" i="2"/>
  <c r="AI53" i="2" s="1"/>
  <c r="P53" i="2"/>
  <c r="M55" i="2" l="1"/>
  <c r="O55" i="2" s="1"/>
  <c r="AB55" i="2"/>
  <c r="C55" i="2"/>
  <c r="T55" i="2" s="1"/>
  <c r="V55" i="2" s="1"/>
  <c r="AH53" i="2"/>
  <c r="L55" i="2"/>
  <c r="D56" i="2"/>
  <c r="F55" i="2"/>
  <c r="R55" i="2"/>
  <c r="E55" i="2"/>
  <c r="I55" i="2"/>
  <c r="H55" i="2"/>
  <c r="U55" i="2"/>
  <c r="K55" i="2"/>
  <c r="G55" i="2"/>
  <c r="N54" i="2"/>
  <c r="AI54" i="2" s="1"/>
  <c r="P54" i="2"/>
  <c r="AH54" i="2" l="1"/>
  <c r="D57" i="2"/>
  <c r="L56" i="2"/>
  <c r="K56" i="2"/>
  <c r="F56" i="2"/>
  <c r="I56" i="2"/>
  <c r="H56" i="2"/>
  <c r="G56" i="2"/>
  <c r="R56" i="2"/>
  <c r="U56" i="2"/>
  <c r="E56" i="2"/>
  <c r="M56" i="2"/>
  <c r="O56" i="2" s="1"/>
  <c r="C56" i="2"/>
  <c r="T56" i="2" s="1"/>
  <c r="V56" i="2" s="1"/>
  <c r="AB56" i="2"/>
  <c r="Q56" i="2"/>
  <c r="N55" i="2"/>
  <c r="AI55" i="2" s="1"/>
  <c r="P55" i="2"/>
  <c r="N56" i="2" l="1"/>
  <c r="AI56" i="2" s="1"/>
  <c r="P56" i="2"/>
  <c r="AH55" i="2"/>
  <c r="AH56" i="2" s="1"/>
  <c r="M57" i="2"/>
  <c r="O57" i="2" s="1"/>
  <c r="AB57" i="2"/>
  <c r="C57" i="2"/>
  <c r="T57" i="2" s="1"/>
  <c r="V57" i="2" s="1"/>
  <c r="L57" i="2"/>
  <c r="D58" i="2"/>
  <c r="F57" i="2"/>
  <c r="K57" i="2"/>
  <c r="U57" i="2"/>
  <c r="E57" i="2"/>
  <c r="R57" i="2"/>
  <c r="G57" i="2"/>
  <c r="I57" i="2"/>
  <c r="H57" i="2"/>
  <c r="L58" i="2" l="1"/>
  <c r="D59" i="2"/>
  <c r="F58" i="2"/>
  <c r="K58" i="2"/>
  <c r="R58" i="2"/>
  <c r="H58" i="2"/>
  <c r="U58" i="2"/>
  <c r="G58" i="2"/>
  <c r="E58" i="2"/>
  <c r="I58" i="2"/>
  <c r="N57" i="2"/>
  <c r="AI57" i="2" s="1"/>
  <c r="P57" i="2"/>
  <c r="M58" i="2"/>
  <c r="O58" i="2" s="1"/>
  <c r="C58" i="2"/>
  <c r="T58" i="2" s="1"/>
  <c r="V58" i="2" s="1"/>
  <c r="Q58" i="2"/>
  <c r="AB58" i="2"/>
  <c r="N58" i="2" l="1"/>
  <c r="AI58" i="2" s="1"/>
  <c r="P58" i="2"/>
  <c r="AH57" i="2"/>
  <c r="AH58" i="2" s="1"/>
  <c r="L59" i="2"/>
  <c r="D60" i="2"/>
  <c r="F59" i="2"/>
  <c r="K59" i="2"/>
  <c r="H59" i="2"/>
  <c r="U59" i="2"/>
  <c r="R59" i="2"/>
  <c r="I59" i="2"/>
  <c r="G59" i="2"/>
  <c r="E59" i="2"/>
  <c r="M59" i="2"/>
  <c r="O59" i="2" s="1"/>
  <c r="AB59" i="2"/>
  <c r="C59" i="2"/>
  <c r="T59" i="2" s="1"/>
  <c r="V59" i="2" s="1"/>
  <c r="L60" i="2" l="1"/>
  <c r="F60" i="2"/>
  <c r="D61" i="2"/>
  <c r="K60" i="2"/>
  <c r="R60" i="2"/>
  <c r="U60" i="2"/>
  <c r="E60" i="2"/>
  <c r="G60" i="2"/>
  <c r="I60" i="2"/>
  <c r="H60" i="2"/>
  <c r="M60" i="2"/>
  <c r="O60" i="2" s="1"/>
  <c r="Q60" i="2"/>
  <c r="AB60" i="2"/>
  <c r="C60" i="2"/>
  <c r="T60" i="2" s="1"/>
  <c r="V60" i="2" s="1"/>
  <c r="N59" i="2"/>
  <c r="AI59" i="2" s="1"/>
  <c r="P59" i="2"/>
  <c r="AH59" i="2" l="1"/>
  <c r="N60" i="2"/>
  <c r="AI60" i="2" s="1"/>
  <c r="P60" i="2"/>
  <c r="D62" i="2"/>
  <c r="F61" i="2"/>
  <c r="K61" i="2"/>
  <c r="L61" i="2"/>
  <c r="H61" i="2"/>
  <c r="U61" i="2"/>
  <c r="E61" i="2"/>
  <c r="R61" i="2"/>
  <c r="I61" i="2"/>
  <c r="G61" i="2"/>
  <c r="M61" i="2"/>
  <c r="O61" i="2" s="1"/>
  <c r="AB61" i="2"/>
  <c r="C61" i="2"/>
  <c r="T61" i="2" s="1"/>
  <c r="V61" i="2" s="1"/>
  <c r="AH60" i="2" l="1"/>
  <c r="C62" i="2"/>
  <c r="Q62" i="2"/>
  <c r="AB62" i="2"/>
  <c r="D63" i="2"/>
  <c r="L62" i="2"/>
  <c r="F62" i="2"/>
  <c r="K62" i="2"/>
  <c r="U62" i="2"/>
  <c r="H62" i="2"/>
  <c r="E62" i="2"/>
  <c r="R62" i="2"/>
  <c r="G62" i="2"/>
  <c r="I62" i="2"/>
  <c r="N61" i="2"/>
  <c r="AI61" i="2" s="1"/>
  <c r="P61" i="2"/>
  <c r="M63" i="2" l="1"/>
  <c r="O63" i="2" s="1"/>
  <c r="AB63" i="2"/>
  <c r="C63" i="2"/>
  <c r="T63" i="2" s="1"/>
  <c r="V63" i="2" s="1"/>
  <c r="L63" i="2"/>
  <c r="D64" i="2"/>
  <c r="F63" i="2"/>
  <c r="H63" i="2"/>
  <c r="U63" i="2"/>
  <c r="R63" i="2"/>
  <c r="G63" i="2"/>
  <c r="E63" i="2"/>
  <c r="K63" i="2"/>
  <c r="I63" i="2"/>
  <c r="AH61" i="2"/>
  <c r="O62" i="2"/>
  <c r="T62" i="2"/>
  <c r="V62" i="2" s="1"/>
  <c r="N62" i="2" l="1"/>
  <c r="AI62" i="2" s="1"/>
  <c r="P62" i="2"/>
  <c r="D65" i="2"/>
  <c r="L64" i="2"/>
  <c r="K64" i="2"/>
  <c r="F64" i="2"/>
  <c r="U64" i="2"/>
  <c r="R64" i="2"/>
  <c r="I64" i="2"/>
  <c r="G64" i="2"/>
  <c r="H64" i="2"/>
  <c r="E64" i="2"/>
  <c r="M64" i="2"/>
  <c r="O64" i="2" s="1"/>
  <c r="Q64" i="2"/>
  <c r="AB64" i="2"/>
  <c r="C64" i="2"/>
  <c r="T64" i="2" s="1"/>
  <c r="V64" i="2" s="1"/>
  <c r="AH62" i="2"/>
  <c r="N63" i="2"/>
  <c r="AI63" i="2" s="1"/>
  <c r="P63" i="2"/>
  <c r="N64" i="2" l="1"/>
  <c r="AI64" i="2" s="1"/>
  <c r="P64" i="2"/>
  <c r="M65" i="2"/>
  <c r="O65" i="2" s="1"/>
  <c r="C65" i="2"/>
  <c r="T65" i="2" s="1"/>
  <c r="V65" i="2" s="1"/>
  <c r="AB65" i="2"/>
  <c r="L65" i="2"/>
  <c r="D66" i="2"/>
  <c r="F65" i="2"/>
  <c r="K65" i="2"/>
  <c r="E65" i="2"/>
  <c r="G65" i="2"/>
  <c r="I65" i="2"/>
  <c r="U65" i="2"/>
  <c r="H65" i="2"/>
  <c r="R65" i="2"/>
  <c r="AH63" i="2"/>
  <c r="AH64" i="2" s="1"/>
  <c r="M66" i="2" l="1"/>
  <c r="O66" i="2" s="1"/>
  <c r="Q66" i="2"/>
  <c r="AB66" i="2"/>
  <c r="C66" i="2"/>
  <c r="T66" i="2" s="1"/>
  <c r="V66" i="2" s="1"/>
  <c r="L66" i="2"/>
  <c r="D67" i="2"/>
  <c r="F66" i="2"/>
  <c r="K66" i="2"/>
  <c r="R66" i="2"/>
  <c r="I66" i="2"/>
  <c r="H66" i="2"/>
  <c r="E66" i="2"/>
  <c r="U66" i="2"/>
  <c r="G66" i="2"/>
  <c r="N65" i="2"/>
  <c r="AI65" i="2" s="1"/>
  <c r="P65" i="2"/>
  <c r="L67" i="2" l="1"/>
  <c r="D68" i="2"/>
  <c r="F67" i="2"/>
  <c r="K67" i="2"/>
  <c r="U67" i="2"/>
  <c r="G67" i="2"/>
  <c r="E67" i="2"/>
  <c r="R67" i="2"/>
  <c r="I67" i="2"/>
  <c r="H67" i="2"/>
  <c r="M67" i="2"/>
  <c r="O67" i="2" s="1"/>
  <c r="AB67" i="2"/>
  <c r="C67" i="2"/>
  <c r="T67" i="2" s="1"/>
  <c r="V67" i="2" s="1"/>
  <c r="AH65" i="2"/>
  <c r="N66" i="2"/>
  <c r="AI66" i="2" s="1"/>
  <c r="P66" i="2"/>
  <c r="AH66" i="2" l="1"/>
  <c r="N67" i="2"/>
  <c r="AI67" i="2" s="1"/>
  <c r="P67" i="2"/>
  <c r="L68" i="2"/>
  <c r="F68" i="2"/>
  <c r="D69" i="2"/>
  <c r="K68" i="2"/>
  <c r="G68" i="2"/>
  <c r="U68" i="2"/>
  <c r="H68" i="2"/>
  <c r="I68" i="2"/>
  <c r="R68" i="2"/>
  <c r="E68" i="2"/>
  <c r="AH67" i="2"/>
  <c r="M68" i="2"/>
  <c r="O68" i="2" s="1"/>
  <c r="Q68" i="2"/>
  <c r="C68" i="2"/>
  <c r="T68" i="2" s="1"/>
  <c r="V68" i="2" s="1"/>
  <c r="AB68" i="2"/>
  <c r="D70" i="2" l="1"/>
  <c r="L69" i="2"/>
  <c r="F69" i="2"/>
  <c r="K69" i="2"/>
  <c r="E69" i="2"/>
  <c r="R69" i="2"/>
  <c r="G69" i="2"/>
  <c r="I69" i="2"/>
  <c r="U69" i="2"/>
  <c r="H69" i="2"/>
  <c r="N68" i="2"/>
  <c r="AI68" i="2" s="1"/>
  <c r="P68" i="2"/>
  <c r="C69" i="2"/>
  <c r="AB69" i="2"/>
  <c r="O69" i="2" l="1"/>
  <c r="T69" i="2"/>
  <c r="V69" i="2" s="1"/>
  <c r="M70" i="2"/>
  <c r="O70" i="2" s="1"/>
  <c r="Q70" i="2"/>
  <c r="C70" i="2"/>
  <c r="T70" i="2" s="1"/>
  <c r="V70" i="2" s="1"/>
  <c r="AB70" i="2"/>
  <c r="D71" i="2"/>
  <c r="L70" i="2"/>
  <c r="F70" i="2"/>
  <c r="K70" i="2"/>
  <c r="I70" i="2"/>
  <c r="U70" i="2"/>
  <c r="H70" i="2"/>
  <c r="E70" i="2"/>
  <c r="R70" i="2"/>
  <c r="G70" i="2"/>
  <c r="AH68" i="2"/>
  <c r="L71" i="2" l="1"/>
  <c r="D72" i="2"/>
  <c r="F71" i="2"/>
  <c r="E71" i="2"/>
  <c r="K71" i="2"/>
  <c r="R71" i="2"/>
  <c r="I71" i="2"/>
  <c r="U71" i="2"/>
  <c r="G71" i="2"/>
  <c r="H71" i="2"/>
  <c r="N70" i="2"/>
  <c r="AI70" i="2" s="1"/>
  <c r="P70" i="2"/>
  <c r="M71" i="2"/>
  <c r="O71" i="2" s="1"/>
  <c r="C71" i="2"/>
  <c r="T71" i="2" s="1"/>
  <c r="V71" i="2" s="1"/>
  <c r="AB71" i="2"/>
  <c r="N69" i="2"/>
  <c r="AI69" i="2" s="1"/>
  <c r="P69" i="2"/>
  <c r="AH69" i="2" l="1"/>
  <c r="AH70" i="2" s="1"/>
  <c r="N71" i="2"/>
  <c r="AI71" i="2" s="1"/>
  <c r="P71" i="2"/>
  <c r="D73" i="2"/>
  <c r="L72" i="2"/>
  <c r="K72" i="2"/>
  <c r="F72" i="2"/>
  <c r="U72" i="2"/>
  <c r="G72" i="2"/>
  <c r="I72" i="2"/>
  <c r="E72" i="2"/>
  <c r="R72" i="2"/>
  <c r="H72" i="2"/>
  <c r="M72" i="2"/>
  <c r="O72" i="2" s="1"/>
  <c r="AB72" i="2"/>
  <c r="C72" i="2"/>
  <c r="T72" i="2" s="1"/>
  <c r="V72" i="2" s="1"/>
  <c r="Q72" i="2"/>
  <c r="N72" i="2" l="1"/>
  <c r="AI72" i="2" s="1"/>
  <c r="P72" i="2"/>
  <c r="AH71" i="2"/>
  <c r="C73" i="2"/>
  <c r="AB73" i="2"/>
  <c r="L73" i="2"/>
  <c r="D74" i="2"/>
  <c r="F73" i="2"/>
  <c r="K73" i="2"/>
  <c r="I73" i="2"/>
  <c r="E73" i="2"/>
  <c r="R73" i="2"/>
  <c r="H73" i="2"/>
  <c r="U73" i="2"/>
  <c r="G73" i="2"/>
  <c r="AH72" i="2" l="1"/>
  <c r="L74" i="2"/>
  <c r="D75" i="2"/>
  <c r="F74" i="2"/>
  <c r="K74" i="2"/>
  <c r="H74" i="2"/>
  <c r="G74" i="2"/>
  <c r="I74" i="2"/>
  <c r="E74" i="2"/>
  <c r="R74" i="2"/>
  <c r="U74" i="2"/>
  <c r="M74" i="2"/>
  <c r="O74" i="2" s="1"/>
  <c r="C74" i="2"/>
  <c r="T74" i="2" s="1"/>
  <c r="V74" i="2" s="1"/>
  <c r="AB74" i="2"/>
  <c r="Q74" i="2"/>
  <c r="O73" i="2"/>
  <c r="T73" i="2"/>
  <c r="V73" i="2" s="1"/>
  <c r="N73" i="2" l="1"/>
  <c r="P73" i="2"/>
  <c r="N74" i="2"/>
  <c r="AI74" i="2" s="1"/>
  <c r="P74" i="2"/>
  <c r="L75" i="2"/>
  <c r="D76" i="2"/>
  <c r="F75" i="2"/>
  <c r="K75" i="2"/>
  <c r="R75" i="2"/>
  <c r="I75" i="2"/>
  <c r="U75" i="2"/>
  <c r="G75" i="2"/>
  <c r="E75" i="2"/>
  <c r="H75" i="2"/>
  <c r="M75" i="2"/>
  <c r="O75" i="2" s="1"/>
  <c r="AB75" i="2"/>
  <c r="C75" i="2"/>
  <c r="T75" i="2" s="1"/>
  <c r="V75" i="2" s="1"/>
  <c r="N75" i="2" l="1"/>
  <c r="AI75" i="2" s="1"/>
  <c r="P75" i="2"/>
  <c r="L76" i="2"/>
  <c r="F76" i="2"/>
  <c r="K76" i="2"/>
  <c r="U76" i="2"/>
  <c r="E76" i="2"/>
  <c r="H76" i="2"/>
  <c r="R76" i="2"/>
  <c r="G76" i="2"/>
  <c r="D77" i="2"/>
  <c r="I76" i="2"/>
  <c r="M76" i="2"/>
  <c r="O76" i="2" s="1"/>
  <c r="AB76" i="2"/>
  <c r="C76" i="2"/>
  <c r="T76" i="2" s="1"/>
  <c r="V76" i="2" s="1"/>
  <c r="Q76" i="2"/>
  <c r="AI73" i="2"/>
  <c r="AH73" i="2"/>
  <c r="AH74" i="2" s="1"/>
  <c r="AH75" i="2" s="1"/>
  <c r="N76" i="2" l="1"/>
  <c r="AI76" i="2" s="1"/>
  <c r="P76" i="2"/>
  <c r="D78" i="2"/>
  <c r="L77" i="2"/>
  <c r="F77" i="2"/>
  <c r="K77" i="2"/>
  <c r="R77" i="2"/>
  <c r="E77" i="2"/>
  <c r="U77" i="2"/>
  <c r="I77" i="2"/>
  <c r="G77" i="2"/>
  <c r="H77" i="2"/>
  <c r="M77" i="2"/>
  <c r="O77" i="2" s="1"/>
  <c r="AB77" i="2"/>
  <c r="C77" i="2"/>
  <c r="T77" i="2" s="1"/>
  <c r="V77" i="2" s="1"/>
  <c r="AH76" i="2"/>
  <c r="M78" i="2" l="1"/>
  <c r="O78" i="2" s="1"/>
  <c r="C78" i="2"/>
  <c r="T78" i="2" s="1"/>
  <c r="V78" i="2" s="1"/>
  <c r="AB78" i="2"/>
  <c r="Q78" i="2"/>
  <c r="D79" i="2"/>
  <c r="L78" i="2"/>
  <c r="F78" i="2"/>
  <c r="K78" i="2"/>
  <c r="H78" i="2"/>
  <c r="I78" i="2"/>
  <c r="E78" i="2"/>
  <c r="R78" i="2"/>
  <c r="G78" i="2"/>
  <c r="U78" i="2"/>
  <c r="N77" i="2"/>
  <c r="AI77" i="2" s="1"/>
  <c r="P77" i="2"/>
  <c r="C79" i="2" l="1"/>
  <c r="AB79" i="2"/>
  <c r="L79" i="2"/>
  <c r="D80" i="2"/>
  <c r="F79" i="2"/>
  <c r="K79" i="2"/>
  <c r="H79" i="2"/>
  <c r="U79" i="2"/>
  <c r="G79" i="2"/>
  <c r="I79" i="2"/>
  <c r="E79" i="2"/>
  <c r="R79" i="2"/>
  <c r="AH77" i="2"/>
  <c r="N78" i="2"/>
  <c r="AI78" i="2" s="1"/>
  <c r="P78" i="2"/>
  <c r="AH78" i="2" l="1"/>
  <c r="D81" i="2"/>
  <c r="L80" i="2"/>
  <c r="K80" i="2"/>
  <c r="F80" i="2"/>
  <c r="U80" i="2"/>
  <c r="I80" i="2"/>
  <c r="G80" i="2"/>
  <c r="E80" i="2"/>
  <c r="R80" i="2"/>
  <c r="H80" i="2"/>
  <c r="M80" i="2"/>
  <c r="O80" i="2" s="1"/>
  <c r="AB80" i="2"/>
  <c r="C80" i="2"/>
  <c r="T80" i="2" s="1"/>
  <c r="V80" i="2" s="1"/>
  <c r="Q80" i="2"/>
  <c r="O79" i="2"/>
  <c r="T79" i="2"/>
  <c r="V79" i="2" s="1"/>
  <c r="N80" i="2" l="1"/>
  <c r="AI80" i="2" s="1"/>
  <c r="P80" i="2"/>
  <c r="M81" i="2"/>
  <c r="O81" i="2" s="1"/>
  <c r="AB81" i="2"/>
  <c r="C81" i="2"/>
  <c r="T81" i="2" s="1"/>
  <c r="V81" i="2" s="1"/>
  <c r="L81" i="2"/>
  <c r="D82" i="2"/>
  <c r="F81" i="2"/>
  <c r="K81" i="2"/>
  <c r="G81" i="2"/>
  <c r="H81" i="2"/>
  <c r="U81" i="2"/>
  <c r="I81" i="2"/>
  <c r="R81" i="2"/>
  <c r="E81" i="2"/>
  <c r="N79" i="2"/>
  <c r="P79" i="2"/>
  <c r="L82" i="2" l="1"/>
  <c r="D83" i="2"/>
  <c r="F82" i="2"/>
  <c r="K82" i="2"/>
  <c r="U82" i="2"/>
  <c r="E82" i="2"/>
  <c r="R82" i="2"/>
  <c r="G82" i="2"/>
  <c r="I82" i="2"/>
  <c r="H82" i="2"/>
  <c r="M82" i="2"/>
  <c r="O82" i="2" s="1"/>
  <c r="C82" i="2"/>
  <c r="T82" i="2" s="1"/>
  <c r="V82" i="2" s="1"/>
  <c r="AB82" i="2"/>
  <c r="Q82" i="2"/>
  <c r="N81" i="2"/>
  <c r="AI81" i="2" s="1"/>
  <c r="P81" i="2"/>
  <c r="AI79" i="2"/>
  <c r="AH79" i="2"/>
  <c r="AH80" i="2" s="1"/>
  <c r="AH81" i="2" l="1"/>
  <c r="N82" i="2"/>
  <c r="AI82" i="2" s="1"/>
  <c r="P82" i="2"/>
  <c r="L83" i="2"/>
  <c r="D84" i="2"/>
  <c r="F83" i="2"/>
  <c r="K83" i="2"/>
  <c r="H83" i="2"/>
  <c r="U83" i="2"/>
  <c r="G83" i="2"/>
  <c r="I83" i="2"/>
  <c r="E83" i="2"/>
  <c r="R83" i="2"/>
  <c r="M83" i="2"/>
  <c r="O83" i="2" s="1"/>
  <c r="AB83" i="2"/>
  <c r="C83" i="2"/>
  <c r="T83" i="2" s="1"/>
  <c r="V83" i="2" s="1"/>
  <c r="AH82" i="2" l="1"/>
  <c r="L84" i="2"/>
  <c r="D85" i="2"/>
  <c r="F84" i="2"/>
  <c r="K84" i="2"/>
  <c r="R84" i="2"/>
  <c r="U84" i="2"/>
  <c r="E84" i="2"/>
  <c r="H84" i="2"/>
  <c r="I84" i="2"/>
  <c r="G84" i="2"/>
  <c r="M84" i="2"/>
  <c r="O84" i="2" s="1"/>
  <c r="Q84" i="2"/>
  <c r="AB84" i="2"/>
  <c r="C84" i="2"/>
  <c r="T84" i="2" s="1"/>
  <c r="V84" i="2" s="1"/>
  <c r="N83" i="2"/>
  <c r="AI83" i="2" s="1"/>
  <c r="P83" i="2"/>
  <c r="N84" i="2" l="1"/>
  <c r="AI84" i="2" s="1"/>
  <c r="P84" i="2"/>
  <c r="D86" i="2"/>
  <c r="F85" i="2"/>
  <c r="L85" i="2"/>
  <c r="K85" i="2"/>
  <c r="U85" i="2"/>
  <c r="G85" i="2"/>
  <c r="I85" i="2"/>
  <c r="E85" i="2"/>
  <c r="R85" i="2"/>
  <c r="H85" i="2"/>
  <c r="AH83" i="2"/>
  <c r="AH84" i="2" s="1"/>
  <c r="M85" i="2"/>
  <c r="O85" i="2" s="1"/>
  <c r="C85" i="2"/>
  <c r="T85" i="2" s="1"/>
  <c r="V85" i="2" s="1"/>
  <c r="AB85" i="2"/>
  <c r="N85" i="2" l="1"/>
  <c r="AI85" i="2" s="1"/>
  <c r="P85" i="2"/>
  <c r="M86" i="2"/>
  <c r="O86" i="2" s="1"/>
  <c r="AB86" i="2"/>
  <c r="Q86" i="2"/>
  <c r="C86" i="2"/>
  <c r="T86" i="2" s="1"/>
  <c r="V86" i="2" s="1"/>
  <c r="D87" i="2"/>
  <c r="L86" i="2"/>
  <c r="F86" i="2"/>
  <c r="K86" i="2"/>
  <c r="G86" i="2"/>
  <c r="I86" i="2"/>
  <c r="U86" i="2"/>
  <c r="H86" i="2"/>
  <c r="R86" i="2"/>
  <c r="E86" i="2"/>
  <c r="L87" i="2" l="1"/>
  <c r="D88" i="2"/>
  <c r="F87" i="2"/>
  <c r="H87" i="2"/>
  <c r="K87" i="2"/>
  <c r="U87" i="2"/>
  <c r="G87" i="2"/>
  <c r="I87" i="2"/>
  <c r="E87" i="2"/>
  <c r="R87" i="2"/>
  <c r="N86" i="2"/>
  <c r="AI86" i="2" s="1"/>
  <c r="P86" i="2"/>
  <c r="AH85" i="2"/>
  <c r="AH86" i="2" s="1"/>
  <c r="M87" i="2"/>
  <c r="O87" i="2" s="1"/>
  <c r="AB87" i="2"/>
  <c r="C87" i="2"/>
  <c r="T87" i="2" s="1"/>
  <c r="V87" i="2" s="1"/>
  <c r="N87" i="2" l="1"/>
  <c r="AI87" i="2" s="1"/>
  <c r="P87" i="2"/>
  <c r="D89" i="2"/>
  <c r="L88" i="2"/>
  <c r="K88" i="2"/>
  <c r="R88" i="2"/>
  <c r="I88" i="2"/>
  <c r="F88" i="2"/>
  <c r="U88" i="2"/>
  <c r="E88" i="2"/>
  <c r="H88" i="2"/>
  <c r="G88" i="2"/>
  <c r="M88" i="2"/>
  <c r="O88" i="2" s="1"/>
  <c r="Q88" i="2"/>
  <c r="C88" i="2"/>
  <c r="T88" i="2" s="1"/>
  <c r="V88" i="2" s="1"/>
  <c r="AB88" i="2"/>
  <c r="AH87" i="2" l="1"/>
  <c r="N88" i="2"/>
  <c r="AI88" i="2" s="1"/>
  <c r="P88" i="2"/>
  <c r="M89" i="2"/>
  <c r="O89" i="2" s="1"/>
  <c r="C89" i="2"/>
  <c r="T89" i="2" s="1"/>
  <c r="V89" i="2" s="1"/>
  <c r="AB89" i="2"/>
  <c r="L89" i="2"/>
  <c r="D90" i="2"/>
  <c r="F89" i="2"/>
  <c r="K89" i="2"/>
  <c r="U89" i="2"/>
  <c r="I89" i="2"/>
  <c r="G89" i="2"/>
  <c r="E89" i="2"/>
  <c r="R89" i="2"/>
  <c r="H89" i="2"/>
  <c r="AH88" i="2"/>
  <c r="L90" i="2" l="1"/>
  <c r="D91" i="2"/>
  <c r="F90" i="2"/>
  <c r="K90" i="2"/>
  <c r="G90" i="2"/>
  <c r="U90" i="2"/>
  <c r="R90" i="2"/>
  <c r="H90" i="2"/>
  <c r="I90" i="2"/>
  <c r="E90" i="2"/>
  <c r="C90" i="2"/>
  <c r="Q90" i="2"/>
  <c r="AB90" i="2"/>
  <c r="N89" i="2"/>
  <c r="AI89" i="2" s="1"/>
  <c r="P89" i="2"/>
  <c r="O90" i="2" l="1"/>
  <c r="T90" i="2"/>
  <c r="V90" i="2" s="1"/>
  <c r="L91" i="2"/>
  <c r="D92" i="2"/>
  <c r="F91" i="2"/>
  <c r="K91" i="2"/>
  <c r="U91" i="2"/>
  <c r="G91" i="2"/>
  <c r="I91" i="2"/>
  <c r="E91" i="2"/>
  <c r="R91" i="2"/>
  <c r="H91" i="2"/>
  <c r="M91" i="2"/>
  <c r="O91" i="2" s="1"/>
  <c r="C91" i="2"/>
  <c r="T91" i="2" s="1"/>
  <c r="V91" i="2" s="1"/>
  <c r="AB91" i="2"/>
  <c r="AH89" i="2"/>
  <c r="L92" i="2" l="1"/>
  <c r="D93" i="2"/>
  <c r="F92" i="2"/>
  <c r="K92" i="2"/>
  <c r="R92" i="2"/>
  <c r="U92" i="2"/>
  <c r="H92" i="2"/>
  <c r="E92" i="2"/>
  <c r="I92" i="2"/>
  <c r="G92" i="2"/>
  <c r="M92" i="2"/>
  <c r="O92" i="2" s="1"/>
  <c r="Q92" i="2"/>
  <c r="C92" i="2"/>
  <c r="T92" i="2" s="1"/>
  <c r="V92" i="2" s="1"/>
  <c r="AB92" i="2"/>
  <c r="N91" i="2"/>
  <c r="AI91" i="2" s="1"/>
  <c r="P91" i="2"/>
  <c r="N90" i="2"/>
  <c r="AI90" i="2" s="1"/>
  <c r="P90" i="2"/>
  <c r="N92" i="2" l="1"/>
  <c r="AI92" i="2" s="1"/>
  <c r="P92" i="2"/>
  <c r="D94" i="2"/>
  <c r="L93" i="2"/>
  <c r="F93" i="2"/>
  <c r="K93" i="2"/>
  <c r="E93" i="2"/>
  <c r="R93" i="2"/>
  <c r="U93" i="2"/>
  <c r="G93" i="2"/>
  <c r="I93" i="2"/>
  <c r="H93" i="2"/>
  <c r="AH90" i="2"/>
  <c r="AH91" i="2" s="1"/>
  <c r="AH92" i="2" s="1"/>
  <c r="M93" i="2"/>
  <c r="O93" i="2" s="1"/>
  <c r="C93" i="2"/>
  <c r="T93" i="2" s="1"/>
  <c r="V93" i="2" s="1"/>
  <c r="AB93" i="2"/>
  <c r="N93" i="2" l="1"/>
  <c r="AI93" i="2" s="1"/>
  <c r="P93" i="2"/>
  <c r="M94" i="2"/>
  <c r="O94" i="2" s="1"/>
  <c r="Q94" i="2"/>
  <c r="C94" i="2"/>
  <c r="T94" i="2" s="1"/>
  <c r="V94" i="2" s="1"/>
  <c r="AB94" i="2"/>
  <c r="D95" i="2"/>
  <c r="L94" i="2"/>
  <c r="F94" i="2"/>
  <c r="K94" i="2"/>
  <c r="U94" i="2"/>
  <c r="H94" i="2"/>
  <c r="E94" i="2"/>
  <c r="R94" i="2"/>
  <c r="I94" i="2"/>
  <c r="G94" i="2"/>
  <c r="AH93" i="2" l="1"/>
  <c r="D96" i="2"/>
  <c r="L95" i="2"/>
  <c r="F95" i="2"/>
  <c r="E95" i="2"/>
  <c r="R95" i="2"/>
  <c r="K95" i="2"/>
  <c r="I95" i="2"/>
  <c r="G95" i="2"/>
  <c r="H95" i="2"/>
  <c r="U95" i="2"/>
  <c r="N94" i="2"/>
  <c r="AI94" i="2" s="1"/>
  <c r="P94" i="2"/>
  <c r="M95" i="2"/>
  <c r="O95" i="2" s="1"/>
  <c r="C95" i="2"/>
  <c r="T95" i="2" s="1"/>
  <c r="V95" i="2" s="1"/>
  <c r="AB95" i="2"/>
  <c r="N95" i="2" l="1"/>
  <c r="AI95" i="2" s="1"/>
  <c r="P95" i="2"/>
  <c r="AH94" i="2"/>
  <c r="AH95" i="2" s="1"/>
  <c r="M96" i="2"/>
  <c r="O96" i="2" s="1"/>
  <c r="AB96" i="2"/>
  <c r="C96" i="2"/>
  <c r="T96" i="2" s="1"/>
  <c r="V96" i="2" s="1"/>
  <c r="Q96" i="2"/>
  <c r="D97" i="2"/>
  <c r="L96" i="2"/>
  <c r="F96" i="2"/>
  <c r="K96" i="2"/>
  <c r="U96" i="2"/>
  <c r="G96" i="2"/>
  <c r="I96" i="2"/>
  <c r="E96" i="2"/>
  <c r="R96" i="2"/>
  <c r="H96" i="2"/>
  <c r="D98" i="2" l="1"/>
  <c r="L97" i="2"/>
  <c r="F97" i="2"/>
  <c r="K97" i="2"/>
  <c r="R97" i="2"/>
  <c r="E97" i="2"/>
  <c r="U97" i="2"/>
  <c r="G97" i="2"/>
  <c r="H97" i="2"/>
  <c r="I97" i="2"/>
  <c r="N96" i="2"/>
  <c r="AI96" i="2" s="1"/>
  <c r="P96" i="2"/>
  <c r="M97" i="2"/>
  <c r="O97" i="2" s="1"/>
  <c r="AB97" i="2"/>
  <c r="C97" i="2"/>
  <c r="T97" i="2" s="1"/>
  <c r="V97" i="2" s="1"/>
  <c r="N97" i="2" l="1"/>
  <c r="AI97" i="2" s="1"/>
  <c r="P97" i="2"/>
  <c r="M98" i="2"/>
  <c r="O98" i="2" s="1"/>
  <c r="C98" i="2"/>
  <c r="T98" i="2" s="1"/>
  <c r="V98" i="2" s="1"/>
  <c r="Q98" i="2"/>
  <c r="AB98" i="2"/>
  <c r="AH96" i="2"/>
  <c r="AH97" i="2" s="1"/>
  <c r="D99" i="2"/>
  <c r="F98" i="2"/>
  <c r="L98" i="2"/>
  <c r="K98" i="2"/>
  <c r="G98" i="2"/>
  <c r="E98" i="2"/>
  <c r="I98" i="2"/>
  <c r="R98" i="2"/>
  <c r="H98" i="2"/>
  <c r="U98" i="2"/>
  <c r="D100" i="2" l="1"/>
  <c r="L99" i="2"/>
  <c r="F99" i="2"/>
  <c r="K99" i="2"/>
  <c r="U99" i="2"/>
  <c r="G99" i="2"/>
  <c r="H99" i="2"/>
  <c r="R99" i="2"/>
  <c r="I99" i="2"/>
  <c r="E99" i="2"/>
  <c r="N98" i="2"/>
  <c r="AI98" i="2" s="1"/>
  <c r="P98" i="2"/>
  <c r="M99" i="2"/>
  <c r="O99" i="2" s="1"/>
  <c r="AB99" i="2"/>
  <c r="C99" i="2"/>
  <c r="T99" i="2" s="1"/>
  <c r="V99" i="2" s="1"/>
  <c r="N99" i="2" l="1"/>
  <c r="AI99" i="2" s="1"/>
  <c r="P99" i="2"/>
  <c r="AH98" i="2"/>
  <c r="AH99" i="2" s="1"/>
  <c r="M100" i="2"/>
  <c r="O100" i="2" s="1"/>
  <c r="C100" i="2"/>
  <c r="T100" i="2" s="1"/>
  <c r="V100" i="2" s="1"/>
  <c r="AB100" i="2"/>
  <c r="Q100" i="2"/>
  <c r="D101" i="2"/>
  <c r="F100" i="2"/>
  <c r="K100" i="2"/>
  <c r="L100" i="2"/>
  <c r="H100" i="2"/>
  <c r="I100" i="2"/>
  <c r="E100" i="2"/>
  <c r="R100" i="2"/>
  <c r="G100" i="2"/>
  <c r="U100" i="2"/>
  <c r="D102" i="2" l="1"/>
  <c r="L101" i="2"/>
  <c r="F101" i="2"/>
  <c r="K101" i="2"/>
  <c r="H101" i="2"/>
  <c r="U101" i="2"/>
  <c r="R101" i="2"/>
  <c r="I101" i="2"/>
  <c r="G101" i="2"/>
  <c r="E101" i="2"/>
  <c r="N100" i="2"/>
  <c r="AI100" i="2" s="1"/>
  <c r="P100" i="2"/>
  <c r="M101" i="2"/>
  <c r="O101" i="2" s="1"/>
  <c r="AB101" i="2"/>
  <c r="C101" i="2"/>
  <c r="T101" i="2" s="1"/>
  <c r="V101" i="2" s="1"/>
  <c r="AH100" i="2" l="1"/>
  <c r="N101" i="2"/>
  <c r="AI101" i="2" s="1"/>
  <c r="P101" i="2"/>
  <c r="M102" i="2"/>
  <c r="O102" i="2" s="1"/>
  <c r="Q102" i="2"/>
  <c r="C102" i="2"/>
  <c r="T102" i="2" s="1"/>
  <c r="V102" i="2" s="1"/>
  <c r="AB102" i="2"/>
  <c r="D103" i="2"/>
  <c r="L102" i="2"/>
  <c r="F102" i="2"/>
  <c r="K102" i="2"/>
  <c r="E102" i="2"/>
  <c r="R102" i="2"/>
  <c r="I102" i="2"/>
  <c r="U102" i="2"/>
  <c r="G102" i="2"/>
  <c r="H102" i="2"/>
  <c r="D104" i="2" l="1"/>
  <c r="L103" i="2"/>
  <c r="F103" i="2"/>
  <c r="H103" i="2"/>
  <c r="U103" i="2"/>
  <c r="K103" i="2"/>
  <c r="E103" i="2"/>
  <c r="R103" i="2"/>
  <c r="I103" i="2"/>
  <c r="G103" i="2"/>
  <c r="N102" i="2"/>
  <c r="AI102" i="2" s="1"/>
  <c r="P102" i="2"/>
  <c r="M103" i="2"/>
  <c r="O103" i="2" s="1"/>
  <c r="AB103" i="2"/>
  <c r="C103" i="2"/>
  <c r="T103" i="2" s="1"/>
  <c r="V103" i="2" s="1"/>
  <c r="AH101" i="2"/>
  <c r="AH102" i="2" s="1"/>
  <c r="M104" i="2" l="1"/>
  <c r="O104" i="2" s="1"/>
  <c r="Q104" i="2"/>
  <c r="AB104" i="2"/>
  <c r="C104" i="2"/>
  <c r="T104" i="2" s="1"/>
  <c r="V104" i="2" s="1"/>
  <c r="N103" i="2"/>
  <c r="AI103" i="2" s="1"/>
  <c r="P103" i="2"/>
  <c r="D105" i="2"/>
  <c r="L104" i="2"/>
  <c r="K104" i="2"/>
  <c r="F104" i="2"/>
  <c r="U104" i="2"/>
  <c r="I104" i="2"/>
  <c r="G104" i="2"/>
  <c r="E104" i="2"/>
  <c r="R104" i="2"/>
  <c r="H104" i="2"/>
  <c r="D106" i="2" l="1"/>
  <c r="L105" i="2"/>
  <c r="F105" i="2"/>
  <c r="K105" i="2"/>
  <c r="H105" i="2"/>
  <c r="U105" i="2"/>
  <c r="I105" i="2"/>
  <c r="E105" i="2"/>
  <c r="R105" i="2"/>
  <c r="G105" i="2"/>
  <c r="N104" i="2"/>
  <c r="AI104" i="2" s="1"/>
  <c r="P104" i="2"/>
  <c r="M105" i="2"/>
  <c r="O105" i="2" s="1"/>
  <c r="AB105" i="2"/>
  <c r="C105" i="2"/>
  <c r="T105" i="2" s="1"/>
  <c r="V105" i="2" s="1"/>
  <c r="AH103" i="2"/>
  <c r="AH104" i="2" s="1"/>
  <c r="N105" i="2" l="1"/>
  <c r="AI105" i="2" s="1"/>
  <c r="P105" i="2"/>
  <c r="M106" i="2"/>
  <c r="O106" i="2" s="1"/>
  <c r="Q106" i="2"/>
  <c r="AB106" i="2"/>
  <c r="C106" i="2"/>
  <c r="T106" i="2" s="1"/>
  <c r="V106" i="2" s="1"/>
  <c r="D107" i="2"/>
  <c r="F106" i="2"/>
  <c r="L106" i="2"/>
  <c r="K106" i="2"/>
  <c r="I106" i="2"/>
  <c r="G106" i="2"/>
  <c r="H106" i="2"/>
  <c r="U106" i="2"/>
  <c r="R106" i="2"/>
  <c r="E106" i="2"/>
  <c r="D108" i="2" l="1"/>
  <c r="L107" i="2"/>
  <c r="F107" i="2"/>
  <c r="K107" i="2"/>
  <c r="U107" i="2"/>
  <c r="E107" i="2"/>
  <c r="R107" i="2"/>
  <c r="I107" i="2"/>
  <c r="G107" i="2"/>
  <c r="H107" i="2"/>
  <c r="N106" i="2"/>
  <c r="AI106" i="2" s="1"/>
  <c r="P106" i="2"/>
  <c r="M107" i="2"/>
  <c r="O107" i="2" s="1"/>
  <c r="C107" i="2"/>
  <c r="T107" i="2" s="1"/>
  <c r="V107" i="2" s="1"/>
  <c r="AB107" i="2"/>
  <c r="AH105" i="2"/>
  <c r="AH106" i="2" s="1"/>
  <c r="N107" i="2" l="1"/>
  <c r="AI107" i="2" s="1"/>
  <c r="P107" i="2"/>
  <c r="M108" i="2"/>
  <c r="O108" i="2" s="1"/>
  <c r="Q108" i="2"/>
  <c r="C108" i="2"/>
  <c r="T108" i="2" s="1"/>
  <c r="V108" i="2" s="1"/>
  <c r="AB108" i="2"/>
  <c r="D109" i="2"/>
  <c r="F108" i="2"/>
  <c r="L108" i="2"/>
  <c r="K108" i="2"/>
  <c r="R108" i="2"/>
  <c r="U108" i="2"/>
  <c r="H108" i="2"/>
  <c r="E108" i="2"/>
  <c r="I108" i="2"/>
  <c r="G108" i="2"/>
  <c r="D110" i="2" l="1"/>
  <c r="L109" i="2"/>
  <c r="F109" i="2"/>
  <c r="K109" i="2"/>
  <c r="E109" i="2"/>
  <c r="U109" i="2"/>
  <c r="R109" i="2"/>
  <c r="G109" i="2"/>
  <c r="I109" i="2"/>
  <c r="H109" i="2"/>
  <c r="N108" i="2"/>
  <c r="AI108" i="2" s="1"/>
  <c r="P108" i="2"/>
  <c r="M109" i="2"/>
  <c r="O109" i="2" s="1"/>
  <c r="C109" i="2"/>
  <c r="T109" i="2" s="1"/>
  <c r="V109" i="2" s="1"/>
  <c r="AB109" i="2"/>
  <c r="AH107" i="2"/>
  <c r="AH108" i="2" s="1"/>
  <c r="M110" i="2" l="1"/>
  <c r="O110" i="2" s="1"/>
  <c r="Q110" i="2"/>
  <c r="C110" i="2"/>
  <c r="T110" i="2" s="1"/>
  <c r="V110" i="2" s="1"/>
  <c r="AB110" i="2"/>
  <c r="N109" i="2"/>
  <c r="AI109" i="2" s="1"/>
  <c r="P109" i="2"/>
  <c r="D111" i="2"/>
  <c r="L110" i="2"/>
  <c r="F110" i="2"/>
  <c r="K110" i="2"/>
  <c r="U110" i="2"/>
  <c r="H110" i="2"/>
  <c r="G110" i="2"/>
  <c r="I110" i="2"/>
  <c r="R110" i="2"/>
  <c r="E110" i="2"/>
  <c r="D112" i="2" l="1"/>
  <c r="L111" i="2"/>
  <c r="F111" i="2"/>
  <c r="I111" i="2"/>
  <c r="H111" i="2"/>
  <c r="K111" i="2"/>
  <c r="U111" i="2"/>
  <c r="G111" i="2"/>
  <c r="E111" i="2"/>
  <c r="R111" i="2"/>
  <c r="N110" i="2"/>
  <c r="AI110" i="2" s="1"/>
  <c r="P110" i="2"/>
  <c r="M111" i="2"/>
  <c r="O111" i="2" s="1"/>
  <c r="AB111" i="2"/>
  <c r="C111" i="2"/>
  <c r="T111" i="2" s="1"/>
  <c r="V111" i="2" s="1"/>
  <c r="AH109" i="2"/>
  <c r="AH110" i="2" s="1"/>
  <c r="N111" i="2" l="1"/>
  <c r="AI111" i="2" s="1"/>
  <c r="P111" i="2"/>
  <c r="M112" i="2"/>
  <c r="O112" i="2" s="1"/>
  <c r="C112" i="2"/>
  <c r="T112" i="2" s="1"/>
  <c r="V112" i="2" s="1"/>
  <c r="Q112" i="2"/>
  <c r="AB112" i="2"/>
  <c r="D113" i="2"/>
  <c r="L112" i="2"/>
  <c r="K112" i="2"/>
  <c r="F112" i="2"/>
  <c r="H112" i="2"/>
  <c r="E112" i="2"/>
  <c r="I112" i="2"/>
  <c r="R112" i="2"/>
  <c r="G112" i="2"/>
  <c r="U112" i="2"/>
  <c r="AH111" i="2" l="1"/>
  <c r="D114" i="2"/>
  <c r="L113" i="2"/>
  <c r="F113" i="2"/>
  <c r="K113" i="2"/>
  <c r="E113" i="2"/>
  <c r="R113" i="2"/>
  <c r="H113" i="2"/>
  <c r="I113" i="2"/>
  <c r="U113" i="2"/>
  <c r="G113" i="2"/>
  <c r="N112" i="2"/>
  <c r="AI112" i="2" s="1"/>
  <c r="P112" i="2"/>
  <c r="M113" i="2"/>
  <c r="O113" i="2" s="1"/>
  <c r="AB113" i="2"/>
  <c r="C113" i="2"/>
  <c r="T113" i="2" s="1"/>
  <c r="V113" i="2" s="1"/>
  <c r="N113" i="2" l="1"/>
  <c r="AI113" i="2" s="1"/>
  <c r="P113" i="2"/>
  <c r="M114" i="2"/>
  <c r="O114" i="2" s="1"/>
  <c r="C114" i="2"/>
  <c r="T114" i="2" s="1"/>
  <c r="V114" i="2" s="1"/>
  <c r="AB114" i="2"/>
  <c r="Q114" i="2"/>
  <c r="AH112" i="2"/>
  <c r="AH113" i="2" s="1"/>
  <c r="D115" i="2"/>
  <c r="F114" i="2"/>
  <c r="L114" i="2"/>
  <c r="K114" i="2"/>
  <c r="H114" i="2"/>
  <c r="E114" i="2"/>
  <c r="R114" i="2"/>
  <c r="G114" i="2"/>
  <c r="I114" i="2"/>
  <c r="U114" i="2"/>
  <c r="D116" i="2" l="1"/>
  <c r="L115" i="2"/>
  <c r="F115" i="2"/>
  <c r="K115" i="2"/>
  <c r="R115" i="2"/>
  <c r="U115" i="2"/>
  <c r="H115" i="2"/>
  <c r="G115" i="2"/>
  <c r="I115" i="2"/>
  <c r="E115" i="2"/>
  <c r="N114" i="2"/>
  <c r="AI114" i="2" s="1"/>
  <c r="P114" i="2"/>
  <c r="M115" i="2"/>
  <c r="O115" i="2" s="1"/>
  <c r="AB115" i="2"/>
  <c r="C115" i="2"/>
  <c r="T115" i="2" s="1"/>
  <c r="V115" i="2" s="1"/>
  <c r="M116" i="2" l="1"/>
  <c r="O116" i="2" s="1"/>
  <c r="C116" i="2"/>
  <c r="T116" i="2" s="1"/>
  <c r="V116" i="2" s="1"/>
  <c r="AB116" i="2"/>
  <c r="Q116" i="2"/>
  <c r="N115" i="2"/>
  <c r="AI115" i="2" s="1"/>
  <c r="P115" i="2"/>
  <c r="AH114" i="2"/>
  <c r="F116" i="2"/>
  <c r="D117" i="2"/>
  <c r="K116" i="2"/>
  <c r="L116" i="2"/>
  <c r="I116" i="2"/>
  <c r="E116" i="2"/>
  <c r="R116" i="2"/>
  <c r="G116" i="2"/>
  <c r="U116" i="2"/>
  <c r="H116" i="2"/>
  <c r="AH115" i="2" l="1"/>
  <c r="M117" i="2"/>
  <c r="O117" i="2" s="1"/>
  <c r="AB117" i="2"/>
  <c r="C117" i="2"/>
  <c r="T117" i="2" s="1"/>
  <c r="V117" i="2" s="1"/>
  <c r="D118" i="2"/>
  <c r="L117" i="2"/>
  <c r="F117" i="2"/>
  <c r="K117" i="2"/>
  <c r="H117" i="2"/>
  <c r="U117" i="2"/>
  <c r="G117" i="2"/>
  <c r="E117" i="2"/>
  <c r="R117" i="2"/>
  <c r="I117" i="2"/>
  <c r="N116" i="2"/>
  <c r="AI116" i="2" s="1"/>
  <c r="P116" i="2"/>
  <c r="N117" i="2" l="1"/>
  <c r="AI117" i="2" s="1"/>
  <c r="P117" i="2"/>
  <c r="M118" i="2"/>
  <c r="O118" i="2" s="1"/>
  <c r="Q118" i="2"/>
  <c r="AB118" i="2"/>
  <c r="C118" i="2"/>
  <c r="T118" i="2" s="1"/>
  <c r="V118" i="2" s="1"/>
  <c r="D119" i="2"/>
  <c r="L118" i="2"/>
  <c r="F118" i="2"/>
  <c r="K118" i="2"/>
  <c r="H118" i="2"/>
  <c r="U118" i="2"/>
  <c r="G118" i="2"/>
  <c r="R118" i="2"/>
  <c r="I118" i="2"/>
  <c r="E118" i="2"/>
  <c r="AH116" i="2"/>
  <c r="AH117" i="2" s="1"/>
  <c r="M119" i="2" l="1"/>
  <c r="O119" i="2" s="1"/>
  <c r="C119" i="2"/>
  <c r="T119" i="2" s="1"/>
  <c r="V119" i="2" s="1"/>
  <c r="AB119" i="2"/>
  <c r="D120" i="2"/>
  <c r="L119" i="2"/>
  <c r="F119" i="2"/>
  <c r="U119" i="2"/>
  <c r="E119" i="2"/>
  <c r="R119" i="2"/>
  <c r="H119" i="2"/>
  <c r="G119" i="2"/>
  <c r="K119" i="2"/>
  <c r="I119" i="2"/>
  <c r="N118" i="2"/>
  <c r="AI118" i="2" s="1"/>
  <c r="P118" i="2"/>
  <c r="AH118" i="2" l="1"/>
  <c r="D121" i="2"/>
  <c r="L120" i="2"/>
  <c r="K120" i="2"/>
  <c r="F120" i="2"/>
  <c r="I120" i="2"/>
  <c r="R120" i="2"/>
  <c r="H120" i="2"/>
  <c r="U120" i="2"/>
  <c r="G120" i="2"/>
  <c r="E120" i="2"/>
  <c r="M120" i="2"/>
  <c r="O120" i="2" s="1"/>
  <c r="AB120" i="2"/>
  <c r="C120" i="2"/>
  <c r="T120" i="2" s="1"/>
  <c r="V120" i="2" s="1"/>
  <c r="Q120" i="2"/>
  <c r="N119" i="2"/>
  <c r="AI119" i="2" s="1"/>
  <c r="P119" i="2"/>
  <c r="N120" i="2" l="1"/>
  <c r="AI120" i="2" s="1"/>
  <c r="P120" i="2"/>
  <c r="M121" i="2"/>
  <c r="O121" i="2" s="1"/>
  <c r="C121" i="2"/>
  <c r="T121" i="2" s="1"/>
  <c r="V121" i="2" s="1"/>
  <c r="AB121" i="2"/>
  <c r="D122" i="2"/>
  <c r="L121" i="2"/>
  <c r="F121" i="2"/>
  <c r="K121" i="2"/>
  <c r="I121" i="2"/>
  <c r="E121" i="2"/>
  <c r="U121" i="2"/>
  <c r="R121" i="2"/>
  <c r="G121" i="2"/>
  <c r="H121" i="2"/>
  <c r="AH119" i="2"/>
  <c r="AH120" i="2" s="1"/>
  <c r="D123" i="2" l="1"/>
  <c r="F122" i="2"/>
  <c r="L122" i="2"/>
  <c r="K122" i="2"/>
  <c r="E122" i="2"/>
  <c r="R122" i="2"/>
  <c r="U122" i="2"/>
  <c r="H122" i="2"/>
  <c r="G122" i="2"/>
  <c r="I122" i="2"/>
  <c r="N121" i="2"/>
  <c r="AI121" i="2" s="1"/>
  <c r="P121" i="2"/>
  <c r="M122" i="2"/>
  <c r="O122" i="2" s="1"/>
  <c r="Q122" i="2"/>
  <c r="C122" i="2"/>
  <c r="T122" i="2" s="1"/>
  <c r="V122" i="2" s="1"/>
  <c r="AB122" i="2"/>
  <c r="N122" i="2" l="1"/>
  <c r="AI122" i="2" s="1"/>
  <c r="P122" i="2"/>
  <c r="M123" i="2"/>
  <c r="O123" i="2" s="1"/>
  <c r="C123" i="2"/>
  <c r="T123" i="2" s="1"/>
  <c r="V123" i="2" s="1"/>
  <c r="AB123" i="2"/>
  <c r="AH121" i="2"/>
  <c r="AH122" i="2" s="1"/>
  <c r="D124" i="2"/>
  <c r="L123" i="2"/>
  <c r="F123" i="2"/>
  <c r="K123" i="2"/>
  <c r="U123" i="2"/>
  <c r="I123" i="2"/>
  <c r="G123" i="2"/>
  <c r="E123" i="2"/>
  <c r="R123" i="2"/>
  <c r="H123" i="2"/>
  <c r="M124" i="2" l="1"/>
  <c r="O124" i="2" s="1"/>
  <c r="Q124" i="2"/>
  <c r="C124" i="2"/>
  <c r="T124" i="2" s="1"/>
  <c r="V124" i="2" s="1"/>
  <c r="AB124" i="2"/>
  <c r="N123" i="2"/>
  <c r="AI123" i="2" s="1"/>
  <c r="P123" i="2"/>
  <c r="F124" i="2"/>
  <c r="D125" i="2"/>
  <c r="L124" i="2"/>
  <c r="K124" i="2"/>
  <c r="G124" i="2"/>
  <c r="U124" i="2"/>
  <c r="I124" i="2"/>
  <c r="H124" i="2"/>
  <c r="E124" i="2"/>
  <c r="R124" i="2"/>
  <c r="AH123" i="2" l="1"/>
  <c r="M125" i="2"/>
  <c r="O125" i="2" s="1"/>
  <c r="C125" i="2"/>
  <c r="T125" i="2" s="1"/>
  <c r="V125" i="2" s="1"/>
  <c r="AB125" i="2"/>
  <c r="D126" i="2"/>
  <c r="L125" i="2"/>
  <c r="F125" i="2"/>
  <c r="K125" i="2"/>
  <c r="I125" i="2"/>
  <c r="G125" i="2"/>
  <c r="E125" i="2"/>
  <c r="R125" i="2"/>
  <c r="U125" i="2"/>
  <c r="H125" i="2"/>
  <c r="N124" i="2"/>
  <c r="AI124" i="2" s="1"/>
  <c r="P124" i="2"/>
  <c r="M126" i="2" l="1"/>
  <c r="O126" i="2" s="1"/>
  <c r="Q126" i="2"/>
  <c r="C126" i="2"/>
  <c r="T126" i="2" s="1"/>
  <c r="V126" i="2" s="1"/>
  <c r="AB126" i="2"/>
  <c r="D127" i="2"/>
  <c r="L126" i="2"/>
  <c r="F126" i="2"/>
  <c r="K126" i="2"/>
  <c r="E126" i="2"/>
  <c r="U126" i="2"/>
  <c r="R126" i="2"/>
  <c r="I126" i="2"/>
  <c r="G126" i="2"/>
  <c r="H126" i="2"/>
  <c r="N125" i="2"/>
  <c r="AI125" i="2" s="1"/>
  <c r="P125" i="2"/>
  <c r="AH124" i="2"/>
  <c r="AH125" i="2" l="1"/>
  <c r="M127" i="2"/>
  <c r="O127" i="2" s="1"/>
  <c r="AB127" i="2"/>
  <c r="C127" i="2"/>
  <c r="T127" i="2" s="1"/>
  <c r="V127" i="2" s="1"/>
  <c r="D128" i="2"/>
  <c r="L127" i="2"/>
  <c r="F127" i="2"/>
  <c r="E127" i="2"/>
  <c r="R127" i="2"/>
  <c r="G127" i="2"/>
  <c r="U127" i="2"/>
  <c r="I127" i="2"/>
  <c r="K127" i="2"/>
  <c r="H127" i="2"/>
  <c r="N126" i="2"/>
  <c r="AI126" i="2" s="1"/>
  <c r="P126" i="2"/>
  <c r="M128" i="2" l="1"/>
  <c r="O128" i="2" s="1"/>
  <c r="Q128" i="2"/>
  <c r="C128" i="2"/>
  <c r="T128" i="2" s="1"/>
  <c r="V128" i="2" s="1"/>
  <c r="AB128" i="2"/>
  <c r="D129" i="2"/>
  <c r="L128" i="2"/>
  <c r="K128" i="2"/>
  <c r="F128" i="2"/>
  <c r="E128" i="2"/>
  <c r="G128" i="2"/>
  <c r="U128" i="2"/>
  <c r="R128" i="2"/>
  <c r="I128" i="2"/>
  <c r="H128" i="2"/>
  <c r="N127" i="2"/>
  <c r="AI127" i="2" s="1"/>
  <c r="P127" i="2"/>
  <c r="AH126" i="2"/>
  <c r="M129" i="2" l="1"/>
  <c r="O129" i="2" s="1"/>
  <c r="AB129" i="2"/>
  <c r="C129" i="2"/>
  <c r="T129" i="2" s="1"/>
  <c r="V129" i="2" s="1"/>
  <c r="D130" i="2"/>
  <c r="L129" i="2"/>
  <c r="F129" i="2"/>
  <c r="K129" i="2"/>
  <c r="R129" i="2"/>
  <c r="G129" i="2"/>
  <c r="H129" i="2"/>
  <c r="E129" i="2"/>
  <c r="U129" i="2"/>
  <c r="I129" i="2"/>
  <c r="AH127" i="2"/>
  <c r="N128" i="2"/>
  <c r="AI128" i="2" s="1"/>
  <c r="P128" i="2"/>
  <c r="AH128" i="2" l="1"/>
  <c r="M130" i="2"/>
  <c r="O130" i="2" s="1"/>
  <c r="C130" i="2"/>
  <c r="T130" i="2" s="1"/>
  <c r="V130" i="2" s="1"/>
  <c r="Q130" i="2"/>
  <c r="AB130" i="2"/>
  <c r="D131" i="2"/>
  <c r="F130" i="2"/>
  <c r="L130" i="2"/>
  <c r="K130" i="2"/>
  <c r="R130" i="2"/>
  <c r="G130" i="2"/>
  <c r="H130" i="2"/>
  <c r="U130" i="2"/>
  <c r="E130" i="2"/>
  <c r="I130" i="2"/>
  <c r="N129" i="2"/>
  <c r="AI129" i="2" s="1"/>
  <c r="P129" i="2"/>
  <c r="D132" i="2" l="1"/>
  <c r="L131" i="2"/>
  <c r="F131" i="2"/>
  <c r="K131" i="2"/>
  <c r="I131" i="2"/>
  <c r="H131" i="2"/>
  <c r="G131" i="2"/>
  <c r="U131" i="2"/>
  <c r="E131" i="2"/>
  <c r="R131" i="2"/>
  <c r="M131" i="2"/>
  <c r="O131" i="2" s="1"/>
  <c r="AB131" i="2"/>
  <c r="C131" i="2"/>
  <c r="T131" i="2" s="1"/>
  <c r="V131" i="2" s="1"/>
  <c r="N130" i="2"/>
  <c r="AI130" i="2" s="1"/>
  <c r="P130" i="2"/>
  <c r="AH129" i="2"/>
  <c r="AH130" i="2" s="1"/>
  <c r="N131" i="2" l="1"/>
  <c r="AI131" i="2" s="1"/>
  <c r="P131" i="2"/>
  <c r="M132" i="2"/>
  <c r="O132" i="2" s="1"/>
  <c r="C132" i="2"/>
  <c r="T132" i="2" s="1"/>
  <c r="V132" i="2" s="1"/>
  <c r="AB132" i="2"/>
  <c r="Q132" i="2"/>
  <c r="F132" i="2"/>
  <c r="D133" i="2"/>
  <c r="L132" i="2"/>
  <c r="K132" i="2"/>
  <c r="U132" i="2"/>
  <c r="E132" i="2"/>
  <c r="R132" i="2"/>
  <c r="I132" i="2"/>
  <c r="G132" i="2"/>
  <c r="H132" i="2"/>
  <c r="N132" i="2" l="1"/>
  <c r="AI132" i="2" s="1"/>
  <c r="P132" i="2"/>
  <c r="AH131" i="2"/>
  <c r="M133" i="2"/>
  <c r="O133" i="2" s="1"/>
  <c r="AB133" i="2"/>
  <c r="C133" i="2"/>
  <c r="T133" i="2" s="1"/>
  <c r="V133" i="2" s="1"/>
  <c r="D134" i="2"/>
  <c r="L133" i="2"/>
  <c r="F133" i="2"/>
  <c r="K133" i="2"/>
  <c r="H133" i="2"/>
  <c r="U133" i="2"/>
  <c r="E133" i="2"/>
  <c r="R133" i="2"/>
  <c r="I133" i="2"/>
  <c r="G133" i="2"/>
  <c r="AH132" i="2" l="1"/>
  <c r="M134" i="2"/>
  <c r="O134" i="2" s="1"/>
  <c r="C134" i="2"/>
  <c r="T134" i="2" s="1"/>
  <c r="V134" i="2" s="1"/>
  <c r="Q134" i="2"/>
  <c r="AB134" i="2"/>
  <c r="D135" i="2"/>
  <c r="L134" i="2"/>
  <c r="F134" i="2"/>
  <c r="K134" i="2"/>
  <c r="E134" i="2"/>
  <c r="R134" i="2"/>
  <c r="G134" i="2"/>
  <c r="I134" i="2"/>
  <c r="U134" i="2"/>
  <c r="H134" i="2"/>
  <c r="N133" i="2"/>
  <c r="AI133" i="2" s="1"/>
  <c r="P133" i="2"/>
  <c r="D136" i="2" l="1"/>
  <c r="L135" i="2"/>
  <c r="F135" i="2"/>
  <c r="U135" i="2"/>
  <c r="G135" i="2"/>
  <c r="I135" i="2"/>
  <c r="E135" i="2"/>
  <c r="R135" i="2"/>
  <c r="H135" i="2"/>
  <c r="K135" i="2"/>
  <c r="M135" i="2"/>
  <c r="O135" i="2" s="1"/>
  <c r="C135" i="2"/>
  <c r="T135" i="2" s="1"/>
  <c r="V135" i="2" s="1"/>
  <c r="AB135" i="2"/>
  <c r="AH133" i="2"/>
  <c r="N134" i="2"/>
  <c r="AI134" i="2" s="1"/>
  <c r="P134" i="2"/>
  <c r="N135" i="2" l="1"/>
  <c r="AI135" i="2" s="1"/>
  <c r="P135" i="2"/>
  <c r="M136" i="2"/>
  <c r="O136" i="2" s="1"/>
  <c r="Q136" i="2"/>
  <c r="AB136" i="2"/>
  <c r="C136" i="2"/>
  <c r="T136" i="2" s="1"/>
  <c r="V136" i="2" s="1"/>
  <c r="AH134" i="2"/>
  <c r="AH135" i="2" s="1"/>
  <c r="D137" i="2"/>
  <c r="L136" i="2"/>
  <c r="K136" i="2"/>
  <c r="F136" i="2"/>
  <c r="U136" i="2"/>
  <c r="H136" i="2"/>
  <c r="E136" i="2"/>
  <c r="R136" i="2"/>
  <c r="G136" i="2"/>
  <c r="I136" i="2"/>
  <c r="D138" i="2" l="1"/>
  <c r="L137" i="2"/>
  <c r="F137" i="2"/>
  <c r="K137" i="2"/>
  <c r="H137" i="2"/>
  <c r="U137" i="2"/>
  <c r="I137" i="2"/>
  <c r="E137" i="2"/>
  <c r="R137" i="2"/>
  <c r="G137" i="2"/>
  <c r="N136" i="2"/>
  <c r="AI136" i="2" s="1"/>
  <c r="P136" i="2"/>
  <c r="M137" i="2"/>
  <c r="O137" i="2" s="1"/>
  <c r="AB137" i="2"/>
  <c r="C137" i="2"/>
  <c r="T137" i="2" s="1"/>
  <c r="V137" i="2" s="1"/>
  <c r="N137" i="2" l="1"/>
  <c r="AI137" i="2" s="1"/>
  <c r="P137" i="2"/>
  <c r="AH136" i="2"/>
  <c r="AH137" i="2" s="1"/>
  <c r="M138" i="2"/>
  <c r="O138" i="2" s="1"/>
  <c r="Q138" i="2"/>
  <c r="C138" i="2"/>
  <c r="T138" i="2" s="1"/>
  <c r="V138" i="2" s="1"/>
  <c r="AB138" i="2"/>
  <c r="D139" i="2"/>
  <c r="F138" i="2"/>
  <c r="L138" i="2"/>
  <c r="K138" i="2"/>
  <c r="I138" i="2"/>
  <c r="G138" i="2"/>
  <c r="R138" i="2"/>
  <c r="U138" i="2"/>
  <c r="H138" i="2"/>
  <c r="E138" i="2"/>
  <c r="D140" i="2" l="1"/>
  <c r="L139" i="2"/>
  <c r="F139" i="2"/>
  <c r="K139" i="2"/>
  <c r="U139" i="2"/>
  <c r="G139" i="2"/>
  <c r="E139" i="2"/>
  <c r="R139" i="2"/>
  <c r="I139" i="2"/>
  <c r="H139" i="2"/>
  <c r="N138" i="2"/>
  <c r="AI138" i="2" s="1"/>
  <c r="P138" i="2"/>
  <c r="M139" i="2"/>
  <c r="O139" i="2" s="1"/>
  <c r="C139" i="2"/>
  <c r="T139" i="2" s="1"/>
  <c r="V139" i="2" s="1"/>
  <c r="AB139" i="2"/>
  <c r="N139" i="2" l="1"/>
  <c r="AI139" i="2" s="1"/>
  <c r="P139" i="2"/>
  <c r="AH138" i="2"/>
  <c r="AH139" i="2" s="1"/>
  <c r="M140" i="2"/>
  <c r="O140" i="2" s="1"/>
  <c r="AB140" i="2"/>
  <c r="C140" i="2"/>
  <c r="T140" i="2" s="1"/>
  <c r="V140" i="2" s="1"/>
  <c r="Q140" i="2"/>
  <c r="F140" i="2"/>
  <c r="D141" i="2"/>
  <c r="K140" i="2"/>
  <c r="L140" i="2"/>
  <c r="U140" i="2"/>
  <c r="H140" i="2"/>
  <c r="E140" i="2"/>
  <c r="R140" i="2"/>
  <c r="G140" i="2"/>
  <c r="I140" i="2"/>
  <c r="N140" i="2" l="1"/>
  <c r="AI140" i="2" s="1"/>
  <c r="P140" i="2"/>
  <c r="M141" i="2"/>
  <c r="O141" i="2" s="1"/>
  <c r="C141" i="2"/>
  <c r="T141" i="2" s="1"/>
  <c r="V141" i="2" s="1"/>
  <c r="AB141" i="2"/>
  <c r="D142" i="2"/>
  <c r="L141" i="2"/>
  <c r="F141" i="2"/>
  <c r="K141" i="2"/>
  <c r="G141" i="2"/>
  <c r="E141" i="2"/>
  <c r="R141" i="2"/>
  <c r="I141" i="2"/>
  <c r="U141" i="2"/>
  <c r="H141" i="2"/>
  <c r="M142" i="2" l="1"/>
  <c r="O142" i="2" s="1"/>
  <c r="Q142" i="2"/>
  <c r="C142" i="2"/>
  <c r="T142" i="2" s="1"/>
  <c r="V142" i="2" s="1"/>
  <c r="AB142" i="2"/>
  <c r="D143" i="2"/>
  <c r="L142" i="2"/>
  <c r="F142" i="2"/>
  <c r="K142" i="2"/>
  <c r="U142" i="2"/>
  <c r="I142" i="2"/>
  <c r="H142" i="2"/>
  <c r="G142" i="2"/>
  <c r="E142" i="2"/>
  <c r="R142" i="2"/>
  <c r="N141" i="2"/>
  <c r="AI141" i="2" s="1"/>
  <c r="P141" i="2"/>
  <c r="AH140" i="2"/>
  <c r="M143" i="2" l="1"/>
  <c r="O143" i="2" s="1"/>
  <c r="C143" i="2"/>
  <c r="T143" i="2" s="1"/>
  <c r="V143" i="2" s="1"/>
  <c r="AB143" i="2"/>
  <c r="D144" i="2"/>
  <c r="L143" i="2"/>
  <c r="F143" i="2"/>
  <c r="K143" i="2"/>
  <c r="I143" i="2"/>
  <c r="E143" i="2"/>
  <c r="R143" i="2"/>
  <c r="H143" i="2"/>
  <c r="U143" i="2"/>
  <c r="G143" i="2"/>
  <c r="AH141" i="2"/>
  <c r="N142" i="2"/>
  <c r="AI142" i="2" s="1"/>
  <c r="P142" i="2"/>
  <c r="AH142" i="2" l="1"/>
  <c r="M144" i="2"/>
  <c r="O144" i="2" s="1"/>
  <c r="C144" i="2"/>
  <c r="T144" i="2" s="1"/>
  <c r="V144" i="2" s="1"/>
  <c r="Q144" i="2"/>
  <c r="AB144" i="2"/>
  <c r="D145" i="2"/>
  <c r="L144" i="2"/>
  <c r="K144" i="2"/>
  <c r="F144" i="2"/>
  <c r="H144" i="2"/>
  <c r="E144" i="2"/>
  <c r="R144" i="2"/>
  <c r="G144" i="2"/>
  <c r="I144" i="2"/>
  <c r="U144" i="2"/>
  <c r="N143" i="2"/>
  <c r="AI143" i="2" s="1"/>
  <c r="P143" i="2"/>
  <c r="M145" i="2" l="1"/>
  <c r="O145" i="2" s="1"/>
  <c r="AB145" i="2"/>
  <c r="C145" i="2"/>
  <c r="T145" i="2" s="1"/>
  <c r="V145" i="2" s="1"/>
  <c r="D146" i="2"/>
  <c r="L145" i="2"/>
  <c r="F145" i="2"/>
  <c r="K145" i="2"/>
  <c r="R145" i="2"/>
  <c r="E145" i="2"/>
  <c r="U145" i="2"/>
  <c r="H145" i="2"/>
  <c r="I145" i="2"/>
  <c r="G145" i="2"/>
  <c r="N144" i="2"/>
  <c r="AI144" i="2" s="1"/>
  <c r="P144" i="2"/>
  <c r="AH143" i="2"/>
  <c r="AH144" i="2" s="1"/>
  <c r="M146" i="2" l="1"/>
  <c r="O146" i="2" s="1"/>
  <c r="C146" i="2"/>
  <c r="T146" i="2" s="1"/>
  <c r="V146" i="2" s="1"/>
  <c r="Q146" i="2"/>
  <c r="AB146" i="2"/>
  <c r="D147" i="2"/>
  <c r="F146" i="2"/>
  <c r="L146" i="2"/>
  <c r="K146" i="2"/>
  <c r="H146" i="2"/>
  <c r="G146" i="2"/>
  <c r="I146" i="2"/>
  <c r="U146" i="2"/>
  <c r="R146" i="2"/>
  <c r="E146" i="2"/>
  <c r="N145" i="2"/>
  <c r="AI145" i="2" s="1"/>
  <c r="P145" i="2"/>
  <c r="D148" i="2" l="1"/>
  <c r="L147" i="2"/>
  <c r="F147" i="2"/>
  <c r="K147" i="2"/>
  <c r="G147" i="2"/>
  <c r="U147" i="2"/>
  <c r="H147" i="2"/>
  <c r="E147" i="2"/>
  <c r="R147" i="2"/>
  <c r="I147" i="2"/>
  <c r="AH145" i="2"/>
  <c r="M147" i="2"/>
  <c r="O147" i="2" s="1"/>
  <c r="AB147" i="2"/>
  <c r="C147" i="2"/>
  <c r="T147" i="2" s="1"/>
  <c r="V147" i="2" s="1"/>
  <c r="N146" i="2"/>
  <c r="AI146" i="2" s="1"/>
  <c r="P146" i="2"/>
  <c r="N147" i="2" l="1"/>
  <c r="AI147" i="2" s="1"/>
  <c r="P147" i="2"/>
  <c r="AH146" i="2"/>
  <c r="AH147" i="2" s="1"/>
  <c r="M148" i="2"/>
  <c r="O148" i="2" s="1"/>
  <c r="C148" i="2"/>
  <c r="T148" i="2" s="1"/>
  <c r="V148" i="2" s="1"/>
  <c r="AB148" i="2"/>
  <c r="Q148" i="2"/>
  <c r="D149" i="2"/>
  <c r="F148" i="2"/>
  <c r="L148" i="2"/>
  <c r="K148" i="2"/>
  <c r="U148" i="2"/>
  <c r="I148" i="2"/>
  <c r="E148" i="2"/>
  <c r="R148" i="2"/>
  <c r="G148" i="2"/>
  <c r="H148" i="2"/>
  <c r="D150" i="2" l="1"/>
  <c r="L149" i="2"/>
  <c r="F149" i="2"/>
  <c r="K149" i="2"/>
  <c r="H149" i="2"/>
  <c r="U149" i="2"/>
  <c r="E149" i="2"/>
  <c r="G149" i="2"/>
  <c r="R149" i="2"/>
  <c r="I149" i="2"/>
  <c r="N148" i="2"/>
  <c r="AI148" i="2" s="1"/>
  <c r="P148" i="2"/>
  <c r="M149" i="2"/>
  <c r="O149" i="2" s="1"/>
  <c r="AB149" i="2"/>
  <c r="C149" i="2"/>
  <c r="T149" i="2" s="1"/>
  <c r="V149" i="2" s="1"/>
  <c r="AH148" i="2" l="1"/>
  <c r="N149" i="2"/>
  <c r="AI149" i="2" s="1"/>
  <c r="P149" i="2"/>
  <c r="M150" i="2"/>
  <c r="O150" i="2" s="1"/>
  <c r="AB150" i="2"/>
  <c r="Q150" i="2"/>
  <c r="C150" i="2"/>
  <c r="T150" i="2" s="1"/>
  <c r="V150" i="2" s="1"/>
  <c r="D151" i="2"/>
  <c r="L150" i="2"/>
  <c r="F150" i="2"/>
  <c r="K150" i="2"/>
  <c r="I150" i="2"/>
  <c r="G150" i="2"/>
  <c r="E150" i="2"/>
  <c r="R150" i="2"/>
  <c r="U150" i="2"/>
  <c r="H150" i="2"/>
  <c r="D152" i="2" l="1"/>
  <c r="L151" i="2"/>
  <c r="F151" i="2"/>
  <c r="U151" i="2"/>
  <c r="K151" i="2"/>
  <c r="E151" i="2"/>
  <c r="R151" i="2"/>
  <c r="G151" i="2"/>
  <c r="H151" i="2"/>
  <c r="I151" i="2"/>
  <c r="N150" i="2"/>
  <c r="AI150" i="2" s="1"/>
  <c r="P150" i="2"/>
  <c r="M151" i="2"/>
  <c r="O151" i="2" s="1"/>
  <c r="C151" i="2"/>
  <c r="T151" i="2" s="1"/>
  <c r="V151" i="2" s="1"/>
  <c r="AB151" i="2"/>
  <c r="AH149" i="2"/>
  <c r="AH150" i="2" s="1"/>
  <c r="M152" i="2" l="1"/>
  <c r="O152" i="2" s="1"/>
  <c r="Q152" i="2"/>
  <c r="C152" i="2"/>
  <c r="T152" i="2" s="1"/>
  <c r="V152" i="2" s="1"/>
  <c r="AB152" i="2"/>
  <c r="N151" i="2"/>
  <c r="AI151" i="2" s="1"/>
  <c r="P151" i="2"/>
  <c r="D153" i="2"/>
  <c r="L152" i="2"/>
  <c r="K152" i="2"/>
  <c r="G152" i="2"/>
  <c r="E152" i="2"/>
  <c r="R152" i="2"/>
  <c r="F152" i="2"/>
  <c r="U152" i="2"/>
  <c r="I152" i="2"/>
  <c r="H152" i="2"/>
  <c r="D154" i="2" l="1"/>
  <c r="L153" i="2"/>
  <c r="F153" i="2"/>
  <c r="K153" i="2"/>
  <c r="E153" i="2"/>
  <c r="G153" i="2"/>
  <c r="I153" i="2"/>
  <c r="R153" i="2"/>
  <c r="U153" i="2"/>
  <c r="H153" i="2"/>
  <c r="N152" i="2"/>
  <c r="AI152" i="2" s="1"/>
  <c r="P152" i="2"/>
  <c r="M153" i="2"/>
  <c r="O153" i="2" s="1"/>
  <c r="C153" i="2"/>
  <c r="T153" i="2" s="1"/>
  <c r="V153" i="2" s="1"/>
  <c r="AB153" i="2"/>
  <c r="AH151" i="2"/>
  <c r="AH152" i="2" s="1"/>
  <c r="N153" i="2" l="1"/>
  <c r="AI153" i="2" s="1"/>
  <c r="P153" i="2"/>
  <c r="M154" i="2"/>
  <c r="O154" i="2" s="1"/>
  <c r="Q154" i="2"/>
  <c r="AB154" i="2"/>
  <c r="C154" i="2"/>
  <c r="T154" i="2" s="1"/>
  <c r="V154" i="2" s="1"/>
  <c r="D155" i="2"/>
  <c r="F154" i="2"/>
  <c r="L154" i="2"/>
  <c r="K154" i="2"/>
  <c r="E154" i="2"/>
  <c r="R154" i="2"/>
  <c r="H154" i="2"/>
  <c r="U154" i="2"/>
  <c r="G154" i="2"/>
  <c r="I154" i="2"/>
  <c r="D156" i="2" l="1"/>
  <c r="L155" i="2"/>
  <c r="F155" i="2"/>
  <c r="K155" i="2"/>
  <c r="U155" i="2"/>
  <c r="I155" i="2"/>
  <c r="E155" i="2"/>
  <c r="R155" i="2"/>
  <c r="G155" i="2"/>
  <c r="H155" i="2"/>
  <c r="N154" i="2"/>
  <c r="AI154" i="2" s="1"/>
  <c r="P154" i="2"/>
  <c r="M155" i="2"/>
  <c r="O155" i="2" s="1"/>
  <c r="C155" i="2"/>
  <c r="T155" i="2" s="1"/>
  <c r="V155" i="2" s="1"/>
  <c r="AB155" i="2"/>
  <c r="AH153" i="2"/>
  <c r="AH154" i="2" s="1"/>
  <c r="N155" i="2" l="1"/>
  <c r="AI155" i="2" s="1"/>
  <c r="P155" i="2"/>
  <c r="M156" i="2"/>
  <c r="O156" i="2" s="1"/>
  <c r="AB156" i="2"/>
  <c r="Q156" i="2"/>
  <c r="C156" i="2"/>
  <c r="T156" i="2" s="1"/>
  <c r="V156" i="2" s="1"/>
  <c r="D157" i="2"/>
  <c r="F156" i="2"/>
  <c r="L156" i="2"/>
  <c r="K156" i="2"/>
  <c r="I156" i="2"/>
  <c r="H156" i="2"/>
  <c r="E156" i="2"/>
  <c r="R156" i="2"/>
  <c r="G156" i="2"/>
  <c r="U156" i="2"/>
  <c r="D158" i="2" l="1"/>
  <c r="L157" i="2"/>
  <c r="F157" i="2"/>
  <c r="E157" i="2"/>
  <c r="K157" i="2"/>
  <c r="H157" i="2"/>
  <c r="U157" i="2"/>
  <c r="R157" i="2"/>
  <c r="G157" i="2"/>
  <c r="I157" i="2"/>
  <c r="N156" i="2"/>
  <c r="AI156" i="2" s="1"/>
  <c r="P156" i="2"/>
  <c r="M157" i="2"/>
  <c r="O157" i="2" s="1"/>
  <c r="C157" i="2"/>
  <c r="T157" i="2" s="1"/>
  <c r="V157" i="2" s="1"/>
  <c r="AB157" i="2"/>
  <c r="AH155" i="2"/>
  <c r="AH156" i="2" s="1"/>
  <c r="N157" i="2" l="1"/>
  <c r="AI157" i="2" s="1"/>
  <c r="P157" i="2"/>
  <c r="M158" i="2"/>
  <c r="O158" i="2" s="1"/>
  <c r="Q158" i="2"/>
  <c r="AB158" i="2"/>
  <c r="C158" i="2"/>
  <c r="T158" i="2" s="1"/>
  <c r="V158" i="2" s="1"/>
  <c r="D159" i="2"/>
  <c r="L158" i="2"/>
  <c r="F158" i="2"/>
  <c r="E158" i="2"/>
  <c r="R158" i="2"/>
  <c r="H158" i="2"/>
  <c r="K158" i="2"/>
  <c r="I158" i="2"/>
  <c r="G158" i="2"/>
  <c r="U158" i="2"/>
  <c r="D160" i="2" l="1"/>
  <c r="L159" i="2"/>
  <c r="F159" i="2"/>
  <c r="U159" i="2"/>
  <c r="I159" i="2"/>
  <c r="E159" i="2"/>
  <c r="R159" i="2"/>
  <c r="G159" i="2"/>
  <c r="K159" i="2"/>
  <c r="H159" i="2"/>
  <c r="N158" i="2"/>
  <c r="AI158" i="2" s="1"/>
  <c r="P158" i="2"/>
  <c r="M159" i="2"/>
  <c r="O159" i="2" s="1"/>
  <c r="AB159" i="2"/>
  <c r="C159" i="2"/>
  <c r="T159" i="2" s="1"/>
  <c r="V159" i="2" s="1"/>
  <c r="AH157" i="2"/>
  <c r="AH158" i="2" s="1"/>
  <c r="N159" i="2" l="1"/>
  <c r="AI159" i="2" s="1"/>
  <c r="P159" i="2"/>
  <c r="M160" i="2"/>
  <c r="O160" i="2" s="1"/>
  <c r="Q160" i="2"/>
  <c r="C160" i="2"/>
  <c r="T160" i="2" s="1"/>
  <c r="V160" i="2" s="1"/>
  <c r="AB160" i="2"/>
  <c r="D161" i="2"/>
  <c r="L160" i="2"/>
  <c r="K160" i="2"/>
  <c r="E160" i="2"/>
  <c r="F160" i="2"/>
  <c r="R160" i="2"/>
  <c r="U160" i="2"/>
  <c r="H160" i="2"/>
  <c r="I160" i="2"/>
  <c r="G160" i="2"/>
  <c r="AH159" i="2" l="1"/>
  <c r="D162" i="2"/>
  <c r="L161" i="2"/>
  <c r="U161" i="2"/>
  <c r="K161" i="2"/>
  <c r="E161" i="2"/>
  <c r="F161" i="2"/>
  <c r="R161" i="2"/>
  <c r="I161" i="2"/>
  <c r="G161" i="2"/>
  <c r="H161" i="2"/>
  <c r="N160" i="2"/>
  <c r="AI160" i="2" s="1"/>
  <c r="P160" i="2"/>
  <c r="M161" i="2"/>
  <c r="O161" i="2" s="1"/>
  <c r="C161" i="2"/>
  <c r="T161" i="2" s="1"/>
  <c r="V161" i="2" s="1"/>
  <c r="AB161" i="2"/>
  <c r="AH160" i="2" l="1"/>
  <c r="N161" i="2"/>
  <c r="AI161" i="2" s="1"/>
  <c r="P161" i="2"/>
  <c r="M162" i="2"/>
  <c r="O162" i="2" s="1"/>
  <c r="Q162" i="2"/>
  <c r="AB162" i="2"/>
  <c r="C162" i="2"/>
  <c r="T162" i="2" s="1"/>
  <c r="V162" i="2" s="1"/>
  <c r="D163" i="2"/>
  <c r="L162" i="2"/>
  <c r="I162" i="2"/>
  <c r="K162" i="2"/>
  <c r="H162" i="2"/>
  <c r="F162" i="2"/>
  <c r="U162" i="2"/>
  <c r="E162" i="2"/>
  <c r="R162" i="2"/>
  <c r="G162" i="2"/>
  <c r="AH161" i="2" l="1"/>
  <c r="D164" i="2"/>
  <c r="L163" i="2"/>
  <c r="E163" i="2"/>
  <c r="R163" i="2"/>
  <c r="I163" i="2"/>
  <c r="K163" i="2"/>
  <c r="G163" i="2"/>
  <c r="F163" i="2"/>
  <c r="H163" i="2"/>
  <c r="U163" i="2"/>
  <c r="N162" i="2"/>
  <c r="AI162" i="2" s="1"/>
  <c r="P162" i="2"/>
  <c r="M163" i="2"/>
  <c r="O163" i="2" s="1"/>
  <c r="C163" i="2"/>
  <c r="T163" i="2" s="1"/>
  <c r="V163" i="2" s="1"/>
  <c r="AB163" i="2"/>
  <c r="AH162" i="2" l="1"/>
  <c r="N163" i="2"/>
  <c r="AI163" i="2" s="1"/>
  <c r="P163" i="2"/>
  <c r="M164" i="2"/>
  <c r="O164" i="2" s="1"/>
  <c r="Q164" i="2"/>
  <c r="C164" i="2"/>
  <c r="T164" i="2" s="1"/>
  <c r="V164" i="2" s="1"/>
  <c r="AB164" i="2"/>
  <c r="D165" i="2"/>
  <c r="U164" i="2"/>
  <c r="H164" i="2"/>
  <c r="K164" i="2"/>
  <c r="E164" i="2"/>
  <c r="L164" i="2"/>
  <c r="F164" i="2"/>
  <c r="R164" i="2"/>
  <c r="G164" i="2"/>
  <c r="I164" i="2"/>
  <c r="AH163" i="2" l="1"/>
  <c r="D166" i="2"/>
  <c r="L165" i="2"/>
  <c r="E165" i="2"/>
  <c r="R165" i="2"/>
  <c r="I165" i="2"/>
  <c r="H165" i="2"/>
  <c r="K165" i="2"/>
  <c r="F165" i="2"/>
  <c r="U165" i="2"/>
  <c r="G165" i="2"/>
  <c r="N164" i="2"/>
  <c r="AI164" i="2" s="1"/>
  <c r="P164" i="2"/>
  <c r="M165" i="2"/>
  <c r="O165" i="2" s="1"/>
  <c r="AB165" i="2"/>
  <c r="C165" i="2"/>
  <c r="T165" i="2" s="1"/>
  <c r="V165" i="2" s="1"/>
  <c r="AH164" i="2" l="1"/>
  <c r="N165" i="2"/>
  <c r="AI165" i="2" s="1"/>
  <c r="P165" i="2"/>
  <c r="M166" i="2"/>
  <c r="O166" i="2" s="1"/>
  <c r="Q166" i="2"/>
  <c r="C166" i="2"/>
  <c r="T166" i="2" s="1"/>
  <c r="V166" i="2" s="1"/>
  <c r="AB166" i="2"/>
  <c r="D167" i="2"/>
  <c r="L166" i="2"/>
  <c r="H166" i="2"/>
  <c r="G166" i="2"/>
  <c r="I166" i="2"/>
  <c r="E166" i="2"/>
  <c r="K166" i="2"/>
  <c r="R166" i="2"/>
  <c r="U166" i="2"/>
  <c r="F166" i="2"/>
  <c r="AH165" i="2" l="1"/>
  <c r="D168" i="2"/>
  <c r="L167" i="2"/>
  <c r="F167" i="2"/>
  <c r="I167" i="2"/>
  <c r="G167" i="2"/>
  <c r="H167" i="2"/>
  <c r="U167" i="2"/>
  <c r="E167" i="2"/>
  <c r="R167" i="2"/>
  <c r="K167" i="2"/>
  <c r="N166" i="2"/>
  <c r="AI166" i="2" s="1"/>
  <c r="P166" i="2"/>
  <c r="M167" i="2"/>
  <c r="O167" i="2" s="1"/>
  <c r="AB167" i="2"/>
  <c r="C167" i="2"/>
  <c r="T167" i="2" s="1"/>
  <c r="V167" i="2" s="1"/>
  <c r="AH166" i="2" l="1"/>
  <c r="N167" i="2"/>
  <c r="AI167" i="2" s="1"/>
  <c r="P167" i="2"/>
  <c r="AB168" i="2"/>
  <c r="C168" i="2"/>
  <c r="T168" i="2" s="1"/>
  <c r="V168" i="2" s="1"/>
  <c r="Q168" i="2"/>
  <c r="M168" i="2"/>
  <c r="O168" i="2" s="1"/>
  <c r="D169" i="2"/>
  <c r="L168" i="2"/>
  <c r="K168" i="2"/>
  <c r="F168" i="2"/>
  <c r="U168" i="2"/>
  <c r="E168" i="2"/>
  <c r="I168" i="2"/>
  <c r="G168" i="2"/>
  <c r="R168" i="2"/>
  <c r="H168" i="2"/>
  <c r="N168" i="2" l="1"/>
  <c r="AI168" i="2" s="1"/>
  <c r="P168" i="2"/>
  <c r="D170" i="2"/>
  <c r="L169" i="2"/>
  <c r="K169" i="2"/>
  <c r="F169" i="2"/>
  <c r="U169" i="2"/>
  <c r="G169" i="2"/>
  <c r="H169" i="2"/>
  <c r="I169" i="2"/>
  <c r="E169" i="2"/>
  <c r="R169" i="2"/>
  <c r="M169" i="2"/>
  <c r="O169" i="2" s="1"/>
  <c r="AB169" i="2"/>
  <c r="C169" i="2"/>
  <c r="T169" i="2" s="1"/>
  <c r="V169" i="2" s="1"/>
  <c r="AH167" i="2"/>
  <c r="AH168" i="2" s="1"/>
  <c r="N169" i="2" l="1"/>
  <c r="AI169" i="2" s="1"/>
  <c r="P169" i="2"/>
  <c r="M170" i="2"/>
  <c r="O170" i="2" s="1"/>
  <c r="C170" i="2"/>
  <c r="T170" i="2" s="1"/>
  <c r="V170" i="2" s="1"/>
  <c r="Q170" i="2"/>
  <c r="AB170" i="2"/>
  <c r="D171" i="2"/>
  <c r="L170" i="2"/>
  <c r="R170" i="2"/>
  <c r="H170" i="2"/>
  <c r="K170" i="2"/>
  <c r="U170" i="2"/>
  <c r="F170" i="2"/>
  <c r="G170" i="2"/>
  <c r="I170" i="2"/>
  <c r="E170" i="2"/>
  <c r="D172" i="2" l="1"/>
  <c r="L171" i="2"/>
  <c r="U171" i="2"/>
  <c r="G171" i="2"/>
  <c r="K171" i="2"/>
  <c r="E171" i="2"/>
  <c r="F171" i="2"/>
  <c r="R171" i="2"/>
  <c r="I171" i="2"/>
  <c r="H171" i="2"/>
  <c r="N170" i="2"/>
  <c r="AI170" i="2" s="1"/>
  <c r="P170" i="2"/>
  <c r="M171" i="2"/>
  <c r="O171" i="2" s="1"/>
  <c r="C171" i="2"/>
  <c r="T171" i="2" s="1"/>
  <c r="V171" i="2" s="1"/>
  <c r="AB171" i="2"/>
  <c r="AH169" i="2"/>
  <c r="AH170" i="2" s="1"/>
  <c r="N171" i="2" l="1"/>
  <c r="AI171" i="2" s="1"/>
  <c r="P171" i="2"/>
  <c r="M172" i="2"/>
  <c r="O172" i="2" s="1"/>
  <c r="Q172" i="2"/>
  <c r="C172" i="2"/>
  <c r="T172" i="2" s="1"/>
  <c r="V172" i="2" s="1"/>
  <c r="AB172" i="2"/>
  <c r="AH171" i="2"/>
  <c r="D173" i="2"/>
  <c r="G172" i="2"/>
  <c r="I172" i="2"/>
  <c r="L172" i="2"/>
  <c r="E172" i="2"/>
  <c r="R172" i="2"/>
  <c r="K172" i="2"/>
  <c r="U172" i="2"/>
  <c r="F172" i="2"/>
  <c r="H172" i="2"/>
  <c r="D174" i="2" l="1"/>
  <c r="L173" i="2"/>
  <c r="U173" i="2"/>
  <c r="G173" i="2"/>
  <c r="E173" i="2"/>
  <c r="R173" i="2"/>
  <c r="I173" i="2"/>
  <c r="K173" i="2"/>
  <c r="H173" i="2"/>
  <c r="F173" i="2"/>
  <c r="M173" i="2"/>
  <c r="O173" i="2" s="1"/>
  <c r="C173" i="2"/>
  <c r="T173" i="2" s="1"/>
  <c r="V173" i="2" s="1"/>
  <c r="AB173" i="2"/>
  <c r="N172" i="2"/>
  <c r="AI172" i="2" s="1"/>
  <c r="P172" i="2"/>
  <c r="N173" i="2" l="1"/>
  <c r="AI173" i="2" s="1"/>
  <c r="P173" i="2"/>
  <c r="M174" i="2"/>
  <c r="O174" i="2" s="1"/>
  <c r="Q174" i="2"/>
  <c r="AB174" i="2"/>
  <c r="C174" i="2"/>
  <c r="T174" i="2" s="1"/>
  <c r="V174" i="2" s="1"/>
  <c r="AH172" i="2"/>
  <c r="AH173" i="2" s="1"/>
  <c r="D175" i="2"/>
  <c r="L174" i="2"/>
  <c r="U174" i="2"/>
  <c r="H174" i="2"/>
  <c r="E174" i="2"/>
  <c r="R174" i="2"/>
  <c r="K174" i="2"/>
  <c r="I174" i="2"/>
  <c r="G174" i="2"/>
  <c r="F174" i="2"/>
  <c r="D176" i="2" l="1"/>
  <c r="L175" i="2"/>
  <c r="F175" i="2"/>
  <c r="U175" i="2"/>
  <c r="I175" i="2"/>
  <c r="G175" i="2"/>
  <c r="E175" i="2"/>
  <c r="R175" i="2"/>
  <c r="K175" i="2"/>
  <c r="H175" i="2"/>
  <c r="P174" i="2"/>
  <c r="N174" i="2"/>
  <c r="AI174" i="2" s="1"/>
  <c r="M175" i="2"/>
  <c r="O175" i="2" s="1"/>
  <c r="AB175" i="2"/>
  <c r="C175" i="2"/>
  <c r="T175" i="2" s="1"/>
  <c r="V175" i="2" s="1"/>
  <c r="AH174" i="2" l="1"/>
  <c r="Q176" i="2"/>
  <c r="AB176" i="2"/>
  <c r="M176" i="2"/>
  <c r="O176" i="2" s="1"/>
  <c r="C176" i="2"/>
  <c r="T176" i="2" s="1"/>
  <c r="V176" i="2" s="1"/>
  <c r="N175" i="2"/>
  <c r="AI175" i="2" s="1"/>
  <c r="P175" i="2"/>
  <c r="D177" i="2"/>
  <c r="L176" i="2"/>
  <c r="K176" i="2"/>
  <c r="F176" i="2"/>
  <c r="H176" i="2"/>
  <c r="G176" i="2"/>
  <c r="E176" i="2"/>
  <c r="R176" i="2"/>
  <c r="I176" i="2"/>
  <c r="U176" i="2"/>
  <c r="D178" i="2" l="1"/>
  <c r="L177" i="2"/>
  <c r="U177" i="2"/>
  <c r="K177" i="2"/>
  <c r="G177" i="2"/>
  <c r="F177" i="2"/>
  <c r="E177" i="2"/>
  <c r="R177" i="2"/>
  <c r="I177" i="2"/>
  <c r="H177" i="2"/>
  <c r="N176" i="2"/>
  <c r="AI176" i="2" s="1"/>
  <c r="P176" i="2"/>
  <c r="M177" i="2"/>
  <c r="O177" i="2" s="1"/>
  <c r="C177" i="2"/>
  <c r="T177" i="2" s="1"/>
  <c r="V177" i="2" s="1"/>
  <c r="AB177" i="2"/>
  <c r="AH175" i="2"/>
  <c r="AH176" i="2" s="1"/>
  <c r="N177" i="2" l="1"/>
  <c r="AI177" i="2" s="1"/>
  <c r="P177" i="2"/>
  <c r="M178" i="2"/>
  <c r="O178" i="2" s="1"/>
  <c r="AB178" i="2"/>
  <c r="C178" i="2"/>
  <c r="T178" i="2" s="1"/>
  <c r="V178" i="2" s="1"/>
  <c r="Q178" i="2"/>
  <c r="D179" i="2"/>
  <c r="L178" i="2"/>
  <c r="H178" i="2"/>
  <c r="K178" i="2"/>
  <c r="I178" i="2"/>
  <c r="F178" i="2"/>
  <c r="E178" i="2"/>
  <c r="R178" i="2"/>
  <c r="G178" i="2"/>
  <c r="U178" i="2"/>
  <c r="D180" i="2" l="1"/>
  <c r="L179" i="2"/>
  <c r="E179" i="2"/>
  <c r="R179" i="2"/>
  <c r="G179" i="2"/>
  <c r="K179" i="2"/>
  <c r="I179" i="2"/>
  <c r="F179" i="2"/>
  <c r="H179" i="2"/>
  <c r="U179" i="2"/>
  <c r="N178" i="2"/>
  <c r="AI178" i="2" s="1"/>
  <c r="P178" i="2"/>
  <c r="M179" i="2"/>
  <c r="O179" i="2" s="1"/>
  <c r="C179" i="2"/>
  <c r="T179" i="2" s="1"/>
  <c r="V179" i="2" s="1"/>
  <c r="AB179" i="2"/>
  <c r="AH177" i="2"/>
  <c r="AH178" i="2" s="1"/>
  <c r="M180" i="2" l="1"/>
  <c r="O180" i="2" s="1"/>
  <c r="C180" i="2"/>
  <c r="T180" i="2" s="1"/>
  <c r="V180" i="2" s="1"/>
  <c r="Q180" i="2"/>
  <c r="AB180" i="2"/>
  <c r="N179" i="2"/>
  <c r="AI179" i="2" s="1"/>
  <c r="P179" i="2"/>
  <c r="D181" i="2"/>
  <c r="E180" i="2"/>
  <c r="R180" i="2"/>
  <c r="G180" i="2"/>
  <c r="I180" i="2"/>
  <c r="K180" i="2"/>
  <c r="H180" i="2"/>
  <c r="F180" i="2"/>
  <c r="U180" i="2"/>
  <c r="L180" i="2"/>
  <c r="D182" i="2" l="1"/>
  <c r="L181" i="2"/>
  <c r="H181" i="2"/>
  <c r="I181" i="2"/>
  <c r="U181" i="2"/>
  <c r="K181" i="2"/>
  <c r="E181" i="2"/>
  <c r="F181" i="2"/>
  <c r="R181" i="2"/>
  <c r="G181" i="2"/>
  <c r="N180" i="2"/>
  <c r="AI180" i="2" s="1"/>
  <c r="P180" i="2"/>
  <c r="M181" i="2"/>
  <c r="O181" i="2" s="1"/>
  <c r="AB181" i="2"/>
  <c r="C181" i="2"/>
  <c r="T181" i="2" s="1"/>
  <c r="V181" i="2" s="1"/>
  <c r="AH179" i="2"/>
  <c r="AH180" i="2" s="1"/>
  <c r="N181" i="2" l="1"/>
  <c r="AI181" i="2" s="1"/>
  <c r="P181" i="2"/>
  <c r="M182" i="2"/>
  <c r="O182" i="2" s="1"/>
  <c r="AB182" i="2"/>
  <c r="C182" i="2"/>
  <c r="T182" i="2" s="1"/>
  <c r="V182" i="2" s="1"/>
  <c r="Q182" i="2"/>
  <c r="D183" i="2"/>
  <c r="L182" i="2"/>
  <c r="H182" i="2"/>
  <c r="U182" i="2"/>
  <c r="G182" i="2"/>
  <c r="E182" i="2"/>
  <c r="R182" i="2"/>
  <c r="K182" i="2"/>
  <c r="I182" i="2"/>
  <c r="F182" i="2"/>
  <c r="D184" i="2" l="1"/>
  <c r="L183" i="2"/>
  <c r="F183" i="2"/>
  <c r="R183" i="2"/>
  <c r="G183" i="2"/>
  <c r="H183" i="2"/>
  <c r="U183" i="2"/>
  <c r="I183" i="2"/>
  <c r="E183" i="2"/>
  <c r="K183" i="2"/>
  <c r="N182" i="2"/>
  <c r="AI182" i="2" s="1"/>
  <c r="P182" i="2"/>
  <c r="M183" i="2"/>
  <c r="O183" i="2" s="1"/>
  <c r="AB183" i="2"/>
  <c r="C183" i="2"/>
  <c r="T183" i="2" s="1"/>
  <c r="V183" i="2" s="1"/>
  <c r="AH181" i="2"/>
  <c r="AH182" i="2" s="1"/>
  <c r="M184" i="2" l="1"/>
  <c r="O184" i="2" s="1"/>
  <c r="C184" i="2"/>
  <c r="T184" i="2" s="1"/>
  <c r="V184" i="2" s="1"/>
  <c r="Q184" i="2"/>
  <c r="AB184" i="2"/>
  <c r="N183" i="2"/>
  <c r="AI183" i="2" s="1"/>
  <c r="P183" i="2"/>
  <c r="D185" i="2"/>
  <c r="L184" i="2"/>
  <c r="K184" i="2"/>
  <c r="R184" i="2"/>
  <c r="F184" i="2"/>
  <c r="I184" i="2"/>
  <c r="U184" i="2"/>
  <c r="H184" i="2"/>
  <c r="G184" i="2"/>
  <c r="E184" i="2"/>
  <c r="N184" i="2" l="1"/>
  <c r="AI184" i="2" s="1"/>
  <c r="P184" i="2"/>
  <c r="D186" i="2"/>
  <c r="L185" i="2"/>
  <c r="K185" i="2"/>
  <c r="F185" i="2"/>
  <c r="U185" i="2"/>
  <c r="I185" i="2"/>
  <c r="G185" i="2"/>
  <c r="H185" i="2"/>
  <c r="E185" i="2"/>
  <c r="R185" i="2"/>
  <c r="M185" i="2"/>
  <c r="O185" i="2" s="1"/>
  <c r="AB185" i="2"/>
  <c r="C185" i="2"/>
  <c r="T185" i="2" s="1"/>
  <c r="V185" i="2" s="1"/>
  <c r="AH183" i="2"/>
  <c r="AH184" i="2" s="1"/>
  <c r="N185" i="2" l="1"/>
  <c r="AI185" i="2" s="1"/>
  <c r="P185" i="2"/>
  <c r="M186" i="2"/>
  <c r="O186" i="2" s="1"/>
  <c r="C186" i="2"/>
  <c r="T186" i="2" s="1"/>
  <c r="V186" i="2" s="1"/>
  <c r="Q186" i="2"/>
  <c r="AB186" i="2"/>
  <c r="D187" i="2"/>
  <c r="L186" i="2"/>
  <c r="E186" i="2"/>
  <c r="R186" i="2"/>
  <c r="K186" i="2"/>
  <c r="U186" i="2"/>
  <c r="F186" i="2"/>
  <c r="H186" i="2"/>
  <c r="I186" i="2"/>
  <c r="G186" i="2"/>
  <c r="D188" i="2" l="1"/>
  <c r="L187" i="2"/>
  <c r="H187" i="2"/>
  <c r="K187" i="2"/>
  <c r="U187" i="2"/>
  <c r="F187" i="2"/>
  <c r="G187" i="2"/>
  <c r="I187" i="2"/>
  <c r="E187" i="2"/>
  <c r="R187" i="2"/>
  <c r="N186" i="2"/>
  <c r="AI186" i="2" s="1"/>
  <c r="P186" i="2"/>
  <c r="M187" i="2"/>
  <c r="O187" i="2" s="1"/>
  <c r="AB187" i="2"/>
  <c r="C187" i="2"/>
  <c r="T187" i="2" s="1"/>
  <c r="V187" i="2" s="1"/>
  <c r="AH185" i="2"/>
  <c r="AH186" i="2" s="1"/>
  <c r="N187" i="2" l="1"/>
  <c r="AI187" i="2" s="1"/>
  <c r="P187" i="2"/>
  <c r="M188" i="2"/>
  <c r="O188" i="2" s="1"/>
  <c r="Q188" i="2"/>
  <c r="C188" i="2"/>
  <c r="T188" i="2" s="1"/>
  <c r="V188" i="2" s="1"/>
  <c r="AB188" i="2"/>
  <c r="D189" i="2"/>
  <c r="I188" i="2"/>
  <c r="E188" i="2"/>
  <c r="R188" i="2"/>
  <c r="G188" i="2"/>
  <c r="L188" i="2"/>
  <c r="K188" i="2"/>
  <c r="U188" i="2"/>
  <c r="F188" i="2"/>
  <c r="H188" i="2"/>
  <c r="D190" i="2" l="1"/>
  <c r="L189" i="2"/>
  <c r="U189" i="2"/>
  <c r="I189" i="2"/>
  <c r="H189" i="2"/>
  <c r="E189" i="2"/>
  <c r="R189" i="2"/>
  <c r="K189" i="2"/>
  <c r="G189" i="2"/>
  <c r="F189" i="2"/>
  <c r="N188" i="2"/>
  <c r="AI188" i="2" s="1"/>
  <c r="P188" i="2"/>
  <c r="M189" i="2"/>
  <c r="O189" i="2" s="1"/>
  <c r="C189" i="2"/>
  <c r="T189" i="2" s="1"/>
  <c r="V189" i="2" s="1"/>
  <c r="AB189" i="2"/>
  <c r="AH187" i="2"/>
  <c r="AH188" i="2" s="1"/>
  <c r="N189" i="2" l="1"/>
  <c r="AI189" i="2" s="1"/>
  <c r="P189" i="2"/>
  <c r="M190" i="2"/>
  <c r="O190" i="2" s="1"/>
  <c r="Q190" i="2"/>
  <c r="AB190" i="2"/>
  <c r="C190" i="2"/>
  <c r="T190" i="2" s="1"/>
  <c r="V190" i="2" s="1"/>
  <c r="D191" i="2"/>
  <c r="L190" i="2"/>
  <c r="U190" i="2"/>
  <c r="I190" i="2"/>
  <c r="G190" i="2"/>
  <c r="H190" i="2"/>
  <c r="K190" i="2"/>
  <c r="E190" i="2"/>
  <c r="F190" i="2"/>
  <c r="R190" i="2"/>
  <c r="P190" i="2" l="1"/>
  <c r="N190" i="2"/>
  <c r="AI190" i="2" s="1"/>
  <c r="D192" i="2"/>
  <c r="L191" i="2"/>
  <c r="F191" i="2"/>
  <c r="U191" i="2"/>
  <c r="E191" i="2"/>
  <c r="R191" i="2"/>
  <c r="I191" i="2"/>
  <c r="G191" i="2"/>
  <c r="H191" i="2"/>
  <c r="K191" i="2"/>
  <c r="M191" i="2"/>
  <c r="O191" i="2" s="1"/>
  <c r="AB191" i="2"/>
  <c r="C191" i="2"/>
  <c r="T191" i="2" s="1"/>
  <c r="V191" i="2" s="1"/>
  <c r="AH189" i="2"/>
  <c r="AH190" i="2" s="1"/>
  <c r="N191" i="2" l="1"/>
  <c r="AI191" i="2" s="1"/>
  <c r="P191" i="2"/>
  <c r="Q192" i="2"/>
  <c r="AB192" i="2"/>
  <c r="C192" i="2"/>
  <c r="T192" i="2" s="1"/>
  <c r="V192" i="2" s="1"/>
  <c r="M192" i="2"/>
  <c r="O192" i="2" s="1"/>
  <c r="D193" i="2"/>
  <c r="L192" i="2"/>
  <c r="K192" i="2"/>
  <c r="I192" i="2"/>
  <c r="F192" i="2"/>
  <c r="G192" i="2"/>
  <c r="H192" i="2"/>
  <c r="U192" i="2"/>
  <c r="E192" i="2"/>
  <c r="R192" i="2"/>
  <c r="AH191" i="2"/>
  <c r="M193" i="2" l="1"/>
  <c r="O193" i="2" s="1"/>
  <c r="C193" i="2"/>
  <c r="T193" i="2" s="1"/>
  <c r="V193" i="2" s="1"/>
  <c r="AB193" i="2"/>
  <c r="N192" i="2"/>
  <c r="AI192" i="2" s="1"/>
  <c r="P192" i="2"/>
  <c r="D194" i="2"/>
  <c r="L193" i="2"/>
  <c r="U193" i="2"/>
  <c r="K193" i="2"/>
  <c r="I193" i="2"/>
  <c r="F193" i="2"/>
  <c r="G193" i="2"/>
  <c r="E193" i="2"/>
  <c r="R193" i="2"/>
  <c r="H193" i="2"/>
  <c r="D195" i="2" l="1"/>
  <c r="L194" i="2"/>
  <c r="R194" i="2"/>
  <c r="U194" i="2"/>
  <c r="K194" i="2"/>
  <c r="F194" i="2"/>
  <c r="H194" i="2"/>
  <c r="G194" i="2"/>
  <c r="I194" i="2"/>
  <c r="E194" i="2"/>
  <c r="AH192" i="2"/>
  <c r="M194" i="2"/>
  <c r="O194" i="2" s="1"/>
  <c r="Q194" i="2"/>
  <c r="C194" i="2"/>
  <c r="T194" i="2" s="1"/>
  <c r="V194" i="2" s="1"/>
  <c r="AB194" i="2"/>
  <c r="N193" i="2"/>
  <c r="AI193" i="2" s="1"/>
  <c r="P193" i="2"/>
  <c r="N194" i="2" l="1"/>
  <c r="AI194" i="2" s="1"/>
  <c r="P194" i="2"/>
  <c r="AH193" i="2"/>
  <c r="AH194" i="2" s="1"/>
  <c r="M195" i="2"/>
  <c r="O195" i="2" s="1"/>
  <c r="C195" i="2"/>
  <c r="T195" i="2" s="1"/>
  <c r="V195" i="2" s="1"/>
  <c r="AB195" i="2"/>
  <c r="D196" i="2"/>
  <c r="L195" i="2"/>
  <c r="I195" i="2"/>
  <c r="E195" i="2"/>
  <c r="R195" i="2"/>
  <c r="K195" i="2"/>
  <c r="G195" i="2"/>
  <c r="F195" i="2"/>
  <c r="H195" i="2"/>
  <c r="U195" i="2"/>
  <c r="M196" i="2" l="1"/>
  <c r="O196" i="2" s="1"/>
  <c r="C196" i="2"/>
  <c r="T196" i="2" s="1"/>
  <c r="V196" i="2" s="1"/>
  <c r="Q196" i="2"/>
  <c r="AB196" i="2"/>
  <c r="D197" i="2"/>
  <c r="H196" i="2"/>
  <c r="L196" i="2"/>
  <c r="E196" i="2"/>
  <c r="R196" i="2"/>
  <c r="I196" i="2"/>
  <c r="K196" i="2"/>
  <c r="G196" i="2"/>
  <c r="F196" i="2"/>
  <c r="U196" i="2"/>
  <c r="N195" i="2"/>
  <c r="AI195" i="2" s="1"/>
  <c r="P195" i="2"/>
  <c r="M197" i="2" l="1"/>
  <c r="O197" i="2" s="1"/>
  <c r="AB197" i="2"/>
  <c r="C197" i="2"/>
  <c r="T197" i="2" s="1"/>
  <c r="V197" i="2" s="1"/>
  <c r="D198" i="2"/>
  <c r="L197" i="2"/>
  <c r="G197" i="2"/>
  <c r="E197" i="2"/>
  <c r="R197" i="2"/>
  <c r="H197" i="2"/>
  <c r="K197" i="2"/>
  <c r="F197" i="2"/>
  <c r="U197" i="2"/>
  <c r="I197" i="2"/>
  <c r="AH195" i="2"/>
  <c r="N196" i="2"/>
  <c r="AI196" i="2" s="1"/>
  <c r="P196" i="2"/>
  <c r="AH196" i="2" l="1"/>
  <c r="D199" i="2"/>
  <c r="L198" i="2"/>
  <c r="H198" i="2"/>
  <c r="G198" i="2"/>
  <c r="I198" i="2"/>
  <c r="E198" i="2"/>
  <c r="R198" i="2"/>
  <c r="K198" i="2"/>
  <c r="F198" i="2"/>
  <c r="U198" i="2"/>
  <c r="M198" i="2"/>
  <c r="O198" i="2" s="1"/>
  <c r="C198" i="2"/>
  <c r="T198" i="2" s="1"/>
  <c r="V198" i="2" s="1"/>
  <c r="Q198" i="2"/>
  <c r="AB198" i="2"/>
  <c r="N197" i="2"/>
  <c r="AI197" i="2" s="1"/>
  <c r="P197" i="2"/>
  <c r="N198" i="2" l="1"/>
  <c r="AI198" i="2" s="1"/>
  <c r="P198" i="2"/>
  <c r="M199" i="2"/>
  <c r="O199" i="2" s="1"/>
  <c r="AB199" i="2"/>
  <c r="C199" i="2"/>
  <c r="T199" i="2" s="1"/>
  <c r="V199" i="2" s="1"/>
  <c r="D200" i="2"/>
  <c r="L199" i="2"/>
  <c r="F199" i="2"/>
  <c r="U199" i="2"/>
  <c r="H199" i="2"/>
  <c r="G199" i="2"/>
  <c r="I199" i="2"/>
  <c r="E199" i="2"/>
  <c r="R199" i="2"/>
  <c r="K199" i="2"/>
  <c r="AH197" i="2"/>
  <c r="AH198" i="2" s="1"/>
  <c r="D201" i="2" l="1"/>
  <c r="L200" i="2"/>
  <c r="K200" i="2"/>
  <c r="H200" i="2"/>
  <c r="F200" i="2"/>
  <c r="G200" i="2"/>
  <c r="E200" i="2"/>
  <c r="R200" i="2"/>
  <c r="U200" i="2"/>
  <c r="I200" i="2"/>
  <c r="N199" i="2"/>
  <c r="AI199" i="2" s="1"/>
  <c r="P199" i="2"/>
  <c r="C200" i="2"/>
  <c r="T200" i="2" s="1"/>
  <c r="V200" i="2" s="1"/>
  <c r="M200" i="2"/>
  <c r="O200" i="2" s="1"/>
  <c r="Q200" i="2"/>
  <c r="AB200" i="2"/>
  <c r="N200" i="2" l="1"/>
  <c r="AI200" i="2" s="1"/>
  <c r="P200" i="2"/>
  <c r="M201" i="2"/>
  <c r="O201" i="2" s="1"/>
  <c r="AB201" i="2"/>
  <c r="C201" i="2"/>
  <c r="T201" i="2" s="1"/>
  <c r="V201" i="2" s="1"/>
  <c r="D202" i="2"/>
  <c r="L201" i="2"/>
  <c r="R201" i="2"/>
  <c r="K201" i="2"/>
  <c r="F201" i="2"/>
  <c r="H201" i="2"/>
  <c r="U201" i="2"/>
  <c r="I201" i="2"/>
  <c r="G201" i="2"/>
  <c r="E201" i="2"/>
  <c r="AH199" i="2"/>
  <c r="AH200" i="2" s="1"/>
  <c r="D203" i="2" l="1"/>
  <c r="L202" i="2"/>
  <c r="I202" i="2"/>
  <c r="K202" i="2"/>
  <c r="E202" i="2"/>
  <c r="F202" i="2"/>
  <c r="R202" i="2"/>
  <c r="G202" i="2"/>
  <c r="U202" i="2"/>
  <c r="H202" i="2"/>
  <c r="M202" i="2"/>
  <c r="O202" i="2" s="1"/>
  <c r="C202" i="2"/>
  <c r="T202" i="2" s="1"/>
  <c r="V202" i="2" s="1"/>
  <c r="AB202" i="2"/>
  <c r="Q202" i="2"/>
  <c r="N201" i="2"/>
  <c r="AI201" i="2" s="1"/>
  <c r="P201" i="2"/>
  <c r="M203" i="2" l="1"/>
  <c r="O203" i="2" s="1"/>
  <c r="AB203" i="2"/>
  <c r="C203" i="2"/>
  <c r="T203" i="2" s="1"/>
  <c r="V203" i="2" s="1"/>
  <c r="D204" i="2"/>
  <c r="L203" i="2"/>
  <c r="H203" i="2"/>
  <c r="K203" i="2"/>
  <c r="U203" i="2"/>
  <c r="F203" i="2"/>
  <c r="G203" i="2"/>
  <c r="I203" i="2"/>
  <c r="E203" i="2"/>
  <c r="R203" i="2"/>
  <c r="N202" i="2"/>
  <c r="AI202" i="2" s="1"/>
  <c r="P202" i="2"/>
  <c r="AH201" i="2"/>
  <c r="AH202" i="2" s="1"/>
  <c r="M204" i="2" l="1"/>
  <c r="O204" i="2" s="1"/>
  <c r="Q204" i="2"/>
  <c r="AB204" i="2"/>
  <c r="C204" i="2"/>
  <c r="T204" i="2" s="1"/>
  <c r="V204" i="2" s="1"/>
  <c r="I204" i="2"/>
  <c r="D205" i="2"/>
  <c r="U204" i="2"/>
  <c r="K204" i="2"/>
  <c r="E204" i="2"/>
  <c r="F204" i="2"/>
  <c r="R204" i="2"/>
  <c r="L204" i="2"/>
  <c r="H204" i="2"/>
  <c r="G204" i="2"/>
  <c r="N203" i="2"/>
  <c r="AI203" i="2" s="1"/>
  <c r="P203" i="2"/>
  <c r="D206" i="2" l="1"/>
  <c r="L205" i="2"/>
  <c r="H205" i="2"/>
  <c r="U205" i="2"/>
  <c r="E205" i="2"/>
  <c r="R205" i="2"/>
  <c r="K205" i="2"/>
  <c r="I205" i="2"/>
  <c r="F205" i="2"/>
  <c r="G205" i="2"/>
  <c r="M205" i="2"/>
  <c r="O205" i="2" s="1"/>
  <c r="AB205" i="2"/>
  <c r="C205" i="2"/>
  <c r="T205" i="2" s="1"/>
  <c r="V205" i="2" s="1"/>
  <c r="N204" i="2"/>
  <c r="AI204" i="2" s="1"/>
  <c r="P204" i="2"/>
  <c r="AH203" i="2"/>
  <c r="AH204" i="2" l="1"/>
  <c r="N205" i="2"/>
  <c r="AI205" i="2" s="1"/>
  <c r="P205" i="2"/>
  <c r="M206" i="2"/>
  <c r="O206" i="2" s="1"/>
  <c r="AB206" i="2"/>
  <c r="Q206" i="2"/>
  <c r="C206" i="2"/>
  <c r="T206" i="2" s="1"/>
  <c r="V206" i="2" s="1"/>
  <c r="AH205" i="2"/>
  <c r="D207" i="2"/>
  <c r="L206" i="2"/>
  <c r="I206" i="2"/>
  <c r="H206" i="2"/>
  <c r="U206" i="2"/>
  <c r="E206" i="2"/>
  <c r="K206" i="2"/>
  <c r="R206" i="2"/>
  <c r="F206" i="2"/>
  <c r="G206" i="2"/>
  <c r="D208" i="2" l="1"/>
  <c r="L207" i="2"/>
  <c r="F207" i="2"/>
  <c r="U207" i="2"/>
  <c r="E207" i="2"/>
  <c r="R207" i="2"/>
  <c r="G207" i="2"/>
  <c r="I207" i="2"/>
  <c r="K207" i="2"/>
  <c r="H207" i="2"/>
  <c r="P206" i="2"/>
  <c r="N206" i="2"/>
  <c r="AI206" i="2" s="1"/>
  <c r="M207" i="2"/>
  <c r="O207" i="2" s="1"/>
  <c r="AB207" i="2"/>
  <c r="C207" i="2"/>
  <c r="T207" i="2" s="1"/>
  <c r="V207" i="2" s="1"/>
  <c r="N207" i="2" l="1"/>
  <c r="AI207" i="2" s="1"/>
  <c r="P207" i="2"/>
  <c r="M208" i="2"/>
  <c r="O208" i="2" s="1"/>
  <c r="Q208" i="2"/>
  <c r="C208" i="2"/>
  <c r="T208" i="2" s="1"/>
  <c r="V208" i="2" s="1"/>
  <c r="AB208" i="2"/>
  <c r="AH206" i="2"/>
  <c r="AH207" i="2" s="1"/>
  <c r="D209" i="2"/>
  <c r="L208" i="2"/>
  <c r="K208" i="2"/>
  <c r="R208" i="2"/>
  <c r="F208" i="2"/>
  <c r="G208" i="2"/>
  <c r="U208" i="2"/>
  <c r="H208" i="2"/>
  <c r="I208" i="2"/>
  <c r="E208" i="2"/>
  <c r="D210" i="2" l="1"/>
  <c r="L209" i="2"/>
  <c r="U209" i="2"/>
  <c r="K209" i="2"/>
  <c r="I209" i="2"/>
  <c r="F209" i="2"/>
  <c r="E209" i="2"/>
  <c r="R209" i="2"/>
  <c r="G209" i="2"/>
  <c r="H209" i="2"/>
  <c r="N208" i="2"/>
  <c r="AI208" i="2" s="1"/>
  <c r="P208" i="2"/>
  <c r="M209" i="2"/>
  <c r="O209" i="2" s="1"/>
  <c r="C209" i="2"/>
  <c r="T209" i="2" s="1"/>
  <c r="V209" i="2" s="1"/>
  <c r="AB209" i="2"/>
  <c r="N209" i="2" l="1"/>
  <c r="AI209" i="2" s="1"/>
  <c r="P209" i="2"/>
  <c r="AH208" i="2"/>
  <c r="AH209" i="2" s="1"/>
  <c r="M210" i="2"/>
  <c r="O210" i="2" s="1"/>
  <c r="AB210" i="2"/>
  <c r="C210" i="2"/>
  <c r="T210" i="2" s="1"/>
  <c r="V210" i="2" s="1"/>
  <c r="Q210" i="2"/>
  <c r="D211" i="2"/>
  <c r="L210" i="2"/>
  <c r="I210" i="2"/>
  <c r="K210" i="2"/>
  <c r="E210" i="2"/>
  <c r="F210" i="2"/>
  <c r="R210" i="2"/>
  <c r="H210" i="2"/>
  <c r="G210" i="2"/>
  <c r="U210" i="2"/>
  <c r="D212" i="2" l="1"/>
  <c r="L211" i="2"/>
  <c r="E211" i="2"/>
  <c r="R211" i="2"/>
  <c r="I211" i="2"/>
  <c r="K211" i="2"/>
  <c r="F211" i="2"/>
  <c r="U211" i="2"/>
  <c r="G211" i="2"/>
  <c r="H211" i="2"/>
  <c r="N210" i="2"/>
  <c r="AI210" i="2" s="1"/>
  <c r="P210" i="2"/>
  <c r="M211" i="2"/>
  <c r="O211" i="2" s="1"/>
  <c r="C211" i="2"/>
  <c r="T211" i="2" s="1"/>
  <c r="V211" i="2" s="1"/>
  <c r="AB211" i="2"/>
  <c r="N211" i="2" l="1"/>
  <c r="AI211" i="2" s="1"/>
  <c r="P211" i="2"/>
  <c r="AH210" i="2"/>
  <c r="AH211" i="2" s="1"/>
  <c r="M212" i="2"/>
  <c r="O212" i="2" s="1"/>
  <c r="C212" i="2"/>
  <c r="T212" i="2" s="1"/>
  <c r="V212" i="2" s="1"/>
  <c r="Q212" i="2"/>
  <c r="AB212" i="2"/>
  <c r="D213" i="2"/>
  <c r="I212" i="2"/>
  <c r="G212" i="2"/>
  <c r="E212" i="2"/>
  <c r="L212" i="2"/>
  <c r="R212" i="2"/>
  <c r="K212" i="2"/>
  <c r="H212" i="2"/>
  <c r="F212" i="2"/>
  <c r="U212" i="2"/>
  <c r="D214" i="2" l="1"/>
  <c r="L213" i="2"/>
  <c r="G213" i="2"/>
  <c r="E213" i="2"/>
  <c r="R213" i="2"/>
  <c r="H213" i="2"/>
  <c r="K213" i="2"/>
  <c r="F213" i="2"/>
  <c r="U213" i="2"/>
  <c r="I213" i="2"/>
  <c r="N212" i="2"/>
  <c r="AI212" i="2" s="1"/>
  <c r="P212" i="2"/>
  <c r="M213" i="2"/>
  <c r="O213" i="2" s="1"/>
  <c r="AB213" i="2"/>
  <c r="C213" i="2"/>
  <c r="T213" i="2" s="1"/>
  <c r="V213" i="2" s="1"/>
  <c r="AH212" i="2" l="1"/>
  <c r="N213" i="2"/>
  <c r="AI213" i="2" s="1"/>
  <c r="P213" i="2"/>
  <c r="M214" i="2"/>
  <c r="O214" i="2" s="1"/>
  <c r="C214" i="2"/>
  <c r="T214" i="2" s="1"/>
  <c r="V214" i="2" s="1"/>
  <c r="Q214" i="2"/>
  <c r="AB214" i="2"/>
  <c r="D215" i="2"/>
  <c r="L214" i="2"/>
  <c r="E214" i="2"/>
  <c r="R214" i="2"/>
  <c r="H214" i="2"/>
  <c r="G214" i="2"/>
  <c r="U214" i="2"/>
  <c r="K214" i="2"/>
  <c r="I214" i="2"/>
  <c r="F214" i="2"/>
  <c r="D216" i="2" l="1"/>
  <c r="L215" i="2"/>
  <c r="F215" i="2"/>
  <c r="I215" i="2"/>
  <c r="U215" i="2"/>
  <c r="E215" i="2"/>
  <c r="R215" i="2"/>
  <c r="H215" i="2"/>
  <c r="K215" i="2"/>
  <c r="G215" i="2"/>
  <c r="N214" i="2"/>
  <c r="AI214" i="2" s="1"/>
  <c r="P214" i="2"/>
  <c r="M215" i="2"/>
  <c r="O215" i="2" s="1"/>
  <c r="AB215" i="2"/>
  <c r="C215" i="2"/>
  <c r="T215" i="2" s="1"/>
  <c r="V215" i="2" s="1"/>
  <c r="AH213" i="2"/>
  <c r="AH214" i="2" s="1"/>
  <c r="N215" i="2" l="1"/>
  <c r="AI215" i="2" s="1"/>
  <c r="P215" i="2"/>
  <c r="C216" i="2"/>
  <c r="T216" i="2" s="1"/>
  <c r="V216" i="2" s="1"/>
  <c r="AB216" i="2"/>
  <c r="M216" i="2"/>
  <c r="O216" i="2" s="1"/>
  <c r="Q216" i="2"/>
  <c r="D217" i="2"/>
  <c r="L216" i="2"/>
  <c r="K216" i="2"/>
  <c r="H216" i="2"/>
  <c r="F216" i="2"/>
  <c r="E216" i="2"/>
  <c r="R216" i="2"/>
  <c r="I216" i="2"/>
  <c r="G216" i="2"/>
  <c r="U216" i="2"/>
  <c r="D218" i="2" l="1"/>
  <c r="L217" i="2"/>
  <c r="R217" i="2"/>
  <c r="K217" i="2"/>
  <c r="F217" i="2"/>
  <c r="H217" i="2"/>
  <c r="U217" i="2"/>
  <c r="E217" i="2"/>
  <c r="G217" i="2"/>
  <c r="I217" i="2"/>
  <c r="N216" i="2"/>
  <c r="AI216" i="2" s="1"/>
  <c r="P216" i="2"/>
  <c r="M217" i="2"/>
  <c r="O217" i="2" s="1"/>
  <c r="AB217" i="2"/>
  <c r="C217" i="2"/>
  <c r="T217" i="2" s="1"/>
  <c r="V217" i="2" s="1"/>
  <c r="AH215" i="2"/>
  <c r="AH216" i="2" s="1"/>
  <c r="N217" i="2" l="1"/>
  <c r="AI217" i="2" s="1"/>
  <c r="P217" i="2"/>
  <c r="M218" i="2"/>
  <c r="O218" i="2" s="1"/>
  <c r="C218" i="2"/>
  <c r="T218" i="2" s="1"/>
  <c r="V218" i="2" s="1"/>
  <c r="Q218" i="2"/>
  <c r="AB218" i="2"/>
  <c r="D219" i="2"/>
  <c r="L218" i="2"/>
  <c r="E218" i="2"/>
  <c r="R218" i="2"/>
  <c r="K218" i="2"/>
  <c r="U218" i="2"/>
  <c r="F218" i="2"/>
  <c r="H218" i="2"/>
  <c r="G218" i="2"/>
  <c r="I218" i="2"/>
  <c r="D220" i="2" l="1"/>
  <c r="L219" i="2"/>
  <c r="U219" i="2"/>
  <c r="H219" i="2"/>
  <c r="K219" i="2"/>
  <c r="G219" i="2"/>
  <c r="F219" i="2"/>
  <c r="E219" i="2"/>
  <c r="R219" i="2"/>
  <c r="I219" i="2"/>
  <c r="N218" i="2"/>
  <c r="AI218" i="2" s="1"/>
  <c r="P218" i="2"/>
  <c r="M219" i="2"/>
  <c r="O219" i="2" s="1"/>
  <c r="C219" i="2"/>
  <c r="T219" i="2" s="1"/>
  <c r="V219" i="2" s="1"/>
  <c r="AB219" i="2"/>
  <c r="AH217" i="2"/>
  <c r="AH218" i="2" s="1"/>
  <c r="N219" i="2" l="1"/>
  <c r="AI219" i="2" s="1"/>
  <c r="P219" i="2"/>
  <c r="M220" i="2"/>
  <c r="O220" i="2" s="1"/>
  <c r="Q220" i="2"/>
  <c r="AB220" i="2"/>
  <c r="C220" i="2"/>
  <c r="T220" i="2" s="1"/>
  <c r="V220" i="2" s="1"/>
  <c r="D221" i="2"/>
  <c r="L220" i="2"/>
  <c r="H220" i="2"/>
  <c r="U220" i="2"/>
  <c r="K220" i="2"/>
  <c r="I220" i="2"/>
  <c r="F220" i="2"/>
  <c r="G220" i="2"/>
  <c r="E220" i="2"/>
  <c r="R220" i="2"/>
  <c r="D222" i="2" l="1"/>
  <c r="L221" i="2"/>
  <c r="H221" i="2"/>
  <c r="U221" i="2"/>
  <c r="E221" i="2"/>
  <c r="G221" i="2"/>
  <c r="K221" i="2"/>
  <c r="I221" i="2"/>
  <c r="F221" i="2"/>
  <c r="R221" i="2"/>
  <c r="N220" i="2"/>
  <c r="AI220" i="2" s="1"/>
  <c r="P220" i="2"/>
  <c r="M221" i="2"/>
  <c r="O221" i="2" s="1"/>
  <c r="AB221" i="2"/>
  <c r="C221" i="2"/>
  <c r="T221" i="2" s="1"/>
  <c r="V221" i="2" s="1"/>
  <c r="AH219" i="2"/>
  <c r="AH220" i="2" s="1"/>
  <c r="N221" i="2" l="1"/>
  <c r="AI221" i="2" s="1"/>
  <c r="P221" i="2"/>
  <c r="M222" i="2"/>
  <c r="O222" i="2" s="1"/>
  <c r="Q222" i="2"/>
  <c r="AB222" i="2"/>
  <c r="C222" i="2"/>
  <c r="T222" i="2" s="1"/>
  <c r="V222" i="2" s="1"/>
  <c r="D223" i="2"/>
  <c r="L222" i="2"/>
  <c r="U222" i="2"/>
  <c r="I222" i="2"/>
  <c r="H222" i="2"/>
  <c r="E222" i="2"/>
  <c r="K222" i="2"/>
  <c r="R222" i="2"/>
  <c r="F222" i="2"/>
  <c r="G222" i="2"/>
  <c r="D224" i="2" l="1"/>
  <c r="L223" i="2"/>
  <c r="F223" i="2"/>
  <c r="I223" i="2"/>
  <c r="H223" i="2"/>
  <c r="E223" i="2"/>
  <c r="R223" i="2"/>
  <c r="G223" i="2"/>
  <c r="K223" i="2"/>
  <c r="U223" i="2"/>
  <c r="N222" i="2"/>
  <c r="AI222" i="2" s="1"/>
  <c r="P222" i="2"/>
  <c r="M223" i="2"/>
  <c r="O223" i="2" s="1"/>
  <c r="C223" i="2"/>
  <c r="T223" i="2" s="1"/>
  <c r="V223" i="2" s="1"/>
  <c r="AB223" i="2"/>
  <c r="AH221" i="2"/>
  <c r="AH222" i="2" s="1"/>
  <c r="Q224" i="2" l="1"/>
  <c r="AB224" i="2"/>
  <c r="M224" i="2"/>
  <c r="O224" i="2" s="1"/>
  <c r="C224" i="2"/>
  <c r="T224" i="2" s="1"/>
  <c r="V224" i="2" s="1"/>
  <c r="N223" i="2"/>
  <c r="AI223" i="2" s="1"/>
  <c r="P223" i="2"/>
  <c r="D225" i="2"/>
  <c r="L224" i="2"/>
  <c r="K224" i="2"/>
  <c r="F224" i="2"/>
  <c r="I224" i="2"/>
  <c r="E224" i="2"/>
  <c r="R224" i="2"/>
  <c r="G224" i="2"/>
  <c r="H224" i="2"/>
  <c r="U224" i="2"/>
  <c r="D226" i="2" l="1"/>
  <c r="L225" i="2"/>
  <c r="G225" i="2"/>
  <c r="K225" i="2"/>
  <c r="E225" i="2"/>
  <c r="F225" i="2"/>
  <c r="R225" i="2"/>
  <c r="H225" i="2"/>
  <c r="U225" i="2"/>
  <c r="I225" i="2"/>
  <c r="N224" i="2"/>
  <c r="AI224" i="2" s="1"/>
  <c r="P224" i="2"/>
  <c r="M225" i="2"/>
  <c r="O225" i="2" s="1"/>
  <c r="C225" i="2"/>
  <c r="T225" i="2" s="1"/>
  <c r="V225" i="2" s="1"/>
  <c r="AB225" i="2"/>
  <c r="AH223" i="2"/>
  <c r="AH224" i="2" l="1"/>
  <c r="M226" i="2"/>
  <c r="O226" i="2" s="1"/>
  <c r="AB226" i="2"/>
  <c r="C226" i="2"/>
  <c r="T226" i="2" s="1"/>
  <c r="V226" i="2" s="1"/>
  <c r="Q226" i="2"/>
  <c r="N225" i="2"/>
  <c r="AI225" i="2" s="1"/>
  <c r="P225" i="2"/>
  <c r="D227" i="2"/>
  <c r="L226" i="2"/>
  <c r="R226" i="2"/>
  <c r="H226" i="2"/>
  <c r="K226" i="2"/>
  <c r="F226" i="2"/>
  <c r="U226" i="2"/>
  <c r="I226" i="2"/>
  <c r="G226" i="2"/>
  <c r="E226" i="2"/>
  <c r="D228" i="2" l="1"/>
  <c r="L227" i="2"/>
  <c r="I227" i="2"/>
  <c r="E227" i="2"/>
  <c r="R227" i="2"/>
  <c r="K227" i="2"/>
  <c r="G227" i="2"/>
  <c r="F227" i="2"/>
  <c r="H227" i="2"/>
  <c r="U227" i="2"/>
  <c r="N226" i="2"/>
  <c r="AI226" i="2" s="1"/>
  <c r="P226" i="2"/>
  <c r="M227" i="2"/>
  <c r="O227" i="2" s="1"/>
  <c r="C227" i="2"/>
  <c r="T227" i="2" s="1"/>
  <c r="V227" i="2" s="1"/>
  <c r="AB227" i="2"/>
  <c r="AH225" i="2"/>
  <c r="AH226" i="2" s="1"/>
  <c r="N227" i="2" l="1"/>
  <c r="AI227" i="2" s="1"/>
  <c r="P227" i="2"/>
  <c r="M228" i="2"/>
  <c r="O228" i="2" s="1"/>
  <c r="Q228" i="2"/>
  <c r="C228" i="2"/>
  <c r="T228" i="2" s="1"/>
  <c r="V228" i="2" s="1"/>
  <c r="AB228" i="2"/>
  <c r="AH227" i="2"/>
  <c r="D229" i="2"/>
  <c r="U228" i="2"/>
  <c r="H228" i="2"/>
  <c r="K228" i="2"/>
  <c r="I228" i="2"/>
  <c r="L228" i="2"/>
  <c r="F228" i="2"/>
  <c r="E228" i="2"/>
  <c r="R228" i="2"/>
  <c r="G228" i="2"/>
  <c r="D230" i="2" l="1"/>
  <c r="L229" i="2"/>
  <c r="R229" i="2"/>
  <c r="G229" i="2"/>
  <c r="I229" i="2"/>
  <c r="H229" i="2"/>
  <c r="K229" i="2"/>
  <c r="F229" i="2"/>
  <c r="U229" i="2"/>
  <c r="E229" i="2"/>
  <c r="N228" i="2"/>
  <c r="AI228" i="2" s="1"/>
  <c r="P228" i="2"/>
  <c r="M229" i="2"/>
  <c r="O229" i="2" s="1"/>
  <c r="AB229" i="2"/>
  <c r="C229" i="2"/>
  <c r="T229" i="2" s="1"/>
  <c r="V229" i="2" s="1"/>
  <c r="N229" i="2" l="1"/>
  <c r="AI229" i="2" s="1"/>
  <c r="P229" i="2"/>
  <c r="AH228" i="2"/>
  <c r="M230" i="2"/>
  <c r="O230" i="2" s="1"/>
  <c r="Q230" i="2"/>
  <c r="C230" i="2"/>
  <c r="T230" i="2" s="1"/>
  <c r="V230" i="2" s="1"/>
  <c r="AB230" i="2"/>
  <c r="D231" i="2"/>
  <c r="L230" i="2"/>
  <c r="H230" i="2"/>
  <c r="I230" i="2"/>
  <c r="E230" i="2"/>
  <c r="R230" i="2"/>
  <c r="K230" i="2"/>
  <c r="G230" i="2"/>
  <c r="F230" i="2"/>
  <c r="U230" i="2"/>
  <c r="AH229" i="2" l="1"/>
  <c r="D232" i="2"/>
  <c r="L231" i="2"/>
  <c r="F231" i="2"/>
  <c r="E231" i="2"/>
  <c r="R231" i="2"/>
  <c r="H231" i="2"/>
  <c r="U231" i="2"/>
  <c r="G231" i="2"/>
  <c r="K231" i="2"/>
  <c r="I231" i="2"/>
  <c r="N230" i="2"/>
  <c r="AI230" i="2" s="1"/>
  <c r="P230" i="2"/>
  <c r="M231" i="2"/>
  <c r="O231" i="2" s="1"/>
  <c r="AB231" i="2"/>
  <c r="C231" i="2"/>
  <c r="T231" i="2" s="1"/>
  <c r="V231" i="2" s="1"/>
  <c r="AH230" i="2" l="1"/>
  <c r="N231" i="2"/>
  <c r="AI231" i="2" s="1"/>
  <c r="P231" i="2"/>
  <c r="AB232" i="2"/>
  <c r="C232" i="2"/>
  <c r="T232" i="2" s="1"/>
  <c r="V232" i="2" s="1"/>
  <c r="Q232" i="2"/>
  <c r="M232" i="2"/>
  <c r="O232" i="2" s="1"/>
  <c r="D233" i="2"/>
  <c r="L232" i="2"/>
  <c r="K232" i="2"/>
  <c r="F232" i="2"/>
  <c r="U232" i="2"/>
  <c r="G232" i="2"/>
  <c r="I232" i="2"/>
  <c r="E232" i="2"/>
  <c r="R232" i="2"/>
  <c r="H232" i="2"/>
  <c r="AH231" i="2" l="1"/>
  <c r="D234" i="2"/>
  <c r="L233" i="2"/>
  <c r="R233" i="2"/>
  <c r="K233" i="2"/>
  <c r="F233" i="2"/>
  <c r="H233" i="2"/>
  <c r="U233" i="2"/>
  <c r="G233" i="2"/>
  <c r="I233" i="2"/>
  <c r="E233" i="2"/>
  <c r="N232" i="2"/>
  <c r="AI232" i="2" s="1"/>
  <c r="P232" i="2"/>
  <c r="M233" i="2"/>
  <c r="O233" i="2" s="1"/>
  <c r="AB233" i="2"/>
  <c r="C233" i="2"/>
  <c r="T233" i="2" s="1"/>
  <c r="V233" i="2" s="1"/>
  <c r="AH232" i="2" l="1"/>
  <c r="M234" i="2"/>
  <c r="O234" i="2" s="1"/>
  <c r="C234" i="2"/>
  <c r="T234" i="2" s="1"/>
  <c r="V234" i="2" s="1"/>
  <c r="Q234" i="2"/>
  <c r="AB234" i="2"/>
  <c r="N233" i="2"/>
  <c r="AI233" i="2" s="1"/>
  <c r="P233" i="2"/>
  <c r="D235" i="2"/>
  <c r="L234" i="2"/>
  <c r="U234" i="2"/>
  <c r="G234" i="2"/>
  <c r="K234" i="2"/>
  <c r="E234" i="2"/>
  <c r="F234" i="2"/>
  <c r="R234" i="2"/>
  <c r="I234" i="2"/>
  <c r="H234" i="2"/>
  <c r="D236" i="2" l="1"/>
  <c r="L235" i="2"/>
  <c r="H235" i="2"/>
  <c r="K235" i="2"/>
  <c r="U235" i="2"/>
  <c r="F235" i="2"/>
  <c r="E235" i="2"/>
  <c r="R235" i="2"/>
  <c r="I235" i="2"/>
  <c r="G235" i="2"/>
  <c r="N234" i="2"/>
  <c r="AI234" i="2" s="1"/>
  <c r="P234" i="2"/>
  <c r="M235" i="2"/>
  <c r="O235" i="2" s="1"/>
  <c r="AB235" i="2"/>
  <c r="C235" i="2"/>
  <c r="T235" i="2" s="1"/>
  <c r="V235" i="2" s="1"/>
  <c r="AH233" i="2"/>
  <c r="AH234" i="2" s="1"/>
  <c r="N235" i="2" l="1"/>
  <c r="AI235" i="2" s="1"/>
  <c r="P235" i="2"/>
  <c r="M236" i="2"/>
  <c r="O236" i="2" s="1"/>
  <c r="Q236" i="2"/>
  <c r="AB236" i="2"/>
  <c r="C236" i="2"/>
  <c r="T236" i="2" s="1"/>
  <c r="V236" i="2" s="1"/>
  <c r="D237" i="2"/>
  <c r="I236" i="2"/>
  <c r="U236" i="2"/>
  <c r="L236" i="2"/>
  <c r="K236" i="2"/>
  <c r="G236" i="2"/>
  <c r="F236" i="2"/>
  <c r="H236" i="2"/>
  <c r="E236" i="2"/>
  <c r="R236" i="2"/>
  <c r="D238" i="2" l="1"/>
  <c r="L237" i="2"/>
  <c r="U237" i="2"/>
  <c r="G237" i="2"/>
  <c r="H237" i="2"/>
  <c r="E237" i="2"/>
  <c r="R237" i="2"/>
  <c r="K237" i="2"/>
  <c r="I237" i="2"/>
  <c r="F237" i="2"/>
  <c r="N236" i="2"/>
  <c r="AI236" i="2" s="1"/>
  <c r="P236" i="2"/>
  <c r="M237" i="2"/>
  <c r="O237" i="2" s="1"/>
  <c r="C237" i="2"/>
  <c r="T237" i="2" s="1"/>
  <c r="V237" i="2" s="1"/>
  <c r="AB237" i="2"/>
  <c r="AH235" i="2"/>
  <c r="AH236" i="2" s="1"/>
  <c r="M238" i="2" l="1"/>
  <c r="O238" i="2" s="1"/>
  <c r="Q238" i="2"/>
  <c r="C238" i="2"/>
  <c r="T238" i="2" s="1"/>
  <c r="V238" i="2" s="1"/>
  <c r="AB238" i="2"/>
  <c r="N237" i="2"/>
  <c r="AI237" i="2" s="1"/>
  <c r="P237" i="2"/>
  <c r="D239" i="2"/>
  <c r="L238" i="2"/>
  <c r="R238" i="2"/>
  <c r="I238" i="2"/>
  <c r="G238" i="2"/>
  <c r="U238" i="2"/>
  <c r="H238" i="2"/>
  <c r="K238" i="2"/>
  <c r="E238" i="2"/>
  <c r="F238" i="2"/>
  <c r="D240" i="2" l="1"/>
  <c r="L239" i="2"/>
  <c r="F239" i="2"/>
  <c r="U239" i="2"/>
  <c r="G239" i="2"/>
  <c r="I239" i="2"/>
  <c r="E239" i="2"/>
  <c r="R239" i="2"/>
  <c r="H239" i="2"/>
  <c r="K239" i="2"/>
  <c r="P238" i="2"/>
  <c r="N238" i="2"/>
  <c r="AI238" i="2" s="1"/>
  <c r="M239" i="2"/>
  <c r="O239" i="2" s="1"/>
  <c r="AB239" i="2"/>
  <c r="C239" i="2"/>
  <c r="T239" i="2" s="1"/>
  <c r="V239" i="2" s="1"/>
  <c r="AH237" i="2"/>
  <c r="AH238" i="2" s="1"/>
  <c r="N239" i="2" l="1"/>
  <c r="AI239" i="2" s="1"/>
  <c r="P239" i="2"/>
  <c r="Q240" i="2"/>
  <c r="M240" i="2"/>
  <c r="O240" i="2" s="1"/>
  <c r="C240" i="2"/>
  <c r="T240" i="2" s="1"/>
  <c r="V240" i="2" s="1"/>
  <c r="AB240" i="2"/>
  <c r="D241" i="2"/>
  <c r="L240" i="2"/>
  <c r="K240" i="2"/>
  <c r="R240" i="2"/>
  <c r="F240" i="2"/>
  <c r="G240" i="2"/>
  <c r="U240" i="2"/>
  <c r="H240" i="2"/>
  <c r="I240" i="2"/>
  <c r="E240" i="2"/>
  <c r="AH239" i="2" l="1"/>
  <c r="D242" i="2"/>
  <c r="L241" i="2"/>
  <c r="U241" i="2"/>
  <c r="K241" i="2"/>
  <c r="E241" i="2"/>
  <c r="F241" i="2"/>
  <c r="R241" i="2"/>
  <c r="G241" i="2"/>
  <c r="I241" i="2"/>
  <c r="H241" i="2"/>
  <c r="N240" i="2"/>
  <c r="AI240" i="2" s="1"/>
  <c r="P240" i="2"/>
  <c r="M241" i="2"/>
  <c r="O241" i="2" s="1"/>
  <c r="C241" i="2"/>
  <c r="T241" i="2" s="1"/>
  <c r="V241" i="2" s="1"/>
  <c r="AB241" i="2"/>
  <c r="AH240" i="2" l="1"/>
  <c r="N241" i="2"/>
  <c r="AI241" i="2" s="1"/>
  <c r="P241" i="2"/>
  <c r="M242" i="2"/>
  <c r="O242" i="2" s="1"/>
  <c r="AB242" i="2"/>
  <c r="C242" i="2"/>
  <c r="T242" i="2" s="1"/>
  <c r="V242" i="2" s="1"/>
  <c r="Q242" i="2"/>
  <c r="D243" i="2"/>
  <c r="L242" i="2"/>
  <c r="E242" i="2"/>
  <c r="K242" i="2"/>
  <c r="I242" i="2"/>
  <c r="F242" i="2"/>
  <c r="H242" i="2"/>
  <c r="G242" i="2"/>
  <c r="R242" i="2"/>
  <c r="U242" i="2"/>
  <c r="AH241" i="2" l="1"/>
  <c r="D244" i="2"/>
  <c r="L243" i="2"/>
  <c r="E243" i="2"/>
  <c r="R243" i="2"/>
  <c r="I243" i="2"/>
  <c r="K243" i="2"/>
  <c r="F243" i="2"/>
  <c r="U243" i="2"/>
  <c r="G243" i="2"/>
  <c r="H243" i="2"/>
  <c r="N242" i="2"/>
  <c r="AI242" i="2" s="1"/>
  <c r="P242" i="2"/>
  <c r="M243" i="2"/>
  <c r="O243" i="2" s="1"/>
  <c r="C243" i="2"/>
  <c r="T243" i="2" s="1"/>
  <c r="V243" i="2" s="1"/>
  <c r="AB243" i="2"/>
  <c r="N243" i="2" l="1"/>
  <c r="AI243" i="2" s="1"/>
  <c r="P243" i="2"/>
  <c r="AH242" i="2"/>
  <c r="M244" i="2"/>
  <c r="O244" i="2" s="1"/>
  <c r="Q244" i="2"/>
  <c r="C244" i="2"/>
  <c r="T244" i="2" s="1"/>
  <c r="V244" i="2" s="1"/>
  <c r="AB244" i="2"/>
  <c r="D245" i="2"/>
  <c r="U244" i="2"/>
  <c r="H244" i="2"/>
  <c r="K244" i="2"/>
  <c r="I244" i="2"/>
  <c r="F244" i="2"/>
  <c r="E244" i="2"/>
  <c r="R244" i="2"/>
  <c r="G244" i="2"/>
  <c r="L244" i="2"/>
  <c r="D246" i="2" l="1"/>
  <c r="L245" i="2"/>
  <c r="I245" i="2"/>
  <c r="U245" i="2"/>
  <c r="G245" i="2"/>
  <c r="K245" i="2"/>
  <c r="H245" i="2"/>
  <c r="F245" i="2"/>
  <c r="E245" i="2"/>
  <c r="R245" i="2"/>
  <c r="N244" i="2"/>
  <c r="AI244" i="2" s="1"/>
  <c r="P244" i="2"/>
  <c r="AH243" i="2"/>
  <c r="AH244" i="2" s="1"/>
  <c r="M245" i="2"/>
  <c r="O245" i="2" s="1"/>
  <c r="AB245" i="2"/>
  <c r="C245" i="2"/>
  <c r="T245" i="2" s="1"/>
  <c r="V245" i="2" s="1"/>
  <c r="N245" i="2" l="1"/>
  <c r="AI245" i="2" s="1"/>
  <c r="P245" i="2"/>
  <c r="M246" i="2"/>
  <c r="O246" i="2" s="1"/>
  <c r="AB246" i="2"/>
  <c r="C246" i="2"/>
  <c r="T246" i="2" s="1"/>
  <c r="V246" i="2" s="1"/>
  <c r="Q246" i="2"/>
  <c r="D247" i="2"/>
  <c r="L246" i="2"/>
  <c r="H246" i="2"/>
  <c r="U246" i="2"/>
  <c r="G246" i="2"/>
  <c r="E246" i="2"/>
  <c r="R246" i="2"/>
  <c r="K246" i="2"/>
  <c r="I246" i="2"/>
  <c r="F246" i="2"/>
  <c r="D248" i="2" l="1"/>
  <c r="L247" i="2"/>
  <c r="F247" i="2"/>
  <c r="R247" i="2"/>
  <c r="I247" i="2"/>
  <c r="H247" i="2"/>
  <c r="U247" i="2"/>
  <c r="G247" i="2"/>
  <c r="K247" i="2"/>
  <c r="E247" i="2"/>
  <c r="N246" i="2"/>
  <c r="AI246" i="2" s="1"/>
  <c r="P246" i="2"/>
  <c r="AH245" i="2"/>
  <c r="AH246" i="2" s="1"/>
  <c r="M247" i="2"/>
  <c r="O247" i="2" s="1"/>
  <c r="AB247" i="2"/>
  <c r="C247" i="2"/>
  <c r="T247" i="2" s="1"/>
  <c r="V247" i="2" s="1"/>
  <c r="N247" i="2" l="1"/>
  <c r="AI247" i="2" s="1"/>
  <c r="P247" i="2"/>
  <c r="M248" i="2"/>
  <c r="O248" i="2" s="1"/>
  <c r="C248" i="2"/>
  <c r="T248" i="2" s="1"/>
  <c r="V248" i="2" s="1"/>
  <c r="Q248" i="2"/>
  <c r="AB248" i="2"/>
  <c r="AH247" i="2"/>
  <c r="D249" i="2"/>
  <c r="L248" i="2"/>
  <c r="K248" i="2"/>
  <c r="E248" i="2"/>
  <c r="F248" i="2"/>
  <c r="R248" i="2"/>
  <c r="H248" i="2"/>
  <c r="U248" i="2"/>
  <c r="I248" i="2"/>
  <c r="G248" i="2"/>
  <c r="D250" i="2" l="1"/>
  <c r="L249" i="2"/>
  <c r="K249" i="2"/>
  <c r="F249" i="2"/>
  <c r="U249" i="2"/>
  <c r="G249" i="2"/>
  <c r="E249" i="2"/>
  <c r="R249" i="2"/>
  <c r="I249" i="2"/>
  <c r="H249" i="2"/>
  <c r="M249" i="2"/>
  <c r="O249" i="2" s="1"/>
  <c r="AB249" i="2"/>
  <c r="C249" i="2"/>
  <c r="T249" i="2" s="1"/>
  <c r="V249" i="2" s="1"/>
  <c r="N248" i="2"/>
  <c r="AI248" i="2" s="1"/>
  <c r="P248" i="2"/>
  <c r="AH248" i="2" l="1"/>
  <c r="M250" i="2"/>
  <c r="O250" i="2" s="1"/>
  <c r="C250" i="2"/>
  <c r="T250" i="2" s="1"/>
  <c r="V250" i="2" s="1"/>
  <c r="Q250" i="2"/>
  <c r="AB250" i="2"/>
  <c r="N249" i="2"/>
  <c r="AI249" i="2" s="1"/>
  <c r="P249" i="2"/>
  <c r="D251" i="2"/>
  <c r="L250" i="2"/>
  <c r="U250" i="2"/>
  <c r="I250" i="2"/>
  <c r="K250" i="2"/>
  <c r="E250" i="2"/>
  <c r="F250" i="2"/>
  <c r="R250" i="2"/>
  <c r="G250" i="2"/>
  <c r="H250" i="2"/>
  <c r="AH249" i="2" l="1"/>
  <c r="D252" i="2"/>
  <c r="L251" i="2"/>
  <c r="H251" i="2"/>
  <c r="K251" i="2"/>
  <c r="U251" i="2"/>
  <c r="F251" i="2"/>
  <c r="I251" i="2"/>
  <c r="E251" i="2"/>
  <c r="R251" i="2"/>
  <c r="G251" i="2"/>
  <c r="M251" i="2"/>
  <c r="O251" i="2" s="1"/>
  <c r="AB251" i="2"/>
  <c r="C251" i="2"/>
  <c r="T251" i="2" s="1"/>
  <c r="V251" i="2" s="1"/>
  <c r="N250" i="2"/>
  <c r="AI250" i="2" s="1"/>
  <c r="P250" i="2"/>
  <c r="AH250" i="2" l="1"/>
  <c r="N251" i="2"/>
  <c r="AI251" i="2" s="1"/>
  <c r="P251" i="2"/>
  <c r="M252" i="2"/>
  <c r="O252" i="2" s="1"/>
  <c r="Q252" i="2"/>
  <c r="AB252" i="2"/>
  <c r="C252" i="2"/>
  <c r="T252" i="2" s="1"/>
  <c r="V252" i="2" s="1"/>
  <c r="D253" i="2"/>
  <c r="G252" i="2"/>
  <c r="U252" i="2"/>
  <c r="L252" i="2"/>
  <c r="K252" i="2"/>
  <c r="H252" i="2"/>
  <c r="F252" i="2"/>
  <c r="E252" i="2"/>
  <c r="R252" i="2"/>
  <c r="I252" i="2"/>
  <c r="AH251" i="2" l="1"/>
  <c r="N252" i="2"/>
  <c r="AI252" i="2" s="1"/>
  <c r="P252" i="2"/>
  <c r="M253" i="2"/>
  <c r="O253" i="2" s="1"/>
  <c r="AB253" i="2"/>
  <c r="C253" i="2"/>
  <c r="T253" i="2" s="1"/>
  <c r="V253" i="2" s="1"/>
  <c r="D254" i="2"/>
  <c r="L253" i="2"/>
  <c r="H253" i="2"/>
  <c r="U253" i="2"/>
  <c r="E253" i="2"/>
  <c r="R253" i="2"/>
  <c r="K253" i="2"/>
  <c r="I253" i="2"/>
  <c r="F253" i="2"/>
  <c r="G253" i="2"/>
  <c r="AH252" i="2" l="1"/>
  <c r="D255" i="2"/>
  <c r="L254" i="2"/>
  <c r="I254" i="2"/>
  <c r="G254" i="2"/>
  <c r="U254" i="2"/>
  <c r="E254" i="2"/>
  <c r="K254" i="2"/>
  <c r="R254" i="2"/>
  <c r="H254" i="2"/>
  <c r="F254" i="2"/>
  <c r="M254" i="2"/>
  <c r="O254" i="2" s="1"/>
  <c r="AB254" i="2"/>
  <c r="Q254" i="2"/>
  <c r="C254" i="2"/>
  <c r="T254" i="2" s="1"/>
  <c r="V254" i="2" s="1"/>
  <c r="N253" i="2"/>
  <c r="AI253" i="2" s="1"/>
  <c r="P253" i="2"/>
  <c r="P254" i="2" l="1"/>
  <c r="N254" i="2"/>
  <c r="AI254" i="2" s="1"/>
  <c r="M255" i="2"/>
  <c r="O255" i="2" s="1"/>
  <c r="C255" i="2"/>
  <c r="T255" i="2" s="1"/>
  <c r="V255" i="2" s="1"/>
  <c r="AB255" i="2"/>
  <c r="D256" i="2"/>
  <c r="L255" i="2"/>
  <c r="F255" i="2"/>
  <c r="H255" i="2"/>
  <c r="G255" i="2"/>
  <c r="E255" i="2"/>
  <c r="R255" i="2"/>
  <c r="I255" i="2"/>
  <c r="U255" i="2"/>
  <c r="K255" i="2"/>
  <c r="AH253" i="2"/>
  <c r="AH254" i="2" s="1"/>
  <c r="D257" i="2" l="1"/>
  <c r="L256" i="2"/>
  <c r="K256" i="2"/>
  <c r="F256" i="2"/>
  <c r="H256" i="2"/>
  <c r="G256" i="2"/>
  <c r="I256" i="2"/>
  <c r="E256" i="2"/>
  <c r="R256" i="2"/>
  <c r="U256" i="2"/>
  <c r="Q256" i="2"/>
  <c r="AB256" i="2"/>
  <c r="C256" i="2"/>
  <c r="T256" i="2" s="1"/>
  <c r="V256" i="2" s="1"/>
  <c r="M256" i="2"/>
  <c r="O256" i="2" s="1"/>
  <c r="N255" i="2"/>
  <c r="AI255" i="2" s="1"/>
  <c r="P255" i="2"/>
  <c r="N256" i="2" l="1"/>
  <c r="AI256" i="2" s="1"/>
  <c r="P256" i="2"/>
  <c r="AH255" i="2"/>
  <c r="AH256" i="2" s="1"/>
  <c r="M257" i="2"/>
  <c r="O257" i="2" s="1"/>
  <c r="C257" i="2"/>
  <c r="T257" i="2" s="1"/>
  <c r="V257" i="2" s="1"/>
  <c r="AB257" i="2"/>
  <c r="D258" i="2"/>
  <c r="L257" i="2"/>
  <c r="U257" i="2"/>
  <c r="K257" i="2"/>
  <c r="I257" i="2"/>
  <c r="F257" i="2"/>
  <c r="G257" i="2"/>
  <c r="E257" i="2"/>
  <c r="R257" i="2"/>
  <c r="H257" i="2"/>
  <c r="M258" i="2" l="1"/>
  <c r="O258" i="2" s="1"/>
  <c r="AB258" i="2"/>
  <c r="C258" i="2"/>
  <c r="T258" i="2" s="1"/>
  <c r="V258" i="2" s="1"/>
  <c r="Q258" i="2"/>
  <c r="D259" i="2"/>
  <c r="L258" i="2"/>
  <c r="H258" i="2"/>
  <c r="K258" i="2"/>
  <c r="I258" i="2"/>
  <c r="F258" i="2"/>
  <c r="E258" i="2"/>
  <c r="R258" i="2"/>
  <c r="G258" i="2"/>
  <c r="U258" i="2"/>
  <c r="N257" i="2"/>
  <c r="AI257" i="2" s="1"/>
  <c r="P257" i="2"/>
  <c r="M259" i="2" l="1"/>
  <c r="O259" i="2" s="1"/>
  <c r="C259" i="2"/>
  <c r="T259" i="2" s="1"/>
  <c r="V259" i="2" s="1"/>
  <c r="AB259" i="2"/>
  <c r="D260" i="2"/>
  <c r="L259" i="2"/>
  <c r="R259" i="2"/>
  <c r="G259" i="2"/>
  <c r="H259" i="2"/>
  <c r="K259" i="2"/>
  <c r="F259" i="2"/>
  <c r="I259" i="2"/>
  <c r="E259" i="2"/>
  <c r="U259" i="2"/>
  <c r="AH257" i="2"/>
  <c r="N258" i="2"/>
  <c r="AI258" i="2" s="1"/>
  <c r="P258" i="2"/>
  <c r="AH258" i="2" l="1"/>
  <c r="D261" i="2"/>
  <c r="U260" i="2"/>
  <c r="L260" i="2"/>
  <c r="H260" i="2"/>
  <c r="K260" i="2"/>
  <c r="E260" i="2"/>
  <c r="F260" i="2"/>
  <c r="R260" i="2"/>
  <c r="G260" i="2"/>
  <c r="I260" i="2"/>
  <c r="M260" i="2"/>
  <c r="O260" i="2" s="1"/>
  <c r="Q260" i="2"/>
  <c r="C260" i="2"/>
  <c r="T260" i="2" s="1"/>
  <c r="V260" i="2" s="1"/>
  <c r="AB260" i="2"/>
  <c r="N259" i="2"/>
  <c r="AI259" i="2" s="1"/>
  <c r="P259" i="2"/>
  <c r="N260" i="2" l="1"/>
  <c r="AI260" i="2" s="1"/>
  <c r="P260" i="2"/>
  <c r="M261" i="2"/>
  <c r="O261" i="2" s="1"/>
  <c r="Q261" i="2"/>
  <c r="C261" i="2"/>
  <c r="T261" i="2" s="1"/>
  <c r="V261" i="2" s="1"/>
  <c r="AB261" i="2"/>
  <c r="D262" i="2"/>
  <c r="L261" i="2"/>
  <c r="R261" i="2"/>
  <c r="G261" i="2"/>
  <c r="I261" i="2"/>
  <c r="U261" i="2"/>
  <c r="K261" i="2"/>
  <c r="H261" i="2"/>
  <c r="F261" i="2"/>
  <c r="E261" i="2"/>
  <c r="AH259" i="2"/>
  <c r="AH260" i="2" s="1"/>
  <c r="M262" i="2" l="1"/>
  <c r="O262" i="2" s="1"/>
  <c r="AB262" i="2"/>
  <c r="C262" i="2"/>
  <c r="T262" i="2" s="1"/>
  <c r="V262" i="2" s="1"/>
  <c r="Q262" i="2"/>
  <c r="D263" i="2"/>
  <c r="L262" i="2"/>
  <c r="U262" i="2"/>
  <c r="G262" i="2"/>
  <c r="I262" i="2"/>
  <c r="E262" i="2"/>
  <c r="R262" i="2"/>
  <c r="K262" i="2"/>
  <c r="F262" i="2"/>
  <c r="H262" i="2"/>
  <c r="N261" i="2"/>
  <c r="AI261" i="2" s="1"/>
  <c r="P261" i="2"/>
  <c r="M263" i="2" l="1"/>
  <c r="O263" i="2" s="1"/>
  <c r="Q263" i="2"/>
  <c r="C263" i="2"/>
  <c r="T263" i="2" s="1"/>
  <c r="V263" i="2" s="1"/>
  <c r="AB263" i="2"/>
  <c r="D264" i="2"/>
  <c r="L263" i="2"/>
  <c r="F263" i="2"/>
  <c r="R263" i="2"/>
  <c r="U263" i="2"/>
  <c r="H263" i="2"/>
  <c r="I263" i="2"/>
  <c r="G263" i="2"/>
  <c r="E263" i="2"/>
  <c r="K263" i="2"/>
  <c r="AH261" i="2"/>
  <c r="N262" i="2"/>
  <c r="AI262" i="2" s="1"/>
  <c r="P262" i="2"/>
  <c r="AH262" i="2" l="1"/>
  <c r="M264" i="2"/>
  <c r="O264" i="2" s="1"/>
  <c r="Q264" i="2"/>
  <c r="C264" i="2"/>
  <c r="T264" i="2" s="1"/>
  <c r="V264" i="2" s="1"/>
  <c r="AB264" i="2"/>
  <c r="D265" i="2"/>
  <c r="L264" i="2"/>
  <c r="K264" i="2"/>
  <c r="I264" i="2"/>
  <c r="F264" i="2"/>
  <c r="E264" i="2"/>
  <c r="R264" i="2"/>
  <c r="G264" i="2"/>
  <c r="U264" i="2"/>
  <c r="H264" i="2"/>
  <c r="N263" i="2"/>
  <c r="AI263" i="2" s="1"/>
  <c r="P263" i="2"/>
  <c r="D266" i="2" l="1"/>
  <c r="L265" i="2"/>
  <c r="H265" i="2"/>
  <c r="K265" i="2"/>
  <c r="F265" i="2"/>
  <c r="U265" i="2"/>
  <c r="G265" i="2"/>
  <c r="E265" i="2"/>
  <c r="R265" i="2"/>
  <c r="I265" i="2"/>
  <c r="M265" i="2"/>
  <c r="O265" i="2" s="1"/>
  <c r="AB265" i="2"/>
  <c r="C265" i="2"/>
  <c r="T265" i="2" s="1"/>
  <c r="V265" i="2" s="1"/>
  <c r="Q265" i="2"/>
  <c r="N264" i="2"/>
  <c r="AI264" i="2" s="1"/>
  <c r="P264" i="2"/>
  <c r="AH263" i="2"/>
  <c r="AH264" i="2" l="1"/>
  <c r="N265" i="2"/>
  <c r="AI265" i="2" s="1"/>
  <c r="P265" i="2"/>
  <c r="M266" i="2"/>
  <c r="O266" i="2" s="1"/>
  <c r="Q266" i="2"/>
  <c r="C266" i="2"/>
  <c r="T266" i="2" s="1"/>
  <c r="V266" i="2" s="1"/>
  <c r="AB266" i="2"/>
  <c r="AH265" i="2"/>
  <c r="D267" i="2"/>
  <c r="L266" i="2"/>
  <c r="R266" i="2"/>
  <c r="I266" i="2"/>
  <c r="K266" i="2"/>
  <c r="U266" i="2"/>
  <c r="F266" i="2"/>
  <c r="H266" i="2"/>
  <c r="G266" i="2"/>
  <c r="E266" i="2"/>
  <c r="D268" i="2" l="1"/>
  <c r="L267" i="2"/>
  <c r="I267" i="2"/>
  <c r="E267" i="2"/>
  <c r="K267" i="2"/>
  <c r="R267" i="2"/>
  <c r="F267" i="2"/>
  <c r="G267" i="2"/>
  <c r="U267" i="2"/>
  <c r="H267" i="2"/>
  <c r="M267" i="2"/>
  <c r="O267" i="2" s="1"/>
  <c r="C267" i="2"/>
  <c r="T267" i="2" s="1"/>
  <c r="V267" i="2" s="1"/>
  <c r="AB267" i="2"/>
  <c r="Q267" i="2"/>
  <c r="N266" i="2"/>
  <c r="AI266" i="2" s="1"/>
  <c r="P266" i="2"/>
  <c r="N267" i="2" l="1"/>
  <c r="AI267" i="2" s="1"/>
  <c r="P267" i="2"/>
  <c r="M268" i="2"/>
  <c r="O268" i="2" s="1"/>
  <c r="Q268" i="2"/>
  <c r="C268" i="2"/>
  <c r="T268" i="2" s="1"/>
  <c r="V268" i="2" s="1"/>
  <c r="AB268" i="2"/>
  <c r="AH266" i="2"/>
  <c r="AH267" i="2" s="1"/>
  <c r="U268" i="2"/>
  <c r="D269" i="2"/>
  <c r="H268" i="2"/>
  <c r="K268" i="2"/>
  <c r="E268" i="2"/>
  <c r="F268" i="2"/>
  <c r="R268" i="2"/>
  <c r="L268" i="2"/>
  <c r="I268" i="2"/>
  <c r="G268" i="2"/>
  <c r="M269" i="2" l="1"/>
  <c r="O269" i="2" s="1"/>
  <c r="Q269" i="2"/>
  <c r="C269" i="2"/>
  <c r="T269" i="2" s="1"/>
  <c r="V269" i="2" s="1"/>
  <c r="AB269" i="2"/>
  <c r="N268" i="2"/>
  <c r="AI268" i="2" s="1"/>
  <c r="P268" i="2"/>
  <c r="D270" i="2"/>
  <c r="L269" i="2"/>
  <c r="E269" i="2"/>
  <c r="I269" i="2"/>
  <c r="R269" i="2"/>
  <c r="U269" i="2"/>
  <c r="K269" i="2"/>
  <c r="H269" i="2"/>
  <c r="F269" i="2"/>
  <c r="G269" i="2"/>
  <c r="D271" i="2" l="1"/>
  <c r="L270" i="2"/>
  <c r="U270" i="2"/>
  <c r="I270" i="2"/>
  <c r="G270" i="2"/>
  <c r="E270" i="2"/>
  <c r="R270" i="2"/>
  <c r="K270" i="2"/>
  <c r="H270" i="2"/>
  <c r="F270" i="2"/>
  <c r="N269" i="2"/>
  <c r="AI269" i="2" s="1"/>
  <c r="P269" i="2"/>
  <c r="M270" i="2"/>
  <c r="O270" i="2" s="1"/>
  <c r="AB270" i="2"/>
  <c r="C270" i="2"/>
  <c r="T270" i="2" s="1"/>
  <c r="V270" i="2" s="1"/>
  <c r="Q270" i="2"/>
  <c r="AH268" i="2"/>
  <c r="AH269" i="2" l="1"/>
  <c r="P270" i="2"/>
  <c r="N270" i="2"/>
  <c r="AI270" i="2" s="1"/>
  <c r="M271" i="2"/>
  <c r="O271" i="2" s="1"/>
  <c r="Q271" i="2"/>
  <c r="C271" i="2"/>
  <c r="T271" i="2" s="1"/>
  <c r="V271" i="2" s="1"/>
  <c r="AB271" i="2"/>
  <c r="D272" i="2"/>
  <c r="L271" i="2"/>
  <c r="F271" i="2"/>
  <c r="I271" i="2"/>
  <c r="U271" i="2"/>
  <c r="H271" i="2"/>
  <c r="G271" i="2"/>
  <c r="E271" i="2"/>
  <c r="K271" i="2"/>
  <c r="R271" i="2"/>
  <c r="D273" i="2" l="1"/>
  <c r="L272" i="2"/>
  <c r="K272" i="2"/>
  <c r="E272" i="2"/>
  <c r="F272" i="2"/>
  <c r="R272" i="2"/>
  <c r="I272" i="2"/>
  <c r="G272" i="2"/>
  <c r="H272" i="2"/>
  <c r="U272" i="2"/>
  <c r="AH270" i="2"/>
  <c r="N271" i="2"/>
  <c r="AI271" i="2" s="1"/>
  <c r="P271" i="2"/>
  <c r="M272" i="2"/>
  <c r="O272" i="2" s="1"/>
  <c r="Q272" i="2"/>
  <c r="AB272" i="2"/>
  <c r="C272" i="2"/>
  <c r="T272" i="2" s="1"/>
  <c r="V272" i="2" s="1"/>
  <c r="AH271" i="2" l="1"/>
  <c r="N272" i="2"/>
  <c r="AI272" i="2" s="1"/>
  <c r="P272" i="2"/>
  <c r="M273" i="2"/>
  <c r="O273" i="2" s="1"/>
  <c r="C273" i="2"/>
  <c r="T273" i="2" s="1"/>
  <c r="V273" i="2" s="1"/>
  <c r="Q273" i="2"/>
  <c r="AB273" i="2"/>
  <c r="D274" i="2"/>
  <c r="L273" i="2"/>
  <c r="H273" i="2"/>
  <c r="K273" i="2"/>
  <c r="G273" i="2"/>
  <c r="F273" i="2"/>
  <c r="E273" i="2"/>
  <c r="R273" i="2"/>
  <c r="U273" i="2"/>
  <c r="I273" i="2"/>
  <c r="D275" i="2" l="1"/>
  <c r="L274" i="2"/>
  <c r="G274" i="2"/>
  <c r="I274" i="2"/>
  <c r="K274" i="2"/>
  <c r="U274" i="2"/>
  <c r="F274" i="2"/>
  <c r="H274" i="2"/>
  <c r="E274" i="2"/>
  <c r="R274" i="2"/>
  <c r="N273" i="2"/>
  <c r="AI273" i="2" s="1"/>
  <c r="P273" i="2"/>
  <c r="AH272" i="2"/>
  <c r="AH273" i="2" s="1"/>
  <c r="M274" i="2"/>
  <c r="O274" i="2" s="1"/>
  <c r="Q274" i="2"/>
  <c r="C274" i="2"/>
  <c r="T274" i="2" s="1"/>
  <c r="V274" i="2" s="1"/>
  <c r="AB274" i="2"/>
  <c r="N274" i="2" l="1"/>
  <c r="AI274" i="2" s="1"/>
  <c r="P274" i="2"/>
  <c r="M275" i="2"/>
  <c r="O275" i="2" s="1"/>
  <c r="C275" i="2"/>
  <c r="T275" i="2" s="1"/>
  <c r="V275" i="2" s="1"/>
  <c r="Q275" i="2"/>
  <c r="AB275" i="2"/>
  <c r="D276" i="2"/>
  <c r="L275" i="2"/>
  <c r="U275" i="2"/>
  <c r="I275" i="2"/>
  <c r="E275" i="2"/>
  <c r="K275" i="2"/>
  <c r="R275" i="2"/>
  <c r="F275" i="2"/>
  <c r="G275" i="2"/>
  <c r="H275" i="2"/>
  <c r="D277" i="2" l="1"/>
  <c r="U276" i="2"/>
  <c r="H276" i="2"/>
  <c r="L276" i="2"/>
  <c r="K276" i="2"/>
  <c r="G276" i="2"/>
  <c r="F276" i="2"/>
  <c r="E276" i="2"/>
  <c r="I276" i="2"/>
  <c r="R276" i="2"/>
  <c r="N275" i="2"/>
  <c r="AI275" i="2" s="1"/>
  <c r="P275" i="2"/>
  <c r="AH274" i="2"/>
  <c r="AH275" i="2" s="1"/>
  <c r="M276" i="2"/>
  <c r="O276" i="2" s="1"/>
  <c r="Q276" i="2"/>
  <c r="C276" i="2"/>
  <c r="T276" i="2" s="1"/>
  <c r="V276" i="2" s="1"/>
  <c r="AB276" i="2"/>
  <c r="M277" i="2" l="1"/>
  <c r="O277" i="2" s="1"/>
  <c r="Q277" i="2"/>
  <c r="AB277" i="2"/>
  <c r="C277" i="2"/>
  <c r="T277" i="2" s="1"/>
  <c r="V277" i="2" s="1"/>
  <c r="N276" i="2"/>
  <c r="AI276" i="2" s="1"/>
  <c r="P276" i="2"/>
  <c r="D278" i="2"/>
  <c r="L277" i="2"/>
  <c r="U277" i="2"/>
  <c r="H277" i="2"/>
  <c r="G277" i="2"/>
  <c r="K277" i="2"/>
  <c r="E277" i="2"/>
  <c r="F277" i="2"/>
  <c r="R277" i="2"/>
  <c r="I277" i="2"/>
  <c r="D279" i="2" l="1"/>
  <c r="L278" i="2"/>
  <c r="R278" i="2"/>
  <c r="G278" i="2"/>
  <c r="H278" i="2"/>
  <c r="I278" i="2"/>
  <c r="K278" i="2"/>
  <c r="U278" i="2"/>
  <c r="F278" i="2"/>
  <c r="E278" i="2"/>
  <c r="N277" i="2"/>
  <c r="AI277" i="2" s="1"/>
  <c r="P277" i="2"/>
  <c r="M278" i="2"/>
  <c r="O278" i="2" s="1"/>
  <c r="C278" i="2"/>
  <c r="T278" i="2" s="1"/>
  <c r="V278" i="2" s="1"/>
  <c r="Q278" i="2"/>
  <c r="AB278" i="2"/>
  <c r="AH276" i="2"/>
  <c r="AH277" i="2" l="1"/>
  <c r="N278" i="2"/>
  <c r="AI278" i="2" s="1"/>
  <c r="P278" i="2"/>
  <c r="M279" i="2"/>
  <c r="O279" i="2" s="1"/>
  <c r="AB279" i="2"/>
  <c r="Q279" i="2"/>
  <c r="C279" i="2"/>
  <c r="T279" i="2" s="1"/>
  <c r="V279" i="2" s="1"/>
  <c r="AH278" i="2"/>
  <c r="D280" i="2"/>
  <c r="L279" i="2"/>
  <c r="F279" i="2"/>
  <c r="U279" i="2"/>
  <c r="E279" i="2"/>
  <c r="H279" i="2"/>
  <c r="R279" i="2"/>
  <c r="I279" i="2"/>
  <c r="K279" i="2"/>
  <c r="G279" i="2"/>
  <c r="D281" i="2" l="1"/>
  <c r="L280" i="2"/>
  <c r="K280" i="2"/>
  <c r="G280" i="2"/>
  <c r="F280" i="2"/>
  <c r="U280" i="2"/>
  <c r="E280" i="2"/>
  <c r="R280" i="2"/>
  <c r="H280" i="2"/>
  <c r="I280" i="2"/>
  <c r="N279" i="2"/>
  <c r="AI279" i="2" s="1"/>
  <c r="P279" i="2"/>
  <c r="Q280" i="2"/>
  <c r="AB280" i="2"/>
  <c r="M280" i="2"/>
  <c r="O280" i="2" s="1"/>
  <c r="C280" i="2"/>
  <c r="T280" i="2" s="1"/>
  <c r="V280" i="2" s="1"/>
  <c r="N280" i="2" l="1"/>
  <c r="AI280" i="2" s="1"/>
  <c r="P280" i="2"/>
  <c r="AH279" i="2"/>
  <c r="AH280" i="2" s="1"/>
  <c r="M281" i="2"/>
  <c r="O281" i="2" s="1"/>
  <c r="AB281" i="2"/>
  <c r="Q281" i="2"/>
  <c r="C281" i="2"/>
  <c r="T281" i="2" s="1"/>
  <c r="V281" i="2" s="1"/>
  <c r="D282" i="2"/>
  <c r="L281" i="2"/>
  <c r="K281" i="2"/>
  <c r="F281" i="2"/>
  <c r="U281" i="2"/>
  <c r="E281" i="2"/>
  <c r="I281" i="2"/>
  <c r="G281" i="2"/>
  <c r="R281" i="2"/>
  <c r="H281" i="2"/>
  <c r="D283" i="2" l="1"/>
  <c r="L282" i="2"/>
  <c r="I282" i="2"/>
  <c r="G282" i="2"/>
  <c r="K282" i="2"/>
  <c r="U282" i="2"/>
  <c r="F282" i="2"/>
  <c r="H282" i="2"/>
  <c r="E282" i="2"/>
  <c r="R282" i="2"/>
  <c r="N281" i="2"/>
  <c r="AI281" i="2" s="1"/>
  <c r="P281" i="2"/>
  <c r="M282" i="2"/>
  <c r="O282" i="2" s="1"/>
  <c r="Q282" i="2"/>
  <c r="C282" i="2"/>
  <c r="T282" i="2" s="1"/>
  <c r="V282" i="2" s="1"/>
  <c r="AB282" i="2"/>
  <c r="AH281" i="2" l="1"/>
  <c r="N282" i="2"/>
  <c r="AI282" i="2" s="1"/>
  <c r="P282" i="2"/>
  <c r="M283" i="2"/>
  <c r="O283" i="2" s="1"/>
  <c r="Q283" i="2"/>
  <c r="AB283" i="2"/>
  <c r="C283" i="2"/>
  <c r="T283" i="2" s="1"/>
  <c r="V283" i="2" s="1"/>
  <c r="D284" i="2"/>
  <c r="L283" i="2"/>
  <c r="H283" i="2"/>
  <c r="G283" i="2"/>
  <c r="I283" i="2"/>
  <c r="K283" i="2"/>
  <c r="F283" i="2"/>
  <c r="U283" i="2"/>
  <c r="E283" i="2"/>
  <c r="R283" i="2"/>
  <c r="D285" i="2" l="1"/>
  <c r="L284" i="2"/>
  <c r="U284" i="2"/>
  <c r="E284" i="2"/>
  <c r="H284" i="2"/>
  <c r="K284" i="2"/>
  <c r="R284" i="2"/>
  <c r="F284" i="2"/>
  <c r="I284" i="2"/>
  <c r="G284" i="2"/>
  <c r="N283" i="2"/>
  <c r="AI283" i="2" s="1"/>
  <c r="P283" i="2"/>
  <c r="M284" i="2"/>
  <c r="O284" i="2" s="1"/>
  <c r="Q284" i="2"/>
  <c r="AB284" i="2"/>
  <c r="C284" i="2"/>
  <c r="T284" i="2" s="1"/>
  <c r="V284" i="2" s="1"/>
  <c r="AH282" i="2"/>
  <c r="AH283" i="2" l="1"/>
  <c r="N284" i="2"/>
  <c r="AI284" i="2" s="1"/>
  <c r="P284" i="2"/>
  <c r="M285" i="2"/>
  <c r="O285" i="2" s="1"/>
  <c r="AB285" i="2"/>
  <c r="C285" i="2"/>
  <c r="T285" i="2" s="1"/>
  <c r="V285" i="2" s="1"/>
  <c r="Q285" i="2"/>
  <c r="AH284" i="2"/>
  <c r="D286" i="2"/>
  <c r="L285" i="2"/>
  <c r="G285" i="2"/>
  <c r="R285" i="2"/>
  <c r="I285" i="2"/>
  <c r="H285" i="2"/>
  <c r="K285" i="2"/>
  <c r="U285" i="2"/>
  <c r="F285" i="2"/>
  <c r="E285" i="2"/>
  <c r="D287" i="2" l="1"/>
  <c r="L286" i="2"/>
  <c r="R286" i="2"/>
  <c r="I286" i="2"/>
  <c r="H286" i="2"/>
  <c r="U286" i="2"/>
  <c r="K286" i="2"/>
  <c r="E286" i="2"/>
  <c r="F286" i="2"/>
  <c r="G286" i="2"/>
  <c r="N285" i="2"/>
  <c r="AI285" i="2" s="1"/>
  <c r="P285" i="2"/>
  <c r="M286" i="2"/>
  <c r="O286" i="2" s="1"/>
  <c r="C286" i="2"/>
  <c r="T286" i="2" s="1"/>
  <c r="V286" i="2" s="1"/>
  <c r="Q286" i="2"/>
  <c r="AB286" i="2"/>
  <c r="N286" i="2" l="1"/>
  <c r="AI286" i="2" s="1"/>
  <c r="P286" i="2"/>
  <c r="M287" i="2"/>
  <c r="O287" i="2" s="1"/>
  <c r="Q287" i="2"/>
  <c r="AB287" i="2"/>
  <c r="C287" i="2"/>
  <c r="T287" i="2" s="1"/>
  <c r="V287" i="2" s="1"/>
  <c r="AH285" i="2"/>
  <c r="AH286" i="2" s="1"/>
  <c r="D288" i="2"/>
  <c r="L287" i="2"/>
  <c r="F287" i="2"/>
  <c r="I287" i="2"/>
  <c r="H287" i="2"/>
  <c r="U287" i="2"/>
  <c r="E287" i="2"/>
  <c r="G287" i="2"/>
  <c r="K287" i="2"/>
  <c r="R287" i="2"/>
  <c r="D289" i="2" l="1"/>
  <c r="L288" i="2"/>
  <c r="K288" i="2"/>
  <c r="E288" i="2"/>
  <c r="F288" i="2"/>
  <c r="R288" i="2"/>
  <c r="G288" i="2"/>
  <c r="I288" i="2"/>
  <c r="U288" i="2"/>
  <c r="H288" i="2"/>
  <c r="N287" i="2"/>
  <c r="AI287" i="2" s="1"/>
  <c r="P287" i="2"/>
  <c r="M288" i="2"/>
  <c r="O288" i="2" s="1"/>
  <c r="Q288" i="2"/>
  <c r="C288" i="2"/>
  <c r="T288" i="2" s="1"/>
  <c r="V288" i="2" s="1"/>
  <c r="AB288" i="2"/>
  <c r="N288" i="2" l="1"/>
  <c r="AI288" i="2" s="1"/>
  <c r="P288" i="2"/>
  <c r="AH287" i="2"/>
  <c r="AH288" i="2" s="1"/>
  <c r="M289" i="2"/>
  <c r="O289" i="2" s="1"/>
  <c r="Q289" i="2"/>
  <c r="C289" i="2"/>
  <c r="T289" i="2" s="1"/>
  <c r="V289" i="2" s="1"/>
  <c r="AB289" i="2"/>
  <c r="D290" i="2"/>
  <c r="L289" i="2"/>
  <c r="K289" i="2"/>
  <c r="H289" i="2"/>
  <c r="F289" i="2"/>
  <c r="E289" i="2"/>
  <c r="G289" i="2"/>
  <c r="I289" i="2"/>
  <c r="R289" i="2"/>
  <c r="U289" i="2"/>
  <c r="D291" i="2" l="1"/>
  <c r="L290" i="2"/>
  <c r="E290" i="2"/>
  <c r="R290" i="2"/>
  <c r="K290" i="2"/>
  <c r="F290" i="2"/>
  <c r="H290" i="2"/>
  <c r="U290" i="2"/>
  <c r="I290" i="2"/>
  <c r="G290" i="2"/>
  <c r="N289" i="2"/>
  <c r="AI289" i="2" s="1"/>
  <c r="P289" i="2"/>
  <c r="M290" i="2"/>
  <c r="O290" i="2" s="1"/>
  <c r="Q290" i="2"/>
  <c r="AB290" i="2"/>
  <c r="C290" i="2"/>
  <c r="T290" i="2" s="1"/>
  <c r="V290" i="2" s="1"/>
  <c r="N290" i="2" l="1"/>
  <c r="AI290" i="2" s="1"/>
  <c r="P290" i="2"/>
  <c r="AH289" i="2"/>
  <c r="AH290" i="2" s="1"/>
  <c r="M291" i="2"/>
  <c r="O291" i="2" s="1"/>
  <c r="C291" i="2"/>
  <c r="T291" i="2" s="1"/>
  <c r="V291" i="2" s="1"/>
  <c r="AB291" i="2"/>
  <c r="Q291" i="2"/>
  <c r="D292" i="2"/>
  <c r="L291" i="2"/>
  <c r="I291" i="2"/>
  <c r="G291" i="2"/>
  <c r="K291" i="2"/>
  <c r="E291" i="2"/>
  <c r="F291" i="2"/>
  <c r="R291" i="2"/>
  <c r="U291" i="2"/>
  <c r="H291" i="2"/>
  <c r="D293" i="2" l="1"/>
  <c r="U292" i="2"/>
  <c r="H292" i="2"/>
  <c r="K292" i="2"/>
  <c r="E292" i="2"/>
  <c r="L292" i="2"/>
  <c r="F292" i="2"/>
  <c r="R292" i="2"/>
  <c r="I292" i="2"/>
  <c r="G292" i="2"/>
  <c r="N291" i="2"/>
  <c r="AI291" i="2" s="1"/>
  <c r="P291" i="2"/>
  <c r="M292" i="2"/>
  <c r="O292" i="2" s="1"/>
  <c r="Q292" i="2"/>
  <c r="C292" i="2"/>
  <c r="T292" i="2" s="1"/>
  <c r="V292" i="2" s="1"/>
  <c r="AB292" i="2"/>
  <c r="M293" i="2" l="1"/>
  <c r="O293" i="2" s="1"/>
  <c r="Q293" i="2"/>
  <c r="C293" i="2"/>
  <c r="T293" i="2" s="1"/>
  <c r="V293" i="2" s="1"/>
  <c r="AB293" i="2"/>
  <c r="AH291" i="2"/>
  <c r="N292" i="2"/>
  <c r="AI292" i="2" s="1"/>
  <c r="P292" i="2"/>
  <c r="D294" i="2"/>
  <c r="L293" i="2"/>
  <c r="I293" i="2"/>
  <c r="R293" i="2"/>
  <c r="G293" i="2"/>
  <c r="U293" i="2"/>
  <c r="K293" i="2"/>
  <c r="H293" i="2"/>
  <c r="F293" i="2"/>
  <c r="E293" i="2"/>
  <c r="AH292" i="2" l="1"/>
  <c r="D295" i="2"/>
  <c r="L294" i="2"/>
  <c r="I294" i="2"/>
  <c r="E294" i="2"/>
  <c r="R294" i="2"/>
  <c r="H294" i="2"/>
  <c r="K294" i="2"/>
  <c r="U294" i="2"/>
  <c r="G294" i="2"/>
  <c r="F294" i="2"/>
  <c r="M294" i="2"/>
  <c r="O294" i="2" s="1"/>
  <c r="C294" i="2"/>
  <c r="T294" i="2" s="1"/>
  <c r="V294" i="2" s="1"/>
  <c r="Q294" i="2"/>
  <c r="AB294" i="2"/>
  <c r="N293" i="2"/>
  <c r="AI293" i="2" s="1"/>
  <c r="P293" i="2"/>
  <c r="M295" i="2" l="1"/>
  <c r="O295" i="2" s="1"/>
  <c r="AB295" i="2"/>
  <c r="Q295" i="2"/>
  <c r="C295" i="2"/>
  <c r="T295" i="2" s="1"/>
  <c r="V295" i="2" s="1"/>
  <c r="P294" i="2"/>
  <c r="N294" i="2"/>
  <c r="AI294" i="2" s="1"/>
  <c r="D296" i="2"/>
  <c r="L295" i="2"/>
  <c r="F295" i="2"/>
  <c r="U295" i="2"/>
  <c r="G295" i="2"/>
  <c r="E295" i="2"/>
  <c r="H295" i="2"/>
  <c r="I295" i="2"/>
  <c r="R295" i="2"/>
  <c r="K295" i="2"/>
  <c r="AH293" i="2"/>
  <c r="AH294" i="2" l="1"/>
  <c r="Q296" i="2"/>
  <c r="AB296" i="2"/>
  <c r="C296" i="2"/>
  <c r="T296" i="2" s="1"/>
  <c r="V296" i="2" s="1"/>
  <c r="M296" i="2"/>
  <c r="O296" i="2" s="1"/>
  <c r="D297" i="2"/>
  <c r="L296" i="2"/>
  <c r="K296" i="2"/>
  <c r="E296" i="2"/>
  <c r="F296" i="2"/>
  <c r="G296" i="2"/>
  <c r="I296" i="2"/>
  <c r="R296" i="2"/>
  <c r="H296" i="2"/>
  <c r="U296" i="2"/>
  <c r="N295" i="2"/>
  <c r="AI295" i="2" s="1"/>
  <c r="P295" i="2"/>
  <c r="M297" i="2" l="1"/>
  <c r="O297" i="2" s="1"/>
  <c r="C297" i="2"/>
  <c r="T297" i="2" s="1"/>
  <c r="V297" i="2" s="1"/>
  <c r="Q297" i="2"/>
  <c r="AB297" i="2"/>
  <c r="D298" i="2"/>
  <c r="L297" i="2"/>
  <c r="I297" i="2"/>
  <c r="K297" i="2"/>
  <c r="G297" i="2"/>
  <c r="F297" i="2"/>
  <c r="H297" i="2"/>
  <c r="E297" i="2"/>
  <c r="R297" i="2"/>
  <c r="U297" i="2"/>
  <c r="N296" i="2"/>
  <c r="AI296" i="2" s="1"/>
  <c r="P296" i="2"/>
  <c r="AH295" i="2"/>
  <c r="AH296" i="2" l="1"/>
  <c r="M298" i="2"/>
  <c r="O298" i="2" s="1"/>
  <c r="AB298" i="2"/>
  <c r="Q298" i="2"/>
  <c r="C298" i="2"/>
  <c r="T298" i="2" s="1"/>
  <c r="V298" i="2" s="1"/>
  <c r="D299" i="2"/>
  <c r="L298" i="2"/>
  <c r="R298" i="2"/>
  <c r="I298" i="2"/>
  <c r="K298" i="2"/>
  <c r="H298" i="2"/>
  <c r="F298" i="2"/>
  <c r="U298" i="2"/>
  <c r="E298" i="2"/>
  <c r="G298" i="2"/>
  <c r="N297" i="2"/>
  <c r="AI297" i="2" s="1"/>
  <c r="P297" i="2"/>
  <c r="AH297" i="2" l="1"/>
  <c r="M299" i="2"/>
  <c r="O299" i="2" s="1"/>
  <c r="C299" i="2"/>
  <c r="T299" i="2" s="1"/>
  <c r="V299" i="2" s="1"/>
  <c r="Q299" i="2"/>
  <c r="AB299" i="2"/>
  <c r="D300" i="2"/>
  <c r="L299" i="2"/>
  <c r="R299" i="2"/>
  <c r="U299" i="2"/>
  <c r="K299" i="2"/>
  <c r="F299" i="2"/>
  <c r="I299" i="2"/>
  <c r="G299" i="2"/>
  <c r="H299" i="2"/>
  <c r="E299" i="2"/>
  <c r="N298" i="2"/>
  <c r="AI298" i="2" s="1"/>
  <c r="P298" i="2"/>
  <c r="AH298" i="2" l="1"/>
  <c r="M300" i="2"/>
  <c r="O300" i="2" s="1"/>
  <c r="Q300" i="2"/>
  <c r="C300" i="2"/>
  <c r="T300" i="2" s="1"/>
  <c r="V300" i="2" s="1"/>
  <c r="AB300" i="2"/>
  <c r="D301" i="2"/>
  <c r="U300" i="2"/>
  <c r="E300" i="2"/>
  <c r="L300" i="2"/>
  <c r="R300" i="2"/>
  <c r="K300" i="2"/>
  <c r="G300" i="2"/>
  <c r="F300" i="2"/>
  <c r="I300" i="2"/>
  <c r="H300" i="2"/>
  <c r="N299" i="2"/>
  <c r="AI299" i="2" s="1"/>
  <c r="P299" i="2"/>
  <c r="AH299" i="2" l="1"/>
  <c r="M301" i="2"/>
  <c r="O301" i="2" s="1"/>
  <c r="AB301" i="2"/>
  <c r="C301" i="2"/>
  <c r="T301" i="2" s="1"/>
  <c r="V301" i="2" s="1"/>
  <c r="Q301" i="2"/>
  <c r="D302" i="2"/>
  <c r="L301" i="2"/>
  <c r="I301" i="2"/>
  <c r="R301" i="2"/>
  <c r="G301" i="2"/>
  <c r="H301" i="2"/>
  <c r="K301" i="2"/>
  <c r="U301" i="2"/>
  <c r="F301" i="2"/>
  <c r="E301" i="2"/>
  <c r="N300" i="2"/>
  <c r="AI300" i="2" s="1"/>
  <c r="P300" i="2"/>
  <c r="AH300" i="2" l="1"/>
  <c r="M302" i="2"/>
  <c r="O302" i="2" s="1"/>
  <c r="C302" i="2"/>
  <c r="T302" i="2" s="1"/>
  <c r="V302" i="2" s="1"/>
  <c r="AB302" i="2"/>
  <c r="Q302" i="2"/>
  <c r="D303" i="2"/>
  <c r="L302" i="2"/>
  <c r="H302" i="2"/>
  <c r="G302" i="2"/>
  <c r="E302" i="2"/>
  <c r="R302" i="2"/>
  <c r="I302" i="2"/>
  <c r="K302" i="2"/>
  <c r="U302" i="2"/>
  <c r="F302" i="2"/>
  <c r="N301" i="2"/>
  <c r="AI301" i="2" s="1"/>
  <c r="P301" i="2"/>
  <c r="M303" i="2" l="1"/>
  <c r="O303" i="2" s="1"/>
  <c r="Q303" i="2"/>
  <c r="AB303" i="2"/>
  <c r="C303" i="2"/>
  <c r="T303" i="2" s="1"/>
  <c r="V303" i="2" s="1"/>
  <c r="D304" i="2"/>
  <c r="L303" i="2"/>
  <c r="F303" i="2"/>
  <c r="R303" i="2"/>
  <c r="H303" i="2"/>
  <c r="U303" i="2"/>
  <c r="G303" i="2"/>
  <c r="I303" i="2"/>
  <c r="E303" i="2"/>
  <c r="K303" i="2"/>
  <c r="N302" i="2"/>
  <c r="AI302" i="2" s="1"/>
  <c r="P302" i="2"/>
  <c r="AH301" i="2"/>
  <c r="M304" i="2" l="1"/>
  <c r="O304" i="2" s="1"/>
  <c r="Q304" i="2"/>
  <c r="AB304" i="2"/>
  <c r="C304" i="2"/>
  <c r="T304" i="2" s="1"/>
  <c r="V304" i="2" s="1"/>
  <c r="D305" i="2"/>
  <c r="L304" i="2"/>
  <c r="K304" i="2"/>
  <c r="E304" i="2"/>
  <c r="F304" i="2"/>
  <c r="G304" i="2"/>
  <c r="R304" i="2"/>
  <c r="I304" i="2"/>
  <c r="H304" i="2"/>
  <c r="U304" i="2"/>
  <c r="AH302" i="2"/>
  <c r="N303" i="2"/>
  <c r="AI303" i="2" s="1"/>
  <c r="P303" i="2"/>
  <c r="AH303" i="2" l="1"/>
  <c r="M305" i="2"/>
  <c r="O305" i="2" s="1"/>
  <c r="Q305" i="2"/>
  <c r="C305" i="2"/>
  <c r="T305" i="2" s="1"/>
  <c r="V305" i="2" s="1"/>
  <c r="AB305" i="2"/>
  <c r="D306" i="2"/>
  <c r="L305" i="2"/>
  <c r="K305" i="2"/>
  <c r="H305" i="2"/>
  <c r="F305" i="2"/>
  <c r="E305" i="2"/>
  <c r="I305" i="2"/>
  <c r="G305" i="2"/>
  <c r="R305" i="2"/>
  <c r="U305" i="2"/>
  <c r="N304" i="2"/>
  <c r="AI304" i="2" s="1"/>
  <c r="P304" i="2"/>
  <c r="M306" i="2" l="1"/>
  <c r="O306" i="2" s="1"/>
  <c r="Q306" i="2"/>
  <c r="AB306" i="2"/>
  <c r="C306" i="2"/>
  <c r="T306" i="2" s="1"/>
  <c r="V306" i="2" s="1"/>
  <c r="D307" i="2"/>
  <c r="L306" i="2"/>
  <c r="I306" i="2"/>
  <c r="R306" i="2"/>
  <c r="K306" i="2"/>
  <c r="F306" i="2"/>
  <c r="H306" i="2"/>
  <c r="U306" i="2"/>
  <c r="E306" i="2"/>
  <c r="G306" i="2"/>
  <c r="AH304" i="2"/>
  <c r="N305" i="2"/>
  <c r="AI305" i="2" s="1"/>
  <c r="P305" i="2"/>
  <c r="AH305" i="2" l="1"/>
  <c r="M307" i="2"/>
  <c r="O307" i="2" s="1"/>
  <c r="C307" i="2"/>
  <c r="T307" i="2" s="1"/>
  <c r="V307" i="2" s="1"/>
  <c r="Q307" i="2"/>
  <c r="AB307" i="2"/>
  <c r="D308" i="2"/>
  <c r="L307" i="2"/>
  <c r="U307" i="2"/>
  <c r="G307" i="2"/>
  <c r="E307" i="2"/>
  <c r="K307" i="2"/>
  <c r="R307" i="2"/>
  <c r="F307" i="2"/>
  <c r="I307" i="2"/>
  <c r="H307" i="2"/>
  <c r="N306" i="2"/>
  <c r="AI306" i="2" s="1"/>
  <c r="P306" i="2"/>
  <c r="D309" i="2" l="1"/>
  <c r="H308" i="2"/>
  <c r="U308" i="2"/>
  <c r="K308" i="2"/>
  <c r="E308" i="2"/>
  <c r="F308" i="2"/>
  <c r="R308" i="2"/>
  <c r="I308" i="2"/>
  <c r="L308" i="2"/>
  <c r="G308" i="2"/>
  <c r="M308" i="2"/>
  <c r="O308" i="2" s="1"/>
  <c r="AB308" i="2"/>
  <c r="Q308" i="2"/>
  <c r="C308" i="2"/>
  <c r="T308" i="2" s="1"/>
  <c r="V308" i="2" s="1"/>
  <c r="N307" i="2"/>
  <c r="AI307" i="2" s="1"/>
  <c r="P307" i="2"/>
  <c r="AH306" i="2"/>
  <c r="N308" i="2" l="1"/>
  <c r="AI308" i="2" s="1"/>
  <c r="P308" i="2"/>
  <c r="AH307" i="2"/>
  <c r="AH308" i="2" s="1"/>
  <c r="M309" i="2"/>
  <c r="O309" i="2" s="1"/>
  <c r="Q309" i="2"/>
  <c r="C309" i="2"/>
  <c r="T309" i="2" s="1"/>
  <c r="V309" i="2" s="1"/>
  <c r="AB309" i="2"/>
  <c r="D310" i="2"/>
  <c r="L309" i="2"/>
  <c r="R309" i="2"/>
  <c r="I309" i="2"/>
  <c r="G309" i="2"/>
  <c r="U309" i="2"/>
  <c r="K309" i="2"/>
  <c r="H309" i="2"/>
  <c r="F309" i="2"/>
  <c r="E309" i="2"/>
  <c r="N309" i="2" l="1"/>
  <c r="AI309" i="2" s="1"/>
  <c r="P309" i="2"/>
  <c r="D311" i="2"/>
  <c r="L310" i="2"/>
  <c r="U310" i="2"/>
  <c r="G310" i="2"/>
  <c r="E310" i="2"/>
  <c r="R310" i="2"/>
  <c r="I310" i="2"/>
  <c r="K310" i="2"/>
  <c r="H310" i="2"/>
  <c r="F310" i="2"/>
  <c r="AH309" i="2"/>
  <c r="M310" i="2"/>
  <c r="O310" i="2" s="1"/>
  <c r="AB310" i="2"/>
  <c r="C310" i="2"/>
  <c r="T310" i="2" s="1"/>
  <c r="V310" i="2" s="1"/>
  <c r="Q310" i="2"/>
  <c r="M311" i="2" l="1"/>
  <c r="O311" i="2" s="1"/>
  <c r="Q311" i="2"/>
  <c r="AB311" i="2"/>
  <c r="C311" i="2"/>
  <c r="T311" i="2" s="1"/>
  <c r="V311" i="2" s="1"/>
  <c r="N310" i="2"/>
  <c r="AI310" i="2" s="1"/>
  <c r="P310" i="2"/>
  <c r="D312" i="2"/>
  <c r="L311" i="2"/>
  <c r="F311" i="2"/>
  <c r="G311" i="2"/>
  <c r="H311" i="2"/>
  <c r="U311" i="2"/>
  <c r="I311" i="2"/>
  <c r="E311" i="2"/>
  <c r="K311" i="2"/>
  <c r="R311" i="2"/>
  <c r="D313" i="2" l="1"/>
  <c r="L312" i="2"/>
  <c r="K312" i="2"/>
  <c r="I312" i="2"/>
  <c r="F312" i="2"/>
  <c r="E312" i="2"/>
  <c r="R312" i="2"/>
  <c r="G312" i="2"/>
  <c r="U312" i="2"/>
  <c r="H312" i="2"/>
  <c r="M312" i="2"/>
  <c r="O312" i="2" s="1"/>
  <c r="Q312" i="2"/>
  <c r="C312" i="2"/>
  <c r="T312" i="2" s="1"/>
  <c r="V312" i="2" s="1"/>
  <c r="AB312" i="2"/>
  <c r="AH310" i="2"/>
  <c r="N311" i="2"/>
  <c r="AI311" i="2" s="1"/>
  <c r="P311" i="2"/>
  <c r="N312" i="2" l="1"/>
  <c r="AI312" i="2" s="1"/>
  <c r="P312" i="2"/>
  <c r="AH311" i="2"/>
  <c r="AH312" i="2" s="1"/>
  <c r="M313" i="2"/>
  <c r="O313" i="2" s="1"/>
  <c r="AB313" i="2"/>
  <c r="C313" i="2"/>
  <c r="T313" i="2" s="1"/>
  <c r="V313" i="2" s="1"/>
  <c r="Q313" i="2"/>
  <c r="D314" i="2"/>
  <c r="L313" i="2"/>
  <c r="H313" i="2"/>
  <c r="K313" i="2"/>
  <c r="F313" i="2"/>
  <c r="U313" i="2"/>
  <c r="I313" i="2"/>
  <c r="E313" i="2"/>
  <c r="R313" i="2"/>
  <c r="G313" i="2"/>
  <c r="N313" i="2" l="1"/>
  <c r="AI313" i="2" s="1"/>
  <c r="P313" i="2"/>
  <c r="D315" i="2"/>
  <c r="L314" i="2"/>
  <c r="G314" i="2"/>
  <c r="I314" i="2"/>
  <c r="K314" i="2"/>
  <c r="U314" i="2"/>
  <c r="F314" i="2"/>
  <c r="H314" i="2"/>
  <c r="E314" i="2"/>
  <c r="R314" i="2"/>
  <c r="M314" i="2"/>
  <c r="O314" i="2" s="1"/>
  <c r="Q314" i="2"/>
  <c r="C314" i="2"/>
  <c r="T314" i="2" s="1"/>
  <c r="V314" i="2" s="1"/>
  <c r="AB314" i="2"/>
  <c r="N314" i="2" l="1"/>
  <c r="AI314" i="2" s="1"/>
  <c r="P314" i="2"/>
  <c r="M315" i="2"/>
  <c r="O315" i="2" s="1"/>
  <c r="C315" i="2"/>
  <c r="T315" i="2" s="1"/>
  <c r="V315" i="2" s="1"/>
  <c r="Q315" i="2"/>
  <c r="AB315" i="2"/>
  <c r="D316" i="2"/>
  <c r="L315" i="2"/>
  <c r="U315" i="2"/>
  <c r="K315" i="2"/>
  <c r="E315" i="2"/>
  <c r="F315" i="2"/>
  <c r="I315" i="2"/>
  <c r="R315" i="2"/>
  <c r="H315" i="2"/>
  <c r="G315" i="2"/>
  <c r="AH313" i="2"/>
  <c r="AH314" i="2" s="1"/>
  <c r="D317" i="2" l="1"/>
  <c r="U316" i="2"/>
  <c r="E316" i="2"/>
  <c r="H316" i="2"/>
  <c r="L316" i="2"/>
  <c r="K316" i="2"/>
  <c r="G316" i="2"/>
  <c r="F316" i="2"/>
  <c r="I316" i="2"/>
  <c r="R316" i="2"/>
  <c r="N315" i="2"/>
  <c r="AI315" i="2" s="1"/>
  <c r="P315" i="2"/>
  <c r="M316" i="2"/>
  <c r="O316" i="2" s="1"/>
  <c r="Q316" i="2"/>
  <c r="C316" i="2"/>
  <c r="T316" i="2" s="1"/>
  <c r="V316" i="2" s="1"/>
  <c r="AB316" i="2"/>
  <c r="N316" i="2" l="1"/>
  <c r="AI316" i="2" s="1"/>
  <c r="P316" i="2"/>
  <c r="M317" i="2"/>
  <c r="O317" i="2" s="1"/>
  <c r="Q317" i="2"/>
  <c r="AB317" i="2"/>
  <c r="C317" i="2"/>
  <c r="T317" i="2" s="1"/>
  <c r="V317" i="2" s="1"/>
  <c r="AH315" i="2"/>
  <c r="AH316" i="2" s="1"/>
  <c r="D318" i="2"/>
  <c r="L317" i="2"/>
  <c r="I317" i="2"/>
  <c r="G317" i="2"/>
  <c r="R317" i="2"/>
  <c r="H317" i="2"/>
  <c r="K317" i="2"/>
  <c r="F317" i="2"/>
  <c r="U317" i="2"/>
  <c r="E317" i="2"/>
  <c r="D319" i="2" l="1"/>
  <c r="L318" i="2"/>
  <c r="I318" i="2"/>
  <c r="H318" i="2"/>
  <c r="R318" i="2"/>
  <c r="U318" i="2"/>
  <c r="K318" i="2"/>
  <c r="E318" i="2"/>
  <c r="G318" i="2"/>
  <c r="F318" i="2"/>
  <c r="N317" i="2"/>
  <c r="AI317" i="2" s="1"/>
  <c r="P317" i="2"/>
  <c r="M318" i="2"/>
  <c r="O318" i="2" s="1"/>
  <c r="C318" i="2"/>
  <c r="T318" i="2" s="1"/>
  <c r="V318" i="2" s="1"/>
  <c r="Q318" i="2"/>
  <c r="AB318" i="2"/>
  <c r="N318" i="2" l="1"/>
  <c r="AI318" i="2" s="1"/>
  <c r="P318" i="2"/>
  <c r="M319" i="2"/>
  <c r="O319" i="2" s="1"/>
  <c r="AB319" i="2"/>
  <c r="Q319" i="2"/>
  <c r="C319" i="2"/>
  <c r="T319" i="2" s="1"/>
  <c r="V319" i="2" s="1"/>
  <c r="L319" i="2"/>
  <c r="F319" i="2"/>
  <c r="D320" i="2"/>
  <c r="U319" i="2"/>
  <c r="E319" i="2"/>
  <c r="R319" i="2"/>
  <c r="H319" i="2"/>
  <c r="G319" i="2"/>
  <c r="I319" i="2"/>
  <c r="K319" i="2"/>
  <c r="AH317" i="2"/>
  <c r="AH318" i="2" s="1"/>
  <c r="C320" i="2" l="1"/>
  <c r="T320" i="2" s="1"/>
  <c r="V320" i="2" s="1"/>
  <c r="K17" i="2" s="1"/>
  <c r="G28" i="1" s="1"/>
  <c r="M320" i="2"/>
  <c r="AB320" i="2"/>
  <c r="Q320" i="2"/>
  <c r="N319" i="2"/>
  <c r="AI319" i="2" s="1"/>
  <c r="P319" i="2"/>
  <c r="H320" i="2"/>
  <c r="K320" i="2"/>
  <c r="K321" i="2" s="1"/>
  <c r="F320" i="2"/>
  <c r="AE2" i="2" s="1"/>
  <c r="I320" i="2"/>
  <c r="L320" i="2"/>
  <c r="R320" i="2"/>
  <c r="E320" i="2"/>
  <c r="U320" i="2"/>
  <c r="G320" i="2"/>
  <c r="K14" i="2"/>
  <c r="AY14" i="2"/>
  <c r="AH319" i="2" l="1"/>
  <c r="O320" i="2"/>
  <c r="AG19" i="2"/>
  <c r="M321" i="2"/>
  <c r="N320" i="2" l="1"/>
  <c r="P320" i="2"/>
  <c r="AI320" i="2" l="1"/>
  <c r="AH320" i="2"/>
</calcChain>
</file>

<file path=xl/sharedStrings.xml><?xml version="1.0" encoding="utf-8"?>
<sst xmlns="http://schemas.openxmlformats.org/spreadsheetml/2006/main" count="771" uniqueCount="507">
  <si>
    <t>NO</t>
  </si>
  <si>
    <t>Cliente HSBC</t>
  </si>
  <si>
    <t>SI</t>
  </si>
  <si>
    <t>Estado Vivienda</t>
  </si>
  <si>
    <t>Aguascalientes</t>
  </si>
  <si>
    <t>Baja California</t>
  </si>
  <si>
    <t>Baja California Sur</t>
  </si>
  <si>
    <t>Campeche</t>
  </si>
  <si>
    <t>Coahuila</t>
  </si>
  <si>
    <t>Colima</t>
  </si>
  <si>
    <t>Chihuahua</t>
  </si>
  <si>
    <t>Ciudad de México</t>
  </si>
  <si>
    <t>Durango</t>
  </si>
  <si>
    <t>Estado de México</t>
  </si>
  <si>
    <t>Guanajuato</t>
  </si>
  <si>
    <t>Guerrero</t>
  </si>
  <si>
    <t>Hidalgo</t>
  </si>
  <si>
    <t>Jalisco</t>
  </si>
  <si>
    <t>Michoacán</t>
  </si>
  <si>
    <t>Morelos</t>
  </si>
  <si>
    <t>Nayarit</t>
  </si>
  <si>
    <t>Nuevo León</t>
  </si>
  <si>
    <t>Oaxaca</t>
  </si>
  <si>
    <t>Puebla</t>
  </si>
  <si>
    <t>Querétaro</t>
  </si>
  <si>
    <t>Quintana Roo</t>
  </si>
  <si>
    <t>San Luis Potosí</t>
  </si>
  <si>
    <t>Sinaloa</t>
  </si>
  <si>
    <t>Sonora</t>
  </si>
  <si>
    <t>Tabasco</t>
  </si>
  <si>
    <t>Tamaulipas</t>
  </si>
  <si>
    <t>Tlaxcala</t>
  </si>
  <si>
    <t>Veracruz</t>
  </si>
  <si>
    <t>Yucatán</t>
  </si>
  <si>
    <t>Zacatecas</t>
  </si>
  <si>
    <t>Tipo</t>
  </si>
  <si>
    <t>Producto</t>
  </si>
  <si>
    <t>Pago de Hipoteca</t>
  </si>
  <si>
    <t>Liquidez</t>
  </si>
  <si>
    <t>Tipo de Financiamiento</t>
  </si>
  <si>
    <t>Tipo Financiamiento</t>
  </si>
  <si>
    <t>Tradicional</t>
  </si>
  <si>
    <t>Apoyo Infonavit</t>
  </si>
  <si>
    <t>Cofinavit</t>
  </si>
  <si>
    <t>Plazo</t>
  </si>
  <si>
    <t>Monto del Crédito</t>
  </si>
  <si>
    <t>Teléfono</t>
  </si>
  <si>
    <t>Conjunto</t>
  </si>
  <si>
    <t>Gastos de Investigación</t>
  </si>
  <si>
    <t>Gastos Notariales</t>
  </si>
  <si>
    <t>Desembolso Total</t>
  </si>
  <si>
    <t>Condiciones del crédito</t>
  </si>
  <si>
    <t>Monto de crédito Total</t>
  </si>
  <si>
    <t xml:space="preserve">Pago Fijo </t>
  </si>
  <si>
    <t>Segment</t>
  </si>
  <si>
    <t>Premier</t>
  </si>
  <si>
    <t>No premier</t>
  </si>
  <si>
    <t>Exclusiva</t>
  </si>
  <si>
    <t>Pago Hipoteca</t>
  </si>
  <si>
    <t>Liquidez Premier</t>
  </si>
  <si>
    <t>Liquidez No Premier</t>
  </si>
  <si>
    <t>Nómina Especial</t>
  </si>
  <si>
    <t>5 años</t>
  </si>
  <si>
    <t>10años</t>
  </si>
  <si>
    <t>15años</t>
  </si>
  <si>
    <t>20años</t>
  </si>
  <si>
    <t>Rate</t>
  </si>
  <si>
    <t>Opening Fee</t>
  </si>
  <si>
    <t>Research Fee</t>
  </si>
  <si>
    <t>Appraisal</t>
  </si>
  <si>
    <t>Sí</t>
  </si>
  <si>
    <t>LTV</t>
  </si>
  <si>
    <t>Monthly Fee (sin Iva)</t>
  </si>
  <si>
    <t>Pago Por mil</t>
  </si>
  <si>
    <t>Factor de Línea</t>
  </si>
  <si>
    <t>CaT</t>
  </si>
  <si>
    <t>Pago Bajo</t>
  </si>
  <si>
    <t>Perfil</t>
  </si>
  <si>
    <t>No Premier</t>
  </si>
  <si>
    <t>Adquisicion</t>
  </si>
  <si>
    <t>Liga</t>
  </si>
  <si>
    <t>Costo Avaluos</t>
  </si>
  <si>
    <t>De</t>
  </si>
  <si>
    <t>Costo</t>
  </si>
  <si>
    <t>Alia2</t>
  </si>
  <si>
    <t>Respalda2</t>
  </si>
  <si>
    <t>100% GyH</t>
  </si>
  <si>
    <t>Monto Maximo</t>
  </si>
  <si>
    <t>Validación</t>
  </si>
  <si>
    <t>Cumple</t>
  </si>
  <si>
    <t>Monto Max por Monto</t>
  </si>
  <si>
    <t>Monto Max por Ingreso</t>
  </si>
  <si>
    <t>Max Financiamiento</t>
  </si>
  <si>
    <t>Min Financiamiento</t>
  </si>
  <si>
    <t>Ajuste por SSV</t>
  </si>
  <si>
    <t>Enganche base</t>
  </si>
  <si>
    <t>Gastos-Subcueta</t>
  </si>
  <si>
    <t>Factores y Estimación de Línea</t>
  </si>
  <si>
    <t>Factor DTI</t>
  </si>
  <si>
    <t>Factor No Asalariado</t>
  </si>
  <si>
    <t>Factor Comisión Mensual</t>
  </si>
  <si>
    <t>Factor Vida</t>
  </si>
  <si>
    <t>Factor Daños</t>
  </si>
  <si>
    <t>Tasa para cálculo ingreso</t>
  </si>
  <si>
    <t>Ajuste corrección</t>
  </si>
  <si>
    <t>Factor de Línea/Tasa</t>
  </si>
  <si>
    <t>Plazos</t>
  </si>
  <si>
    <t>Ingresos Mínimos</t>
  </si>
  <si>
    <t>Valor de Vivienda</t>
  </si>
  <si>
    <t>Monto Max</t>
  </si>
  <si>
    <t>Cofi</t>
  </si>
  <si>
    <t>Final</t>
  </si>
  <si>
    <t>CréditoLTV</t>
  </si>
  <si>
    <t>Credito solicitado</t>
  </si>
  <si>
    <t>Tabla de amortización</t>
  </si>
  <si>
    <t>Datos Generales</t>
  </si>
  <si>
    <t>Datos del crédito</t>
  </si>
  <si>
    <t>Crédito</t>
  </si>
  <si>
    <t>Tasa anual</t>
  </si>
  <si>
    <t>Pago Fijo</t>
  </si>
  <si>
    <t>Seguro de Daños</t>
  </si>
  <si>
    <t>Monto de Vivienda</t>
  </si>
  <si>
    <t>Comisión por administración</t>
  </si>
  <si>
    <t>Mensualidad</t>
  </si>
  <si>
    <t>Infonavit</t>
  </si>
  <si>
    <t>Plazo en meses</t>
  </si>
  <si>
    <t>Ingreso mensual</t>
  </si>
  <si>
    <t>CAT*</t>
  </si>
  <si>
    <t>Mes</t>
  </si>
  <si>
    <t>Saldo Inicial</t>
  </si>
  <si>
    <t>Pago a Capital</t>
  </si>
  <si>
    <t>Intereses</t>
  </si>
  <si>
    <r>
      <t>Seguro de Vida</t>
    </r>
    <r>
      <rPr>
        <b/>
        <vertAlign val="superscript"/>
        <sz val="10"/>
        <color indexed="9"/>
        <rFont val="Arial"/>
        <family val="2"/>
      </rPr>
      <t xml:space="preserve"> </t>
    </r>
  </si>
  <si>
    <t xml:space="preserve">Seguro de Daños </t>
  </si>
  <si>
    <t>Comisión por Administración</t>
  </si>
  <si>
    <t>Saldo Final</t>
  </si>
  <si>
    <t>Aportación Infonavit</t>
  </si>
  <si>
    <t>Flujo sin IVA</t>
  </si>
  <si>
    <t>Flujo CAT</t>
  </si>
  <si>
    <t>FACTOR</t>
  </si>
  <si>
    <t>Totales</t>
  </si>
  <si>
    <t>* CAT promedio sin IVA. Informativo. Tasa  fija anual. Cobertura Nacional. Crédito en Moneda Nacional. Información sujeta a cambios sin previo aviso.</t>
  </si>
  <si>
    <t>Aplican condiciones. Sujeto a aprobación de crédito. Consulta términos, condiciones de contratación y comisiones en www.hsbc.com.mx</t>
  </si>
  <si>
    <t>La información mostrada es para fines informativos y de comparación exclusivamente. No constituye obligación alguna para HSBC o las Aseguradoras que se indican.</t>
  </si>
  <si>
    <t>El Seguro de Vida es registrado y operado por HSBC Seguros S.A. de CV., Grupo Financiero HSBC. El Seguro de Daños es registrado y operado por AXA Seguros S.A. de C.V.</t>
  </si>
  <si>
    <t>Factores Seguros</t>
  </si>
  <si>
    <t>Vida</t>
  </si>
  <si>
    <t>Daños</t>
  </si>
  <si>
    <t>Pago de Hipoteca50.85</t>
  </si>
  <si>
    <t>Pago de Hipoteca100.85</t>
  </si>
  <si>
    <t>Pago de Hipoteca150.85</t>
  </si>
  <si>
    <t>Pago de Hipoteca200.85</t>
  </si>
  <si>
    <t>AdquisicionPremier50.9</t>
  </si>
  <si>
    <t>AdquisicionPremier100.9</t>
  </si>
  <si>
    <t>AdquisicionPremier150.9</t>
  </si>
  <si>
    <t>AdquisicionPremier200.9</t>
  </si>
  <si>
    <t>AdquisicionNo Premier50.5</t>
  </si>
  <si>
    <t>AdquisicionNo Premier100.5</t>
  </si>
  <si>
    <t>AdquisicionNo Premier150.5</t>
  </si>
  <si>
    <t>AdquisicionNo Premier200.5</t>
  </si>
  <si>
    <t>AdquisicionNo Premier50.75</t>
  </si>
  <si>
    <t>AdquisicionNo Premier100.75</t>
  </si>
  <si>
    <t>AdquisicionNo Premier150.75</t>
  </si>
  <si>
    <t>AdquisicionNo Premier200.75</t>
  </si>
  <si>
    <t>AdquisicionNo Premier50.9</t>
  </si>
  <si>
    <t>AdquisicionNo Premier100.9</t>
  </si>
  <si>
    <t>AdquisicionNo Premier150.9</t>
  </si>
  <si>
    <t>AdquisicionNo Premier200.9</t>
  </si>
  <si>
    <t>ExclusivaNo Premier50.9</t>
  </si>
  <si>
    <t>ExclusivaNo Premier100.9</t>
  </si>
  <si>
    <t>ExclusivaNo Premier150.9</t>
  </si>
  <si>
    <t>ExclusivaNo Premier200.9</t>
  </si>
  <si>
    <t>plazo</t>
  </si>
  <si>
    <t>DTI</t>
  </si>
  <si>
    <t>LiquidezNo Premier150.7</t>
  </si>
  <si>
    <t>LiquidezPremier50.7</t>
  </si>
  <si>
    <t>LiquidezPremier100.7</t>
  </si>
  <si>
    <t>LiquidezPremier150.7</t>
  </si>
  <si>
    <t>LiquidezNo Premier50.5</t>
  </si>
  <si>
    <t>LiquidezNo Premier50.7</t>
  </si>
  <si>
    <t>LiquidezNo Premier100.7</t>
  </si>
  <si>
    <t>LiquidezNo Premier100.5</t>
  </si>
  <si>
    <t>LiquidezNo Premier150.5</t>
  </si>
  <si>
    <t>AdquisicionNo Premier</t>
  </si>
  <si>
    <t>Pago de HipotecaNo Premier</t>
  </si>
  <si>
    <t>LiquidezNo Premier</t>
  </si>
  <si>
    <t>AdquisicionPremier</t>
  </si>
  <si>
    <t>LiquidezPremier</t>
  </si>
  <si>
    <t>ExclusivaNo Premier</t>
  </si>
  <si>
    <t>ExclusivaPremier</t>
  </si>
  <si>
    <t>liquidez Premier</t>
  </si>
  <si>
    <t>PremierAdquisicion5</t>
  </si>
  <si>
    <t>PremierAdquisicion10</t>
  </si>
  <si>
    <t>PremierAdquisicion15</t>
  </si>
  <si>
    <t>PremierAdquisicion20</t>
  </si>
  <si>
    <t>No PremierAdquisicion5</t>
  </si>
  <si>
    <t>No PremierAdquisicion10</t>
  </si>
  <si>
    <t>No PremierAdquisicion15</t>
  </si>
  <si>
    <t>No PremierAdquisicion20</t>
  </si>
  <si>
    <t>No PremierPago de Hipoteca5</t>
  </si>
  <si>
    <t>No PremierPago de Hipoteca10</t>
  </si>
  <si>
    <t>No PremierPago de Hipoteca15</t>
  </si>
  <si>
    <t>No PremierPago de Hipoteca20</t>
  </si>
  <si>
    <t>No PremierLiquidez5</t>
  </si>
  <si>
    <t>No PremierLiquidez10</t>
  </si>
  <si>
    <t>No PremierLiquidez15</t>
  </si>
  <si>
    <t>PremierLiquidez5</t>
  </si>
  <si>
    <t>PremierLiquidez10</t>
  </si>
  <si>
    <t>PremierLiquidez15</t>
  </si>
  <si>
    <t>No PremierExclusiva5</t>
  </si>
  <si>
    <t>No PremierExclusiva10</t>
  </si>
  <si>
    <t>No PremierExclusiva15</t>
  </si>
  <si>
    <t>No PremierExclusiva20</t>
  </si>
  <si>
    <t>Perfil Cliente</t>
  </si>
  <si>
    <t>Por monto de crédito y valor de la vivienda</t>
  </si>
  <si>
    <t>Por ingresos del cliente</t>
  </si>
  <si>
    <t>Desembolso inicial</t>
  </si>
  <si>
    <t>Plazo solicitado (años)</t>
  </si>
  <si>
    <t>Información mostrada para fines informativos y de comparación exclusivamente. No constituye obligación alguna para HSBC o las Aseguradoras indicadas.</t>
  </si>
  <si>
    <t>* Condiciones aplicables en caso de ser asalariado. En caso de tener otra actividad, revisar en comparativo los plazos.</t>
  </si>
  <si>
    <t>Tipo prepago</t>
  </si>
  <si>
    <t>Prepago</t>
  </si>
  <si>
    <t>IVA</t>
  </si>
  <si>
    <t>El monto mínimo de la garantía son $350,000</t>
  </si>
  <si>
    <t>Recuerda, el LTV máximo es de 90%</t>
  </si>
  <si>
    <t>Recuerda, el LTV máximo es de 85%</t>
  </si>
  <si>
    <t>Recuerda, el LTV máximo es de 70%</t>
  </si>
  <si>
    <t>Introducir el Monto del Crédito</t>
  </si>
  <si>
    <t>El monto de crédito debe ser mayor a $200,000</t>
  </si>
  <si>
    <t>Introducir un plazo válido</t>
  </si>
  <si>
    <t>Crédito Infonavit</t>
  </si>
  <si>
    <t>Saldo Subcuenta de Vivienda</t>
  </si>
  <si>
    <t>Crédito FOVISSSTE incluyendo SSV</t>
  </si>
  <si>
    <t>Seleccone un Tipo de Financiamiento Válido</t>
  </si>
  <si>
    <t>El monto de crédito debe ser mayor a $100,000</t>
  </si>
  <si>
    <t>No PremierAdquisicion50.75</t>
  </si>
  <si>
    <t>No PremierAdquisicion100.75</t>
  </si>
  <si>
    <t>No PremierAdquisicion150.75</t>
  </si>
  <si>
    <t>No PremierAdquisicion200.75</t>
  </si>
  <si>
    <t>No PremierAdquisicion50.9</t>
  </si>
  <si>
    <t>No PremierAdquisicion100.9</t>
  </si>
  <si>
    <t>No PremierAdquisicion150.9</t>
  </si>
  <si>
    <t>No PremierAdquisicion200.9</t>
  </si>
  <si>
    <t>No PremierExclusiva50.9</t>
  </si>
  <si>
    <t>No PremierExclusiva100.9</t>
  </si>
  <si>
    <t>No PremierExclusiva150.9</t>
  </si>
  <si>
    <t>No PremierExclusiva200.9</t>
  </si>
  <si>
    <t>No PremierPago de Hipoteca50.85</t>
  </si>
  <si>
    <t>No PremierPago de Hipoteca100.85</t>
  </si>
  <si>
    <t>No PremierPago de Hipoteca150.85</t>
  </si>
  <si>
    <t>No PremierPago de Hipoteca200.85</t>
  </si>
  <si>
    <t>No PremierLiquidez50.5</t>
  </si>
  <si>
    <t>No PremierLiquidez100.5</t>
  </si>
  <si>
    <t>No PremierLiquidez150.5</t>
  </si>
  <si>
    <t>Se necesita un ingreso mayor a $10,000</t>
  </si>
  <si>
    <t>Pago mensual en Buro(Obligaciones)</t>
  </si>
  <si>
    <t>¿Es cliente Nómina HSBC?</t>
  </si>
  <si>
    <t>Introducir Producto</t>
  </si>
  <si>
    <t>Introducir Valor de la Vivienda</t>
  </si>
  <si>
    <t>Pago Hipoteca+Liquidez</t>
  </si>
  <si>
    <t>Monto Hipoteca Actual</t>
  </si>
  <si>
    <t>Introducir Monto de Hipoteca Actual</t>
  </si>
  <si>
    <t>Monto de Hipoteca Actual Debe Ser Mayor a $200,000</t>
  </si>
  <si>
    <t>Monto de crédito solicitado debe ser al menos $10,000 mayor a la hipoteca actual</t>
  </si>
  <si>
    <t>Por Valor de la Vivienda</t>
  </si>
  <si>
    <t>Enganche Adicional</t>
  </si>
  <si>
    <t>Monto de Máximo</t>
  </si>
  <si>
    <t>PremierPago de Hipoteca5</t>
  </si>
  <si>
    <t>PremierPago de Hipoteca10</t>
  </si>
  <si>
    <t>PremierPago de Hipoteca15</t>
  </si>
  <si>
    <t>PremierPago de Hipoteca20</t>
  </si>
  <si>
    <t>PremierPago de Hipoteca50.85</t>
  </si>
  <si>
    <t>PremierPago de Hipoteca100.85</t>
  </si>
  <si>
    <t>PremierPago de Hipoteca150.85</t>
  </si>
  <si>
    <t>PremierPago de Hipoteca200.85</t>
  </si>
  <si>
    <t>PremierExclusiva50.9</t>
  </si>
  <si>
    <t>PremierExclusiva100.9</t>
  </si>
  <si>
    <t>PremierExclusiva150.9</t>
  </si>
  <si>
    <t>PremierExclusiva200.9</t>
  </si>
  <si>
    <t>Oferta Pago Fijo</t>
  </si>
  <si>
    <t>Oferta Pago Bajo</t>
  </si>
  <si>
    <t>Oferta Vinculante</t>
  </si>
  <si>
    <t>Tipo de cliente</t>
  </si>
  <si>
    <t>Elige una Tasa</t>
  </si>
  <si>
    <t>AdquisicionNo Premier15Pago Fijo</t>
  </si>
  <si>
    <t>AdquisicionNo Premier20Pago Fijo</t>
  </si>
  <si>
    <t>Tasa de Interes</t>
  </si>
  <si>
    <t>Guía Rápida</t>
  </si>
  <si>
    <r>
      <t xml:space="preserve">B) Seleccionar el Perfil del Cliente </t>
    </r>
    <r>
      <rPr>
        <b/>
        <sz val="11"/>
        <color indexed="8"/>
        <rFont val="Calibri"/>
        <family val="2"/>
      </rPr>
      <t>"Premier, No Premier"</t>
    </r>
  </si>
  <si>
    <r>
      <t xml:space="preserve">C) Seleccionar el tipo de simulación </t>
    </r>
    <r>
      <rPr>
        <b/>
        <sz val="11"/>
        <color indexed="8"/>
        <rFont val="Calibri"/>
        <family val="2"/>
      </rPr>
      <t>"Por Valor de la Vivienda, Por Monto del Crédito Y Valor de la Vivienda, Por Ingresos del Cliente"</t>
    </r>
  </si>
  <si>
    <r>
      <t xml:space="preserve">D) Seleccionar Producto </t>
    </r>
    <r>
      <rPr>
        <b/>
        <sz val="11"/>
        <color indexed="8"/>
        <rFont val="Calibri"/>
        <family val="2"/>
      </rPr>
      <t>"Adquisición, Exclusiva, Liquidez, Pago de Hipoteca"</t>
    </r>
  </si>
  <si>
    <r>
      <t xml:space="preserve">E) Seleccionar Tipo de Financiamiento </t>
    </r>
    <r>
      <rPr>
        <b/>
        <sz val="11"/>
        <color indexed="8"/>
        <rFont val="Calibri"/>
        <family val="2"/>
      </rPr>
      <t>"Tradicional, Cofinavit, Apoyo Infonavit, Respalda2, Alia2"</t>
    </r>
  </si>
  <si>
    <t>F) Introducir el valor de la vivienda</t>
  </si>
  <si>
    <t>I) Si es el caso, introduce el crédito Infonavit o FOVISSSTE y el saldo de la subcuenta.</t>
  </si>
  <si>
    <t>J) Seleccionar si es cliente Nómina HSBC o No</t>
  </si>
  <si>
    <r>
      <t xml:space="preserve">M) En caso de tener duda o creer que algo puede estar afectando la simulación selecciona </t>
    </r>
    <r>
      <rPr>
        <b/>
        <sz val="11"/>
        <color indexed="8"/>
        <rFont val="Calibri"/>
        <family val="2"/>
      </rPr>
      <t>"Nueva Cotización"</t>
    </r>
    <r>
      <rPr>
        <sz val="11"/>
        <color theme="1"/>
        <rFont val="Calibri"/>
        <family val="2"/>
        <scheme val="minor"/>
      </rPr>
      <t xml:space="preserve"> y vuelve a empezar</t>
    </r>
  </si>
  <si>
    <r>
      <t xml:space="preserve">A) Al abrir el simulador da click en </t>
    </r>
    <r>
      <rPr>
        <b/>
        <sz val="11"/>
        <color indexed="8"/>
        <rFont val="Calibri"/>
        <family val="2"/>
      </rPr>
      <t xml:space="preserve">"Habilitar Contenido" </t>
    </r>
    <r>
      <rPr>
        <sz val="11"/>
        <color theme="1"/>
        <rFont val="Calibri"/>
        <family val="2"/>
        <scheme val="minor"/>
      </rPr>
      <t>en caso de aparecer esta opción.</t>
    </r>
  </si>
  <si>
    <r>
      <t>G) Seleccionar Plazo</t>
    </r>
    <r>
      <rPr>
        <b/>
        <sz val="11"/>
        <color indexed="8"/>
        <rFont val="Calibri"/>
        <family val="2"/>
      </rPr>
      <t xml:space="preserve"> "5,10,15,20 años"</t>
    </r>
  </si>
  <si>
    <t>H) Si es el caso introduce el importe del crédito o el ingreso mensual del cliente</t>
  </si>
  <si>
    <t>K) En caso de haber elegido un "Adquisición, No Premier" aparecerá un combo para elegir una tasa, seleccionar alguna. Con la tasa más baja solo accedemos al 65% de LTV, con la tasa más alta solo accedemos al 75% de LTV</t>
  </si>
  <si>
    <t>L) En caso de elegir la tasa más alta (Nivel de riesgo alto) y solicitar un aforo superior al 75%, seleccionar "SI" en el combo "LTV 90%", con esto se cobrará la sobretasa</t>
  </si>
  <si>
    <t>CREDITO HIPOTECARIO</t>
  </si>
  <si>
    <t>Nombre del ejecutivo</t>
  </si>
  <si>
    <t>Nombre del cliente</t>
  </si>
  <si>
    <t>Escoja la opción de Producto</t>
  </si>
  <si>
    <t>Tipo de calculo</t>
  </si>
  <si>
    <t>Tipo de Programa</t>
  </si>
  <si>
    <t>Datos del Cliente</t>
  </si>
  <si>
    <t>Elige una tasa de interés</t>
  </si>
  <si>
    <t>Instrucciones: Llenar solo los campos en gris claro.</t>
  </si>
  <si>
    <t>Resultados</t>
  </si>
  <si>
    <t>Mensualidad Total</t>
  </si>
  <si>
    <t>Plazo para liquidación</t>
  </si>
  <si>
    <t>Opciones de pago</t>
  </si>
  <si>
    <t>Mensajes clave</t>
  </si>
  <si>
    <t>¿Se requiere financiamiento máximo?</t>
  </si>
  <si>
    <t>Comportamiento Crediticio</t>
  </si>
  <si>
    <t>No PremierAdquisicion50.85</t>
  </si>
  <si>
    <t>No PremierAdquisicion100.85</t>
  </si>
  <si>
    <t>No PremierAdquisicion150.85</t>
  </si>
  <si>
    <t>No PremierAdquisicion200.85</t>
  </si>
  <si>
    <t>Apoyo InfonavitAdquisicion</t>
  </si>
  <si>
    <t>No PremierAdquisicion50.94</t>
  </si>
  <si>
    <t>No PremierAdquisicion100.94</t>
  </si>
  <si>
    <t>No PremierAdquisicion150.94</t>
  </si>
  <si>
    <t>No PremierAdquisicion200.94</t>
  </si>
  <si>
    <t>PremierExclusiva5</t>
  </si>
  <si>
    <t>PremierExclusiva10</t>
  </si>
  <si>
    <t>PremierExclusiva15</t>
  </si>
  <si>
    <t>PremierExclusiva20</t>
  </si>
  <si>
    <t>PremierLiquidez50.5</t>
  </si>
  <si>
    <t>PremierLiquidez100.5</t>
  </si>
  <si>
    <t>PremierLiquidez150.5</t>
  </si>
  <si>
    <t>AdquisicionPremier100.0865</t>
  </si>
  <si>
    <t>AdquisicionNo Premier50.084</t>
  </si>
  <si>
    <t>AdquisicionPremier50.084</t>
  </si>
  <si>
    <t>AdquisicionPremier150.089</t>
  </si>
  <si>
    <t>AdquisicionPremier200.089</t>
  </si>
  <si>
    <t>AdquisicionNo Premier50.086</t>
  </si>
  <si>
    <t>AdquisicionNo Premier50.088</t>
  </si>
  <si>
    <t>AdquisicionNo Premier50.0915</t>
  </si>
  <si>
    <t>AdquisicionNo Premier100.0865</t>
  </si>
  <si>
    <t>AdquisicionNo Premier100.0885</t>
  </si>
  <si>
    <t>AdquisicionNo Premier100.0905</t>
  </si>
  <si>
    <t>AdquisicionNo Premier100.094</t>
  </si>
  <si>
    <t>AdquisicionNo Premier150.089</t>
  </si>
  <si>
    <t>AdquisicionNo Premier150.091</t>
  </si>
  <si>
    <t>AdquisicionNo Premier150.093</t>
  </si>
  <si>
    <t>AdquisicionNo Premier150.0965</t>
  </si>
  <si>
    <t>AdquisicionNo Premier200.089</t>
  </si>
  <si>
    <t>AdquisicionNo Premier200.091</t>
  </si>
  <si>
    <t>AdquisicionNo Premier200.093</t>
  </si>
  <si>
    <t>AdquisicionNo Premier200.0965</t>
  </si>
  <si>
    <t>ExclusivaNo Premier50.0825</t>
  </si>
  <si>
    <t>ExclusivaNo Premier100.085</t>
  </si>
  <si>
    <t>ExclusivaNo Premier150.0875</t>
  </si>
  <si>
    <t>ExclusivaNo Premier200.0875</t>
  </si>
  <si>
    <t>Pago de HipotecaNo Premier50.0805</t>
  </si>
  <si>
    <t>Pago de HipotecaNo Premier100.083</t>
  </si>
  <si>
    <t>Pago de HipotecaNo Premier150.0855</t>
  </si>
  <si>
    <t>Pago de HipotecaNo Premier200.0855</t>
  </si>
  <si>
    <t>Pago de HipotecaPremier50.0805</t>
  </si>
  <si>
    <t>Pago de HipotecaPremier100.083</t>
  </si>
  <si>
    <t>Pago de HipotecaPremier150.0855</t>
  </si>
  <si>
    <t>Pago de HipotecaPremier200.0855</t>
  </si>
  <si>
    <t>AdquisicionPremier50.0805</t>
  </si>
  <si>
    <t>AdquisicionPremier100.083</t>
  </si>
  <si>
    <t>AdquisicionPremier150.0855</t>
  </si>
  <si>
    <t>AdquisicionPremier200.0855</t>
  </si>
  <si>
    <t>AdquisicionPremier50.0745</t>
  </si>
  <si>
    <t>AdquisicionPremier100.077</t>
  </si>
  <si>
    <t>AdquisicionPremier150.0795</t>
  </si>
  <si>
    <t>AdquisicionPremier200.0795</t>
  </si>
  <si>
    <t>ExclusivaPremier50.0825</t>
  </si>
  <si>
    <t>ExclusivaPremier100.085</t>
  </si>
  <si>
    <t>ExclusivaPremier150.0875</t>
  </si>
  <si>
    <t>ExclusivaPremier200.0875</t>
  </si>
  <si>
    <t>Pago FijoSI</t>
  </si>
  <si>
    <t>Normal</t>
  </si>
  <si>
    <t>Pago de HipotecaPremier50.0745</t>
  </si>
  <si>
    <t>Pago de HipotecaPremier100.077</t>
  </si>
  <si>
    <t>Pago de HipotecaPremier150.0795</t>
  </si>
  <si>
    <t>Pago de HipotecaPremier200.0795</t>
  </si>
  <si>
    <t>Pago Hipoteca+LiquidezAlto Valor</t>
  </si>
  <si>
    <t>No PremierPago de Hipoteca60.85</t>
  </si>
  <si>
    <t>No PremierPago de Hipoteca70.85</t>
  </si>
  <si>
    <t>No PremierPago de Hipoteca80.85</t>
  </si>
  <si>
    <t>No PremierPago de Hipoteca90.85</t>
  </si>
  <si>
    <t>No PremierPago de Hipoteca110.85</t>
  </si>
  <si>
    <t>No PremierPago de Hipoteca120.85</t>
  </si>
  <si>
    <t>No PremierPago de Hipoteca130.85</t>
  </si>
  <si>
    <t>No PremierPago de Hipoteca140.85</t>
  </si>
  <si>
    <t>No PremierPago de Hipoteca160.85</t>
  </si>
  <si>
    <t>No PremierPago de Hipoteca170.85</t>
  </si>
  <si>
    <t>No PremierPago de Hipoteca180.85</t>
  </si>
  <si>
    <t>No PremierPago de Hipoteca190.85</t>
  </si>
  <si>
    <t>PremierPago de Hipoteca60.85</t>
  </si>
  <si>
    <t>PremierPago de Hipoteca70.85</t>
  </si>
  <si>
    <t>PremierPago de Hipoteca80.85</t>
  </si>
  <si>
    <t>PremierPago de Hipoteca90.85</t>
  </si>
  <si>
    <t>PremierPago de Hipoteca110.85</t>
  </si>
  <si>
    <t>PremierPago de Hipoteca120.85</t>
  </si>
  <si>
    <t>PremierPago de Hipoteca130.85</t>
  </si>
  <si>
    <t>PremierPago de Hipoteca140.85</t>
  </si>
  <si>
    <t>PremierPago de Hipoteca160.85</t>
  </si>
  <si>
    <t>PremierPago de Hipoteca170.85</t>
  </si>
  <si>
    <t>PremierPago de Hipoteca180.85</t>
  </si>
  <si>
    <t>PremierPago de Hipoteca190.85</t>
  </si>
  <si>
    <t>PremierPago de Hipoteca6</t>
  </si>
  <si>
    <t>PremierPago de Hipoteca7</t>
  </si>
  <si>
    <t>PremierPago de Hipoteca8</t>
  </si>
  <si>
    <t>PremierPago de Hipoteca9</t>
  </si>
  <si>
    <t>PremierPago de Hipoteca11</t>
  </si>
  <si>
    <t>PremierPago de Hipoteca12</t>
  </si>
  <si>
    <t>PremierPago de Hipoteca13</t>
  </si>
  <si>
    <t>PremierPago de Hipoteca14</t>
  </si>
  <si>
    <t>PremierPago de Hipoteca16</t>
  </si>
  <si>
    <t>PremierPago de Hipoteca17</t>
  </si>
  <si>
    <t>PremierPago de Hipoteca18</t>
  </si>
  <si>
    <t>PremierPago de Hipoteca19</t>
  </si>
  <si>
    <t>No PremierPago de Hipoteca6</t>
  </si>
  <si>
    <t>No PremierPago de Hipoteca7</t>
  </si>
  <si>
    <t>No PremierPago de Hipoteca8</t>
  </si>
  <si>
    <t>No PremierPago de Hipoteca9</t>
  </si>
  <si>
    <t>No PremierPago de Hipoteca11</t>
  </si>
  <si>
    <t>No PremierPago de Hipoteca12</t>
  </si>
  <si>
    <t>No PremierPago de Hipoteca13</t>
  </si>
  <si>
    <t>No PremierPago de Hipoteca14</t>
  </si>
  <si>
    <t>No PremierPago de Hipoteca16</t>
  </si>
  <si>
    <t>No PremierPago de Hipoteca17</t>
  </si>
  <si>
    <t>No PremierPago de Hipoteca18</t>
  </si>
  <si>
    <t>No PremierPago de Hipoteca19</t>
  </si>
  <si>
    <t>Chiapas</t>
  </si>
  <si>
    <t>Nomina Especial</t>
  </si>
  <si>
    <t>PremierNomina Especial50.9</t>
  </si>
  <si>
    <t>PremierNomina Especial100.9</t>
  </si>
  <si>
    <t>PremierNomina Especial150.9</t>
  </si>
  <si>
    <t>PremierNomina Especial200.9</t>
  </si>
  <si>
    <t>No PremierNomina Especial50.9</t>
  </si>
  <si>
    <t>No PremierNomina Especial100.9</t>
  </si>
  <si>
    <t>No PremierNomina Especial150.9</t>
  </si>
  <si>
    <t>No PremierNomina Especial200.9</t>
  </si>
  <si>
    <t>AdquisicionNo PremierTradicional</t>
  </si>
  <si>
    <t>AdquisicionPremierTradicional</t>
  </si>
  <si>
    <t>Plazo&amp;Tasa</t>
  </si>
  <si>
    <t>Prepago real</t>
  </si>
  <si>
    <t>Intereses diferidos por pagar</t>
  </si>
  <si>
    <t>Prepago a saldo</t>
  </si>
  <si>
    <t>¿La hipoteca proviene de un Cofinavit, Apoyo, Aliados o Respaldados?</t>
  </si>
  <si>
    <t>Casa con casa</t>
  </si>
  <si>
    <t>AdquisicionNo PremierCasa con casa</t>
  </si>
  <si>
    <t>AdquisicionPremierCasa con casa</t>
  </si>
  <si>
    <t>CI+CB</t>
  </si>
  <si>
    <t>AdquisicionNo PremierCI+CB</t>
  </si>
  <si>
    <t>AdquisicionPremierCI+CB</t>
  </si>
  <si>
    <t>Datos del crédito INFONAVIT - CI+CB</t>
  </si>
  <si>
    <t>CREDITO CI +CB</t>
  </si>
  <si>
    <t>** CAT HSBC promedio sin IVA. Informativo. Tasa  fija anual. Cobertura Nacional. Crédito en Moneda Nacional. Información sujeta a cambios sin previo aviso.</t>
  </si>
  <si>
    <t>Pago mensual total HSBC</t>
  </si>
  <si>
    <t>El monto máximo de crédito son $50,000,000</t>
  </si>
  <si>
    <t>AdquisicionNo PremierApoyo Infonavit</t>
  </si>
  <si>
    <t>AdquisicionNo PremierCofinavit</t>
  </si>
  <si>
    <t>Comisión Pago Anticipado</t>
  </si>
  <si>
    <t>Pago Anticipado</t>
  </si>
  <si>
    <t>Pago Anticipado a Capital</t>
  </si>
  <si>
    <t xml:space="preserve">IVA Comisión P. Anticipado </t>
  </si>
  <si>
    <t>Por Campaña</t>
  </si>
  <si>
    <t>PremierNomina Especial10</t>
  </si>
  <si>
    <t>PremierNomina Especial5</t>
  </si>
  <si>
    <t>PremierNomina Especial15</t>
  </si>
  <si>
    <t>PremierNomina Especial20</t>
  </si>
  <si>
    <t>No PremierNomina Especial5</t>
  </si>
  <si>
    <t>No PremierNomina Especial10</t>
  </si>
  <si>
    <t>No PremierNomina Especial15</t>
  </si>
  <si>
    <t>No PremierNomina Especial20</t>
  </si>
  <si>
    <t>No PremierExclusiva250.9</t>
  </si>
  <si>
    <t>PremierExclusiva250.9</t>
  </si>
  <si>
    <t>No PremierAdquisicion250.9</t>
  </si>
  <si>
    <t>No PremierAdquisicion250.94</t>
  </si>
  <si>
    <t>No PremierAdquisicion250.85</t>
  </si>
  <si>
    <t>No PremierAdquisicion250.75</t>
  </si>
  <si>
    <t>PremierNomina Especial250.9</t>
  </si>
  <si>
    <t>No PremierNomina Especial250.9</t>
  </si>
  <si>
    <t>El monto máximo de crédito son $20,000,000</t>
  </si>
  <si>
    <t>PremierLiquidez50.8</t>
  </si>
  <si>
    <t>PremierLiquidez100.8</t>
  </si>
  <si>
    <t>PremierLiquidez150.8</t>
  </si>
  <si>
    <t>No PremierLiquidez50.8</t>
  </si>
  <si>
    <t>No PremierLiquidez100.8</t>
  </si>
  <si>
    <t>No PremierLiquidez150.8</t>
  </si>
  <si>
    <t>Hipoteca Verde?</t>
  </si>
  <si>
    <t>AdquisicionApoyo InfonavitVERDADERO</t>
  </si>
  <si>
    <t>AdquisicionCofinavitVERDADERO</t>
  </si>
  <si>
    <t>AdquisicionTradicionalVERDADERO</t>
  </si>
  <si>
    <t>daños verde</t>
  </si>
  <si>
    <t>vida verde</t>
  </si>
  <si>
    <t>verde?</t>
  </si>
  <si>
    <t>C. Penalización Pago Anticipado</t>
  </si>
  <si>
    <t>C. Contratación Crédito</t>
  </si>
  <si>
    <t>Gasto de Preoriginación - Avalúo Hipotecario</t>
  </si>
  <si>
    <t>Comisión por Administración - Renta</t>
  </si>
  <si>
    <t>Pago Mensual Total</t>
  </si>
  <si>
    <t>Interes</t>
  </si>
  <si>
    <t>Sin C Contratación Crédito</t>
  </si>
  <si>
    <t>HSBC + Inf &lt; 95%</t>
  </si>
  <si>
    <t>Apoyo Infonavit0.095</t>
  </si>
  <si>
    <t>Versión M110 2025.09.10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</si>
</sst>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5" formatCode="&quot;$&quot;#,##0;\-&quot;$&quot;#,##0"/>
    <numFmt numFmtId="6" formatCode="&quot;$&quot;#,##0;[Red]\-&quot;$&quot;#,##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.0000_-;\-* #,##0.0000_-;_-* &quot;-&quot;??_-;_-@_-"/>
    <numFmt numFmtId="165" formatCode="_(&quot;$&quot;* #,##0_);_(&quot;$&quot;* \(#,##0\);_(&quot;$&quot;* &quot;-&quot;??_);_(@_)"/>
    <numFmt numFmtId="166" formatCode="0.0%"/>
    <numFmt numFmtId="167" formatCode="&quot;$&quot;#,##0"/>
    <numFmt numFmtId="168" formatCode="_(* #,##0_);_(* \(#,##0\);_(* &quot;-&quot;??_);_(@_)"/>
    <numFmt numFmtId="169" formatCode="_(* #,##0.00_);_(* \(#,##0.00\);_(* &quot;-&quot;??_);_(@_)"/>
    <numFmt numFmtId="170" formatCode="_(* #,##0.000_);_(* \(#,##0.000\);_(* &quot;-&quot;??_);_(@_)"/>
    <numFmt numFmtId="171" formatCode="_-&quot;$&quot;* #,##0_-;\-&quot;$&quot;* #,##0_-;_-&quot;$&quot;* &quot;-&quot;??_-;_-@_-"/>
    <numFmt numFmtId="172" formatCode="[$-80A]d&quot; de &quot;mmmm&quot; de &quot;yyyy;@"/>
    <numFmt numFmtId="173" formatCode="_(&quot;$&quot;* #,##0.00_);_(&quot;$&quot;* \(#,##0.00\);_(&quot;$&quot;* &quot;-&quot;??_);_(@_)"/>
    <numFmt numFmtId="174" formatCode="&quot;$&quot;#,##0.00"/>
    <numFmt numFmtId="175" formatCode="&quot;$&quot;#,##0_);[Red]\(&quot;$&quot;#,##0\)"/>
    <numFmt numFmtId="176" formatCode="#,##0_ ;\-#,##0\ "/>
    <numFmt numFmtId="177" formatCode="&quot;$&quot;#,##0;[Red]&quot;$&quot;#,##0"/>
    <numFmt numFmtId="178" formatCode="_-* #,##0_-;\-* #,##0_-;_-* &quot;-&quot;??_-;_-@_-"/>
    <numFmt numFmtId="179" formatCode="0.000%"/>
    <numFmt numFmtId="180" formatCode="_-* #,##0.000_-;\-* #,##0.000_-;_-* &quot;-&quot;??_-;_-@_-"/>
    <numFmt numFmtId="181" formatCode="&quot;$&quot;#,##0.00000000"/>
    <numFmt numFmtId="182" formatCode="0.0000"/>
    <numFmt numFmtId="183" formatCode="0.0000%"/>
    <numFmt numFmtId="184" formatCode="_(* #,##0.0000_);_(* \(#,##0.0000\);_(* &quot;-&quot;??_);_(@_)"/>
    <numFmt numFmtId="185" formatCode="0.000000000000"/>
    <numFmt numFmtId="186" formatCode="&quot;$&quot;#,##0.0"/>
  </numFmts>
  <fonts count="44" x14ac:knownFonts="1">
    <font>
      <sz val="11"/>
      <color theme="1"/>
      <name val="Calibri"/>
      <family val="2"/>
      <scheme val="minor"/>
    </font>
    <font>
      <sz val="18"/>
      <name val="Arial"/>
      <family val="2"/>
    </font>
    <font>
      <b/>
      <sz val="9"/>
      <color indexed="9"/>
      <name val="Arial"/>
      <family val="2"/>
    </font>
    <font>
      <sz val="10"/>
      <name val="Arial"/>
      <family val="2"/>
    </font>
    <font>
      <b/>
      <vertAlign val="superscript"/>
      <sz val="10"/>
      <color indexed="9"/>
      <name val="Arial"/>
      <family val="2"/>
    </font>
    <font>
      <sz val="11"/>
      <name val="Arial"/>
      <family val="2"/>
    </font>
    <font>
      <b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Arial"/>
      <family val="2"/>
    </font>
    <font>
      <b/>
      <sz val="18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Arial"/>
      <family val="2"/>
    </font>
    <font>
      <sz val="8"/>
      <color theme="1"/>
      <name val="Calibri"/>
      <family val="2"/>
      <scheme val="minor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3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3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.8"/>
      <color theme="1"/>
      <name val="Calibri"/>
      <family val="2"/>
      <scheme val="minor"/>
    </font>
    <font>
      <b/>
      <sz val="16"/>
      <color theme="0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.8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gradientFill degree="90">
        <stop position="0">
          <color theme="0"/>
        </stop>
        <stop position="0.5">
          <color rgb="FFFF0000"/>
        </stop>
        <stop position="1">
          <color theme="0"/>
        </stop>
      </gradientFill>
    </fill>
    <fill>
      <patternFill patternType="solid">
        <fgColor rgb="FFFFC000"/>
        <bgColor indexed="64"/>
      </patternFill>
    </fill>
  </fills>
  <borders count="5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/>
      <bottom style="thin">
        <color theme="8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thick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medium">
        <color indexed="64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 style="double">
        <color indexed="64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double">
        <color indexed="64"/>
      </bottom>
      <diagonal/>
    </border>
    <border>
      <left/>
      <right style="double">
        <color indexed="64"/>
      </right>
      <top style="thick">
        <color theme="0"/>
      </top>
      <bottom style="double">
        <color indexed="64"/>
      </bottom>
      <diagonal/>
    </border>
    <border>
      <left/>
      <right style="double">
        <color indexed="64"/>
      </right>
      <top style="thick">
        <color theme="0"/>
      </top>
      <bottom style="thick">
        <color theme="0"/>
      </bottom>
      <diagonal/>
    </border>
    <border>
      <left style="double">
        <color indexed="64"/>
      </left>
      <right style="thick">
        <color theme="0"/>
      </right>
      <top/>
      <bottom/>
      <diagonal/>
    </border>
    <border>
      <left style="double">
        <color indexed="64"/>
      </left>
      <right style="thick">
        <color theme="0"/>
      </right>
      <top style="thick">
        <color theme="0"/>
      </top>
      <bottom/>
      <diagonal/>
    </border>
  </borders>
  <cellStyleXfs count="7">
    <xf numFmtId="0" fontId="0" fillId="0" borderId="0"/>
    <xf numFmtId="173" fontId="7" fillId="0" borderId="0" applyFont="0" applyFill="0" applyBorder="0" applyAlignment="0" applyProtection="0"/>
    <xf numFmtId="0" fontId="10" fillId="0" borderId="0" applyNumberFormat="0" applyFill="0" applyBorder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3" fillId="0" borderId="0"/>
    <xf numFmtId="9" fontId="7" fillId="0" borderId="0" applyFont="0" applyFill="0" applyBorder="0" applyAlignment="0" applyProtection="0"/>
  </cellStyleXfs>
  <cellXfs count="429">
    <xf numFmtId="0" fontId="0" fillId="0" borderId="0" xfId="0"/>
    <xf numFmtId="0" fontId="12" fillId="0" borderId="42" xfId="5" applyFont="1" applyBorder="1" applyAlignment="1" applyProtection="1">
      <alignment horizontal="center" vertical="center"/>
      <protection locked="0" hidden="1"/>
    </xf>
    <xf numFmtId="0" fontId="13" fillId="4" borderId="0" xfId="5" applyFont="1" applyFill="1" applyAlignment="1" applyProtection="1">
      <alignment horizontal="left" vertical="center"/>
      <protection locked="0" hidden="1"/>
    </xf>
    <xf numFmtId="0" fontId="0" fillId="0" borderId="0" xfId="0" applyProtection="1">
      <protection hidden="1"/>
    </xf>
    <xf numFmtId="172" fontId="0" fillId="0" borderId="0" xfId="0" applyNumberFormat="1" applyAlignment="1" applyProtection="1">
      <protection hidden="1"/>
    </xf>
    <xf numFmtId="172" fontId="8" fillId="5" borderId="0" xfId="0" applyNumberFormat="1" applyFont="1" applyFill="1" applyAlignment="1" applyProtection="1">
      <protection hidden="1"/>
    </xf>
    <xf numFmtId="0" fontId="8" fillId="5" borderId="0" xfId="0" applyFont="1" applyFill="1" applyProtection="1">
      <protection hidden="1"/>
    </xf>
    <xf numFmtId="0" fontId="14" fillId="0" borderId="0" xfId="0" applyFont="1" applyAlignment="1" applyProtection="1">
      <protection hidden="1"/>
    </xf>
    <xf numFmtId="0" fontId="15" fillId="0" borderId="0" xfId="0" applyFont="1" applyAlignment="1" applyProtection="1">
      <alignment vertical="center"/>
      <protection hidden="1"/>
    </xf>
    <xf numFmtId="0" fontId="15" fillId="6" borderId="0" xfId="0" applyFont="1" applyFill="1" applyAlignment="1" applyProtection="1">
      <alignment vertical="center"/>
      <protection hidden="1"/>
    </xf>
    <xf numFmtId="0" fontId="0" fillId="6" borderId="0" xfId="0" applyFill="1" applyProtection="1">
      <protection hidden="1"/>
    </xf>
    <xf numFmtId="0" fontId="14" fillId="6" borderId="0" xfId="0" applyFont="1" applyFill="1" applyAlignment="1" applyProtection="1">
      <protection hidden="1"/>
    </xf>
    <xf numFmtId="0" fontId="0" fillId="0" borderId="0" xfId="0" applyFont="1" applyProtection="1">
      <protection hidden="1"/>
    </xf>
    <xf numFmtId="0" fontId="14" fillId="0" borderId="0" xfId="0" applyFont="1" applyAlignment="1" applyProtection="1">
      <alignment horizontal="left"/>
      <protection hidden="1"/>
    </xf>
    <xf numFmtId="0" fontId="0" fillId="0" borderId="0" xfId="0" applyFont="1" applyFill="1" applyBorder="1" applyProtection="1">
      <protection hidden="1"/>
    </xf>
    <xf numFmtId="9" fontId="16" fillId="7" borderId="43" xfId="6" applyFont="1" applyFill="1" applyBorder="1" applyAlignment="1" applyProtection="1">
      <alignment horizontal="center" vertical="center"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Fill="1" applyBorder="1" applyProtection="1">
      <protection hidden="1"/>
    </xf>
    <xf numFmtId="167" fontId="0" fillId="0" borderId="0" xfId="0" applyNumberFormat="1" applyProtection="1">
      <protection hidden="1"/>
    </xf>
    <xf numFmtId="9" fontId="7" fillId="0" borderId="0" xfId="6" applyNumberFormat="1" applyFont="1" applyFill="1" applyBorder="1" applyAlignment="1" applyProtection="1">
      <protection hidden="1"/>
    </xf>
    <xf numFmtId="0" fontId="0" fillId="0" borderId="0" xfId="0" applyFont="1" applyAlignment="1" applyProtection="1">
      <alignment horizontal="left"/>
      <protection hidden="1"/>
    </xf>
    <xf numFmtId="174" fontId="0" fillId="0" borderId="0" xfId="0" applyNumberFormat="1" applyProtection="1">
      <protection hidden="1"/>
    </xf>
    <xf numFmtId="0" fontId="0" fillId="0" borderId="0" xfId="0" applyFont="1" applyFill="1" applyBorder="1" applyAlignment="1" applyProtection="1">
      <alignment vertical="center"/>
      <protection hidden="1"/>
    </xf>
    <xf numFmtId="167" fontId="17" fillId="0" borderId="0" xfId="1" applyNumberFormat="1" applyFont="1" applyFill="1" applyBorder="1" applyAlignment="1" applyProtection="1">
      <protection hidden="1"/>
    </xf>
    <xf numFmtId="0" fontId="0" fillId="0" borderId="0" xfId="0" applyFont="1" applyAlignment="1" applyProtection="1">
      <alignment vertical="center"/>
      <protection hidden="1"/>
    </xf>
    <xf numFmtId="0" fontId="0" fillId="0" borderId="0" xfId="0" applyFont="1" applyFill="1" applyBorder="1" applyAlignment="1" applyProtection="1">
      <protection hidden="1"/>
    </xf>
    <xf numFmtId="0" fontId="0" fillId="0" borderId="0" xfId="0" applyFont="1" applyFill="1" applyAlignment="1" applyProtection="1">
      <alignment horizontal="left"/>
      <protection hidden="1"/>
    </xf>
    <xf numFmtId="0" fontId="0" fillId="0" borderId="0" xfId="0" applyAlignment="1" applyProtection="1">
      <alignment vertical="center"/>
      <protection hidden="1"/>
    </xf>
    <xf numFmtId="0" fontId="8" fillId="0" borderId="0" xfId="0" applyFont="1" applyProtection="1">
      <protection hidden="1"/>
    </xf>
    <xf numFmtId="10" fontId="7" fillId="0" borderId="0" xfId="6" applyNumberFormat="1" applyFont="1" applyFill="1" applyBorder="1" applyAlignment="1" applyProtection="1">
      <protection hidden="1"/>
    </xf>
    <xf numFmtId="0" fontId="0" fillId="0" borderId="44" xfId="0" applyBorder="1" applyProtection="1">
      <protection hidden="1"/>
    </xf>
    <xf numFmtId="167" fontId="17" fillId="0" borderId="44" xfId="1" applyNumberFormat="1" applyFont="1" applyFill="1" applyBorder="1" applyAlignment="1" applyProtection="1">
      <protection hidden="1"/>
    </xf>
    <xf numFmtId="0" fontId="14" fillId="0" borderId="44" xfId="0" applyFont="1" applyBorder="1" applyAlignment="1" applyProtection="1">
      <alignment horizontal="left"/>
      <protection hidden="1"/>
    </xf>
    <xf numFmtId="0" fontId="0" fillId="0" borderId="44" xfId="0" applyFont="1" applyBorder="1" applyProtection="1">
      <protection hidden="1"/>
    </xf>
    <xf numFmtId="0" fontId="8" fillId="5" borderId="44" xfId="0" applyFont="1" applyFill="1" applyBorder="1" applyProtection="1">
      <protection hidden="1"/>
    </xf>
    <xf numFmtId="9" fontId="16" fillId="7" borderId="45" xfId="6" applyFont="1" applyFill="1" applyBorder="1" applyAlignment="1" applyProtection="1">
      <alignment horizontal="center" vertical="center" wrapText="1"/>
      <protection hidden="1"/>
    </xf>
    <xf numFmtId="176" fontId="18" fillId="7" borderId="43" xfId="3" applyNumberFormat="1" applyFont="1" applyFill="1" applyBorder="1" applyAlignment="1" applyProtection="1">
      <alignment horizontal="center" vertical="center" wrapText="1"/>
      <protection hidden="1"/>
    </xf>
    <xf numFmtId="167" fontId="7" fillId="0" borderId="0" xfId="4" applyNumberFormat="1" applyFont="1" applyAlignment="1" applyProtection="1">
      <alignment horizontal="center"/>
      <protection hidden="1"/>
    </xf>
    <xf numFmtId="167" fontId="7" fillId="0" borderId="0" xfId="1" applyNumberFormat="1" applyFont="1" applyProtection="1">
      <protection hidden="1"/>
    </xf>
    <xf numFmtId="167" fontId="7" fillId="0" borderId="0" xfId="1" applyNumberFormat="1" applyFont="1" applyFill="1" applyBorder="1" applyAlignment="1" applyProtection="1">
      <protection hidden="1"/>
    </xf>
    <xf numFmtId="167" fontId="7" fillId="0" borderId="0" xfId="1" applyNumberFormat="1" applyFont="1" applyAlignment="1" applyProtection="1">
      <protection hidden="1"/>
    </xf>
    <xf numFmtId="167" fontId="7" fillId="0" borderId="0" xfId="1" applyNumberFormat="1" applyFont="1" applyFill="1" applyAlignment="1" applyProtection="1">
      <protection hidden="1"/>
    </xf>
    <xf numFmtId="167" fontId="7" fillId="0" borderId="0" xfId="1" applyNumberFormat="1" applyFont="1" applyFill="1" applyProtection="1">
      <protection hidden="1"/>
    </xf>
    <xf numFmtId="167" fontId="0" fillId="8" borderId="46" xfId="0" applyNumberFormat="1" applyFont="1" applyFill="1" applyBorder="1" applyAlignment="1" applyProtection="1">
      <alignment horizontal="center" vertical="center"/>
      <protection locked="0" hidden="1"/>
    </xf>
    <xf numFmtId="167" fontId="0" fillId="0" borderId="0" xfId="0" applyNumberFormat="1" applyFont="1" applyFill="1" applyBorder="1" applyAlignment="1" applyProtection="1">
      <alignment horizontal="center" vertical="center"/>
      <protection hidden="1"/>
    </xf>
    <xf numFmtId="175" fontId="0" fillId="0" borderId="0" xfId="0" applyNumberFormat="1" applyProtection="1">
      <protection hidden="1"/>
    </xf>
    <xf numFmtId="167" fontId="0" fillId="8" borderId="47" xfId="0" applyNumberFormat="1" applyFont="1" applyFill="1" applyBorder="1" applyAlignment="1" applyProtection="1">
      <alignment horizontal="center" vertical="center"/>
      <protection locked="0" hidden="1"/>
    </xf>
    <xf numFmtId="0" fontId="0" fillId="0" borderId="0" xfId="0" applyFill="1" applyProtection="1">
      <protection hidden="1"/>
    </xf>
    <xf numFmtId="167" fontId="9" fillId="6" borderId="0" xfId="0" applyNumberFormat="1" applyFont="1" applyFill="1" applyProtection="1">
      <protection hidden="1"/>
    </xf>
    <xf numFmtId="167" fontId="9" fillId="6" borderId="0" xfId="0" applyNumberFormat="1" applyFont="1" applyFill="1" applyAlignment="1" applyProtection="1">
      <alignment horizontal="center"/>
      <protection hidden="1"/>
    </xf>
    <xf numFmtId="0" fontId="19" fillId="5" borderId="0" xfId="0" applyFont="1" applyFill="1" applyAlignment="1" applyProtection="1">
      <alignment vertical="center" wrapText="1"/>
      <protection hidden="1"/>
    </xf>
    <xf numFmtId="0" fontId="20" fillId="0" borderId="0" xfId="0" applyFont="1" applyAlignment="1" applyProtection="1">
      <alignment vertical="center"/>
      <protection hidden="1"/>
    </xf>
    <xf numFmtId="167" fontId="0" fillId="0" borderId="44" xfId="0" applyNumberFormat="1" applyFont="1" applyBorder="1" applyProtection="1">
      <protection hidden="1"/>
    </xf>
    <xf numFmtId="10" fontId="17" fillId="5" borderId="0" xfId="6" applyNumberFormat="1" applyFont="1" applyFill="1" applyProtection="1">
      <protection hidden="1"/>
    </xf>
    <xf numFmtId="0" fontId="21" fillId="0" borderId="0" xfId="0" applyFont="1" applyBorder="1" applyAlignment="1" applyProtection="1">
      <alignment vertical="center"/>
      <protection locked="0" hidden="1"/>
    </xf>
    <xf numFmtId="0" fontId="0" fillId="9" borderId="1" xfId="0" applyFill="1" applyBorder="1" applyAlignment="1" applyProtection="1">
      <alignment horizontal="center" vertical="center"/>
      <protection locked="0"/>
    </xf>
    <xf numFmtId="167" fontId="22" fillId="10" borderId="46" xfId="6" applyNumberFormat="1" applyFont="1" applyFill="1" applyBorder="1" applyAlignment="1" applyProtection="1">
      <alignment horizontal="center" vertical="center"/>
      <protection locked="0" hidden="1"/>
    </xf>
    <xf numFmtId="44" fontId="0" fillId="9" borderId="2" xfId="0" applyNumberFormat="1" applyFill="1" applyBorder="1" applyAlignment="1" applyProtection="1">
      <alignment horizontal="center" vertical="center"/>
      <protection locked="0"/>
    </xf>
    <xf numFmtId="43" fontId="0" fillId="9" borderId="2" xfId="0" applyNumberFormat="1" applyFill="1" applyBorder="1" applyAlignment="1" applyProtection="1">
      <alignment horizontal="center" vertical="center"/>
      <protection locked="0"/>
    </xf>
    <xf numFmtId="166" fontId="22" fillId="0" borderId="0" xfId="6" applyNumberFormat="1" applyFont="1" applyAlignment="1" applyProtection="1">
      <alignment horizontal="center" vertical="center"/>
      <protection locked="0" hidden="1"/>
    </xf>
    <xf numFmtId="167" fontId="22" fillId="9" borderId="48" xfId="6" applyNumberFormat="1" applyFont="1" applyFill="1" applyBorder="1" applyAlignment="1" applyProtection="1">
      <alignment horizontal="center" vertical="center"/>
      <protection locked="0" hidden="1"/>
    </xf>
    <xf numFmtId="0" fontId="23" fillId="4" borderId="0" xfId="0" applyFont="1" applyFill="1" applyAlignment="1" applyProtection="1">
      <alignment vertical="center"/>
      <protection locked="0" hidden="1"/>
    </xf>
    <xf numFmtId="0" fontId="24" fillId="4" borderId="0" xfId="0" applyFont="1" applyFill="1" applyAlignment="1" applyProtection="1">
      <alignment vertical="center"/>
      <protection locked="0" hidden="1"/>
    </xf>
    <xf numFmtId="0" fontId="24" fillId="0" borderId="0" xfId="0" applyFont="1" applyAlignment="1" applyProtection="1">
      <alignment vertical="center"/>
      <protection locked="0" hidden="1"/>
    </xf>
    <xf numFmtId="166" fontId="24" fillId="0" borderId="0" xfId="6" applyNumberFormat="1" applyFont="1" applyAlignment="1" applyProtection="1">
      <alignment vertical="center"/>
      <protection locked="0" hidden="1"/>
    </xf>
    <xf numFmtId="9" fontId="24" fillId="11" borderId="0" xfId="0" applyNumberFormat="1" applyFont="1" applyFill="1" applyAlignment="1" applyProtection="1">
      <alignment vertical="center"/>
      <protection locked="0" hidden="1"/>
    </xf>
    <xf numFmtId="9" fontId="24" fillId="0" borderId="0" xfId="0" applyNumberFormat="1" applyFont="1" applyAlignment="1" applyProtection="1">
      <alignment vertical="center"/>
      <protection locked="0" hidden="1"/>
    </xf>
    <xf numFmtId="167" fontId="24" fillId="0" borderId="0" xfId="6" applyNumberFormat="1" applyFont="1" applyFill="1" applyBorder="1" applyAlignment="1" applyProtection="1">
      <alignment horizontal="center" vertical="center"/>
      <protection locked="0" hidden="1"/>
    </xf>
    <xf numFmtId="43" fontId="24" fillId="9" borderId="0" xfId="3" applyFont="1" applyFill="1" applyAlignment="1" applyProtection="1">
      <alignment horizontal="center" vertical="center"/>
      <protection locked="0" hidden="1"/>
    </xf>
    <xf numFmtId="167" fontId="24" fillId="0" borderId="0" xfId="0" applyNumberFormat="1" applyFont="1" applyAlignment="1" applyProtection="1">
      <alignment horizontal="center" vertical="center"/>
      <protection locked="0" hidden="1"/>
    </xf>
    <xf numFmtId="43" fontId="24" fillId="9" borderId="0" xfId="6" applyNumberFormat="1" applyFont="1" applyFill="1" applyAlignment="1" applyProtection="1">
      <alignment horizontal="center" vertical="center"/>
      <protection locked="0" hidden="1"/>
    </xf>
    <xf numFmtId="9" fontId="24" fillId="0" borderId="0" xfId="6" applyFont="1" applyAlignment="1" applyProtection="1">
      <alignment horizontal="center" vertical="center"/>
      <protection locked="0" hidden="1"/>
    </xf>
    <xf numFmtId="0" fontId="8" fillId="4" borderId="0" xfId="0" applyFont="1" applyFill="1" applyAlignment="1" applyProtection="1">
      <alignment vertical="center"/>
      <protection locked="0" hidden="1"/>
    </xf>
    <xf numFmtId="168" fontId="24" fillId="0" borderId="0" xfId="3" applyNumberFormat="1" applyFont="1" applyAlignment="1" applyProtection="1">
      <alignment vertical="center"/>
      <protection locked="0" hidden="1"/>
    </xf>
    <xf numFmtId="167" fontId="9" fillId="0" borderId="0" xfId="0" applyNumberFormat="1" applyFont="1" applyFill="1" applyBorder="1" applyAlignment="1" applyProtection="1">
      <alignment horizontal="center" vertical="center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22" fillId="0" borderId="0" xfId="0" applyFont="1" applyFill="1" applyBorder="1" applyAlignment="1" applyProtection="1">
      <alignment horizontal="center" vertical="center"/>
      <protection locked="0" hidden="1"/>
    </xf>
    <xf numFmtId="44" fontId="22" fillId="0" borderId="0" xfId="4" applyFont="1" applyFill="1" applyBorder="1" applyAlignment="1" applyProtection="1">
      <alignment horizontal="center" vertical="center"/>
      <protection locked="0" hidden="1"/>
    </xf>
    <xf numFmtId="0" fontId="0" fillId="0" borderId="3" xfId="0" applyBorder="1" applyAlignment="1" applyProtection="1">
      <alignment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6" fillId="0" borderId="0" xfId="0" applyFont="1" applyBorder="1" applyAlignment="1" applyProtection="1">
      <alignment vertical="center" wrapText="1"/>
      <protection locked="0"/>
    </xf>
    <xf numFmtId="164" fontId="7" fillId="0" borderId="0" xfId="3" applyNumberFormat="1" applyFont="1" applyAlignment="1" applyProtection="1">
      <alignment vertical="center"/>
      <protection locked="0"/>
    </xf>
    <xf numFmtId="0" fontId="27" fillId="0" borderId="0" xfId="0" applyFont="1" applyAlignment="1" applyProtection="1">
      <alignment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24" fillId="0" borderId="0" xfId="0" applyFont="1" applyAlignment="1" applyProtection="1">
      <alignment horizontal="center" vertical="center"/>
      <protection locked="0" hidden="1"/>
    </xf>
    <xf numFmtId="0" fontId="27" fillId="11" borderId="0" xfId="0" applyFont="1" applyFill="1" applyAlignment="1" applyProtection="1">
      <alignment vertical="center"/>
      <protection locked="0"/>
    </xf>
    <xf numFmtId="0" fontId="0" fillId="11" borderId="0" xfId="0" applyFill="1" applyAlignment="1" applyProtection="1">
      <alignment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1" fillId="0" borderId="0" xfId="0" applyFont="1" applyBorder="1" applyAlignment="1" applyProtection="1">
      <alignment horizontal="center" vertical="center" wrapText="1"/>
      <protection locked="0"/>
    </xf>
    <xf numFmtId="0" fontId="2" fillId="2" borderId="4" xfId="0" applyFont="1" applyFill="1" applyBorder="1" applyAlignment="1" applyProtection="1">
      <alignment horizontal="center" vertical="center" wrapText="1"/>
      <protection locked="0"/>
    </xf>
    <xf numFmtId="0" fontId="2" fillId="2" borderId="5" xfId="0" applyFont="1" applyFill="1" applyBorder="1" applyAlignment="1" applyProtection="1">
      <alignment horizontal="center" vertical="center" wrapText="1"/>
      <protection locked="0"/>
    </xf>
    <xf numFmtId="0" fontId="2" fillId="2" borderId="6" xfId="0" applyFont="1" applyFill="1" applyBorder="1" applyAlignment="1" applyProtection="1">
      <alignment horizontal="center" vertical="center" wrapText="1"/>
      <protection locked="0"/>
    </xf>
    <xf numFmtId="0" fontId="2" fillId="2" borderId="7" xfId="0" applyFont="1" applyFill="1" applyBorder="1" applyAlignment="1" applyProtection="1">
      <alignment horizontal="center" vertical="center" wrapText="1"/>
      <protection locked="0"/>
    </xf>
    <xf numFmtId="0" fontId="2" fillId="2" borderId="8" xfId="0" applyFont="1" applyFill="1" applyBorder="1" applyAlignment="1" applyProtection="1">
      <alignment horizontal="center" vertical="center" wrapText="1"/>
      <protection locked="0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26" fillId="3" borderId="0" xfId="0" applyFont="1" applyFill="1" applyBorder="1" applyAlignment="1" applyProtection="1">
      <alignment vertical="center" wrapText="1"/>
      <protection locked="0"/>
    </xf>
    <xf numFmtId="0" fontId="2" fillId="7" borderId="10" xfId="0" applyFont="1" applyFill="1" applyBorder="1" applyAlignment="1" applyProtection="1">
      <alignment horizontal="center" vertical="center" wrapText="1"/>
      <protection locked="0"/>
    </xf>
    <xf numFmtId="0" fontId="2" fillId="7" borderId="11" xfId="0" applyFont="1" applyFill="1" applyBorder="1" applyAlignment="1" applyProtection="1">
      <alignment horizontal="center" vertical="center" wrapText="1"/>
      <protection locked="0"/>
    </xf>
    <xf numFmtId="0" fontId="2" fillId="7" borderId="7" xfId="0" applyFont="1" applyFill="1" applyBorder="1" applyAlignment="1" applyProtection="1">
      <alignment horizontal="center" vertical="center" wrapText="1"/>
      <protection locked="0"/>
    </xf>
    <xf numFmtId="0" fontId="2" fillId="7" borderId="8" xfId="0" applyFont="1" applyFill="1" applyBorder="1" applyAlignment="1" applyProtection="1">
      <alignment horizontal="center" vertical="center" wrapText="1"/>
      <protection locked="0"/>
    </xf>
    <xf numFmtId="0" fontId="2" fillId="7" borderId="9" xfId="0" applyFont="1" applyFill="1" applyBorder="1" applyAlignment="1" applyProtection="1">
      <alignment horizontal="center" vertical="center" wrapText="1"/>
      <protection locked="0"/>
    </xf>
    <xf numFmtId="0" fontId="2" fillId="7" borderId="12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Fill="1" applyBorder="1" applyAlignment="1" applyProtection="1">
      <alignment horizontal="left" vertical="center" wrapText="1"/>
      <protection locked="0"/>
    </xf>
    <xf numFmtId="0" fontId="0" fillId="6" borderId="0" xfId="0" applyFill="1" applyBorder="1" applyAlignment="1" applyProtection="1">
      <alignment vertical="center"/>
      <protection locked="0"/>
    </xf>
    <xf numFmtId="0" fontId="3" fillId="0" borderId="13" xfId="0" applyFont="1" applyBorder="1" applyAlignment="1" applyProtection="1">
      <alignment vertical="center" wrapText="1"/>
      <protection locked="0"/>
    </xf>
    <xf numFmtId="10" fontId="3" fillId="0" borderId="13" xfId="6" applyNumberFormat="1" applyFont="1" applyBorder="1" applyAlignment="1" applyProtection="1">
      <alignment vertical="center" wrapText="1"/>
      <protection locked="0"/>
    </xf>
    <xf numFmtId="10" fontId="3" fillId="0" borderId="14" xfId="6" applyNumberFormat="1" applyFont="1" applyBorder="1" applyAlignment="1" applyProtection="1">
      <alignment vertical="center" wrapText="1"/>
      <protection locked="0"/>
    </xf>
    <xf numFmtId="10" fontId="3" fillId="12" borderId="14" xfId="6" applyNumberFormat="1" applyFont="1" applyFill="1" applyBorder="1" applyAlignment="1" applyProtection="1">
      <alignment vertical="center" wrapText="1"/>
      <protection locked="0"/>
    </xf>
    <xf numFmtId="10" fontId="3" fillId="12" borderId="13" xfId="6" applyNumberFormat="1" applyFont="1" applyFill="1" applyBorder="1" applyAlignment="1" applyProtection="1">
      <alignment vertical="center" wrapText="1"/>
      <protection locked="0"/>
    </xf>
    <xf numFmtId="0" fontId="3" fillId="0" borderId="15" xfId="0" applyFont="1" applyBorder="1" applyAlignment="1" applyProtection="1">
      <alignment vertical="center" wrapText="1"/>
      <protection locked="0"/>
    </xf>
    <xf numFmtId="9" fontId="3" fillId="0" borderId="15" xfId="6" applyFont="1" applyBorder="1" applyAlignment="1" applyProtection="1">
      <alignment vertical="center" wrapText="1"/>
      <protection locked="0"/>
    </xf>
    <xf numFmtId="9" fontId="3" fillId="0" borderId="16" xfId="6" applyFont="1" applyBorder="1" applyAlignment="1" applyProtection="1">
      <alignment vertical="center" wrapText="1"/>
      <protection locked="0"/>
    </xf>
    <xf numFmtId="9" fontId="3" fillId="0" borderId="16" xfId="6" applyNumberFormat="1" applyFont="1" applyBorder="1" applyAlignment="1" applyProtection="1">
      <alignment vertical="center" wrapText="1"/>
      <protection locked="0"/>
    </xf>
    <xf numFmtId="9" fontId="3" fillId="0" borderId="15" xfId="6" applyNumberFormat="1" applyFont="1" applyBorder="1" applyAlignment="1" applyProtection="1">
      <alignment vertical="center" wrapText="1"/>
      <protection locked="0"/>
    </xf>
    <xf numFmtId="9" fontId="3" fillId="0" borderId="17" xfId="6" applyNumberFormat="1" applyFont="1" applyBorder="1" applyAlignment="1" applyProtection="1">
      <alignment vertical="center" wrapText="1"/>
      <protection locked="0"/>
    </xf>
    <xf numFmtId="10" fontId="3" fillId="0" borderId="15" xfId="6" applyNumberFormat="1" applyFont="1" applyBorder="1" applyAlignment="1" applyProtection="1">
      <alignment vertical="center" wrapText="1"/>
      <protection locked="0"/>
    </xf>
    <xf numFmtId="0" fontId="18" fillId="0" borderId="0" xfId="0" applyFont="1" applyAlignment="1" applyProtection="1">
      <alignment horizontal="center" vertical="center"/>
      <protection locked="0" hidden="1"/>
    </xf>
    <xf numFmtId="44" fontId="3" fillId="0" borderId="15" xfId="4" applyFont="1" applyBorder="1" applyAlignment="1" applyProtection="1">
      <alignment vertical="center" wrapText="1"/>
      <protection locked="0"/>
    </xf>
    <xf numFmtId="44" fontId="3" fillId="0" borderId="16" xfId="4" applyFont="1" applyBorder="1" applyAlignment="1" applyProtection="1">
      <alignment vertical="center" wrapText="1"/>
      <protection locked="0"/>
    </xf>
    <xf numFmtId="44" fontId="3" fillId="0" borderId="17" xfId="4" applyFont="1" applyBorder="1" applyAlignment="1" applyProtection="1">
      <alignment vertical="center" wrapText="1"/>
      <protection locked="0"/>
    </xf>
    <xf numFmtId="9" fontId="0" fillId="0" borderId="0" xfId="0" applyNumberFormat="1" applyAlignment="1" applyProtection="1">
      <alignment vertical="center"/>
      <protection locked="0"/>
    </xf>
    <xf numFmtId="0" fontId="3" fillId="0" borderId="16" xfId="0" applyFont="1" applyBorder="1" applyAlignment="1" applyProtection="1">
      <alignment vertical="center" wrapText="1"/>
      <protection locked="0"/>
    </xf>
    <xf numFmtId="0" fontId="3" fillId="0" borderId="17" xfId="0" applyFont="1" applyBorder="1" applyAlignment="1" applyProtection="1">
      <alignment vertical="center" wrapText="1"/>
      <protection locked="0"/>
    </xf>
    <xf numFmtId="9" fontId="7" fillId="11" borderId="0" xfId="6" applyFont="1" applyFill="1" applyAlignment="1" applyProtection="1">
      <alignment vertical="center"/>
      <protection locked="0"/>
    </xf>
    <xf numFmtId="0" fontId="3" fillId="0" borderId="18" xfId="0" applyFont="1" applyBorder="1" applyAlignment="1" applyProtection="1">
      <alignment vertical="center" wrapText="1"/>
      <protection locked="0"/>
    </xf>
    <xf numFmtId="9" fontId="3" fillId="0" borderId="18" xfId="6" applyFont="1" applyBorder="1" applyAlignment="1" applyProtection="1">
      <alignment vertical="center" wrapText="1"/>
      <protection locked="0"/>
    </xf>
    <xf numFmtId="9" fontId="3" fillId="12" borderId="18" xfId="6" applyFont="1" applyFill="1" applyBorder="1" applyAlignment="1" applyProtection="1">
      <alignment vertical="center" wrapText="1"/>
      <protection locked="0"/>
    </xf>
    <xf numFmtId="9" fontId="3" fillId="12" borderId="19" xfId="6" applyFont="1" applyFill="1" applyBorder="1" applyAlignment="1" applyProtection="1">
      <alignment vertical="center" wrapText="1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9" fontId="7" fillId="0" borderId="0" xfId="6" applyFont="1" applyAlignment="1" applyProtection="1">
      <alignment vertical="center"/>
      <protection locked="0"/>
    </xf>
    <xf numFmtId="165" fontId="3" fillId="0" borderId="16" xfId="4" applyNumberFormat="1" applyFont="1" applyBorder="1" applyAlignment="1" applyProtection="1">
      <alignment vertical="center" wrapText="1"/>
      <protection locked="0"/>
    </xf>
    <xf numFmtId="165" fontId="3" fillId="0" borderId="15" xfId="4" applyNumberFormat="1" applyFont="1" applyBorder="1" applyAlignment="1" applyProtection="1">
      <alignment vertical="center" wrapText="1"/>
      <protection locked="0"/>
    </xf>
    <xf numFmtId="165" fontId="3" fillId="0" borderId="20" xfId="4" applyNumberFormat="1" applyFont="1" applyBorder="1" applyAlignment="1" applyProtection="1">
      <alignment vertical="center" wrapText="1"/>
      <protection locked="0"/>
    </xf>
    <xf numFmtId="0" fontId="3" fillId="13" borderId="21" xfId="0" applyFont="1" applyFill="1" applyBorder="1" applyAlignment="1" applyProtection="1">
      <alignment vertical="center" wrapText="1"/>
      <protection locked="0"/>
    </xf>
    <xf numFmtId="2" fontId="3" fillId="13" borderId="21" xfId="0" applyNumberFormat="1" applyFont="1" applyFill="1" applyBorder="1" applyAlignment="1" applyProtection="1">
      <alignment vertical="center" wrapText="1"/>
      <protection locked="0"/>
    </xf>
    <xf numFmtId="2" fontId="3" fillId="13" borderId="22" xfId="0" applyNumberFormat="1" applyFont="1" applyFill="1" applyBorder="1" applyAlignment="1" applyProtection="1">
      <alignment vertical="center" wrapText="1"/>
      <protection locked="0"/>
    </xf>
    <xf numFmtId="2" fontId="3" fillId="13" borderId="23" xfId="0" applyNumberFormat="1" applyFont="1" applyFill="1" applyBorder="1" applyAlignment="1" applyProtection="1">
      <alignment vertical="center" wrapText="1"/>
      <protection locked="0"/>
    </xf>
    <xf numFmtId="0" fontId="3" fillId="13" borderId="15" xfId="0" applyFont="1" applyFill="1" applyBorder="1" applyAlignment="1" applyProtection="1">
      <alignment vertical="center" wrapText="1"/>
      <protection locked="0"/>
    </xf>
    <xf numFmtId="2" fontId="3" fillId="13" borderId="15" xfId="0" applyNumberFormat="1" applyFont="1" applyFill="1" applyBorder="1" applyAlignment="1" applyProtection="1">
      <alignment vertical="center" wrapText="1"/>
      <protection locked="0"/>
    </xf>
    <xf numFmtId="2" fontId="3" fillId="13" borderId="16" xfId="0" applyNumberFormat="1" applyFont="1" applyFill="1" applyBorder="1" applyAlignment="1" applyProtection="1">
      <alignment vertical="center" wrapText="1"/>
      <protection locked="0"/>
    </xf>
    <xf numFmtId="2" fontId="3" fillId="13" borderId="17" xfId="0" applyNumberFormat="1" applyFont="1" applyFill="1" applyBorder="1" applyAlignment="1" applyProtection="1">
      <alignment vertical="center" wrapText="1"/>
      <protection locked="0"/>
    </xf>
    <xf numFmtId="0" fontId="3" fillId="13" borderId="24" xfId="0" applyFont="1" applyFill="1" applyBorder="1" applyAlignment="1" applyProtection="1">
      <alignment vertical="center" wrapText="1"/>
      <protection locked="0"/>
    </xf>
    <xf numFmtId="166" fontId="3" fillId="13" borderId="24" xfId="6" applyNumberFormat="1" applyFont="1" applyFill="1" applyBorder="1" applyAlignment="1" applyProtection="1">
      <alignment vertical="center" wrapText="1"/>
      <protection locked="0"/>
    </xf>
    <xf numFmtId="166" fontId="3" fillId="13" borderId="25" xfId="6" applyNumberFormat="1" applyFont="1" applyFill="1" applyBorder="1" applyAlignment="1" applyProtection="1">
      <alignment vertical="center" wrapText="1"/>
      <protection locked="0"/>
    </xf>
    <xf numFmtId="166" fontId="3" fillId="13" borderId="26" xfId="6" applyNumberFormat="1" applyFont="1" applyFill="1" applyBorder="1" applyAlignment="1" applyProtection="1">
      <alignment vertical="center" wrapText="1"/>
      <protection locked="0"/>
    </xf>
    <xf numFmtId="166" fontId="3" fillId="13" borderId="27" xfId="6" applyNumberFormat="1" applyFont="1" applyFill="1" applyBorder="1" applyAlignment="1" applyProtection="1">
      <alignment vertical="center" wrapText="1"/>
      <protection locked="0"/>
    </xf>
    <xf numFmtId="10" fontId="3" fillId="13" borderId="21" xfId="6" applyNumberFormat="1" applyFont="1" applyFill="1" applyBorder="1" applyAlignment="1" applyProtection="1">
      <alignment vertical="center" wrapText="1"/>
      <protection locked="0"/>
    </xf>
    <xf numFmtId="0" fontId="28" fillId="0" borderId="0" xfId="0" applyFont="1" applyAlignment="1" applyProtection="1">
      <alignment vertical="center"/>
      <protection locked="0"/>
    </xf>
    <xf numFmtId="43" fontId="28" fillId="0" borderId="0" xfId="3" applyFont="1" applyAlignment="1" applyProtection="1">
      <alignment vertical="center"/>
      <protection locked="0"/>
    </xf>
    <xf numFmtId="43" fontId="7" fillId="0" borderId="0" xfId="3" applyFont="1" applyAlignment="1" applyProtection="1">
      <alignment vertical="center"/>
      <protection locked="0"/>
    </xf>
    <xf numFmtId="10" fontId="28" fillId="0" borderId="0" xfId="6" applyNumberFormat="1" applyFont="1" applyAlignment="1" applyProtection="1">
      <alignment vertical="center"/>
      <protection locked="0"/>
    </xf>
    <xf numFmtId="10" fontId="7" fillId="0" borderId="0" xfId="6" applyNumberFormat="1" applyFont="1" applyAlignment="1" applyProtection="1">
      <alignment vertical="center"/>
      <protection locked="0"/>
    </xf>
    <xf numFmtId="43" fontId="24" fillId="0" borderId="0" xfId="3" applyFont="1" applyAlignment="1" applyProtection="1">
      <alignment horizontal="center" vertical="center"/>
      <protection locked="0" hidden="1"/>
    </xf>
    <xf numFmtId="9" fontId="7" fillId="0" borderId="0" xfId="6" applyFont="1" applyFill="1" applyBorder="1" applyAlignment="1" applyProtection="1">
      <alignment horizontal="center" vertical="center"/>
      <protection locked="0"/>
    </xf>
    <xf numFmtId="167" fontId="0" fillId="14" borderId="0" xfId="0" applyNumberFormat="1" applyFill="1" applyAlignment="1" applyProtection="1">
      <alignment vertical="center"/>
      <protection locked="0"/>
    </xf>
    <xf numFmtId="167" fontId="0" fillId="0" borderId="0" xfId="0" applyNumberFormat="1" applyAlignment="1" applyProtection="1">
      <alignment vertical="center"/>
      <protection locked="0"/>
    </xf>
    <xf numFmtId="174" fontId="0" fillId="0" borderId="0" xfId="0" applyNumberFormat="1" applyAlignment="1" applyProtection="1">
      <alignment vertical="center"/>
      <protection locked="0"/>
    </xf>
    <xf numFmtId="44" fontId="0" fillId="0" borderId="0" xfId="0" applyNumberFormat="1" applyAlignment="1" applyProtection="1">
      <alignment vertical="center"/>
      <protection locked="0"/>
    </xf>
    <xf numFmtId="43" fontId="0" fillId="0" borderId="0" xfId="0" applyNumberFormat="1" applyAlignment="1" applyProtection="1">
      <alignment vertical="center"/>
      <protection locked="0"/>
    </xf>
    <xf numFmtId="0" fontId="13" fillId="4" borderId="0" xfId="0" applyFont="1" applyFill="1" applyAlignment="1" applyProtection="1">
      <alignment vertical="center"/>
      <protection locked="0"/>
    </xf>
    <xf numFmtId="0" fontId="23" fillId="0" borderId="0" xfId="0" applyFont="1" applyFill="1" applyAlignment="1" applyProtection="1">
      <alignment vertical="center"/>
      <protection locked="0" hidden="1"/>
    </xf>
    <xf numFmtId="0" fontId="24" fillId="0" borderId="0" xfId="0" applyFont="1" applyAlignment="1" applyProtection="1">
      <alignment horizontal="left" vertical="center"/>
      <protection locked="0" hidden="1"/>
    </xf>
    <xf numFmtId="168" fontId="24" fillId="0" borderId="0" xfId="3" applyNumberFormat="1" applyFont="1" applyAlignment="1" applyProtection="1">
      <alignment horizontal="center" vertical="center"/>
      <protection locked="0" hidden="1"/>
    </xf>
    <xf numFmtId="170" fontId="24" fillId="0" borderId="0" xfId="3" applyNumberFormat="1" applyFont="1" applyAlignment="1" applyProtection="1">
      <alignment vertical="center"/>
      <protection locked="0" hidden="1"/>
    </xf>
    <xf numFmtId="167" fontId="29" fillId="0" borderId="0" xfId="4" applyNumberFormat="1" applyFont="1" applyFill="1" applyBorder="1" applyAlignment="1" applyProtection="1">
      <alignment vertical="center"/>
      <protection locked="0" hidden="1"/>
    </xf>
    <xf numFmtId="167" fontId="29" fillId="0" borderId="0" xfId="4" applyNumberFormat="1" applyFont="1" applyFill="1" applyBorder="1" applyAlignment="1" applyProtection="1">
      <alignment horizontal="center" vertical="center"/>
      <protection locked="0" hidden="1"/>
    </xf>
    <xf numFmtId="10" fontId="24" fillId="11" borderId="0" xfId="6" applyNumberFormat="1" applyFont="1" applyFill="1" applyAlignment="1" applyProtection="1">
      <alignment vertical="center"/>
      <protection locked="0" hidden="1"/>
    </xf>
    <xf numFmtId="43" fontId="24" fillId="0" borderId="0" xfId="3" applyFont="1" applyAlignment="1" applyProtection="1">
      <alignment vertical="center"/>
      <protection locked="0" hidden="1"/>
    </xf>
    <xf numFmtId="44" fontId="0" fillId="14" borderId="0" xfId="0" applyNumberFormat="1" applyFill="1" applyAlignment="1" applyProtection="1">
      <alignment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166" fontId="7" fillId="0" borderId="0" xfId="6" applyNumberFormat="1" applyFont="1" applyAlignment="1" applyProtection="1">
      <alignment vertical="center"/>
      <protection locked="0"/>
    </xf>
    <xf numFmtId="10" fontId="7" fillId="11" borderId="0" xfId="6" applyNumberFormat="1" applyFont="1" applyFill="1" applyAlignment="1" applyProtection="1">
      <alignment vertical="center"/>
      <protection locked="0"/>
    </xf>
    <xf numFmtId="0" fontId="30" fillId="0" borderId="0" xfId="0" applyFont="1" applyBorder="1" applyAlignment="1" applyProtection="1">
      <alignment vertical="center"/>
      <protection hidden="1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32" fillId="0" borderId="0" xfId="0" applyFont="1" applyFill="1" applyBorder="1" applyAlignment="1" applyProtection="1">
      <alignment horizontal="center" vertical="center"/>
      <protection locked="0"/>
    </xf>
    <xf numFmtId="0" fontId="33" fillId="6" borderId="0" xfId="0" applyFont="1" applyFill="1" applyBorder="1" applyAlignment="1" applyProtection="1">
      <alignment vertical="center"/>
      <protection locked="0" hidden="1"/>
    </xf>
    <xf numFmtId="167" fontId="22" fillId="8" borderId="0" xfId="0" applyNumberFormat="1" applyFont="1" applyFill="1" applyBorder="1" applyAlignment="1" applyProtection="1">
      <alignment horizontal="center" vertical="center"/>
      <protection locked="0" hidden="1"/>
    </xf>
    <xf numFmtId="44" fontId="0" fillId="0" borderId="0" xfId="0" applyNumberFormat="1" applyFill="1" applyBorder="1" applyAlignment="1" applyProtection="1">
      <alignment vertical="center"/>
      <protection locked="0"/>
    </xf>
    <xf numFmtId="171" fontId="22" fillId="0" borderId="0" xfId="0" applyNumberFormat="1" applyFont="1" applyFill="1" applyBorder="1" applyAlignment="1" applyProtection="1">
      <alignment horizontal="center" vertical="center"/>
      <protection locked="0" hidden="1"/>
    </xf>
    <xf numFmtId="9" fontId="7" fillId="0" borderId="0" xfId="6" applyFont="1" applyFill="1" applyBorder="1" applyAlignment="1" applyProtection="1">
      <alignment horizontal="center" vertical="center"/>
    </xf>
    <xf numFmtId="0" fontId="0" fillId="0" borderId="0" xfId="0" applyFont="1" applyFill="1" applyBorder="1" applyAlignment="1" applyProtection="1">
      <alignment vertical="center"/>
    </xf>
    <xf numFmtId="176" fontId="22" fillId="8" borderId="46" xfId="3" applyNumberFormat="1" applyFont="1" applyFill="1" applyBorder="1" applyAlignment="1" applyProtection="1">
      <alignment horizontal="center" vertical="center"/>
      <protection locked="0" hidden="1"/>
    </xf>
    <xf numFmtId="167" fontId="22" fillId="8" borderId="46" xfId="0" applyNumberFormat="1" applyFont="1" applyFill="1" applyBorder="1" applyAlignment="1" applyProtection="1">
      <alignment horizontal="center" vertical="center"/>
      <protection locked="0" hidden="1"/>
    </xf>
    <xf numFmtId="0" fontId="0" fillId="8" borderId="49" xfId="0" applyFill="1" applyBorder="1" applyAlignment="1" applyProtection="1">
      <alignment horizontal="center" vertical="center"/>
      <protection locked="0" hidden="1"/>
    </xf>
    <xf numFmtId="0" fontId="0" fillId="0" borderId="50" xfId="0" applyBorder="1" applyAlignment="1" applyProtection="1">
      <alignment vertical="center"/>
      <protection hidden="1"/>
    </xf>
    <xf numFmtId="167" fontId="17" fillId="0" borderId="0" xfId="1" applyNumberFormat="1" applyFont="1" applyFill="1" applyAlignment="1" applyProtection="1">
      <protection hidden="1"/>
    </xf>
    <xf numFmtId="0" fontId="14" fillId="0" borderId="0" xfId="0" applyFont="1" applyAlignment="1" applyProtection="1">
      <alignment vertical="center"/>
      <protection locked="0"/>
    </xf>
    <xf numFmtId="176" fontId="0" fillId="0" borderId="0" xfId="0" applyNumberFormat="1" applyAlignment="1" applyProtection="1">
      <alignment vertical="center"/>
      <protection locked="0"/>
    </xf>
    <xf numFmtId="0" fontId="30" fillId="0" borderId="0" xfId="0" applyFont="1" applyBorder="1" applyAlignment="1" applyProtection="1">
      <alignment vertical="center"/>
    </xf>
    <xf numFmtId="0" fontId="34" fillId="0" borderId="0" xfId="0" applyFont="1" applyFill="1" applyBorder="1" applyAlignment="1" applyProtection="1">
      <alignment horizontal="left" vertical="center"/>
    </xf>
    <xf numFmtId="0" fontId="0" fillId="0" borderId="0" xfId="0" applyBorder="1" applyAlignment="1" applyProtection="1">
      <alignment vertical="center"/>
    </xf>
    <xf numFmtId="0" fontId="21" fillId="0" borderId="0" xfId="0" applyFont="1" applyFill="1" applyBorder="1" applyAlignment="1" applyProtection="1">
      <alignment horizontal="left" vertical="center"/>
    </xf>
    <xf numFmtId="0" fontId="15" fillId="0" borderId="0" xfId="0" applyFont="1" applyAlignment="1" applyProtection="1">
      <alignment vertical="center"/>
    </xf>
    <xf numFmtId="176" fontId="35" fillId="0" borderId="46" xfId="3" applyNumberFormat="1" applyFont="1" applyFill="1" applyBorder="1" applyAlignment="1" applyProtection="1">
      <alignment horizontal="center" vertical="center"/>
      <protection locked="0" hidden="1"/>
    </xf>
    <xf numFmtId="167" fontId="35" fillId="0" borderId="46" xfId="0" applyNumberFormat="1" applyFont="1" applyFill="1" applyBorder="1" applyAlignment="1" applyProtection="1">
      <alignment horizontal="center" vertical="center"/>
      <protection locked="0" hidden="1"/>
    </xf>
    <xf numFmtId="0" fontId="0" fillId="6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5" fontId="35" fillId="0" borderId="0" xfId="3" applyNumberFormat="1" applyFont="1" applyFill="1" applyBorder="1" applyAlignment="1" applyProtection="1">
      <alignment horizontal="center" vertical="center"/>
      <protection locked="0" hidden="1"/>
    </xf>
    <xf numFmtId="0" fontId="0" fillId="11" borderId="0" xfId="0" applyFill="1" applyBorder="1" applyAlignment="1" applyProtection="1">
      <alignment vertical="center"/>
      <protection locked="0"/>
    </xf>
    <xf numFmtId="167" fontId="36" fillId="0" borderId="0" xfId="0" applyNumberFormat="1" applyFont="1" applyFill="1" applyBorder="1" applyAlignment="1" applyProtection="1">
      <alignment horizontal="center" vertical="center"/>
      <protection locked="0"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vertical="center"/>
      <protection hidden="1"/>
    </xf>
    <xf numFmtId="166" fontId="22" fillId="10" borderId="46" xfId="6" applyNumberFormat="1" applyFont="1" applyFill="1" applyBorder="1" applyAlignment="1" applyProtection="1">
      <alignment horizontal="center" vertical="center"/>
      <protection hidden="1"/>
    </xf>
    <xf numFmtId="167" fontId="17" fillId="10" borderId="46" xfId="1" applyNumberFormat="1" applyFont="1" applyFill="1" applyBorder="1" applyAlignment="1" applyProtection="1">
      <alignment horizontal="center"/>
      <protection hidden="1"/>
    </xf>
    <xf numFmtId="10" fontId="7" fillId="10" borderId="46" xfId="6" applyNumberFormat="1" applyFont="1" applyFill="1" applyBorder="1" applyAlignment="1" applyProtection="1">
      <alignment horizontal="center"/>
      <protection hidden="1"/>
    </xf>
    <xf numFmtId="0" fontId="17" fillId="10" borderId="46" xfId="1" applyNumberFormat="1" applyFont="1" applyFill="1" applyBorder="1" applyAlignment="1" applyProtection="1">
      <alignment horizontal="center"/>
      <protection hidden="1"/>
    </xf>
    <xf numFmtId="166" fontId="14" fillId="10" borderId="44" xfId="6" applyNumberFormat="1" applyFont="1" applyFill="1" applyBorder="1" applyAlignment="1" applyProtection="1">
      <alignment horizontal="center"/>
      <protection hidden="1"/>
    </xf>
    <xf numFmtId="0" fontId="20" fillId="0" borderId="0" xfId="0" applyFont="1" applyFill="1" applyAlignment="1" applyProtection="1">
      <alignment vertical="center"/>
      <protection hidden="1"/>
    </xf>
    <xf numFmtId="0" fontId="18" fillId="0" borderId="0" xfId="0" applyFont="1" applyFill="1" applyAlignment="1" applyProtection="1">
      <alignment horizontal="left" vertical="center"/>
      <protection locked="0"/>
    </xf>
    <xf numFmtId="179" fontId="3" fillId="12" borderId="28" xfId="6" applyNumberFormat="1" applyFont="1" applyFill="1" applyBorder="1" applyAlignment="1" applyProtection="1">
      <alignment vertical="center" wrapText="1"/>
      <protection locked="0"/>
    </xf>
    <xf numFmtId="0" fontId="26" fillId="11" borderId="0" xfId="0" applyFont="1" applyFill="1" applyBorder="1" applyAlignment="1" applyProtection="1">
      <alignment vertical="center" wrapText="1"/>
      <protection locked="0"/>
    </xf>
    <xf numFmtId="0" fontId="29" fillId="11" borderId="0" xfId="0" applyFont="1" applyFill="1" applyBorder="1" applyAlignment="1" applyProtection="1">
      <alignment vertical="center" wrapText="1"/>
      <protection locked="0"/>
    </xf>
    <xf numFmtId="0" fontId="9" fillId="0" borderId="0" xfId="0" applyFont="1" applyFill="1" applyAlignment="1"/>
    <xf numFmtId="0" fontId="9" fillId="6" borderId="29" xfId="0" applyFont="1" applyFill="1" applyBorder="1" applyAlignment="1"/>
    <xf numFmtId="9" fontId="7" fillId="0" borderId="0" xfId="6" applyFont="1" applyAlignment="1" applyProtection="1">
      <alignment vertical="center"/>
      <protection locked="0"/>
    </xf>
    <xf numFmtId="10" fontId="0" fillId="0" borderId="0" xfId="0" applyNumberFormat="1" applyAlignment="1" applyProtection="1">
      <alignment vertical="center"/>
      <protection locked="0"/>
    </xf>
    <xf numFmtId="10" fontId="7" fillId="0" borderId="0" xfId="6" applyNumberFormat="1" applyFont="1" applyAlignment="1" applyProtection="1">
      <alignment vertical="center"/>
      <protection locked="0"/>
    </xf>
    <xf numFmtId="179" fontId="0" fillId="0" borderId="0" xfId="0" applyNumberFormat="1" applyAlignment="1" applyProtection="1">
      <alignment vertical="center"/>
      <protection locked="0"/>
    </xf>
    <xf numFmtId="10" fontId="7" fillId="0" borderId="0" xfId="6" applyNumberFormat="1" applyFont="1" applyAlignment="1" applyProtection="1">
      <alignment vertical="center"/>
      <protection locked="0"/>
    </xf>
    <xf numFmtId="0" fontId="0" fillId="0" borderId="3" xfId="0" applyBorder="1" applyAlignment="1" applyProtection="1">
      <alignment horizontal="left"/>
      <protection hidden="1"/>
    </xf>
    <xf numFmtId="0" fontId="0" fillId="0" borderId="0" xfId="0" applyBorder="1" applyAlignment="1" applyProtection="1">
      <alignment horizontal="left"/>
      <protection hidden="1"/>
    </xf>
    <xf numFmtId="0" fontId="0" fillId="0" borderId="30" xfId="0" applyBorder="1" applyAlignment="1" applyProtection="1">
      <alignment horizontal="left"/>
      <protection hidden="1"/>
    </xf>
    <xf numFmtId="172" fontId="22" fillId="0" borderId="0" xfId="0" applyNumberFormat="1" applyFont="1" applyBorder="1" applyAlignment="1" applyProtection="1">
      <alignment horizontal="center" vertical="center"/>
      <protection hidden="1"/>
    </xf>
    <xf numFmtId="167" fontId="17" fillId="10" borderId="46" xfId="1" applyNumberFormat="1" applyFont="1" applyFill="1" applyBorder="1" applyAlignment="1" applyProtection="1">
      <alignment horizontal="center"/>
      <protection hidden="1"/>
    </xf>
    <xf numFmtId="0" fontId="17" fillId="10" borderId="47" xfId="1" applyNumberFormat="1" applyFont="1" applyFill="1" applyBorder="1" applyAlignment="1" applyProtection="1">
      <alignment horizontal="center"/>
      <protection hidden="1"/>
    </xf>
    <xf numFmtId="2" fontId="17" fillId="10" borderId="46" xfId="1" applyNumberFormat="1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 vertical="center"/>
    </xf>
    <xf numFmtId="172" fontId="22" fillId="0" borderId="0" xfId="0" applyNumberFormat="1" applyFont="1" applyBorder="1" applyAlignment="1" applyProtection="1">
      <alignment vertical="center"/>
      <protection hidden="1"/>
    </xf>
    <xf numFmtId="0" fontId="0" fillId="0" borderId="49" xfId="0" applyFill="1" applyBorder="1" applyAlignment="1" applyProtection="1">
      <alignment horizontal="center" vertical="center"/>
      <protection locked="0" hidden="1"/>
    </xf>
    <xf numFmtId="0" fontId="0" fillId="0" borderId="51" xfId="0" applyFill="1" applyBorder="1" applyAlignment="1" applyProtection="1">
      <alignment horizontal="center" vertical="center"/>
      <protection locked="0" hidden="1"/>
    </xf>
    <xf numFmtId="0" fontId="37" fillId="0" borderId="0" xfId="0" applyFont="1" applyFill="1" applyBorder="1" applyAlignment="1" applyProtection="1">
      <alignment vertical="center"/>
    </xf>
    <xf numFmtId="10" fontId="35" fillId="0" borderId="46" xfId="6" applyNumberFormat="1" applyFont="1" applyFill="1" applyBorder="1" applyAlignment="1" applyProtection="1">
      <alignment horizontal="center" vertical="center"/>
      <protection locked="0" hidden="1"/>
    </xf>
    <xf numFmtId="0" fontId="34" fillId="0" borderId="31" xfId="0" applyFont="1" applyFill="1" applyBorder="1" applyAlignment="1" applyProtection="1">
      <alignment horizontal="left" vertical="center"/>
    </xf>
    <xf numFmtId="167" fontId="22" fillId="10" borderId="52" xfId="6" applyNumberFormat="1" applyFont="1" applyFill="1" applyBorder="1" applyAlignment="1" applyProtection="1">
      <alignment horizontal="center" vertical="center"/>
      <protection hidden="1"/>
    </xf>
    <xf numFmtId="167" fontId="7" fillId="0" borderId="0" xfId="1" applyNumberFormat="1" applyFont="1" applyFill="1" applyAlignment="1" applyProtection="1">
      <alignment horizontal="center"/>
      <protection hidden="1"/>
    </xf>
    <xf numFmtId="167" fontId="7" fillId="0" borderId="0" xfId="1" applyNumberFormat="1" applyFont="1" applyAlignment="1" applyProtection="1">
      <alignment horizontal="center"/>
      <protection hidden="1"/>
    </xf>
    <xf numFmtId="167" fontId="7" fillId="0" borderId="0" xfId="1" applyNumberFormat="1" applyFont="1" applyFill="1" applyBorder="1" applyAlignment="1" applyProtection="1">
      <alignment horizontal="center"/>
      <protection hidden="1"/>
    </xf>
    <xf numFmtId="178" fontId="7" fillId="0" borderId="0" xfId="3" applyNumberFormat="1" applyFont="1" applyAlignment="1" applyProtection="1">
      <alignment horizontal="center"/>
      <protection hidden="1"/>
    </xf>
    <xf numFmtId="167" fontId="0" fillId="0" borderId="0" xfId="0" applyNumberFormat="1" applyAlignment="1" applyProtection="1">
      <alignment horizontal="center"/>
      <protection hidden="1"/>
    </xf>
    <xf numFmtId="0" fontId="0" fillId="6" borderId="0" xfId="0" applyFill="1" applyAlignment="1" applyProtection="1">
      <alignment horizontal="center"/>
      <protection hidden="1"/>
    </xf>
    <xf numFmtId="167" fontId="17" fillId="0" borderId="0" xfId="1" applyNumberFormat="1" applyFont="1" applyFill="1" applyAlignment="1" applyProtection="1">
      <alignment horizontal="center"/>
      <protection hidden="1"/>
    </xf>
    <xf numFmtId="10" fontId="17" fillId="0" borderId="0" xfId="6" applyNumberFormat="1" applyFont="1" applyFill="1" applyAlignment="1" applyProtection="1">
      <alignment horizontal="center"/>
      <protection hidden="1"/>
    </xf>
    <xf numFmtId="10" fontId="17" fillId="11" borderId="0" xfId="6" applyNumberFormat="1" applyFont="1" applyFill="1" applyAlignment="1" applyProtection="1">
      <alignment horizontal="center"/>
      <protection hidden="1"/>
    </xf>
    <xf numFmtId="0" fontId="8" fillId="6" borderId="0" xfId="0" applyFont="1" applyFill="1" applyProtection="1">
      <protection hidden="1"/>
    </xf>
    <xf numFmtId="0" fontId="11" fillId="0" borderId="0" xfId="0" applyFont="1" applyBorder="1" applyAlignment="1" applyProtection="1">
      <alignment vertical="center" wrapText="1"/>
      <protection locked="0"/>
    </xf>
    <xf numFmtId="0" fontId="14" fillId="5" borderId="0" xfId="0" applyFont="1" applyFill="1" applyAlignment="1" applyProtection="1">
      <protection hidden="1"/>
    </xf>
    <xf numFmtId="0" fontId="0" fillId="11" borderId="0" xfId="0" applyFill="1"/>
    <xf numFmtId="9" fontId="17" fillId="13" borderId="0" xfId="6" applyFont="1" applyFill="1" applyAlignment="1" applyProtection="1">
      <alignment vertical="center"/>
      <protection locked="0"/>
    </xf>
    <xf numFmtId="43" fontId="7" fillId="0" borderId="0" xfId="3" applyFont="1" applyAlignment="1" applyProtection="1">
      <alignment vertical="center"/>
      <protection locked="0"/>
    </xf>
    <xf numFmtId="0" fontId="21" fillId="0" borderId="0" xfId="0" applyFont="1" applyFill="1" applyBorder="1" applyAlignment="1" applyProtection="1">
      <alignment horizontal="left" vertical="center"/>
      <protection hidden="1"/>
    </xf>
    <xf numFmtId="0" fontId="21" fillId="0" borderId="0" xfId="0" applyFont="1" applyBorder="1" applyAlignment="1" applyProtection="1">
      <alignment horizontal="left" vertical="center"/>
      <protection hidden="1"/>
    </xf>
    <xf numFmtId="0" fontId="34" fillId="0" borderId="0" xfId="0" applyFont="1" applyFill="1" applyBorder="1" applyAlignment="1" applyProtection="1">
      <alignment horizontal="left" vertical="center"/>
      <protection hidden="1"/>
    </xf>
    <xf numFmtId="0" fontId="34" fillId="0" borderId="0" xfId="0" applyFont="1" applyBorder="1" applyAlignment="1" applyProtection="1">
      <alignment horizontal="left" vertical="center"/>
      <protection hidden="1"/>
    </xf>
    <xf numFmtId="0" fontId="34" fillId="0" borderId="0" xfId="0" quotePrefix="1" applyFont="1" applyBorder="1" applyAlignment="1" applyProtection="1">
      <alignment horizontal="left" vertical="center"/>
      <protection hidden="1"/>
    </xf>
    <xf numFmtId="0" fontId="31" fillId="0" borderId="0" xfId="0" applyFont="1" applyFill="1" applyBorder="1" applyAlignment="1" applyProtection="1">
      <alignment horizontal="left" vertical="center"/>
      <protection hidden="1"/>
    </xf>
    <xf numFmtId="0" fontId="39" fillId="0" borderId="0" xfId="0" applyFont="1" applyAlignment="1" applyProtection="1">
      <alignment vertical="center"/>
    </xf>
    <xf numFmtId="0" fontId="7" fillId="0" borderId="0" xfId="3" applyNumberFormat="1" applyFont="1" applyAlignment="1" applyProtection="1">
      <alignment vertical="center"/>
      <protection locked="0"/>
    </xf>
    <xf numFmtId="9" fontId="7" fillId="0" borderId="0" xfId="6" applyFont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9" borderId="0" xfId="0" applyFill="1" applyAlignment="1" applyProtection="1">
      <alignment vertical="center"/>
      <protection locked="0"/>
    </xf>
    <xf numFmtId="0" fontId="0" fillId="15" borderId="0" xfId="0" applyFill="1" applyAlignment="1" applyProtection="1">
      <alignment vertical="center"/>
      <protection locked="0"/>
    </xf>
    <xf numFmtId="0" fontId="0" fillId="14" borderId="0" xfId="0" applyFill="1" applyAlignment="1" applyProtection="1">
      <alignment vertical="center"/>
      <protection locked="0"/>
    </xf>
    <xf numFmtId="0" fontId="0" fillId="16" borderId="0" xfId="0" applyFill="1" applyAlignment="1" applyProtection="1">
      <alignment vertical="center"/>
      <protection locked="0"/>
    </xf>
    <xf numFmtId="0" fontId="0" fillId="17" borderId="0" xfId="0" applyFill="1" applyAlignment="1" applyProtection="1">
      <alignment vertical="center"/>
      <protection locked="0"/>
    </xf>
    <xf numFmtId="0" fontId="0" fillId="18" borderId="0" xfId="0" applyFill="1" applyAlignment="1" applyProtection="1">
      <alignment vertical="center"/>
      <protection locked="0"/>
    </xf>
    <xf numFmtId="0" fontId="0" fillId="10" borderId="0" xfId="0" applyFill="1" applyAlignment="1" applyProtection="1">
      <alignment vertical="center"/>
      <protection locked="0"/>
    </xf>
    <xf numFmtId="0" fontId="0" fillId="19" borderId="0" xfId="0" applyFill="1" applyAlignment="1" applyProtection="1">
      <alignment vertical="center"/>
      <protection locked="0"/>
    </xf>
    <xf numFmtId="0" fontId="0" fillId="20" borderId="0" xfId="0" applyFill="1" applyBorder="1" applyAlignment="1" applyProtection="1">
      <alignment vertical="center"/>
      <protection locked="0"/>
    </xf>
    <xf numFmtId="180" fontId="7" fillId="0" borderId="0" xfId="3" applyNumberFormat="1" applyFont="1" applyProtection="1">
      <protection hidden="1"/>
    </xf>
    <xf numFmtId="180" fontId="16" fillId="7" borderId="43" xfId="3" applyNumberFormat="1" applyFont="1" applyFill="1" applyBorder="1" applyAlignment="1" applyProtection="1">
      <alignment horizontal="center" vertical="center" wrapText="1"/>
      <protection hidden="1"/>
    </xf>
    <xf numFmtId="180" fontId="17" fillId="0" borderId="0" xfId="3" applyNumberFormat="1" applyFont="1" applyFill="1" applyAlignment="1" applyProtection="1">
      <protection hidden="1"/>
    </xf>
    <xf numFmtId="180" fontId="7" fillId="0" borderId="0" xfId="3" applyNumberFormat="1" applyFont="1" applyFill="1" applyProtection="1">
      <protection hidden="1"/>
    </xf>
    <xf numFmtId="10" fontId="17" fillId="17" borderId="0" xfId="6" applyNumberFormat="1" applyFont="1" applyFill="1" applyAlignment="1" applyProtection="1">
      <alignment vertical="center"/>
      <protection locked="0"/>
    </xf>
    <xf numFmtId="9" fontId="7" fillId="0" borderId="0" xfId="6" applyFont="1" applyAlignment="1" applyProtection="1">
      <alignment vertical="center"/>
      <protection locked="0"/>
    </xf>
    <xf numFmtId="174" fontId="23" fillId="4" borderId="0" xfId="0" applyNumberFormat="1" applyFont="1" applyFill="1" applyAlignment="1" applyProtection="1">
      <alignment vertical="center"/>
      <protection locked="0" hidden="1"/>
    </xf>
    <xf numFmtId="9" fontId="23" fillId="4" borderId="0" xfId="6" applyFont="1" applyFill="1" applyAlignment="1" applyProtection="1">
      <alignment vertical="center"/>
      <protection locked="0" hidden="1"/>
    </xf>
    <xf numFmtId="9" fontId="7" fillId="0" borderId="0" xfId="6" applyFont="1" applyAlignment="1" applyProtection="1">
      <alignment vertical="center"/>
      <protection locked="0"/>
    </xf>
    <xf numFmtId="10" fontId="0" fillId="11" borderId="0" xfId="0" applyNumberFormat="1" applyFill="1" applyAlignment="1" applyProtection="1">
      <alignment vertical="center"/>
      <protection locked="0"/>
    </xf>
    <xf numFmtId="0" fontId="0" fillId="0" borderId="0" xfId="0" applyFill="1"/>
    <xf numFmtId="0" fontId="0" fillId="21" borderId="0" xfId="0" applyFill="1"/>
    <xf numFmtId="181" fontId="17" fillId="10" borderId="46" xfId="1" applyNumberFormat="1" applyFont="1" applyFill="1" applyBorder="1" applyAlignment="1" applyProtection="1">
      <alignment horizontal="center"/>
      <protection hidden="1"/>
    </xf>
    <xf numFmtId="174" fontId="0" fillId="0" borderId="0" xfId="0" applyNumberFormat="1"/>
    <xf numFmtId="8" fontId="0" fillId="0" borderId="0" xfId="0" applyNumberFormat="1"/>
    <xf numFmtId="178" fontId="7" fillId="0" borderId="0" xfId="3" applyNumberFormat="1" applyFont="1" applyProtection="1">
      <protection hidden="1"/>
    </xf>
    <xf numFmtId="178" fontId="7" fillId="0" borderId="0" xfId="3" applyNumberFormat="1" applyFont="1" applyProtection="1">
      <protection hidden="1"/>
    </xf>
    <xf numFmtId="10" fontId="7" fillId="0" borderId="0" xfId="6" applyNumberFormat="1" applyFont="1" applyProtection="1">
      <protection hidden="1"/>
    </xf>
    <xf numFmtId="169" fontId="24" fillId="16" borderId="0" xfId="3" applyNumberFormat="1" applyFont="1" applyFill="1" applyAlignment="1" applyProtection="1">
      <alignment vertical="center"/>
      <protection locked="0" hidden="1"/>
    </xf>
    <xf numFmtId="8" fontId="0" fillId="0" borderId="0" xfId="0" applyNumberFormat="1" applyAlignment="1" applyProtection="1">
      <alignment vertical="center"/>
      <protection locked="0"/>
    </xf>
    <xf numFmtId="10" fontId="7" fillId="11" borderId="0" xfId="6" applyNumberFormat="1" applyFont="1" applyFill="1" applyAlignment="1" applyProtection="1">
      <alignment vertical="center"/>
      <protection locked="0"/>
    </xf>
    <xf numFmtId="182" fontId="0" fillId="0" borderId="1" xfId="0" applyNumberFormat="1" applyBorder="1" applyAlignment="1" applyProtection="1">
      <alignment vertical="center"/>
      <protection locked="0"/>
    </xf>
    <xf numFmtId="182" fontId="0" fillId="0" borderId="2" xfId="0" applyNumberFormat="1" applyBorder="1" applyAlignment="1" applyProtection="1">
      <alignment vertical="center"/>
      <protection locked="0"/>
    </xf>
    <xf numFmtId="182" fontId="0" fillId="0" borderId="27" xfId="0" applyNumberFormat="1" applyBorder="1" applyAlignment="1" applyProtection="1">
      <alignment vertical="center"/>
      <protection locked="0"/>
    </xf>
    <xf numFmtId="166" fontId="7" fillId="14" borderId="0" xfId="6" applyNumberFormat="1" applyFont="1" applyFill="1" applyAlignment="1" applyProtection="1">
      <alignment vertical="center"/>
      <protection locked="0"/>
    </xf>
    <xf numFmtId="9" fontId="7" fillId="0" borderId="0" xfId="6" applyFont="1" applyAlignment="1" applyProtection="1">
      <alignment vertical="center"/>
      <protection locked="0"/>
    </xf>
    <xf numFmtId="182" fontId="0" fillId="19" borderId="1" xfId="0" applyNumberFormat="1" applyFill="1" applyBorder="1" applyAlignment="1" applyProtection="1">
      <alignment vertical="center"/>
      <protection locked="0"/>
    </xf>
    <xf numFmtId="182" fontId="0" fillId="19" borderId="2" xfId="0" applyNumberFormat="1" applyFill="1" applyBorder="1" applyAlignment="1" applyProtection="1">
      <alignment vertical="center"/>
      <protection locked="0"/>
    </xf>
    <xf numFmtId="182" fontId="0" fillId="19" borderId="27" xfId="0" applyNumberFormat="1" applyFill="1" applyBorder="1" applyAlignment="1" applyProtection="1">
      <alignment vertical="center"/>
      <protection locked="0"/>
    </xf>
    <xf numFmtId="182" fontId="0" fillId="0" borderId="0" xfId="0" applyNumberFormat="1" applyFill="1" applyBorder="1" applyAlignment="1" applyProtection="1">
      <alignment vertical="center"/>
      <protection locked="0"/>
    </xf>
    <xf numFmtId="10" fontId="7" fillId="0" borderId="0" xfId="6" applyNumberFormat="1" applyFont="1" applyBorder="1" applyAlignment="1" applyProtection="1">
      <alignment vertical="center"/>
      <protection locked="0"/>
    </xf>
    <xf numFmtId="10" fontId="7" fillId="0" borderId="0" xfId="6" applyNumberFormat="1" applyFont="1" applyAlignment="1" applyProtection="1">
      <alignment vertical="center"/>
      <protection locked="0"/>
    </xf>
    <xf numFmtId="167" fontId="22" fillId="0" borderId="0" xfId="0" applyNumberFormat="1" applyFont="1" applyFill="1" applyBorder="1" applyAlignment="1" applyProtection="1">
      <alignment horizontal="center" vertical="center"/>
      <protection locked="0" hidden="1"/>
    </xf>
    <xf numFmtId="0" fontId="17" fillId="0" borderId="0" xfId="0" applyFont="1" applyProtection="1">
      <protection hidden="1"/>
    </xf>
    <xf numFmtId="0" fontId="0" fillId="22" borderId="0" xfId="0" applyFill="1" applyAlignment="1" applyProtection="1">
      <alignment vertical="center"/>
      <protection locked="0"/>
    </xf>
    <xf numFmtId="0" fontId="0" fillId="22" borderId="0" xfId="0" applyFill="1" applyBorder="1" applyAlignment="1" applyProtection="1">
      <alignment vertical="center"/>
      <protection locked="0"/>
    </xf>
    <xf numFmtId="0" fontId="0" fillId="0" borderId="44" xfId="0" applyBorder="1" applyAlignment="1" applyProtection="1">
      <alignment horizontal="center"/>
      <protection hidden="1"/>
    </xf>
    <xf numFmtId="167" fontId="0" fillId="0" borderId="0" xfId="0" applyNumberFormat="1"/>
    <xf numFmtId="176" fontId="22" fillId="8" borderId="53" xfId="3" applyNumberFormat="1" applyFont="1" applyFill="1" applyBorder="1" applyAlignment="1" applyProtection="1">
      <alignment horizontal="center" vertical="center"/>
      <protection locked="0" hidden="1"/>
    </xf>
    <xf numFmtId="0" fontId="24" fillId="0" borderId="0" xfId="0" applyFont="1" applyFill="1" applyBorder="1" applyAlignment="1" applyProtection="1">
      <alignment horizontal="left" vertical="center"/>
      <protection hidden="1"/>
    </xf>
    <xf numFmtId="9" fontId="17" fillId="10" borderId="46" xfId="6" applyFont="1" applyFill="1" applyBorder="1" applyAlignment="1" applyProtection="1">
      <alignment horizontal="center"/>
      <protection hidden="1"/>
    </xf>
    <xf numFmtId="0" fontId="31" fillId="0" borderId="0" xfId="0" applyFont="1" applyFill="1" applyBorder="1" applyAlignment="1" applyProtection="1">
      <alignment horizontal="center" vertical="center"/>
      <protection hidden="1"/>
    </xf>
    <xf numFmtId="167" fontId="0" fillId="0" borderId="0" xfId="0" applyNumberFormat="1" applyFill="1" applyBorder="1" applyAlignment="1" applyProtection="1">
      <alignment vertical="center"/>
    </xf>
    <xf numFmtId="166" fontId="22" fillId="8" borderId="43" xfId="6" applyNumberFormat="1" applyFont="1" applyFill="1" applyBorder="1" applyAlignment="1" applyProtection="1">
      <alignment horizontal="center" vertical="center"/>
      <protection locked="0" hidden="1"/>
    </xf>
    <xf numFmtId="166" fontId="26" fillId="0" borderId="0" xfId="0" applyNumberFormat="1" applyFont="1" applyAlignment="1" applyProtection="1">
      <alignment vertical="center"/>
      <protection locked="0"/>
    </xf>
    <xf numFmtId="179" fontId="7" fillId="0" borderId="0" xfId="6" applyNumberFormat="1" applyFont="1" applyBorder="1" applyAlignment="1" applyProtection="1">
      <alignment vertical="center"/>
      <protection locked="0"/>
    </xf>
    <xf numFmtId="183" fontId="7" fillId="0" borderId="0" xfId="6" applyNumberFormat="1" applyFont="1" applyBorder="1" applyAlignment="1" applyProtection="1">
      <alignment vertical="center"/>
      <protection locked="0"/>
    </xf>
    <xf numFmtId="10" fontId="7" fillId="14" borderId="0" xfId="6" applyNumberFormat="1" applyFont="1" applyFill="1" applyAlignment="1" applyProtection="1">
      <alignment vertical="center"/>
      <protection locked="0"/>
    </xf>
    <xf numFmtId="183" fontId="7" fillId="14" borderId="0" xfId="6" applyNumberFormat="1" applyFont="1" applyFill="1" applyAlignment="1" applyProtection="1">
      <alignment vertical="center"/>
      <protection locked="0"/>
    </xf>
    <xf numFmtId="9" fontId="7" fillId="11" borderId="0" xfId="6" applyNumberFormat="1" applyFont="1" applyFill="1" applyAlignment="1" applyProtection="1">
      <alignment vertical="center"/>
      <protection locked="0"/>
    </xf>
    <xf numFmtId="0" fontId="0" fillId="0" borderId="10" xfId="0" applyBorder="1"/>
    <xf numFmtId="10" fontId="7" fillId="0" borderId="11" xfId="6" applyNumberFormat="1" applyFont="1" applyBorder="1"/>
    <xf numFmtId="0" fontId="0" fillId="0" borderId="11" xfId="0" applyBorder="1"/>
    <xf numFmtId="0" fontId="0" fillId="0" borderId="12" xfId="0" applyBorder="1"/>
    <xf numFmtId="0" fontId="0" fillId="0" borderId="3" xfId="0" applyBorder="1"/>
    <xf numFmtId="10" fontId="7" fillId="0" borderId="0" xfId="6" applyNumberFormat="1" applyFont="1" applyBorder="1"/>
    <xf numFmtId="0" fontId="0" fillId="0" borderId="0" xfId="0" applyBorder="1"/>
    <xf numFmtId="0" fontId="0" fillId="0" borderId="30" xfId="0" applyBorder="1"/>
    <xf numFmtId="0" fontId="0" fillId="11" borderId="3" xfId="0" applyFill="1" applyBorder="1"/>
    <xf numFmtId="10" fontId="0" fillId="11" borderId="0" xfId="0" applyNumberFormat="1" applyFill="1" applyBorder="1"/>
    <xf numFmtId="0" fontId="0" fillId="0" borderId="0" xfId="0" applyFill="1" applyBorder="1"/>
    <xf numFmtId="0" fontId="0" fillId="11" borderId="30" xfId="0" applyFill="1" applyBorder="1"/>
    <xf numFmtId="10" fontId="0" fillId="11" borderId="0" xfId="6" applyNumberFormat="1" applyFont="1" applyFill="1" applyBorder="1"/>
    <xf numFmtId="10" fontId="0" fillId="0" borderId="0" xfId="0" applyNumberFormat="1" applyBorder="1"/>
    <xf numFmtId="10" fontId="0" fillId="0" borderId="0" xfId="6" applyNumberFormat="1" applyFont="1" applyBorder="1"/>
    <xf numFmtId="0" fontId="0" fillId="0" borderId="33" xfId="0" applyBorder="1"/>
    <xf numFmtId="10" fontId="0" fillId="0" borderId="34" xfId="6" applyNumberFormat="1" applyFont="1" applyBorder="1"/>
    <xf numFmtId="0" fontId="0" fillId="0" borderId="34" xfId="0" applyBorder="1"/>
    <xf numFmtId="0" fontId="0" fillId="0" borderId="35" xfId="0" applyBorder="1"/>
    <xf numFmtId="166" fontId="17" fillId="10" borderId="46" xfId="6" applyNumberFormat="1" applyFont="1" applyFill="1" applyBorder="1" applyAlignment="1" applyProtection="1">
      <alignment horizontal="center"/>
      <protection hidden="1"/>
    </xf>
    <xf numFmtId="0" fontId="34" fillId="0" borderId="31" xfId="0" applyFont="1" applyFill="1" applyBorder="1" applyAlignment="1" applyProtection="1">
      <alignment horizontal="left" vertical="center"/>
      <protection hidden="1"/>
    </xf>
    <xf numFmtId="0" fontId="14" fillId="0" borderId="32" xfId="0" applyFont="1" applyBorder="1" applyAlignment="1" applyProtection="1">
      <alignment vertical="center"/>
      <protection hidden="1"/>
    </xf>
    <xf numFmtId="0" fontId="38" fillId="0" borderId="31" xfId="0" applyFont="1" applyBorder="1" applyAlignment="1" applyProtection="1">
      <alignment vertical="center"/>
      <protection hidden="1"/>
    </xf>
    <xf numFmtId="0" fontId="34" fillId="0" borderId="32" xfId="0" applyFont="1" applyFill="1" applyBorder="1" applyAlignment="1" applyProtection="1">
      <alignment horizontal="left" vertical="center"/>
      <protection hidden="1"/>
    </xf>
    <xf numFmtId="0" fontId="34" fillId="0" borderId="57" xfId="0" applyFont="1" applyFill="1" applyBorder="1" applyAlignment="1" applyProtection="1">
      <alignment horizontal="left" vertical="center"/>
      <protection hidden="1"/>
    </xf>
    <xf numFmtId="166" fontId="22" fillId="10" borderId="49" xfId="6" applyNumberFormat="1" applyFont="1" applyFill="1" applyBorder="1" applyAlignment="1" applyProtection="1">
      <alignment horizontal="center" vertical="center"/>
      <protection hidden="1"/>
    </xf>
    <xf numFmtId="0" fontId="34" fillId="8" borderId="58" xfId="0" applyFont="1" applyFill="1" applyBorder="1" applyAlignment="1" applyProtection="1">
      <alignment horizontal="left" vertical="center"/>
      <protection locked="0"/>
    </xf>
    <xf numFmtId="0" fontId="34" fillId="0" borderId="58" xfId="0" applyFont="1" applyFill="1" applyBorder="1" applyAlignment="1" applyProtection="1">
      <alignment horizontal="left" vertical="center"/>
      <protection hidden="1"/>
    </xf>
    <xf numFmtId="183" fontId="0" fillId="0" borderId="0" xfId="0" applyNumberFormat="1" applyAlignment="1" applyProtection="1">
      <alignment vertical="center"/>
      <protection locked="0"/>
    </xf>
    <xf numFmtId="184" fontId="24" fillId="0" borderId="0" xfId="3" applyNumberFormat="1" applyFont="1" applyAlignment="1" applyProtection="1">
      <alignment vertical="center"/>
      <protection locked="0" hidden="1"/>
    </xf>
    <xf numFmtId="10" fontId="7" fillId="24" borderId="0" xfId="6" applyNumberFormat="1" applyFont="1" applyFill="1" applyBorder="1"/>
    <xf numFmtId="10" fontId="43" fillId="24" borderId="0" xfId="6" applyNumberFormat="1" applyFont="1" applyFill="1" applyBorder="1"/>
    <xf numFmtId="10" fontId="7" fillId="11" borderId="0" xfId="6" applyNumberFormat="1" applyFont="1" applyFill="1" applyBorder="1"/>
    <xf numFmtId="10" fontId="7" fillId="0" borderId="0" xfId="6" applyNumberFormat="1" applyFont="1" applyFill="1" applyBorder="1"/>
    <xf numFmtId="0" fontId="0" fillId="0" borderId="1" xfId="0" applyBorder="1" applyAlignment="1" applyProtection="1">
      <alignment vertical="center"/>
      <protection locked="0"/>
    </xf>
    <xf numFmtId="0" fontId="0" fillId="0" borderId="27" xfId="0" applyBorder="1" applyAlignment="1" applyProtection="1">
      <alignment vertical="center"/>
      <protection locked="0"/>
    </xf>
    <xf numFmtId="10" fontId="0" fillId="0" borderId="0" xfId="0" applyNumberFormat="1"/>
    <xf numFmtId="185" fontId="0" fillId="21" borderId="0" xfId="0" applyNumberFormat="1" applyFill="1"/>
    <xf numFmtId="164" fontId="0" fillId="0" borderId="0" xfId="3" applyNumberFormat="1" applyFont="1" applyAlignment="1" applyProtection="1">
      <alignment vertical="center"/>
      <protection locked="0"/>
    </xf>
    <xf numFmtId="179" fontId="17" fillId="17" borderId="0" xfId="6" applyNumberFormat="1" applyFont="1" applyFill="1" applyAlignment="1" applyProtection="1">
      <alignment vertical="center"/>
      <protection locked="0"/>
    </xf>
    <xf numFmtId="176" fontId="22" fillId="0" borderId="46" xfId="3" applyNumberFormat="1" applyFont="1" applyFill="1" applyBorder="1" applyAlignment="1" applyProtection="1">
      <alignment horizontal="center" vertical="center"/>
      <protection locked="0" hidden="1"/>
    </xf>
    <xf numFmtId="186" fontId="0" fillId="0" borderId="0" xfId="0" applyNumberFormat="1" applyAlignment="1" applyProtection="1">
      <alignment vertical="center"/>
      <protection locked="0"/>
    </xf>
    <xf numFmtId="166" fontId="0" fillId="0" borderId="0" xfId="0" applyNumberFormat="1" applyAlignment="1" applyProtection="1">
      <alignment vertical="center"/>
      <protection locked="0"/>
    </xf>
    <xf numFmtId="10" fontId="22" fillId="9" borderId="2" xfId="6" applyNumberFormat="1" applyFont="1" applyFill="1" applyBorder="1" applyAlignment="1" applyProtection="1">
      <alignment horizontal="center" vertical="center"/>
      <protection locked="0" hidden="1"/>
    </xf>
    <xf numFmtId="0" fontId="22" fillId="0" borderId="0" xfId="0" applyFont="1" applyFill="1" applyBorder="1" applyAlignment="1" applyProtection="1">
      <alignment horizontal="left" vertical="center"/>
      <protection locked="0" hidden="1"/>
    </xf>
    <xf numFmtId="176" fontId="22" fillId="8" borderId="46" xfId="3" applyNumberFormat="1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>
      <alignment horizontal="left"/>
    </xf>
    <xf numFmtId="0" fontId="0" fillId="0" borderId="3" xfId="0" applyBorder="1" applyAlignment="1" applyProtection="1">
      <alignment horizontal="left"/>
      <protection hidden="1"/>
    </xf>
    <xf numFmtId="0" fontId="0" fillId="0" borderId="0" xfId="0" applyBorder="1" applyAlignment="1" applyProtection="1">
      <alignment horizontal="left"/>
      <protection hidden="1"/>
    </xf>
    <xf numFmtId="0" fontId="0" fillId="0" borderId="30" xfId="0" applyBorder="1" applyAlignment="1" applyProtection="1">
      <alignment horizontal="left"/>
      <protection hidden="1"/>
    </xf>
    <xf numFmtId="0" fontId="0" fillId="0" borderId="33" xfId="0" applyBorder="1" applyAlignment="1" applyProtection="1">
      <alignment horizontal="left"/>
      <protection hidden="1"/>
    </xf>
    <xf numFmtId="0" fontId="0" fillId="0" borderId="34" xfId="0" applyBorder="1" applyAlignment="1" applyProtection="1">
      <alignment horizontal="left"/>
      <protection hidden="1"/>
    </xf>
    <xf numFmtId="0" fontId="0" fillId="0" borderId="35" xfId="0" applyBorder="1" applyAlignment="1" applyProtection="1">
      <alignment horizontal="left"/>
      <protection hidden="1"/>
    </xf>
    <xf numFmtId="0" fontId="10" fillId="0" borderId="0" xfId="2" applyBorder="1" applyAlignment="1">
      <alignment horizontal="left"/>
    </xf>
    <xf numFmtId="0" fontId="11" fillId="23" borderId="7" xfId="0" applyFont="1" applyFill="1" applyBorder="1" applyAlignment="1" applyProtection="1">
      <alignment horizontal="center"/>
      <protection hidden="1"/>
    </xf>
    <xf numFmtId="0" fontId="11" fillId="23" borderId="8" xfId="0" applyFont="1" applyFill="1" applyBorder="1" applyAlignment="1" applyProtection="1">
      <alignment horizontal="center"/>
      <protection hidden="1"/>
    </xf>
    <xf numFmtId="0" fontId="11" fillId="23" borderId="9" xfId="0" applyFont="1" applyFill="1" applyBorder="1" applyAlignment="1" applyProtection="1">
      <alignment horizontal="center"/>
      <protection hidden="1"/>
    </xf>
    <xf numFmtId="0" fontId="0" fillId="0" borderId="10" xfId="0" applyBorder="1" applyAlignment="1" applyProtection="1">
      <alignment horizontal="left"/>
      <protection hidden="1"/>
    </xf>
    <xf numFmtId="0" fontId="0" fillId="0" borderId="11" xfId="0" applyBorder="1" applyAlignment="1" applyProtection="1">
      <alignment horizontal="left"/>
      <protection hidden="1"/>
    </xf>
    <xf numFmtId="0" fontId="0" fillId="0" borderId="12" xfId="0" applyBorder="1" applyAlignment="1" applyProtection="1">
      <alignment horizontal="left"/>
      <protection hidden="1"/>
    </xf>
    <xf numFmtId="0" fontId="33" fillId="0" borderId="0" xfId="0" applyFont="1" applyFill="1" applyBorder="1" applyAlignment="1" applyProtection="1">
      <alignment horizontal="center" vertical="center"/>
    </xf>
    <xf numFmtId="167" fontId="22" fillId="10" borderId="46" xfId="6" applyNumberFormat="1" applyFont="1" applyFill="1" applyBorder="1" applyAlignment="1" applyProtection="1">
      <alignment horizontal="center" vertical="center"/>
      <protection hidden="1"/>
    </xf>
    <xf numFmtId="167" fontId="22" fillId="10" borderId="56" xfId="6" applyNumberFormat="1" applyFont="1" applyFill="1" applyBorder="1" applyAlignment="1" applyProtection="1">
      <alignment horizontal="center" vertical="center"/>
      <protection hidden="1"/>
    </xf>
    <xf numFmtId="166" fontId="30" fillId="10" borderId="46" xfId="6" applyNumberFormat="1" applyFont="1" applyFill="1" applyBorder="1" applyAlignment="1" applyProtection="1">
      <alignment horizontal="center" vertical="center"/>
      <protection hidden="1"/>
    </xf>
    <xf numFmtId="166" fontId="30" fillId="10" borderId="56" xfId="6" applyNumberFormat="1" applyFont="1" applyFill="1" applyBorder="1" applyAlignment="1" applyProtection="1">
      <alignment horizontal="center" vertical="center"/>
      <protection hidden="1"/>
    </xf>
    <xf numFmtId="167" fontId="22" fillId="10" borderId="54" xfId="6" applyNumberFormat="1" applyFont="1" applyFill="1" applyBorder="1" applyAlignment="1" applyProtection="1">
      <alignment horizontal="center" vertical="center"/>
      <protection hidden="1"/>
    </xf>
    <xf numFmtId="167" fontId="22" fillId="10" borderId="55" xfId="6" applyNumberFormat="1" applyFont="1" applyFill="1" applyBorder="1" applyAlignment="1" applyProtection="1">
      <alignment horizontal="center" vertical="center"/>
      <protection hidden="1"/>
    </xf>
    <xf numFmtId="177" fontId="22" fillId="10" borderId="46" xfId="6" applyNumberFormat="1" applyFont="1" applyFill="1" applyBorder="1" applyAlignment="1" applyProtection="1">
      <alignment horizontal="center" vertical="center"/>
      <protection hidden="1"/>
    </xf>
    <xf numFmtId="177" fontId="22" fillId="10" borderId="56" xfId="6" applyNumberFormat="1" applyFont="1" applyFill="1" applyBorder="1" applyAlignment="1" applyProtection="1">
      <alignment horizontal="center" vertical="center"/>
      <protection hidden="1"/>
    </xf>
    <xf numFmtId="0" fontId="30" fillId="0" borderId="39" xfId="0" applyFont="1" applyBorder="1" applyAlignment="1" applyProtection="1">
      <alignment horizontal="center" vertical="center"/>
    </xf>
    <xf numFmtId="0" fontId="30" fillId="0" borderId="40" xfId="0" applyFont="1" applyBorder="1" applyAlignment="1" applyProtection="1">
      <alignment horizontal="center" vertical="center"/>
    </xf>
    <xf numFmtId="0" fontId="30" fillId="0" borderId="41" xfId="0" applyFont="1" applyBorder="1" applyAlignment="1" applyProtection="1">
      <alignment horizontal="center" vertical="center"/>
    </xf>
    <xf numFmtId="167" fontId="41" fillId="10" borderId="54" xfId="6" applyNumberFormat="1" applyFont="1" applyFill="1" applyBorder="1" applyAlignment="1" applyProtection="1">
      <alignment horizontal="center" vertical="center"/>
      <protection hidden="1"/>
    </xf>
    <xf numFmtId="167" fontId="41" fillId="10" borderId="55" xfId="6" applyNumberFormat="1" applyFont="1" applyFill="1" applyBorder="1" applyAlignment="1" applyProtection="1">
      <alignment horizontal="center" vertical="center"/>
      <protection hidden="1"/>
    </xf>
    <xf numFmtId="10" fontId="22" fillId="10" borderId="46" xfId="6" applyNumberFormat="1" applyFont="1" applyFill="1" applyBorder="1" applyAlignment="1" applyProtection="1">
      <alignment horizontal="center" vertical="center"/>
      <protection hidden="1"/>
    </xf>
    <xf numFmtId="10" fontId="22" fillId="10" borderId="56" xfId="6" applyNumberFormat="1" applyFont="1" applyFill="1" applyBorder="1" applyAlignment="1" applyProtection="1">
      <alignment horizontal="center" vertical="center"/>
      <protection hidden="1"/>
    </xf>
    <xf numFmtId="10" fontId="0" fillId="0" borderId="31" xfId="6" applyNumberFormat="1" applyFont="1" applyFill="1" applyBorder="1" applyAlignment="1" applyProtection="1">
      <alignment horizontal="center" vertical="center" wrapText="1"/>
      <protection locked="0"/>
    </xf>
    <xf numFmtId="10" fontId="0" fillId="0" borderId="0" xfId="6" applyNumberFormat="1" applyFont="1" applyFill="1" applyBorder="1" applyAlignment="1" applyProtection="1">
      <alignment horizontal="center" vertical="center" wrapText="1"/>
      <protection locked="0"/>
    </xf>
    <xf numFmtId="174" fontId="31" fillId="0" borderId="0" xfId="0" applyNumberFormat="1" applyFont="1" applyFill="1" applyBorder="1" applyAlignment="1" applyProtection="1">
      <alignment horizontal="center" vertical="center"/>
      <protection hidden="1"/>
    </xf>
    <xf numFmtId="0" fontId="3" fillId="0" borderId="0" xfId="0" applyFont="1" applyFill="1" applyAlignment="1" applyProtection="1">
      <alignment horizontal="left" vertical="center" wrapText="1"/>
      <protection hidden="1"/>
    </xf>
    <xf numFmtId="0" fontId="40" fillId="0" borderId="31" xfId="0" applyFont="1" applyBorder="1" applyAlignment="1" applyProtection="1">
      <alignment horizontal="center" vertical="center" wrapText="1"/>
      <protection locked="0"/>
    </xf>
    <xf numFmtId="0" fontId="40" fillId="0" borderId="0" xfId="0" applyFont="1" applyBorder="1" applyAlignment="1" applyProtection="1">
      <alignment horizontal="center" vertical="center" wrapText="1"/>
      <protection locked="0"/>
    </xf>
    <xf numFmtId="0" fontId="40" fillId="0" borderId="36" xfId="0" applyFont="1" applyBorder="1" applyAlignment="1" applyProtection="1">
      <alignment horizontal="center" vertical="center" wrapText="1"/>
      <protection locked="0"/>
    </xf>
    <xf numFmtId="0" fontId="40" fillId="0" borderId="32" xfId="0" applyFont="1" applyBorder="1" applyAlignment="1" applyProtection="1">
      <alignment horizontal="center" vertical="center" wrapText="1"/>
      <protection locked="0"/>
    </xf>
    <xf numFmtId="0" fontId="40" fillId="0" borderId="37" xfId="0" applyFont="1" applyBorder="1" applyAlignment="1" applyProtection="1">
      <alignment horizontal="center" vertical="center" wrapText="1"/>
      <protection locked="0"/>
    </xf>
    <xf numFmtId="0" fontId="40" fillId="0" borderId="38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/>
      <protection hidden="1"/>
    </xf>
    <xf numFmtId="0" fontId="30" fillId="0" borderId="37" xfId="0" applyFont="1" applyBorder="1" applyAlignment="1" applyProtection="1">
      <alignment horizontal="center" vertical="center"/>
    </xf>
    <xf numFmtId="0" fontId="42" fillId="0" borderId="39" xfId="0" applyFont="1" applyFill="1" applyBorder="1" applyAlignment="1" applyProtection="1">
      <alignment horizontal="center" vertical="center"/>
    </xf>
    <xf numFmtId="0" fontId="42" fillId="0" borderId="40" xfId="0" applyFont="1" applyFill="1" applyBorder="1" applyAlignment="1" applyProtection="1">
      <alignment horizontal="center" vertical="center"/>
    </xf>
    <xf numFmtId="0" fontId="42" fillId="0" borderId="41" xfId="0" applyFont="1" applyFill="1" applyBorder="1" applyAlignment="1" applyProtection="1">
      <alignment horizontal="center" vertical="center"/>
    </xf>
    <xf numFmtId="6" fontId="8" fillId="0" borderId="0" xfId="0" applyNumberFormat="1" applyFont="1" applyFill="1" applyBorder="1" applyAlignment="1" applyProtection="1">
      <alignment horizontal="center" vertical="center"/>
      <protection hidden="1"/>
    </xf>
    <xf numFmtId="167" fontId="8" fillId="0" borderId="0" xfId="0" applyNumberFormat="1" applyFont="1" applyFill="1" applyBorder="1" applyAlignment="1" applyProtection="1">
      <alignment horizontal="center" vertical="center"/>
      <protection hidden="1"/>
    </xf>
    <xf numFmtId="0" fontId="5" fillId="0" borderId="0" xfId="0" applyFont="1" applyFill="1" applyAlignment="1" applyProtection="1">
      <alignment horizontal="left" vertical="top" wrapText="1"/>
      <protection hidden="1"/>
    </xf>
    <xf numFmtId="0" fontId="0" fillId="8" borderId="53" xfId="0" applyFont="1" applyFill="1" applyBorder="1" applyAlignment="1" applyProtection="1">
      <alignment horizontal="center" vertical="center"/>
      <protection locked="0"/>
    </xf>
    <xf numFmtId="0" fontId="0" fillId="8" borderId="44" xfId="0" applyFont="1" applyFill="1" applyBorder="1" applyAlignment="1" applyProtection="1">
      <alignment horizontal="center" vertical="center"/>
      <protection locked="0"/>
    </xf>
    <xf numFmtId="167" fontId="8" fillId="0" borderId="53" xfId="1" applyNumberFormat="1" applyFont="1" applyFill="1" applyBorder="1" applyAlignment="1" applyProtection="1">
      <alignment horizontal="center"/>
    </xf>
    <xf numFmtId="167" fontId="8" fillId="0" borderId="44" xfId="1" applyNumberFormat="1" applyFont="1" applyFill="1" applyBorder="1" applyAlignment="1" applyProtection="1">
      <alignment horizontal="center"/>
    </xf>
    <xf numFmtId="0" fontId="9" fillId="6" borderId="0" xfId="0" applyFont="1" applyFill="1" applyAlignment="1" applyProtection="1">
      <alignment horizontal="center"/>
      <protection hidden="1"/>
    </xf>
    <xf numFmtId="0" fontId="33" fillId="0" borderId="0" xfId="0" applyFont="1" applyFill="1" applyBorder="1" applyAlignment="1" applyProtection="1">
      <alignment horizontal="left" vertical="center"/>
    </xf>
    <xf numFmtId="172" fontId="0" fillId="0" borderId="0" xfId="0" applyNumberFormat="1" applyAlignment="1" applyProtection="1">
      <alignment horizontal="right"/>
      <protection hidden="1"/>
    </xf>
    <xf numFmtId="0" fontId="0" fillId="10" borderId="49" xfId="0" applyFill="1" applyBorder="1" applyAlignment="1" applyProtection="1">
      <alignment horizontal="center"/>
      <protection hidden="1"/>
    </xf>
    <xf numFmtId="9" fontId="7" fillId="10" borderId="49" xfId="6" applyNumberFormat="1" applyFont="1" applyFill="1" applyBorder="1" applyAlignment="1" applyProtection="1">
      <alignment horizontal="center"/>
      <protection hidden="1"/>
    </xf>
    <xf numFmtId="168" fontId="8" fillId="0" borderId="49" xfId="3" applyNumberFormat="1" applyFont="1" applyFill="1" applyBorder="1" applyAlignment="1" applyProtection="1">
      <alignment horizontal="center"/>
      <protection locked="0"/>
    </xf>
    <xf numFmtId="5" fontId="11" fillId="8" borderId="46" xfId="3" applyNumberFormat="1" applyFont="1" applyFill="1" applyBorder="1" applyAlignment="1" applyProtection="1">
      <alignment horizontal="center" vertical="center"/>
      <protection hidden="1"/>
    </xf>
    <xf numFmtId="5" fontId="11" fillId="8" borderId="49" xfId="3" applyNumberFormat="1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</cellXfs>
  <cellStyles count="7">
    <cellStyle name="Currency 2" xfId="1" xr:uid="{00000000-0005-0000-0000-000000000000}"/>
    <cellStyle name="Hipervínculo" xfId="2" builtinId="8"/>
    <cellStyle name="Millares" xfId="3" builtinId="3"/>
    <cellStyle name="Moneda" xfId="4" builtinId="4"/>
    <cellStyle name="Normal" xfId="0" builtinId="0"/>
    <cellStyle name="Normal_simulador_hipotecario_11052012_Ejecutivos Desp" xfId="5" xr:uid="{00000000-0005-0000-0000-000005000000}"/>
    <cellStyle name="Porcentaje" xfId="6" builtinId="5"/>
  </cellStyles>
  <dxfs count="53"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auto="1"/>
        <name val="Calibri Light"/>
        <scheme val="none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>
          <bgColor theme="2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  <name val="Calibri Light"/>
        <scheme val="none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2"/>
        </patternFill>
      </fill>
    </dxf>
    <dxf>
      <fill>
        <patternFill>
          <bgColor rgb="FFE7E6E6"/>
        </patternFill>
      </fill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color theme="1"/>
      </font>
      <border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color auto="1"/>
      </font>
      <fill>
        <patternFill patternType="none">
          <bgColor indexed="65"/>
        </patternFill>
      </fill>
      <border>
        <left style="dotted">
          <color indexed="64"/>
        </left>
        <right style="dotted">
          <color indexed="64"/>
        </right>
        <bottom style="dotted">
          <color indexed="64"/>
        </bottom>
      </border>
    </dxf>
    <dxf>
      <font>
        <color theme="1"/>
      </font>
      <fill>
        <patternFill>
          <bgColor theme="2"/>
        </patternFill>
      </fill>
    </dxf>
    <dxf>
      <font>
        <color theme="1"/>
      </font>
      <fill>
        <patternFill>
          <bgColor theme="2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theme="1"/>
      </font>
      <border>
        <left style="dashed">
          <color indexed="64"/>
        </left>
        <right style="dashed">
          <color indexed="64"/>
        </right>
        <bottom style="dashed">
          <color indexed="64"/>
        </bottom>
      </border>
    </dxf>
    <dxf>
      <font>
        <color theme="1"/>
      </font>
      <fill>
        <patternFill patternType="none">
          <bgColor indexed="65"/>
        </patternFill>
      </fill>
      <border>
        <left style="dashed">
          <color indexed="64"/>
        </left>
        <bottom style="dashed">
          <color indexed="64"/>
        </bottom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color theme="1"/>
      </font>
      <border>
        <left style="dashed">
          <color indexed="64"/>
        </left>
        <right style="dashed">
          <color indexed="64"/>
        </right>
        <bottom style="dashed">
          <color indexed="64"/>
        </bottom>
      </border>
    </dxf>
    <dxf>
      <font>
        <color theme="1"/>
      </font>
      <border>
        <left style="dashed">
          <color indexed="64"/>
        </left>
        <right style="dashed">
          <color indexed="64"/>
        </right>
        <top style="dashed">
          <color indexed="64"/>
        </top>
      </border>
    </dxf>
    <dxf>
      <font>
        <color theme="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fmlaLink="$N$20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Gu&#237;a R&#225;pida'!A1"/><Relationship Id="rId2" Type="http://schemas.openxmlformats.org/officeDocument/2006/relationships/hyperlink" Target="#Amortizaci&#243;n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Resumen!A1"/><Relationship Id="rId2" Type="http://schemas.openxmlformats.org/officeDocument/2006/relationships/hyperlink" Target="#'Oferta Vinculante'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894080</xdr:colOff>
      <xdr:row>16</xdr:row>
      <xdr:rowOff>41910</xdr:rowOff>
    </xdr:from>
    <xdr:to>
      <xdr:col>7</xdr:col>
      <xdr:colOff>2857021</xdr:colOff>
      <xdr:row>16</xdr:row>
      <xdr:rowOff>345440</xdr:rowOff>
    </xdr:to>
    <xdr:sp macro="" textlink="">
      <xdr:nvSpPr>
        <xdr:cNvPr id="4" name="Rectá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238875" y="3143250"/>
          <a:ext cx="1979083" cy="275166"/>
        </a:xfrm>
        <a:prstGeom prst="rect">
          <a:avLst/>
        </a:prstGeom>
        <a:solidFill>
          <a:schemeClr val="bg1">
            <a:lumMod val="85000"/>
            <a:alpha val="60000"/>
          </a:schemeClr>
        </a:solidFill>
        <a:effectLst>
          <a:outerShdw blurRad="50800" dist="50800" dir="1680000" algn="ctr" rotWithShape="0">
            <a:srgbClr val="000000">
              <a:alpha val="43137"/>
            </a:srgbClr>
          </a:outerShdw>
        </a:effectLst>
        <a:scene3d>
          <a:camera prst="orthographicFront"/>
          <a:lightRig rig="threePt" dir="t"/>
        </a:scene3d>
        <a:sp3d prstMaterial="dkEdge"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s-MX" sz="1200" b="1">
              <a:solidFill>
                <a:schemeClr val="tx1"/>
              </a:solidFill>
              <a:latin typeface="+mn-lt"/>
              <a:ea typeface="+mn-ea"/>
              <a:cs typeface="+mn-cs"/>
            </a:rPr>
            <a:t>Simulador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628650</xdr:colOff>
      <xdr:row>2</xdr:row>
      <xdr:rowOff>190500</xdr:rowOff>
    </xdr:from>
    <xdr:to>
      <xdr:col>2</xdr:col>
      <xdr:colOff>2273300</xdr:colOff>
      <xdr:row>4</xdr:row>
      <xdr:rowOff>76200</xdr:rowOff>
    </xdr:to>
    <xdr:pic>
      <xdr:nvPicPr>
        <xdr:cNvPr id="17554" name="Imagen 1">
          <a:extLst>
            <a:ext uri="{FF2B5EF4-FFF2-40B4-BE49-F238E27FC236}">
              <a16:creationId xmlns:a16="http://schemas.microsoft.com/office/drawing/2014/main" id="{00000000-0008-0000-0100-000092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" y="276225"/>
          <a:ext cx="164782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591247</xdr:colOff>
      <xdr:row>4</xdr:row>
      <xdr:rowOff>92728</xdr:rowOff>
    </xdr:from>
    <xdr:to>
      <xdr:col>3</xdr:col>
      <xdr:colOff>2585532</xdr:colOff>
      <xdr:row>5</xdr:row>
      <xdr:rowOff>118074</xdr:rowOff>
    </xdr:to>
    <xdr:sp macro="[0]!Borrar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663649" y="673934"/>
          <a:ext cx="2061014" cy="277057"/>
        </a:xfrm>
        <a:prstGeom prst="rect">
          <a:avLst/>
        </a:prstGeom>
        <a:solidFill>
          <a:schemeClr val="bg1">
            <a:lumMod val="85000"/>
            <a:alpha val="60000"/>
          </a:schemeClr>
        </a:solidFill>
        <a:effectLst>
          <a:outerShdw blurRad="50800" dist="50800" dir="1680000" algn="ctr" rotWithShape="0">
            <a:srgbClr val="000000">
              <a:alpha val="43137"/>
            </a:srgbClr>
          </a:outerShdw>
        </a:effectLst>
        <a:scene3d>
          <a:camera prst="orthographicFront"/>
          <a:lightRig rig="threePt" dir="t"/>
        </a:scene3d>
        <a:sp3d prstMaterial="dkEdge"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tx1"/>
              </a:solidFill>
            </a:rPr>
            <a:t>Nueva</a:t>
          </a:r>
          <a:r>
            <a:rPr lang="es-MX" sz="1200" b="1" baseline="0">
              <a:solidFill>
                <a:schemeClr val="tx1"/>
              </a:solidFill>
            </a:rPr>
            <a:t> Cotización</a:t>
          </a:r>
          <a:endParaRPr lang="es-MX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186478</xdr:colOff>
      <xdr:row>4</xdr:row>
      <xdr:rowOff>91757</xdr:rowOff>
    </xdr:from>
    <xdr:to>
      <xdr:col>5</xdr:col>
      <xdr:colOff>1768343</xdr:colOff>
      <xdr:row>5</xdr:row>
      <xdr:rowOff>139405</xdr:rowOff>
    </xdr:to>
    <xdr:sp macro="" textlink="">
      <xdr:nvSpPr>
        <xdr:cNvPr id="2" name="Rectángul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117469" y="683758"/>
          <a:ext cx="2061014" cy="277057"/>
        </a:xfrm>
        <a:prstGeom prst="rect">
          <a:avLst/>
        </a:prstGeom>
        <a:solidFill>
          <a:schemeClr val="bg1">
            <a:lumMod val="85000"/>
            <a:alpha val="60000"/>
          </a:schemeClr>
        </a:solidFill>
        <a:effectLst>
          <a:outerShdw blurRad="50800" dist="50800" dir="1680000" algn="ctr" rotWithShape="0">
            <a:srgbClr val="000000">
              <a:alpha val="43137"/>
            </a:srgbClr>
          </a:outerShdw>
        </a:effectLst>
        <a:scene3d>
          <a:camera prst="orthographicFront"/>
          <a:lightRig rig="threePt" dir="t"/>
        </a:scene3d>
        <a:sp3d prstMaterial="dkEdge"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s-MX" sz="1200" b="1">
              <a:solidFill>
                <a:schemeClr val="tx1"/>
              </a:solidFill>
              <a:latin typeface="+mn-lt"/>
              <a:ea typeface="+mn-ea"/>
              <a:cs typeface="+mn-cs"/>
            </a:rPr>
            <a:t>Tabla Amortización</a:t>
          </a:r>
        </a:p>
      </xdr:txBody>
    </xdr:sp>
    <xdr:clientData/>
  </xdr:twoCellAnchor>
  <xdr:twoCellAnchor>
    <xdr:from>
      <xdr:col>8</xdr:col>
      <xdr:colOff>249423</xdr:colOff>
      <xdr:row>2</xdr:row>
      <xdr:rowOff>201929</xdr:rowOff>
    </xdr:from>
    <xdr:to>
      <xdr:col>9</xdr:col>
      <xdr:colOff>134240</xdr:colOff>
      <xdr:row>4</xdr:row>
      <xdr:rowOff>88052</xdr:rowOff>
    </xdr:to>
    <xdr:sp macro="" textlink="">
      <xdr:nvSpPr>
        <xdr:cNvPr id="5" name="Rectá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3437885" y="289852"/>
          <a:ext cx="1101086" cy="369700"/>
        </a:xfrm>
        <a:prstGeom prst="rect">
          <a:avLst/>
        </a:prstGeom>
        <a:solidFill>
          <a:schemeClr val="bg1">
            <a:lumMod val="85000"/>
            <a:alpha val="60000"/>
          </a:schemeClr>
        </a:solidFill>
        <a:effectLst>
          <a:outerShdw blurRad="50800" dist="50800" dir="1680000" algn="ctr" rotWithShape="0">
            <a:srgbClr val="000000">
              <a:alpha val="43137"/>
            </a:srgbClr>
          </a:outerShdw>
        </a:effectLst>
        <a:scene3d>
          <a:camera prst="orthographicFront"/>
          <a:lightRig rig="threePt" dir="t"/>
        </a:scene3d>
        <a:sp3d prstMaterial="dkEdge"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MX" sz="1200" b="1">
              <a:solidFill>
                <a:schemeClr val="tx1"/>
              </a:solidFill>
              <a:latin typeface="+mn-lt"/>
              <a:ea typeface="+mn-ea"/>
              <a:cs typeface="+mn-cs"/>
            </a:rPr>
            <a:t>Guía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412750</xdr:colOff>
          <xdr:row>13</xdr:row>
          <xdr:rowOff>69850</xdr:rowOff>
        </xdr:from>
        <xdr:to>
          <xdr:col>7</xdr:col>
          <xdr:colOff>800100</xdr:colOff>
          <xdr:row>14</xdr:row>
          <xdr:rowOff>107950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38100">
              <a:solidFill>
                <a:srgbClr val="008000" mc:Ignorable="a14" a14:legacySpreadsheetColorIndex="17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</xdr:sp>
        <xdr:clientData/>
      </xdr:twoCellAnchor>
    </mc:Choice>
    <mc:Fallback/>
  </mc:AlternateContent>
  <xdr:oneCellAnchor>
    <xdr:from>
      <xdr:col>6</xdr:col>
      <xdr:colOff>557895</xdr:colOff>
      <xdr:row>13</xdr:row>
      <xdr:rowOff>136072</xdr:rowOff>
    </xdr:from>
    <xdr:ext cx="1339085" cy="31149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0246181" y="2217965"/>
          <a:ext cx="133908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1400" b="1"/>
            <a:t>Hipoteca Verde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</xdr:colOff>
      <xdr:row>1</xdr:row>
      <xdr:rowOff>47625</xdr:rowOff>
    </xdr:from>
    <xdr:to>
      <xdr:col>3</xdr:col>
      <xdr:colOff>676275</xdr:colOff>
      <xdr:row>2</xdr:row>
      <xdr:rowOff>219075</xdr:rowOff>
    </xdr:to>
    <xdr:pic>
      <xdr:nvPicPr>
        <xdr:cNvPr id="16647" name="Imagen 2">
          <a:extLst>
            <a:ext uri="{FF2B5EF4-FFF2-40B4-BE49-F238E27FC236}">
              <a16:creationId xmlns:a16="http://schemas.microsoft.com/office/drawing/2014/main" id="{00000000-0008-0000-0200-0000074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238125"/>
          <a:ext cx="16383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12700</xdr:colOff>
      <xdr:row>3</xdr:row>
      <xdr:rowOff>2118</xdr:rowOff>
    </xdr:from>
    <xdr:to>
      <xdr:col>10</xdr:col>
      <xdr:colOff>60457</xdr:colOff>
      <xdr:row>4</xdr:row>
      <xdr:rowOff>59770</xdr:rowOff>
    </xdr:to>
    <xdr:sp macro="" textlink="">
      <xdr:nvSpPr>
        <xdr:cNvPr id="2" name="Rectángul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27533" y="698501"/>
          <a:ext cx="1350406" cy="338665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contrasting" dir="t"/>
        </a:scene3d>
        <a:sp3d prstMaterial="metal"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chemeClr val="tx1"/>
              </a:solidFill>
            </a:rPr>
            <a:t>Oferta</a:t>
          </a:r>
          <a:r>
            <a:rPr lang="es-MX" sz="1100" b="1" baseline="0"/>
            <a:t> </a:t>
          </a:r>
          <a:r>
            <a:rPr lang="es-MX" sz="1100" b="1" baseline="0">
              <a:solidFill>
                <a:schemeClr val="tx1"/>
              </a:solidFill>
            </a:rPr>
            <a:t>Vinculante</a:t>
          </a:r>
          <a:endParaRPr lang="es-MX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975361</xdr:colOff>
      <xdr:row>3</xdr:row>
      <xdr:rowOff>2116</xdr:rowOff>
    </xdr:from>
    <xdr:to>
      <xdr:col>5</xdr:col>
      <xdr:colOff>1033918</xdr:colOff>
      <xdr:row>4</xdr:row>
      <xdr:rowOff>25268</xdr:rowOff>
    </xdr:to>
    <xdr:sp macro="" textlink="">
      <xdr:nvSpPr>
        <xdr:cNvPr id="3" name="Rectá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282951" y="687915"/>
          <a:ext cx="1371582" cy="305155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contrasting" dir="t"/>
        </a:scene3d>
        <a:sp3d prstMaterial="metal"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s-MX" sz="1100" b="1">
              <a:solidFill>
                <a:schemeClr val="tx1"/>
              </a:solidFill>
              <a:latin typeface="+mn-lt"/>
              <a:ea typeface="+mn-ea"/>
              <a:cs typeface="+mn-cs"/>
            </a:rPr>
            <a:t>Regresar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published="0" codeName="Hoja4"/>
  <dimension ref="B1:H65536"/>
  <sheetViews>
    <sheetView showGridLines="0" zoomScaleNormal="100" workbookViewId="0"/>
  </sheetViews>
  <sheetFormatPr baseColWidth="10" defaultColWidth="0" defaultRowHeight="14.5" x14ac:dyDescent="0.35"/>
  <cols>
    <col min="1" max="7" width="11.453125" customWidth="1"/>
    <col min="8" max="8" width="131.81640625" customWidth="1"/>
    <col min="9" max="9" width="2.453125" customWidth="1"/>
  </cols>
  <sheetData>
    <row r="1" spans="2:8" ht="15" thickBot="1" x14ac:dyDescent="0.4"/>
    <row r="2" spans="2:8" ht="15" thickBot="1" x14ac:dyDescent="0.4">
      <c r="B2" s="374" t="s">
        <v>287</v>
      </c>
      <c r="C2" s="375"/>
      <c r="D2" s="375"/>
      <c r="E2" s="375"/>
      <c r="F2" s="375"/>
      <c r="G2" s="375"/>
      <c r="H2" s="376"/>
    </row>
    <row r="3" spans="2:8" x14ac:dyDescent="0.35">
      <c r="B3" s="377" t="s">
        <v>296</v>
      </c>
      <c r="C3" s="378"/>
      <c r="D3" s="378"/>
      <c r="E3" s="378"/>
      <c r="F3" s="378"/>
      <c r="G3" s="378"/>
      <c r="H3" s="379"/>
    </row>
    <row r="4" spans="2:8" x14ac:dyDescent="0.35">
      <c r="B4" s="367" t="s">
        <v>288</v>
      </c>
      <c r="C4" s="368"/>
      <c r="D4" s="368"/>
      <c r="E4" s="368"/>
      <c r="F4" s="368"/>
      <c r="G4" s="368"/>
      <c r="H4" s="369"/>
    </row>
    <row r="5" spans="2:8" x14ac:dyDescent="0.35">
      <c r="B5" s="367" t="s">
        <v>289</v>
      </c>
      <c r="C5" s="368"/>
      <c r="D5" s="368"/>
      <c r="E5" s="368"/>
      <c r="F5" s="368"/>
      <c r="G5" s="368"/>
      <c r="H5" s="369"/>
    </row>
    <row r="6" spans="2:8" x14ac:dyDescent="0.35">
      <c r="B6" s="367" t="s">
        <v>290</v>
      </c>
      <c r="C6" s="368"/>
      <c r="D6" s="368"/>
      <c r="E6" s="368"/>
      <c r="F6" s="368"/>
      <c r="G6" s="368"/>
      <c r="H6" s="369"/>
    </row>
    <row r="7" spans="2:8" x14ac:dyDescent="0.35">
      <c r="B7" s="367" t="s">
        <v>291</v>
      </c>
      <c r="C7" s="368"/>
      <c r="D7" s="368"/>
      <c r="E7" s="368"/>
      <c r="F7" s="368"/>
      <c r="G7" s="368"/>
      <c r="H7" s="369"/>
    </row>
    <row r="8" spans="2:8" x14ac:dyDescent="0.35">
      <c r="B8" s="367" t="s">
        <v>292</v>
      </c>
      <c r="C8" s="368"/>
      <c r="D8" s="368"/>
      <c r="E8" s="368"/>
      <c r="F8" s="368"/>
      <c r="G8" s="368"/>
      <c r="H8" s="369"/>
    </row>
    <row r="9" spans="2:8" x14ac:dyDescent="0.35">
      <c r="B9" s="367" t="s">
        <v>297</v>
      </c>
      <c r="C9" s="368"/>
      <c r="D9" s="368"/>
      <c r="E9" s="368"/>
      <c r="F9" s="368"/>
      <c r="G9" s="368"/>
      <c r="H9" s="369"/>
    </row>
    <row r="10" spans="2:8" x14ac:dyDescent="0.35">
      <c r="B10" s="367" t="s">
        <v>298</v>
      </c>
      <c r="C10" s="368"/>
      <c r="D10" s="368"/>
      <c r="E10" s="368"/>
      <c r="F10" s="368"/>
      <c r="G10" s="368"/>
      <c r="H10" s="369"/>
    </row>
    <row r="11" spans="2:8" x14ac:dyDescent="0.35">
      <c r="B11" s="367" t="s">
        <v>293</v>
      </c>
      <c r="C11" s="368"/>
      <c r="D11" s="368"/>
      <c r="E11" s="368"/>
      <c r="F11" s="368"/>
      <c r="G11" s="368"/>
      <c r="H11" s="369"/>
    </row>
    <row r="12" spans="2:8" x14ac:dyDescent="0.35">
      <c r="B12" s="221" t="s">
        <v>294</v>
      </c>
      <c r="C12" s="222"/>
      <c r="D12" s="222"/>
      <c r="E12" s="222"/>
      <c r="F12" s="222"/>
      <c r="G12" s="222"/>
      <c r="H12" s="223"/>
    </row>
    <row r="13" spans="2:8" x14ac:dyDescent="0.35">
      <c r="B13" s="367" t="s">
        <v>299</v>
      </c>
      <c r="C13" s="368"/>
      <c r="D13" s="368"/>
      <c r="E13" s="368"/>
      <c r="F13" s="368"/>
      <c r="G13" s="368"/>
      <c r="H13" s="369"/>
    </row>
    <row r="14" spans="2:8" x14ac:dyDescent="0.35">
      <c r="B14" s="367" t="s">
        <v>300</v>
      </c>
      <c r="C14" s="368"/>
      <c r="D14" s="368"/>
      <c r="E14" s="368"/>
      <c r="F14" s="368"/>
      <c r="G14" s="368"/>
      <c r="H14" s="369"/>
    </row>
    <row r="15" spans="2:8" ht="15" thickBot="1" x14ac:dyDescent="0.4">
      <c r="B15" s="370" t="s">
        <v>295</v>
      </c>
      <c r="C15" s="371"/>
      <c r="D15" s="371"/>
      <c r="E15" s="371"/>
      <c r="F15" s="371"/>
      <c r="G15" s="371"/>
      <c r="H15" s="372"/>
    </row>
    <row r="16" spans="2:8" x14ac:dyDescent="0.35">
      <c r="B16" s="366"/>
      <c r="C16" s="366"/>
      <c r="D16" s="366"/>
      <c r="E16" s="366"/>
      <c r="F16" s="366"/>
      <c r="G16" s="366"/>
      <c r="H16" s="366"/>
    </row>
    <row r="17" spans="2:8" ht="36.75" customHeight="1" x14ac:dyDescent="0.35">
      <c r="B17" s="373"/>
      <c r="C17" s="373"/>
      <c r="D17" s="373"/>
      <c r="E17" s="373"/>
      <c r="F17" s="373"/>
      <c r="G17" s="373"/>
      <c r="H17" s="373"/>
    </row>
    <row r="18" spans="2:8" x14ac:dyDescent="0.35">
      <c r="B18" s="366"/>
      <c r="C18" s="366"/>
      <c r="D18" s="366"/>
      <c r="E18" s="366"/>
      <c r="F18" s="366"/>
      <c r="G18" s="366"/>
      <c r="H18" s="366"/>
    </row>
    <row r="19" spans="2:8" x14ac:dyDescent="0.35">
      <c r="B19" s="366"/>
      <c r="C19" s="366"/>
      <c r="D19" s="366"/>
      <c r="E19" s="366"/>
      <c r="F19" s="366"/>
      <c r="G19" s="366"/>
      <c r="H19" s="366"/>
    </row>
    <row r="20" spans="2:8" x14ac:dyDescent="0.35">
      <c r="B20" s="366"/>
      <c r="C20" s="366"/>
      <c r="D20" s="366"/>
      <c r="E20" s="366"/>
      <c r="F20" s="366"/>
      <c r="G20" s="366"/>
      <c r="H20" s="366"/>
    </row>
    <row r="21" spans="2:8" x14ac:dyDescent="0.35">
      <c r="B21" s="366"/>
      <c r="C21" s="366"/>
      <c r="D21" s="366"/>
      <c r="E21" s="366"/>
      <c r="F21" s="366"/>
      <c r="G21" s="366"/>
      <c r="H21" s="366"/>
    </row>
    <row r="22" spans="2:8" x14ac:dyDescent="0.35">
      <c r="B22" s="366"/>
      <c r="C22" s="366"/>
      <c r="D22" s="366"/>
      <c r="E22" s="366"/>
      <c r="F22" s="366"/>
      <c r="G22" s="366"/>
      <c r="H22" s="366"/>
    </row>
    <row r="23" spans="2:8" x14ac:dyDescent="0.35">
      <c r="B23" s="366"/>
      <c r="C23" s="366"/>
      <c r="D23" s="366"/>
      <c r="E23" s="366"/>
      <c r="F23" s="366"/>
      <c r="G23" s="366"/>
      <c r="H23" s="366"/>
    </row>
    <row r="24" spans="2:8" x14ac:dyDescent="0.35">
      <c r="B24" s="366"/>
      <c r="C24" s="366"/>
      <c r="D24" s="366"/>
      <c r="E24" s="366"/>
      <c r="F24" s="366"/>
      <c r="G24" s="366"/>
      <c r="H24" s="366"/>
    </row>
    <row r="25" spans="2:8" x14ac:dyDescent="0.35">
      <c r="B25" s="366"/>
      <c r="C25" s="366"/>
      <c r="D25" s="366"/>
      <c r="E25" s="366"/>
      <c r="F25" s="366"/>
      <c r="G25" s="366"/>
      <c r="H25" s="366"/>
    </row>
    <row r="26" spans="2:8" x14ac:dyDescent="0.35">
      <c r="B26" s="366"/>
      <c r="C26" s="366"/>
      <c r="D26" s="366"/>
      <c r="E26" s="366"/>
      <c r="F26" s="366"/>
      <c r="G26" s="366"/>
      <c r="H26" s="366"/>
    </row>
    <row r="27" spans="2:8" x14ac:dyDescent="0.35">
      <c r="B27" s="366"/>
      <c r="C27" s="366"/>
      <c r="D27" s="366"/>
      <c r="E27" s="366"/>
      <c r="F27" s="366"/>
      <c r="G27" s="366"/>
      <c r="H27" s="366"/>
    </row>
    <row r="28" spans="2:8" x14ac:dyDescent="0.35">
      <c r="B28" s="366"/>
      <c r="C28" s="366"/>
      <c r="D28" s="366"/>
      <c r="E28" s="366"/>
      <c r="F28" s="366"/>
      <c r="G28" s="366"/>
      <c r="H28" s="366"/>
    </row>
    <row r="65534" ht="9.75" customHeight="1" x14ac:dyDescent="0.35"/>
    <row r="65535" ht="12.75" customHeight="1" x14ac:dyDescent="0.35"/>
    <row r="65536" ht="13.5" customHeight="1" x14ac:dyDescent="0.35"/>
  </sheetData>
  <sheetProtection algorithmName="SHA-512" hashValue="EoZo1ML/SfWskmL/YAKi8XL9TBdZ4ZZ49RcgzOXI6ObIUpWT1dqvCwmz5bZ825DrJpY+M5uC2Rd9YDhjcaoxog==" saltValue="MboxffOjrNpqEDb6qb2LTw==" spinCount="100000" sheet="1" objects="1" scenarios="1"/>
  <mergeCells count="26">
    <mergeCell ref="B2:H2"/>
    <mergeCell ref="B3:H3"/>
    <mergeCell ref="B4:H4"/>
    <mergeCell ref="B5:H5"/>
    <mergeCell ref="B6:H6"/>
    <mergeCell ref="B7:H7"/>
    <mergeCell ref="B8:H8"/>
    <mergeCell ref="B9:H9"/>
    <mergeCell ref="B10:H10"/>
    <mergeCell ref="B11:H11"/>
    <mergeCell ref="B13:H13"/>
    <mergeCell ref="B14:H14"/>
    <mergeCell ref="B15:H15"/>
    <mergeCell ref="B16:H16"/>
    <mergeCell ref="B17:H17"/>
    <mergeCell ref="B18:H18"/>
    <mergeCell ref="B19:H19"/>
    <mergeCell ref="B20:H20"/>
    <mergeCell ref="B27:H27"/>
    <mergeCell ref="B28:H28"/>
    <mergeCell ref="B21:H21"/>
    <mergeCell ref="B22:H22"/>
    <mergeCell ref="B23:H23"/>
    <mergeCell ref="B24:H24"/>
    <mergeCell ref="B25:H25"/>
    <mergeCell ref="B26:H26"/>
  </mergeCells>
  <pageMargins left="0.7" right="0.7" top="0.75" bottom="0.75" header="0.3" footer="0.3"/>
  <pageSetup orientation="portrait" r:id="rId1"/>
  <headerFooter>
    <oddFooter>&amp;C_x000D_&amp;1#&amp;"Calibri"&amp;10&amp;K000000 PUBLIC</oddFooter>
    <evenFooter>&amp;LINTERNAL</evenFooter>
    <firstFooter>&amp;LINTERNAL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fitToPage="1"/>
  </sheetPr>
  <dimension ref="A1:HZ65536"/>
  <sheetViews>
    <sheetView showGridLines="0" showRowColHeaders="0" tabSelected="1" zoomScale="115" zoomScaleNormal="115" workbookViewId="0">
      <selection activeCell="IF20" sqref="IF20"/>
    </sheetView>
  </sheetViews>
  <sheetFormatPr baseColWidth="10" defaultColWidth="11.453125" defaultRowHeight="30" customHeight="1" zeroHeight="1" x14ac:dyDescent="0.35"/>
  <cols>
    <col min="1" max="1" width="2.1796875" style="78" customWidth="1"/>
    <col min="2" max="2" width="2.1796875" style="79" customWidth="1"/>
    <col min="3" max="3" width="58.81640625" style="79" customWidth="1"/>
    <col min="4" max="4" width="41.81640625" style="79" bestFit="1" customWidth="1"/>
    <col min="5" max="5" width="5.54296875" style="79" customWidth="1"/>
    <col min="6" max="6" width="45.7265625" style="79" bestFit="1" customWidth="1"/>
    <col min="7" max="7" width="16.1796875" style="79" customWidth="1"/>
    <col min="8" max="8" width="16.1796875" style="84" customWidth="1"/>
    <col min="9" max="9" width="17.453125" style="79" customWidth="1"/>
    <col min="10" max="10" width="5.1796875" style="79" customWidth="1"/>
    <col min="11" max="11" width="12.81640625" style="80" hidden="1" customWidth="1"/>
    <col min="12" max="12" width="40.453125" style="80" hidden="1" customWidth="1"/>
    <col min="13" max="13" width="61" style="80" hidden="1" customWidth="1"/>
    <col min="14" max="14" width="26.81640625" style="80" hidden="1" customWidth="1"/>
    <col min="15" max="15" width="89.1796875" style="80" hidden="1" customWidth="1"/>
    <col min="16" max="16" width="13.81640625" style="80" hidden="1" customWidth="1"/>
    <col min="17" max="17" width="14.453125" style="80" hidden="1" customWidth="1"/>
    <col min="18" max="18" width="37.453125" style="80" hidden="1" customWidth="1"/>
    <col min="19" max="19" width="10.1796875" style="80" hidden="1" customWidth="1"/>
    <col min="20" max="20" width="18.81640625" style="80" hidden="1" customWidth="1"/>
    <col min="21" max="21" width="12.54296875" style="80" hidden="1" customWidth="1"/>
    <col min="22" max="22" width="19.81640625" style="80" hidden="1" customWidth="1"/>
    <col min="23" max="23" width="18.1796875" style="80" hidden="1" customWidth="1"/>
    <col min="24" max="24" width="18.453125" style="80" hidden="1" customWidth="1"/>
    <col min="25" max="25" width="16" style="80" hidden="1" customWidth="1"/>
    <col min="26" max="26" width="15.81640625" style="80" hidden="1" customWidth="1"/>
    <col min="27" max="27" width="7.81640625" style="80" hidden="1" customWidth="1"/>
    <col min="28" max="28" width="12.81640625" style="80" hidden="1" customWidth="1"/>
    <col min="29" max="30" width="7.81640625" style="80" hidden="1" customWidth="1"/>
    <col min="31" max="31" width="8.81640625" style="80" hidden="1" customWidth="1"/>
    <col min="32" max="32" width="7.81640625" style="80" hidden="1" customWidth="1"/>
    <col min="33" max="33" width="10.6328125" style="80" hidden="1" customWidth="1"/>
    <col min="34" max="36" width="7.81640625" style="80" hidden="1" customWidth="1"/>
    <col min="37" max="37" width="9" style="80" hidden="1" customWidth="1"/>
    <col min="38" max="38" width="10.6328125" style="80" hidden="1" customWidth="1"/>
    <col min="39" max="40" width="7.81640625" style="80" hidden="1" customWidth="1"/>
    <col min="41" max="41" width="13.1796875" style="80" hidden="1" customWidth="1"/>
    <col min="42" max="44" width="7.1796875" style="80" hidden="1" customWidth="1"/>
    <col min="45" max="45" width="16.1796875" style="80" hidden="1" customWidth="1"/>
    <col min="46" max="47" width="7.81640625" style="80" hidden="1" customWidth="1"/>
    <col min="48" max="48" width="19" style="80" hidden="1" customWidth="1"/>
    <col min="49" max="53" width="7.81640625" style="80" hidden="1" customWidth="1"/>
    <col min="54" max="54" width="15.1796875" style="80" hidden="1" customWidth="1"/>
    <col min="55" max="57" width="7.1796875" style="80" hidden="1" customWidth="1"/>
    <col min="58" max="58" width="5.1796875" style="80" hidden="1" customWidth="1"/>
    <col min="59" max="59" width="27.54296875" style="80" hidden="1" customWidth="1"/>
    <col min="60" max="60" width="6.81640625" style="80" hidden="1" customWidth="1"/>
    <col min="61" max="61" width="5.1796875" style="80" hidden="1" customWidth="1"/>
    <col min="62" max="62" width="27.54296875" style="80" hidden="1" customWidth="1"/>
    <col min="63" max="63" width="6.81640625" style="80" hidden="1" customWidth="1"/>
    <col min="64" max="234" width="5.1796875" style="80" hidden="1" customWidth="1"/>
    <col min="235" max="254" width="5.1796875" style="80" customWidth="1"/>
    <col min="255" max="255" width="4.81640625" style="80" customWidth="1"/>
    <col min="256" max="16384" width="11.453125" style="80"/>
  </cols>
  <sheetData>
    <row r="1" spans="3:63" ht="7.25" customHeight="1" x14ac:dyDescent="0.35">
      <c r="H1" s="80"/>
      <c r="I1" s="80"/>
      <c r="J1" s="80"/>
    </row>
    <row r="2" spans="3:63" ht="14.5" hidden="1" x14ac:dyDescent="0.35">
      <c r="K2" s="79"/>
    </row>
    <row r="3" spans="3:63" ht="19.25" customHeight="1" x14ac:dyDescent="0.35">
      <c r="C3" s="198"/>
      <c r="E3" s="192"/>
      <c r="F3" s="192"/>
      <c r="I3" s="84"/>
      <c r="J3" s="84"/>
      <c r="K3" s="79"/>
      <c r="L3" s="61" t="s">
        <v>1</v>
      </c>
      <c r="M3" s="61" t="s">
        <v>35</v>
      </c>
      <c r="N3" s="61" t="s">
        <v>36</v>
      </c>
      <c r="O3" s="61" t="s">
        <v>40</v>
      </c>
      <c r="P3" s="61" t="s">
        <v>44</v>
      </c>
      <c r="Q3" s="81" t="s">
        <v>4</v>
      </c>
      <c r="R3" s="358">
        <f>IF($N$20="VERDADERO",$N$28,0.3174)</f>
        <v>0.31740000000000002</v>
      </c>
      <c r="T3" s="83"/>
      <c r="U3" s="75" t="s">
        <v>53</v>
      </c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5"/>
      <c r="BA3" s="75"/>
    </row>
    <row r="4" spans="3:63" ht="19.25" customHeight="1" thickBot="1" x14ac:dyDescent="0.4">
      <c r="C4" s="198"/>
      <c r="D4" s="380" t="s">
        <v>301</v>
      </c>
      <c r="E4" s="380"/>
      <c r="F4" s="380"/>
      <c r="G4" s="54"/>
      <c r="I4" s="84"/>
      <c r="J4" s="84"/>
      <c r="K4" s="79"/>
      <c r="L4" s="85" t="s">
        <v>2</v>
      </c>
      <c r="M4" s="80" t="s">
        <v>214</v>
      </c>
      <c r="N4" s="80" t="s">
        <v>79</v>
      </c>
      <c r="O4" s="80" t="s">
        <v>41</v>
      </c>
      <c r="P4" s="80">
        <v>5</v>
      </c>
      <c r="Q4" s="81" t="s">
        <v>5</v>
      </c>
      <c r="R4" s="358">
        <f t="shared" ref="R4:R34" si="0">IF($N$20="VERDADERO",$N$28,0.3174)</f>
        <v>0.31740000000000002</v>
      </c>
      <c r="T4" s="83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7"/>
      <c r="AY4" s="87"/>
      <c r="AZ4" s="87"/>
      <c r="BA4" s="87"/>
      <c r="BG4" s="88" t="s">
        <v>152</v>
      </c>
      <c r="BH4" s="80">
        <v>20.86</v>
      </c>
      <c r="BJ4" s="88" t="s">
        <v>152</v>
      </c>
      <c r="BK4" s="80">
        <v>20.260000000000002</v>
      </c>
    </row>
    <row r="5" spans="3:63" ht="19.25" customHeight="1" thickTop="1" thickBot="1" x14ac:dyDescent="0.4">
      <c r="G5" s="54"/>
      <c r="H5" s="230"/>
      <c r="I5" s="84"/>
      <c r="J5" s="84"/>
      <c r="K5" s="96"/>
      <c r="L5" s="85" t="s">
        <v>0</v>
      </c>
      <c r="M5" s="80" t="s">
        <v>215</v>
      </c>
      <c r="N5" s="80" t="s">
        <v>37</v>
      </c>
      <c r="O5" s="80" t="s">
        <v>42</v>
      </c>
      <c r="P5" s="80">
        <v>10</v>
      </c>
      <c r="Q5" s="212" t="s">
        <v>6</v>
      </c>
      <c r="R5" s="358">
        <f t="shared" si="0"/>
        <v>0.31740000000000002</v>
      </c>
      <c r="T5" s="89" t="s">
        <v>54</v>
      </c>
      <c r="U5" s="90" t="s">
        <v>55</v>
      </c>
      <c r="V5" s="91"/>
      <c r="W5" s="91"/>
      <c r="X5" s="92"/>
      <c r="Y5" s="93" t="s">
        <v>56</v>
      </c>
      <c r="Z5" s="94"/>
      <c r="AA5" s="94"/>
      <c r="AB5" s="94"/>
      <c r="AC5" s="94"/>
      <c r="AD5" s="94"/>
      <c r="AE5" s="94"/>
      <c r="AF5" s="94"/>
      <c r="AG5" s="94"/>
      <c r="AH5" s="94"/>
      <c r="AI5" s="94"/>
      <c r="AJ5" s="94"/>
      <c r="AK5" s="93" t="s">
        <v>57</v>
      </c>
      <c r="AL5" s="94"/>
      <c r="AM5" s="94"/>
      <c r="AN5" s="95"/>
      <c r="AO5" s="93" t="s">
        <v>58</v>
      </c>
      <c r="AP5" s="94"/>
      <c r="AQ5" s="94"/>
      <c r="AR5" s="95"/>
      <c r="AS5" s="93" t="s">
        <v>59</v>
      </c>
      <c r="AT5" s="94"/>
      <c r="AU5" s="95"/>
      <c r="AV5" s="93" t="s">
        <v>60</v>
      </c>
      <c r="AW5" s="94"/>
      <c r="AX5" s="94"/>
      <c r="AY5" s="94"/>
      <c r="AZ5" s="94"/>
      <c r="BA5" s="94"/>
      <c r="BB5" s="93" t="s">
        <v>61</v>
      </c>
      <c r="BC5" s="94"/>
      <c r="BD5" s="94"/>
      <c r="BE5" s="95"/>
      <c r="BG5" s="88" t="s">
        <v>153</v>
      </c>
      <c r="BH5" s="80">
        <v>12.91</v>
      </c>
      <c r="BJ5" s="88" t="s">
        <v>153</v>
      </c>
      <c r="BK5" s="80">
        <v>12.16</v>
      </c>
    </row>
    <row r="6" spans="3:63" ht="19.25" customHeight="1" thickTop="1" thickBot="1" x14ac:dyDescent="0.4">
      <c r="C6" s="224">
        <f ca="1">TODAY()</f>
        <v>45911</v>
      </c>
      <c r="D6" s="229"/>
      <c r="E6" s="192"/>
      <c r="F6" s="192"/>
      <c r="G6" s="54"/>
      <c r="H6" s="231"/>
      <c r="K6" s="79"/>
      <c r="L6" s="80" t="s">
        <v>442</v>
      </c>
      <c r="M6" s="80" t="s">
        <v>264</v>
      </c>
      <c r="N6" s="80" t="s">
        <v>38</v>
      </c>
      <c r="O6" s="80" t="s">
        <v>43</v>
      </c>
      <c r="P6" s="80">
        <v>15</v>
      </c>
      <c r="Q6" s="97" t="s">
        <v>7</v>
      </c>
      <c r="R6" s="358">
        <f t="shared" si="0"/>
        <v>0.31740000000000002</v>
      </c>
      <c r="T6" s="89"/>
      <c r="U6" s="98" t="s">
        <v>62</v>
      </c>
      <c r="V6" s="99" t="s">
        <v>63</v>
      </c>
      <c r="W6" s="99" t="s">
        <v>64</v>
      </c>
      <c r="X6" s="99" t="s">
        <v>65</v>
      </c>
      <c r="Y6" s="100" t="s">
        <v>62</v>
      </c>
      <c r="Z6" s="101" t="s">
        <v>62</v>
      </c>
      <c r="AA6" s="102" t="s">
        <v>62</v>
      </c>
      <c r="AB6" s="98" t="s">
        <v>63</v>
      </c>
      <c r="AC6" s="99" t="s">
        <v>63</v>
      </c>
      <c r="AD6" s="103" t="s">
        <v>63</v>
      </c>
      <c r="AE6" s="99" t="s">
        <v>64</v>
      </c>
      <c r="AF6" s="99" t="s">
        <v>64</v>
      </c>
      <c r="AG6" s="103" t="s">
        <v>65</v>
      </c>
      <c r="AH6" s="100" t="s">
        <v>65</v>
      </c>
      <c r="AI6" s="101" t="s">
        <v>65</v>
      </c>
      <c r="AJ6" s="101" t="s">
        <v>65</v>
      </c>
      <c r="AK6" s="98" t="s">
        <v>62</v>
      </c>
      <c r="AL6" s="99" t="s">
        <v>63</v>
      </c>
      <c r="AM6" s="99" t="s">
        <v>64</v>
      </c>
      <c r="AN6" s="103" t="s">
        <v>65</v>
      </c>
      <c r="AO6" s="98" t="s">
        <v>62</v>
      </c>
      <c r="AP6" s="99" t="s">
        <v>63</v>
      </c>
      <c r="AQ6" s="99" t="s">
        <v>64</v>
      </c>
      <c r="AR6" s="103" t="s">
        <v>65</v>
      </c>
      <c r="AS6" s="100" t="s">
        <v>62</v>
      </c>
      <c r="AT6" s="100" t="s">
        <v>63</v>
      </c>
      <c r="AU6" s="100" t="s">
        <v>64</v>
      </c>
      <c r="AV6" s="100" t="s">
        <v>62</v>
      </c>
      <c r="AW6" s="100" t="s">
        <v>62</v>
      </c>
      <c r="AX6" s="100" t="s">
        <v>63</v>
      </c>
      <c r="AY6" s="100" t="s">
        <v>63</v>
      </c>
      <c r="AZ6" s="100" t="s">
        <v>64</v>
      </c>
      <c r="BA6" s="100" t="s">
        <v>64</v>
      </c>
      <c r="BB6" s="98" t="s">
        <v>62</v>
      </c>
      <c r="BC6" s="99" t="s">
        <v>63</v>
      </c>
      <c r="BD6" s="99" t="s">
        <v>64</v>
      </c>
      <c r="BE6" s="103" t="s">
        <v>65</v>
      </c>
      <c r="BG6" s="104" t="s">
        <v>154</v>
      </c>
      <c r="BH6" s="80">
        <v>10.56</v>
      </c>
      <c r="BJ6" s="104" t="s">
        <v>154</v>
      </c>
      <c r="BK6" s="80">
        <v>9.6999999999999993</v>
      </c>
    </row>
    <row r="7" spans="3:63" ht="16" customHeight="1" x14ac:dyDescent="0.35">
      <c r="C7" s="177"/>
      <c r="D7" s="197"/>
      <c r="E7" s="197"/>
      <c r="F7" s="197"/>
      <c r="G7" s="105"/>
      <c r="H7" s="105"/>
      <c r="I7" s="84"/>
      <c r="L7" s="80" t="s">
        <v>443</v>
      </c>
      <c r="M7" s="80" t="s">
        <v>466</v>
      </c>
      <c r="N7" s="80" t="s">
        <v>57</v>
      </c>
      <c r="O7" s="80" t="s">
        <v>452</v>
      </c>
      <c r="P7" s="80">
        <f>IF(D21=N6,"",20)</f>
        <v>20</v>
      </c>
      <c r="Q7" s="81" t="s">
        <v>8</v>
      </c>
      <c r="R7" s="358">
        <f t="shared" si="0"/>
        <v>0.31740000000000002</v>
      </c>
      <c r="T7" s="106" t="s">
        <v>66</v>
      </c>
      <c r="U7" s="107">
        <v>9.1999999999999998E-2</v>
      </c>
      <c r="V7" s="107">
        <v>9.4500000000000001E-2</v>
      </c>
      <c r="W7" s="107">
        <v>9.7000000000000003E-2</v>
      </c>
      <c r="X7" s="108">
        <v>9.7000000000000003E-2</v>
      </c>
      <c r="Y7" s="109">
        <v>9.5000000000000001E-2</v>
      </c>
      <c r="Z7" s="109">
        <v>9.9999999999999992E-2</v>
      </c>
      <c r="AA7" s="110">
        <v>0.104</v>
      </c>
      <c r="AB7" s="110">
        <v>9.7500000000000003E-2</v>
      </c>
      <c r="AC7" s="110">
        <v>0.10249999999999999</v>
      </c>
      <c r="AD7" s="110">
        <v>0.1065</v>
      </c>
      <c r="AE7" s="211">
        <v>0.1</v>
      </c>
      <c r="AF7" s="110">
        <v>0.105</v>
      </c>
      <c r="AG7" s="110">
        <v>0.109</v>
      </c>
      <c r="AH7" s="110">
        <v>0.1</v>
      </c>
      <c r="AI7" s="110">
        <v>0.105</v>
      </c>
      <c r="AJ7" s="110">
        <v>0.109</v>
      </c>
      <c r="AK7" s="107">
        <v>9.6999999999999989E-2</v>
      </c>
      <c r="AL7" s="107">
        <v>9.9499999999999991E-2</v>
      </c>
      <c r="AM7" s="107">
        <v>0.10199999999999999</v>
      </c>
      <c r="AN7" s="107">
        <v>0.10199999999999999</v>
      </c>
      <c r="AO7" s="107">
        <v>9.1999999999999998E-2</v>
      </c>
      <c r="AP7" s="107">
        <v>9.4500000000000001E-2</v>
      </c>
      <c r="AQ7" s="107">
        <v>9.7000000000000003E-2</v>
      </c>
      <c r="AR7" s="107">
        <v>9.7000000000000003E-2</v>
      </c>
      <c r="AS7" s="107">
        <v>0.11499999999999999</v>
      </c>
      <c r="AT7" s="107">
        <v>0.11749999999999999</v>
      </c>
      <c r="AU7" s="107">
        <v>0.12</v>
      </c>
      <c r="AV7" s="110">
        <v>0.12</v>
      </c>
      <c r="AW7" s="110">
        <v>0.13</v>
      </c>
      <c r="AX7" s="110">
        <v>0.1225</v>
      </c>
      <c r="AY7" s="110">
        <v>0.13250000000000001</v>
      </c>
      <c r="AZ7" s="110">
        <v>0.125</v>
      </c>
      <c r="BA7" s="110">
        <v>0.13500000000000001</v>
      </c>
      <c r="BB7" s="107">
        <v>9.4E-2</v>
      </c>
      <c r="BC7" s="107">
        <v>9.6500000000000002E-2</v>
      </c>
      <c r="BD7" s="107">
        <v>9.9000000000000005E-2</v>
      </c>
      <c r="BE7" s="107">
        <v>9.9000000000000005E-2</v>
      </c>
      <c r="BG7" s="88" t="s">
        <v>155</v>
      </c>
      <c r="BH7" s="80">
        <v>9.4499999999999993</v>
      </c>
      <c r="BJ7" s="88" t="s">
        <v>155</v>
      </c>
      <c r="BK7" s="80">
        <v>8.5</v>
      </c>
    </row>
    <row r="8" spans="3:63" ht="14.15" customHeight="1" thickBot="1" x14ac:dyDescent="0.4">
      <c r="D8" s="192"/>
      <c r="E8" s="192"/>
      <c r="F8" s="192"/>
      <c r="H8" s="79"/>
      <c r="I8" s="84"/>
      <c r="L8" s="61" t="s">
        <v>77</v>
      </c>
      <c r="N8" s="80" t="s">
        <v>259</v>
      </c>
      <c r="O8" s="80" t="s">
        <v>84</v>
      </c>
      <c r="P8" s="80" t="str">
        <f>IF(AND(D21="Exclusiva",D22="Tradicional"),25,IF(OR(D22=O5,D22=O6,$D$21&amp;$D$22&amp;N20=$N$24),25,""))</f>
        <v/>
      </c>
      <c r="Q8" s="97" t="s">
        <v>9</v>
      </c>
      <c r="R8" s="358">
        <f t="shared" si="0"/>
        <v>0.31740000000000002</v>
      </c>
      <c r="T8" s="111" t="s">
        <v>67</v>
      </c>
      <c r="U8" s="112">
        <v>0</v>
      </c>
      <c r="V8" s="112">
        <v>0</v>
      </c>
      <c r="W8" s="112">
        <v>0</v>
      </c>
      <c r="X8" s="113">
        <v>0</v>
      </c>
      <c r="Y8" s="114">
        <v>0.01</v>
      </c>
      <c r="Z8" s="114">
        <v>0.01</v>
      </c>
      <c r="AA8" s="115">
        <v>0.01</v>
      </c>
      <c r="AB8" s="115">
        <v>0.01</v>
      </c>
      <c r="AC8" s="115">
        <v>0.01</v>
      </c>
      <c r="AD8" s="115">
        <v>0.01</v>
      </c>
      <c r="AE8" s="116">
        <v>0.01</v>
      </c>
      <c r="AF8" s="115">
        <v>0.01</v>
      </c>
      <c r="AG8" s="115">
        <v>0.01</v>
      </c>
      <c r="AH8" s="115">
        <v>0.01</v>
      </c>
      <c r="AI8" s="115">
        <v>0.01</v>
      </c>
      <c r="AJ8" s="115">
        <v>0.01</v>
      </c>
      <c r="AK8" s="115">
        <v>0.01</v>
      </c>
      <c r="AL8" s="115">
        <v>0.01</v>
      </c>
      <c r="AM8" s="115">
        <v>0.01</v>
      </c>
      <c r="AN8" s="115">
        <v>0.01</v>
      </c>
      <c r="AO8" s="117">
        <v>0</v>
      </c>
      <c r="AP8" s="117">
        <v>0</v>
      </c>
      <c r="AQ8" s="117">
        <v>0</v>
      </c>
      <c r="AR8" s="117">
        <v>0</v>
      </c>
      <c r="AS8" s="117">
        <v>0</v>
      </c>
      <c r="AT8" s="117">
        <v>0</v>
      </c>
      <c r="AU8" s="117">
        <v>0</v>
      </c>
      <c r="AV8" s="117">
        <v>1.4999999999999999E-2</v>
      </c>
      <c r="AW8" s="117">
        <v>1.4999999999999999E-2</v>
      </c>
      <c r="AX8" s="117">
        <v>1.4999999999999999E-2</v>
      </c>
      <c r="AY8" s="117">
        <v>1.4999999999999999E-2</v>
      </c>
      <c r="AZ8" s="117">
        <v>1.4999999999999999E-2</v>
      </c>
      <c r="BA8" s="117">
        <v>1.4999999999999999E-2</v>
      </c>
      <c r="BB8" s="117">
        <v>0</v>
      </c>
      <c r="BC8" s="117">
        <v>0</v>
      </c>
      <c r="BD8" s="117">
        <v>0</v>
      </c>
      <c r="BE8" s="117">
        <v>0</v>
      </c>
      <c r="BG8" s="88" t="s">
        <v>156</v>
      </c>
      <c r="BH8" s="80">
        <v>21</v>
      </c>
      <c r="BJ8" s="88" t="s">
        <v>156</v>
      </c>
      <c r="BK8" s="80">
        <v>20.41</v>
      </c>
    </row>
    <row r="9" spans="3:63" ht="16" customHeight="1" thickTop="1" thickBot="1" x14ac:dyDescent="0.4">
      <c r="C9" s="96" t="s">
        <v>302</v>
      </c>
      <c r="D9" s="185"/>
      <c r="E9" s="192"/>
      <c r="F9" s="228" t="s">
        <v>46</v>
      </c>
      <c r="G9" s="185"/>
      <c r="H9" s="79"/>
      <c r="I9" s="84"/>
      <c r="L9" s="61"/>
      <c r="N9" s="80" t="s">
        <v>433</v>
      </c>
      <c r="O9" s="80" t="s">
        <v>449</v>
      </c>
      <c r="Q9" s="97" t="s">
        <v>432</v>
      </c>
      <c r="R9" s="358">
        <f t="shared" si="0"/>
        <v>0.31740000000000002</v>
      </c>
      <c r="T9" s="111"/>
      <c r="U9" s="112"/>
      <c r="V9" s="112"/>
      <c r="W9" s="112"/>
      <c r="X9" s="113"/>
      <c r="Y9" s="114"/>
      <c r="Z9" s="114"/>
      <c r="AA9" s="115"/>
      <c r="AB9" s="115"/>
      <c r="AC9" s="115"/>
      <c r="AD9" s="115"/>
      <c r="AE9" s="116"/>
      <c r="AF9" s="115"/>
      <c r="AG9" s="115"/>
      <c r="AH9" s="115"/>
      <c r="AI9" s="115"/>
      <c r="AJ9" s="115"/>
      <c r="AK9" s="115"/>
      <c r="AL9" s="115"/>
      <c r="AM9" s="115"/>
      <c r="AN9" s="115"/>
      <c r="AO9" s="117"/>
      <c r="AP9" s="117"/>
      <c r="AQ9" s="117"/>
      <c r="AR9" s="117"/>
      <c r="AS9" s="117"/>
      <c r="AT9" s="117"/>
      <c r="AU9" s="117"/>
      <c r="AV9" s="117"/>
      <c r="AW9" s="117"/>
      <c r="AX9" s="117"/>
      <c r="AY9" s="117"/>
      <c r="AZ9" s="117"/>
      <c r="BA9" s="117"/>
      <c r="BB9" s="117"/>
      <c r="BC9" s="117"/>
      <c r="BD9" s="117"/>
      <c r="BE9" s="117"/>
      <c r="BG9" s="88"/>
      <c r="BJ9" s="88"/>
    </row>
    <row r="10" spans="3:63" ht="16.5" customHeight="1" thickTop="1" thickBot="1" x14ac:dyDescent="0.4">
      <c r="C10" s="96" t="s">
        <v>303</v>
      </c>
      <c r="D10" s="185"/>
      <c r="E10" s="192"/>
      <c r="F10" s="228" t="s">
        <v>46</v>
      </c>
      <c r="G10" s="185"/>
      <c r="H10" s="79"/>
      <c r="I10" s="84"/>
      <c r="L10" s="61"/>
      <c r="Q10" s="81" t="s">
        <v>10</v>
      </c>
      <c r="R10" s="358">
        <f t="shared" si="0"/>
        <v>0.31740000000000002</v>
      </c>
      <c r="T10" s="111"/>
      <c r="U10" s="112"/>
      <c r="V10" s="112"/>
      <c r="W10" s="112"/>
      <c r="X10" s="113"/>
      <c r="Y10" s="114"/>
      <c r="Z10" s="114"/>
      <c r="AA10" s="115"/>
      <c r="AB10" s="115"/>
      <c r="AC10" s="115"/>
      <c r="AD10" s="115"/>
      <c r="AE10" s="116"/>
      <c r="AF10" s="115"/>
      <c r="AG10" s="115"/>
      <c r="AH10" s="115"/>
      <c r="AI10" s="115"/>
      <c r="AJ10" s="115"/>
      <c r="AK10" s="115"/>
      <c r="AL10" s="115"/>
      <c r="AM10" s="115"/>
      <c r="AN10" s="115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G10" s="88"/>
      <c r="BJ10" s="88"/>
    </row>
    <row r="11" spans="3:63" ht="14.15" customHeight="1" thickTop="1" thickBot="1" x14ac:dyDescent="0.4">
      <c r="C11" s="96" t="s">
        <v>47</v>
      </c>
      <c r="D11" s="185"/>
      <c r="E11" s="192"/>
      <c r="F11" s="192"/>
      <c r="H11" s="79"/>
      <c r="I11" s="84"/>
      <c r="L11" s="61"/>
      <c r="M11" s="80" t="s">
        <v>453</v>
      </c>
      <c r="Q11" s="81" t="s">
        <v>11</v>
      </c>
      <c r="R11" s="358">
        <f t="shared" si="0"/>
        <v>0.31740000000000002</v>
      </c>
      <c r="T11" s="111"/>
      <c r="U11" s="112"/>
      <c r="V11" s="112"/>
      <c r="W11" s="112"/>
      <c r="X11" s="113"/>
      <c r="Y11" s="114"/>
      <c r="Z11" s="114"/>
      <c r="AA11" s="115"/>
      <c r="AB11" s="115"/>
      <c r="AC11" s="115"/>
      <c r="AD11" s="115"/>
      <c r="AE11" s="116"/>
      <c r="AF11" s="115"/>
      <c r="AG11" s="115"/>
      <c r="AH11" s="115"/>
      <c r="AI11" s="115"/>
      <c r="AJ11" s="115"/>
      <c r="AK11" s="115"/>
      <c r="AL11" s="115"/>
      <c r="AM11" s="115"/>
      <c r="AN11" s="115"/>
      <c r="AO11" s="117"/>
      <c r="AP11" s="117"/>
      <c r="AQ11" s="117"/>
      <c r="AR11" s="117"/>
      <c r="AS11" s="117"/>
      <c r="AT11" s="117"/>
      <c r="AU11" s="117"/>
      <c r="AV11" s="117"/>
      <c r="AW11" s="117"/>
      <c r="AX11" s="117"/>
      <c r="AY11" s="117"/>
      <c r="AZ11" s="117"/>
      <c r="BA11" s="117"/>
      <c r="BB11" s="117"/>
      <c r="BC11" s="117"/>
      <c r="BD11" s="117"/>
      <c r="BE11" s="117"/>
      <c r="BG11" s="88"/>
      <c r="BJ11" s="88"/>
    </row>
    <row r="12" spans="3:63" ht="14.15" customHeight="1" thickTop="1" x14ac:dyDescent="0.35">
      <c r="D12" s="192"/>
      <c r="E12" s="192"/>
      <c r="F12" s="192"/>
      <c r="H12" s="79"/>
      <c r="I12" s="84"/>
      <c r="L12" s="61"/>
      <c r="M12" s="80" t="s">
        <v>454</v>
      </c>
      <c r="Q12" s="81" t="s">
        <v>12</v>
      </c>
      <c r="R12" s="358">
        <f t="shared" si="0"/>
        <v>0.31740000000000002</v>
      </c>
      <c r="T12" s="111"/>
      <c r="U12" s="112"/>
      <c r="V12" s="112"/>
      <c r="W12" s="112"/>
      <c r="X12" s="113"/>
      <c r="Y12" s="114"/>
      <c r="Z12" s="114"/>
      <c r="AA12" s="115"/>
      <c r="AB12" s="115"/>
      <c r="AC12" s="115"/>
      <c r="AD12" s="115"/>
      <c r="AE12" s="116"/>
      <c r="AF12" s="115"/>
      <c r="AG12" s="115"/>
      <c r="AH12" s="115"/>
      <c r="AI12" s="115"/>
      <c r="AJ12" s="115"/>
      <c r="AK12" s="115"/>
      <c r="AL12" s="115"/>
      <c r="AM12" s="115"/>
      <c r="AN12" s="115"/>
      <c r="AO12" s="117"/>
      <c r="AP12" s="117"/>
      <c r="AQ12" s="117"/>
      <c r="AR12" s="117"/>
      <c r="AS12" s="117"/>
      <c r="AT12" s="117"/>
      <c r="AU12" s="117"/>
      <c r="AV12" s="117"/>
      <c r="AW12" s="117"/>
      <c r="AX12" s="117"/>
      <c r="AY12" s="117"/>
      <c r="AZ12" s="117"/>
      <c r="BA12" s="117"/>
      <c r="BB12" s="117"/>
      <c r="BC12" s="117"/>
      <c r="BD12" s="117"/>
      <c r="BE12" s="117"/>
      <c r="BG12" s="88"/>
      <c r="BJ12" s="88"/>
    </row>
    <row r="13" spans="3:63" ht="3" customHeight="1" x14ac:dyDescent="0.35">
      <c r="C13" s="177"/>
      <c r="D13" s="197"/>
      <c r="E13" s="197"/>
      <c r="F13" s="197"/>
      <c r="G13" s="105"/>
      <c r="H13" s="105"/>
      <c r="I13" s="84"/>
      <c r="L13" s="61"/>
      <c r="Q13" s="81" t="s">
        <v>13</v>
      </c>
      <c r="R13" s="358">
        <f t="shared" si="0"/>
        <v>0.31740000000000002</v>
      </c>
      <c r="T13" s="111"/>
      <c r="U13" s="112"/>
      <c r="V13" s="112"/>
      <c r="W13" s="112"/>
      <c r="X13" s="113"/>
      <c r="Y13" s="114"/>
      <c r="Z13" s="114"/>
      <c r="AA13" s="115"/>
      <c r="AB13" s="115"/>
      <c r="AC13" s="115"/>
      <c r="AD13" s="115"/>
      <c r="AE13" s="116"/>
      <c r="AF13" s="115"/>
      <c r="AG13" s="115"/>
      <c r="AH13" s="115"/>
      <c r="AI13" s="115"/>
      <c r="AJ13" s="115"/>
      <c r="AK13" s="115"/>
      <c r="AL13" s="115"/>
      <c r="AM13" s="115"/>
      <c r="AN13" s="115"/>
      <c r="AO13" s="117"/>
      <c r="AP13" s="117"/>
      <c r="AQ13" s="117"/>
      <c r="AR13" s="117"/>
      <c r="AS13" s="117"/>
      <c r="AT13" s="117"/>
      <c r="AU13" s="117"/>
      <c r="AV13" s="117"/>
      <c r="AW13" s="117"/>
      <c r="AX13" s="117"/>
      <c r="AY13" s="117"/>
      <c r="AZ13" s="117"/>
      <c r="BA13" s="117"/>
      <c r="BB13" s="117"/>
      <c r="BC13" s="117"/>
      <c r="BD13" s="117"/>
      <c r="BE13" s="117"/>
      <c r="BG13" s="88"/>
      <c r="BJ13" s="88"/>
    </row>
    <row r="14" spans="3:63" ht="27.75" customHeight="1" x14ac:dyDescent="0.35">
      <c r="C14" s="257" t="s">
        <v>309</v>
      </c>
      <c r="D14" s="198"/>
      <c r="E14" s="198"/>
      <c r="F14" s="198"/>
      <c r="G14" s="84"/>
      <c r="I14" s="84"/>
      <c r="L14" s="61"/>
      <c r="M14" s="80" t="s">
        <v>450</v>
      </c>
      <c r="N14" s="80" t="str">
        <f>L189</f>
        <v>Pago Hipoteca+LiquidezAlto Valor</v>
      </c>
      <c r="Q14" s="81" t="s">
        <v>14</v>
      </c>
      <c r="R14" s="358">
        <f t="shared" si="0"/>
        <v>0.31740000000000002</v>
      </c>
      <c r="T14" s="111"/>
      <c r="U14" s="112"/>
      <c r="V14" s="112"/>
      <c r="W14" s="112"/>
      <c r="X14" s="113"/>
      <c r="Y14" s="114"/>
      <c r="Z14" s="114"/>
      <c r="AA14" s="115"/>
      <c r="AB14" s="115"/>
      <c r="AC14" s="115"/>
      <c r="AD14" s="115"/>
      <c r="AE14" s="116"/>
      <c r="AF14" s="115"/>
      <c r="AG14" s="115"/>
      <c r="AH14" s="115"/>
      <c r="AI14" s="115"/>
      <c r="AJ14" s="115"/>
      <c r="AK14" s="115"/>
      <c r="AL14" s="115"/>
      <c r="AM14" s="115"/>
      <c r="AN14" s="115"/>
      <c r="AO14" s="117"/>
      <c r="AP14" s="117"/>
      <c r="AQ14" s="117"/>
      <c r="AR14" s="117"/>
      <c r="AS14" s="117"/>
      <c r="AT14" s="117"/>
      <c r="AU14" s="117"/>
      <c r="AV14" s="117"/>
      <c r="AW14" s="117"/>
      <c r="AX14" s="117"/>
      <c r="AY14" s="117"/>
      <c r="AZ14" s="117"/>
      <c r="BA14" s="117"/>
      <c r="BB14" s="117"/>
      <c r="BC14" s="117"/>
      <c r="BD14" s="117"/>
      <c r="BE14" s="117"/>
      <c r="BG14" s="88"/>
      <c r="BJ14" s="88"/>
    </row>
    <row r="15" spans="3:63" ht="16.5" customHeight="1" thickBot="1" x14ac:dyDescent="0.4">
      <c r="C15" s="174" t="s">
        <v>307</v>
      </c>
      <c r="D15" s="192"/>
      <c r="F15" s="190" t="s">
        <v>310</v>
      </c>
      <c r="H15" s="79"/>
      <c r="I15" s="84"/>
      <c r="L15" s="61"/>
      <c r="M15" s="80" t="s">
        <v>451</v>
      </c>
      <c r="Q15" s="97" t="s">
        <v>15</v>
      </c>
      <c r="R15" s="358">
        <f t="shared" si="0"/>
        <v>0.31740000000000002</v>
      </c>
      <c r="T15" s="111"/>
      <c r="U15" s="112"/>
      <c r="V15" s="112"/>
      <c r="W15" s="112"/>
      <c r="X15" s="113"/>
      <c r="Y15" s="114"/>
      <c r="Z15" s="114"/>
      <c r="AA15" s="115"/>
      <c r="AB15" s="115"/>
      <c r="AC15" s="115"/>
      <c r="AD15" s="115"/>
      <c r="AE15" s="116"/>
      <c r="AF15" s="115"/>
      <c r="AG15" s="115"/>
      <c r="AH15" s="115"/>
      <c r="AI15" s="115"/>
      <c r="AJ15" s="115"/>
      <c r="AK15" s="115"/>
      <c r="AL15" s="115"/>
      <c r="AM15" s="115"/>
      <c r="AN15" s="115"/>
      <c r="AO15" s="117"/>
      <c r="AP15" s="117"/>
      <c r="AQ15" s="117"/>
      <c r="AR15" s="117"/>
      <c r="AS15" s="117"/>
      <c r="AT15" s="117"/>
      <c r="AU15" s="117"/>
      <c r="AV15" s="117"/>
      <c r="AW15" s="117"/>
      <c r="AX15" s="117"/>
      <c r="AY15" s="117"/>
      <c r="AZ15" s="117"/>
      <c r="BA15" s="117"/>
      <c r="BB15" s="117"/>
      <c r="BC15" s="117"/>
      <c r="BD15" s="117"/>
      <c r="BE15" s="117"/>
      <c r="BG15" s="88"/>
      <c r="BJ15" s="88"/>
    </row>
    <row r="16" spans="3:63" ht="16.5" customHeight="1" thickTop="1" thickBot="1" x14ac:dyDescent="0.4">
      <c r="C16" s="251" t="s">
        <v>213</v>
      </c>
      <c r="D16" s="183"/>
      <c r="F16" s="389" t="s">
        <v>216</v>
      </c>
      <c r="G16" s="390"/>
      <c r="H16" s="391"/>
      <c r="I16" s="84"/>
      <c r="L16" s="61"/>
      <c r="M16" s="80" t="s">
        <v>460</v>
      </c>
      <c r="Q16" s="213" t="s">
        <v>16</v>
      </c>
      <c r="R16" s="358">
        <f t="shared" si="0"/>
        <v>0.31740000000000002</v>
      </c>
      <c r="T16" s="111"/>
      <c r="U16" s="112"/>
      <c r="V16" s="112"/>
      <c r="W16" s="112"/>
      <c r="X16" s="113"/>
      <c r="Y16" s="114"/>
      <c r="Z16" s="114"/>
      <c r="AA16" s="115"/>
      <c r="AB16" s="115"/>
      <c r="AC16" s="115"/>
      <c r="AD16" s="115"/>
      <c r="AE16" s="116"/>
      <c r="AF16" s="115"/>
      <c r="AG16" s="115"/>
      <c r="AH16" s="115"/>
      <c r="AI16" s="115"/>
      <c r="AJ16" s="115"/>
      <c r="AK16" s="115"/>
      <c r="AL16" s="115"/>
      <c r="AM16" s="115"/>
      <c r="AN16" s="115"/>
      <c r="AO16" s="117"/>
      <c r="AP16" s="117"/>
      <c r="AQ16" s="117"/>
      <c r="AR16" s="117"/>
      <c r="AS16" s="117"/>
      <c r="AT16" s="117"/>
      <c r="AU16" s="117"/>
      <c r="AV16" s="117"/>
      <c r="AW16" s="117"/>
      <c r="AX16" s="117"/>
      <c r="AY16" s="117"/>
      <c r="AZ16" s="117"/>
      <c r="BA16" s="117"/>
      <c r="BB16" s="117"/>
      <c r="BC16" s="117"/>
      <c r="BD16" s="117"/>
      <c r="BE16" s="117"/>
      <c r="BG16" s="88"/>
      <c r="BJ16" s="88"/>
    </row>
    <row r="17" spans="3:62" ht="16.5" customHeight="1" thickTop="1" thickBot="1" x14ac:dyDescent="0.4">
      <c r="C17" s="253" t="s">
        <v>256</v>
      </c>
      <c r="D17" s="183"/>
      <c r="F17" s="340" t="str">
        <f>IF(G17&gt;=0,"Enganche","")</f>
        <v>Enganche</v>
      </c>
      <c r="G17" s="387">
        <f>IFERROR(IF(J4&lt;&gt;"","-",IF(D21=V78,0,IF(D21=V79,0,IF(D21=V80,0,D26-IF(D22=O8,D32+D33+H25,IF(D22=O7,D33+H25,IF(D22=O6,D32+D33+H25,H25))))))),0)</f>
        <v>0</v>
      </c>
      <c r="H17" s="388"/>
      <c r="I17" s="76"/>
      <c r="L17" s="61"/>
      <c r="M17" s="80" t="s">
        <v>461</v>
      </c>
      <c r="N17" s="80">
        <f>9.8%-IF(D28=5,0%,IF(D28=10,0%,0))</f>
        <v>9.8000000000000004E-2</v>
      </c>
      <c r="Q17" s="212" t="s">
        <v>17</v>
      </c>
      <c r="R17" s="358">
        <f t="shared" si="0"/>
        <v>0.31740000000000002</v>
      </c>
      <c r="T17" s="111"/>
      <c r="U17" s="112"/>
      <c r="V17" s="112"/>
      <c r="W17" s="112"/>
      <c r="X17" s="113"/>
      <c r="Y17" s="114"/>
      <c r="Z17" s="114"/>
      <c r="AA17" s="115"/>
      <c r="AB17" s="115"/>
      <c r="AC17" s="115"/>
      <c r="AD17" s="115"/>
      <c r="AE17" s="116"/>
      <c r="AF17" s="115"/>
      <c r="AG17" s="115"/>
      <c r="AH17" s="115"/>
      <c r="AI17" s="115"/>
      <c r="AJ17" s="115"/>
      <c r="AK17" s="115"/>
      <c r="AL17" s="115"/>
      <c r="AM17" s="115"/>
      <c r="AN17" s="115"/>
      <c r="AO17" s="117"/>
      <c r="AP17" s="117"/>
      <c r="AQ17" s="117"/>
      <c r="AR17" s="117"/>
      <c r="AS17" s="117"/>
      <c r="AT17" s="117"/>
      <c r="AU17" s="117"/>
      <c r="AV17" s="117"/>
      <c r="AW17" s="117"/>
      <c r="AX17" s="117"/>
      <c r="AY17" s="117"/>
      <c r="AZ17" s="117"/>
      <c r="BA17" s="117"/>
      <c r="BB17" s="117"/>
      <c r="BC17" s="117"/>
      <c r="BD17" s="117"/>
      <c r="BE17" s="117"/>
      <c r="BG17" s="88"/>
      <c r="BJ17" s="88"/>
    </row>
    <row r="18" spans="3:62" ht="16.5" customHeight="1" thickTop="1" thickBot="1" x14ac:dyDescent="0.4">
      <c r="C18" s="251" t="s">
        <v>3</v>
      </c>
      <c r="D18" s="183"/>
      <c r="F18" s="344" t="s">
        <v>499</v>
      </c>
      <c r="G18" s="381">
        <f>IF(AND(D21="Adquisicion",D22="Tradicional"),0,IF(OR(D21&amp;D22&amp;N20=N22,D21&amp;D22&amp;N20=N23,D21&amp;D22&amp;N20=N24),0,VLOOKUP(D26,Q71:R79,2)))</f>
        <v>2146</v>
      </c>
      <c r="H18" s="382"/>
      <c r="I18" s="364"/>
      <c r="L18" s="61"/>
      <c r="Q18" s="212" t="s">
        <v>18</v>
      </c>
      <c r="R18" s="358">
        <f t="shared" si="0"/>
        <v>0.31740000000000002</v>
      </c>
      <c r="T18" s="111"/>
      <c r="U18" s="112"/>
      <c r="V18" s="112"/>
      <c r="W18" s="112"/>
      <c r="X18" s="113"/>
      <c r="Y18" s="114"/>
      <c r="Z18" s="114"/>
      <c r="AA18" s="115"/>
      <c r="AB18" s="115"/>
      <c r="AC18" s="115"/>
      <c r="AD18" s="115"/>
      <c r="AE18" s="116"/>
      <c r="AF18" s="115"/>
      <c r="AG18" s="115"/>
      <c r="AH18" s="115"/>
      <c r="AI18" s="115"/>
      <c r="AJ18" s="115"/>
      <c r="AK18" s="115"/>
      <c r="AL18" s="115"/>
      <c r="AM18" s="115"/>
      <c r="AN18" s="115"/>
      <c r="AO18" s="117"/>
      <c r="AP18" s="117"/>
      <c r="AQ18" s="117"/>
      <c r="AR18" s="117"/>
      <c r="AS18" s="117"/>
      <c r="AT18" s="117"/>
      <c r="AU18" s="117"/>
      <c r="AV18" s="117"/>
      <c r="AW18" s="117"/>
      <c r="AX18" s="117"/>
      <c r="AY18" s="117"/>
      <c r="AZ18" s="117"/>
      <c r="BA18" s="117"/>
      <c r="BB18" s="117"/>
      <c r="BC18" s="117"/>
      <c r="BD18" s="117"/>
      <c r="BE18" s="117"/>
      <c r="BG18" s="88"/>
      <c r="BJ18" s="88"/>
    </row>
    <row r="19" spans="3:62" ht="16.5" customHeight="1" thickTop="1" thickBot="1" x14ac:dyDescent="0.4">
      <c r="C19" s="251"/>
      <c r="D19" s="195"/>
      <c r="F19" s="346" t="s">
        <v>498</v>
      </c>
      <c r="G19" s="345">
        <f>IF(N20=TRUE,0%,
IF(AND(OR(D22="Cofinavit",D22="Apoyo Infonavit"),D16="Premier",F19="C. Contratación Crédito"),0.5%,
IF(AND(OR(D22="Cofinavit",D22="Apoyo Infonavit"),D16="Premier",F19="C. Penalización Pago Anticipado"),1.5%,
IF(AND(OR(D22="Cofinavit",D22="Apoyo Infonavit"),D16="No Premier",F19="C. Contratación Crédito"),0.5%,
IF(AND(OR(D22="Cofinavit",D22="Apoyo Infonavit"),D16="No Premier",F19="C. Penalización Pago Anticipado"),2.5%,
IF(F19="Sin C Contratación Crédito",0%,0%
))))))</f>
        <v>0</v>
      </c>
      <c r="H19" s="235">
        <f>IF(F19="C. Penalización Pago Anticipado",0,IFERROR(IF($D$25="Por ingresos del cliente",$N$58,IF($D$27=0,$M$83,$M$83))*G19,0))</f>
        <v>0</v>
      </c>
      <c r="I19" s="77"/>
      <c r="L19" s="61"/>
      <c r="M19" s="234" t="s">
        <v>498</v>
      </c>
      <c r="N19" s="354" t="s">
        <v>490</v>
      </c>
      <c r="Q19" s="81" t="s">
        <v>19</v>
      </c>
      <c r="R19" s="358">
        <f t="shared" si="0"/>
        <v>0.31740000000000002</v>
      </c>
      <c r="T19" s="111"/>
      <c r="U19" s="112"/>
      <c r="V19" s="112"/>
      <c r="W19" s="112"/>
      <c r="X19" s="113"/>
      <c r="Y19" s="114"/>
      <c r="Z19" s="114"/>
      <c r="AA19" s="115"/>
      <c r="AB19" s="115"/>
      <c r="AC19" s="115"/>
      <c r="AD19" s="115"/>
      <c r="AE19" s="116"/>
      <c r="AF19" s="115"/>
      <c r="AG19" s="115"/>
      <c r="AH19" s="115"/>
      <c r="AI19" s="115"/>
      <c r="AJ19" s="115"/>
      <c r="AK19" s="115"/>
      <c r="AL19" s="115"/>
      <c r="AM19" s="115"/>
      <c r="AN19" s="115"/>
      <c r="AO19" s="117"/>
      <c r="AP19" s="117"/>
      <c r="AQ19" s="117"/>
      <c r="AR19" s="117"/>
      <c r="AS19" s="117"/>
      <c r="AT19" s="117"/>
      <c r="AU19" s="117"/>
      <c r="AV19" s="117"/>
      <c r="AW19" s="117"/>
      <c r="AX19" s="117"/>
      <c r="AY19" s="117"/>
      <c r="AZ19" s="117"/>
      <c r="BA19" s="117"/>
      <c r="BB19" s="117"/>
      <c r="BC19" s="117"/>
      <c r="BD19" s="117"/>
      <c r="BE19" s="117"/>
      <c r="BG19" s="88"/>
      <c r="BJ19" s="88"/>
    </row>
    <row r="20" spans="3:62" ht="16.5" customHeight="1" thickTop="1" thickBot="1" x14ac:dyDescent="0.4">
      <c r="C20" s="174" t="s">
        <v>116</v>
      </c>
      <c r="F20" s="347" t="s">
        <v>48</v>
      </c>
      <c r="G20" s="381">
        <f>IF(D21=N8,0,0)</f>
        <v>0</v>
      </c>
      <c r="H20" s="382"/>
      <c r="I20" s="179"/>
      <c r="L20" s="61"/>
      <c r="M20" s="234" t="s">
        <v>497</v>
      </c>
      <c r="N20" s="355" t="b">
        <v>0</v>
      </c>
      <c r="Q20" s="97" t="s">
        <v>20</v>
      </c>
      <c r="R20" s="358">
        <f t="shared" si="0"/>
        <v>0.31740000000000002</v>
      </c>
      <c r="T20" s="111"/>
      <c r="U20" s="112"/>
      <c r="V20" s="112"/>
      <c r="W20" s="112"/>
      <c r="X20" s="113"/>
      <c r="Y20" s="114"/>
      <c r="Z20" s="114"/>
      <c r="AA20" s="115"/>
      <c r="AB20" s="115"/>
      <c r="AC20" s="115"/>
      <c r="AD20" s="115"/>
      <c r="AE20" s="116"/>
      <c r="AF20" s="115"/>
      <c r="AG20" s="115"/>
      <c r="AH20" s="115"/>
      <c r="AI20" s="115"/>
      <c r="AJ20" s="115"/>
      <c r="AK20" s="115"/>
      <c r="AL20" s="115"/>
      <c r="AM20" s="115"/>
      <c r="AN20" s="115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17"/>
      <c r="BA20" s="117"/>
      <c r="BB20" s="117"/>
      <c r="BC20" s="117"/>
      <c r="BD20" s="117"/>
      <c r="BE20" s="117"/>
      <c r="BG20" s="88"/>
      <c r="BJ20" s="88"/>
    </row>
    <row r="21" spans="3:62" ht="16.5" customHeight="1" thickTop="1" thickBot="1" x14ac:dyDescent="0.4">
      <c r="C21" s="251" t="s">
        <v>304</v>
      </c>
      <c r="D21" s="365" t="s">
        <v>79</v>
      </c>
      <c r="F21" s="340" t="s">
        <v>49</v>
      </c>
      <c r="G21" s="313">
        <v>0.05</v>
      </c>
      <c r="H21" s="235">
        <f>IF(J4&lt;&gt;"","-",IF(OR(D21=V77,D21=V82),D26*G21,IF(OR(D21=V79,D21=V78,D21=V80),H25*G21,IF(OR(D21=V81),G21*D26,"-"))))</f>
        <v>0</v>
      </c>
      <c r="I21" s="180"/>
      <c r="L21" s="61"/>
      <c r="M21" s="80" t="s">
        <v>503</v>
      </c>
      <c r="N21" s="217">
        <f>IF(D28=5,9.75%,IF(D28=10,9.75%,9.75%))</f>
        <v>9.7500000000000003E-2</v>
      </c>
      <c r="Q21" s="212" t="s">
        <v>21</v>
      </c>
      <c r="R21" s="358">
        <f t="shared" si="0"/>
        <v>0.31740000000000002</v>
      </c>
      <c r="T21" s="111"/>
      <c r="U21" s="112"/>
      <c r="V21" s="112"/>
      <c r="W21" s="112"/>
      <c r="X21" s="113"/>
      <c r="Y21" s="114"/>
      <c r="Z21" s="114"/>
      <c r="AA21" s="115"/>
      <c r="AB21" s="115"/>
      <c r="AC21" s="115"/>
      <c r="AD21" s="115"/>
      <c r="AE21" s="116"/>
      <c r="AF21" s="115"/>
      <c r="AG21" s="115"/>
      <c r="AH21" s="115"/>
      <c r="AI21" s="115"/>
      <c r="AJ21" s="115"/>
      <c r="AK21" s="115"/>
      <c r="AL21" s="115"/>
      <c r="AM21" s="115"/>
      <c r="AN21" s="115"/>
      <c r="AO21" s="117"/>
      <c r="AP21" s="117"/>
      <c r="AQ21" s="117"/>
      <c r="AR21" s="117"/>
      <c r="AS21" s="117"/>
      <c r="AT21" s="117"/>
      <c r="AU21" s="117"/>
      <c r="AV21" s="117"/>
      <c r="AW21" s="117"/>
      <c r="AX21" s="117"/>
      <c r="AY21" s="117"/>
      <c r="AZ21" s="117"/>
      <c r="BA21" s="117"/>
      <c r="BB21" s="117"/>
      <c r="BC21" s="117"/>
      <c r="BD21" s="117"/>
      <c r="BE21" s="117"/>
      <c r="BG21" s="88"/>
      <c r="BJ21" s="88"/>
    </row>
    <row r="22" spans="3:62" ht="16.5" customHeight="1" thickTop="1" thickBot="1" x14ac:dyDescent="0.4">
      <c r="C22" s="251" t="str">
        <f>IF(OR(D21=N4,D21=N7,D21=N9),L161,"")</f>
        <v>Tipo de Programa</v>
      </c>
      <c r="D22" s="360"/>
      <c r="F22" s="341" t="s">
        <v>50</v>
      </c>
      <c r="G22" s="392">
        <f>IF(J4&lt;&gt;"","-",IF(G17&lt;=0,0,G17)+IF(ISNUMBER(G18),G18,0)+IF(ISNUMBER(G20),G20,0)+IF(ISNUMBER(H21),H21,0))+IF(ISNUMBER(H19),H19,0)</f>
        <v>2146</v>
      </c>
      <c r="H22" s="393"/>
      <c r="I22" s="84"/>
      <c r="L22" s="61"/>
      <c r="N22" s="80" t="s">
        <v>491</v>
      </c>
      <c r="Q22" s="97" t="s">
        <v>22</v>
      </c>
      <c r="R22" s="358">
        <f t="shared" si="0"/>
        <v>0.31740000000000002</v>
      </c>
      <c r="T22" s="111"/>
      <c r="U22" s="112"/>
      <c r="V22" s="112"/>
      <c r="W22" s="112"/>
      <c r="X22" s="113"/>
      <c r="Y22" s="114"/>
      <c r="Z22" s="114"/>
      <c r="AA22" s="115"/>
      <c r="AB22" s="115"/>
      <c r="AC22" s="115"/>
      <c r="AD22" s="115"/>
      <c r="AE22" s="116"/>
      <c r="AF22" s="115"/>
      <c r="AG22" s="115"/>
      <c r="AH22" s="115"/>
      <c r="AI22" s="115"/>
      <c r="AJ22" s="115"/>
      <c r="AK22" s="115"/>
      <c r="AL22" s="115"/>
      <c r="AM22" s="115"/>
      <c r="AN22" s="115"/>
      <c r="AO22" s="117"/>
      <c r="AP22" s="117"/>
      <c r="AQ22" s="117"/>
      <c r="AR22" s="117"/>
      <c r="AS22" s="117"/>
      <c r="AT22" s="117"/>
      <c r="AU22" s="117"/>
      <c r="AV22" s="117"/>
      <c r="AW22" s="117"/>
      <c r="AX22" s="117"/>
      <c r="AY22" s="117"/>
      <c r="AZ22" s="117"/>
      <c r="BA22" s="117"/>
      <c r="BB22" s="117"/>
      <c r="BC22" s="117"/>
      <c r="BD22" s="117"/>
      <c r="BE22" s="117"/>
      <c r="BG22" s="88"/>
      <c r="BJ22" s="88"/>
    </row>
    <row r="23" spans="3:62" ht="16.5" customHeight="1" thickTop="1" thickBot="1" x14ac:dyDescent="0.4">
      <c r="C23" s="251"/>
      <c r="D23" s="233"/>
      <c r="F23" s="192"/>
      <c r="G23" s="202"/>
      <c r="H23" s="203"/>
      <c r="I23" s="84"/>
      <c r="L23" s="61"/>
      <c r="N23" s="80" t="s">
        <v>492</v>
      </c>
      <c r="Q23" s="81" t="s">
        <v>23</v>
      </c>
      <c r="R23" s="358">
        <f t="shared" si="0"/>
        <v>0.31740000000000002</v>
      </c>
      <c r="T23" s="111"/>
      <c r="U23" s="112"/>
      <c r="V23" s="112"/>
      <c r="W23" s="112"/>
      <c r="X23" s="113"/>
      <c r="Y23" s="114"/>
      <c r="Z23" s="114"/>
      <c r="AA23" s="115"/>
      <c r="AB23" s="115"/>
      <c r="AC23" s="115"/>
      <c r="AD23" s="115"/>
      <c r="AE23" s="116"/>
      <c r="AF23" s="115"/>
      <c r="AG23" s="115"/>
      <c r="AH23" s="115"/>
      <c r="AI23" s="115"/>
      <c r="AJ23" s="115"/>
      <c r="AK23" s="115"/>
      <c r="AL23" s="115"/>
      <c r="AM23" s="115"/>
      <c r="AN23" s="115"/>
      <c r="AO23" s="117"/>
      <c r="AP23" s="117"/>
      <c r="AQ23" s="117"/>
      <c r="AR23" s="117"/>
      <c r="AS23" s="117"/>
      <c r="AT23" s="117"/>
      <c r="AU23" s="117"/>
      <c r="AV23" s="117"/>
      <c r="AW23" s="117"/>
      <c r="AX23" s="117"/>
      <c r="AY23" s="117"/>
      <c r="AZ23" s="117"/>
      <c r="BA23" s="117"/>
      <c r="BB23" s="117"/>
      <c r="BC23" s="117"/>
      <c r="BD23" s="117"/>
      <c r="BE23" s="117"/>
      <c r="BG23" s="88"/>
      <c r="BJ23" s="88"/>
    </row>
    <row r="24" spans="3:62" ht="16.5" customHeight="1" thickTop="1" thickBot="1" x14ac:dyDescent="0.4">
      <c r="C24" s="309" t="str">
        <f>IF(D21="Pago de Hipoteca","¿La hipoteca proviene de un Cofinavit, Apoyo, Aliados o Respaldados?",IF(D22="CI+CB","¿Es Cliente Asalariado?",""))</f>
        <v/>
      </c>
      <c r="D24" s="195"/>
      <c r="F24" s="389" t="s">
        <v>51</v>
      </c>
      <c r="G24" s="390"/>
      <c r="H24" s="391"/>
      <c r="I24" s="84"/>
      <c r="L24" s="61"/>
      <c r="N24" s="80" t="s">
        <v>493</v>
      </c>
      <c r="Q24" s="81" t="s">
        <v>24</v>
      </c>
      <c r="R24" s="358">
        <f t="shared" si="0"/>
        <v>0.31740000000000002</v>
      </c>
      <c r="T24" s="111"/>
      <c r="U24" s="112"/>
      <c r="V24" s="112"/>
      <c r="W24" s="112"/>
      <c r="X24" s="113"/>
      <c r="Y24" s="114"/>
      <c r="Z24" s="114"/>
      <c r="AA24" s="115"/>
      <c r="AB24" s="115"/>
      <c r="AC24" s="115"/>
      <c r="AD24" s="115"/>
      <c r="AE24" s="116"/>
      <c r="AF24" s="115"/>
      <c r="AG24" s="115"/>
      <c r="AH24" s="115"/>
      <c r="AI24" s="115"/>
      <c r="AJ24" s="115"/>
      <c r="AK24" s="115"/>
      <c r="AL24" s="115"/>
      <c r="AM24" s="115"/>
      <c r="AN24" s="115"/>
      <c r="AO24" s="117"/>
      <c r="AP24" s="117"/>
      <c r="AQ24" s="117"/>
      <c r="AR24" s="117"/>
      <c r="AS24" s="117"/>
      <c r="AT24" s="117"/>
      <c r="AU24" s="117"/>
      <c r="AV24" s="117"/>
      <c r="AW24" s="117"/>
      <c r="AX24" s="117"/>
      <c r="AY24" s="117"/>
      <c r="AZ24" s="117"/>
      <c r="BA24" s="117"/>
      <c r="BB24" s="117"/>
      <c r="BC24" s="117"/>
      <c r="BD24" s="117"/>
      <c r="BE24" s="117"/>
      <c r="BG24" s="88"/>
      <c r="BJ24" s="88"/>
    </row>
    <row r="25" spans="3:62" ht="16.5" customHeight="1" thickTop="1" thickBot="1" x14ac:dyDescent="0.4">
      <c r="C25" s="251" t="s">
        <v>305</v>
      </c>
      <c r="D25" s="308"/>
      <c r="F25" s="340" t="s">
        <v>52</v>
      </c>
      <c r="G25" s="204">
        <f>IFERROR(H25/D26,0)</f>
        <v>0</v>
      </c>
      <c r="H25" s="235">
        <f>IFERROR(IF(AND(D21="Liquidez",IF(D3&lt;&gt;"","-",IF(D21=N8,MIN(M58,D31+D26*0.2),IF(OR(D21=N4,D21=N7,D21=N9),M64,M58)))&gt;70000000),70000000,IF(D3&lt;&gt;"","-",IF(D21=N8,MIN(M58,D31+D26*0.7),IF(OR(D21=N4,D21=N7,D21=N9),M64,M58))))-IF(D25=M6,D34,0),0)</f>
        <v>0</v>
      </c>
      <c r="I25" s="84"/>
      <c r="L25" s="61"/>
      <c r="Q25" s="97" t="s">
        <v>25</v>
      </c>
      <c r="R25" s="358">
        <f t="shared" si="0"/>
        <v>0.31740000000000002</v>
      </c>
      <c r="T25" s="111"/>
      <c r="U25" s="112"/>
      <c r="V25" s="112"/>
      <c r="W25" s="112"/>
      <c r="X25" s="113"/>
      <c r="Y25" s="114"/>
      <c r="Z25" s="114"/>
      <c r="AA25" s="115"/>
      <c r="AB25" s="115"/>
      <c r="AC25" s="115"/>
      <c r="AD25" s="115"/>
      <c r="AE25" s="116"/>
      <c r="AF25" s="115"/>
      <c r="AG25" s="115"/>
      <c r="AH25" s="115"/>
      <c r="AI25" s="115"/>
      <c r="AJ25" s="115"/>
      <c r="AK25" s="115"/>
      <c r="AL25" s="115"/>
      <c r="AM25" s="115"/>
      <c r="AN25" s="115"/>
      <c r="AO25" s="117"/>
      <c r="AP25" s="117"/>
      <c r="AQ25" s="117"/>
      <c r="AR25" s="117"/>
      <c r="AS25" s="117"/>
      <c r="AT25" s="117"/>
      <c r="AU25" s="117"/>
      <c r="AV25" s="117"/>
      <c r="AW25" s="117"/>
      <c r="AX25" s="117"/>
      <c r="AY25" s="117"/>
      <c r="AZ25" s="117"/>
      <c r="BA25" s="117"/>
      <c r="BB25" s="117"/>
      <c r="BC25" s="117"/>
      <c r="BD25" s="117"/>
      <c r="BE25" s="117"/>
      <c r="BG25" s="88"/>
      <c r="BJ25" s="88"/>
    </row>
    <row r="26" spans="3:62" ht="16.5" customHeight="1" thickTop="1" thickBot="1" x14ac:dyDescent="0.4">
      <c r="C26" s="252" t="str">
        <f>IF(D22="Casa con casa", "Valor de Vivienda Garantía", "Valor de la Vivienda a Adquirir")</f>
        <v>Valor de la Vivienda a Adquirir</v>
      </c>
      <c r="D26" s="178"/>
      <c r="F26" s="340" t="str">
        <f>IF(D22="CI+CB", "Tasa HSBC", "Tasa Final")</f>
        <v>Tasa Final</v>
      </c>
      <c r="G26" s="394">
        <f>IF(AND(D21="AdquisiciOn",D22="Tradicional"),9.75%,IF(N20=TRUE,9.75%,9.8%))</f>
        <v>9.8000000000000004E-2</v>
      </c>
      <c r="H26" s="395"/>
      <c r="I26" s="396" t="str">
        <f>IF(AND(D22="Tradicional",G26=9.75%),"El Esquema Tradicional solo Aplica para Hipoteca Verde","")</f>
        <v/>
      </c>
      <c r="J26" s="397"/>
      <c r="L26" s="61"/>
      <c r="Q26" s="212" t="s">
        <v>26</v>
      </c>
      <c r="R26" s="358">
        <f t="shared" si="0"/>
        <v>0.31740000000000002</v>
      </c>
      <c r="T26" s="111"/>
      <c r="U26" s="112"/>
      <c r="V26" s="112"/>
      <c r="W26" s="112"/>
      <c r="X26" s="113"/>
      <c r="Y26" s="114"/>
      <c r="Z26" s="114"/>
      <c r="AA26" s="115"/>
      <c r="AB26" s="115"/>
      <c r="AC26" s="115"/>
      <c r="AD26" s="115"/>
      <c r="AE26" s="116"/>
      <c r="AF26" s="115"/>
      <c r="AG26" s="115"/>
      <c r="AH26" s="115"/>
      <c r="AI26" s="115"/>
      <c r="AJ26" s="115"/>
      <c r="AK26" s="115"/>
      <c r="AL26" s="115"/>
      <c r="AM26" s="115"/>
      <c r="AN26" s="115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7"/>
      <c r="BD26" s="117"/>
      <c r="BE26" s="117"/>
      <c r="BG26" s="88"/>
      <c r="BJ26" s="88"/>
    </row>
    <row r="27" spans="3:62" ht="17.149999999999999" customHeight="1" thickTop="1" thickBot="1" x14ac:dyDescent="0.4">
      <c r="C27" s="253" t="str">
        <f>IF(OR(D25=M5,D25=M6, D25=M7),"",L163)</f>
        <v>Monto del Crédito</v>
      </c>
      <c r="D27" s="196"/>
      <c r="E27" s="232"/>
      <c r="F27" s="340" t="s">
        <v>458</v>
      </c>
      <c r="G27" s="381">
        <f>IF(Amortización!E16="SI",Amortización!K24,Amortización!K21)</f>
        <v>0</v>
      </c>
      <c r="H27" s="382"/>
      <c r="I27" s="396"/>
      <c r="J27" s="397"/>
      <c r="L27" s="61"/>
      <c r="N27" s="80">
        <v>0.37</v>
      </c>
      <c r="Q27" s="97" t="s">
        <v>27</v>
      </c>
      <c r="R27" s="358">
        <f t="shared" si="0"/>
        <v>0.31740000000000002</v>
      </c>
      <c r="T27" s="111"/>
      <c r="U27" s="112"/>
      <c r="V27" s="112"/>
      <c r="W27" s="112"/>
      <c r="X27" s="113"/>
      <c r="Y27" s="114"/>
      <c r="Z27" s="114"/>
      <c r="AA27" s="115"/>
      <c r="AB27" s="115"/>
      <c r="AC27" s="115"/>
      <c r="AD27" s="115"/>
      <c r="AE27" s="116"/>
      <c r="AF27" s="115"/>
      <c r="AG27" s="115"/>
      <c r="AH27" s="115"/>
      <c r="AI27" s="115"/>
      <c r="AJ27" s="115"/>
      <c r="AK27" s="115"/>
      <c r="AL27" s="115"/>
      <c r="AM27" s="115"/>
      <c r="AN27" s="115"/>
      <c r="AO27" s="117"/>
      <c r="AP27" s="117"/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  <c r="BC27" s="117"/>
      <c r="BD27" s="117"/>
      <c r="BE27" s="117"/>
      <c r="BG27" s="88"/>
      <c r="BJ27" s="88"/>
    </row>
    <row r="28" spans="3:62" ht="18" customHeight="1" thickTop="1" thickBot="1" x14ac:dyDescent="0.4">
      <c r="C28" s="252" t="s">
        <v>217</v>
      </c>
      <c r="D28" s="183"/>
      <c r="E28" s="192"/>
      <c r="F28" s="342" t="str">
        <f>IF(D22=O7,"CAT HSBC**","CAT**")</f>
        <v>CAT**</v>
      </c>
      <c r="G28" s="383" t="str">
        <f>Amortización!K17</f>
        <v>-</v>
      </c>
      <c r="H28" s="384"/>
      <c r="I28" s="396"/>
      <c r="J28" s="397"/>
      <c r="L28" s="61"/>
      <c r="N28" s="80">
        <v>0.29199999999999998</v>
      </c>
      <c r="Q28" s="81" t="s">
        <v>28</v>
      </c>
      <c r="R28" s="358">
        <f t="shared" si="0"/>
        <v>0.31740000000000002</v>
      </c>
      <c r="T28" s="111"/>
      <c r="U28" s="112"/>
      <c r="V28" s="112"/>
      <c r="W28" s="112"/>
      <c r="X28" s="113"/>
      <c r="Y28" s="114"/>
      <c r="Z28" s="114"/>
      <c r="AA28" s="115"/>
      <c r="AB28" s="115"/>
      <c r="AC28" s="115"/>
      <c r="AD28" s="115"/>
      <c r="AE28" s="116"/>
      <c r="AF28" s="115"/>
      <c r="AG28" s="115"/>
      <c r="AH28" s="115"/>
      <c r="AI28" s="115"/>
      <c r="AJ28" s="115"/>
      <c r="AK28" s="115"/>
      <c r="AL28" s="115"/>
      <c r="AM28" s="115"/>
      <c r="AN28" s="115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7"/>
      <c r="BD28" s="117"/>
      <c r="BE28" s="117"/>
      <c r="BG28" s="88"/>
      <c r="BJ28" s="88"/>
    </row>
    <row r="29" spans="3:62" ht="18" customHeight="1" thickTop="1" thickBot="1" x14ac:dyDescent="0.4">
      <c r="C29" s="253" t="str">
        <f>IF(OR($D$25=$M$5,AND(OR(D21=N4,D21=N7,D21=N9),D22=O5)),"Ingreso Mensual Neto*",IF(D25=M7,"Pago mensual máximo",""))</f>
        <v/>
      </c>
      <c r="D29" s="196"/>
      <c r="E29" s="192"/>
      <c r="F29" s="343" t="str">
        <f>IF(OR(D25="Por ingresos del cliente",D25="Por Campaña"),"Monto Máximo Por Ingresos","Ingreso Neto Requerido")</f>
        <v>Ingreso Neto Requerido</v>
      </c>
      <c r="G29" s="385" t="str">
        <f>IFERROR(IF(D26="","-",IF(OR(D25="Por ingresos del cliente",D25="Por Campaña"),ROUND(M69/M76*1000,-3),IF(D21=V79,MIN(5000000,IF(OR(D25=M4,D25=M6),VLOOKUP(D28,V84:W87,2,0),ROUND(M69/M76*1000,-3))),IF(OR(D25=M4,D25=M6),VLOOKUP(D28,V84:W87,2,0))))),0)</f>
        <v>-</v>
      </c>
      <c r="H29" s="386"/>
      <c r="I29" s="302"/>
      <c r="L29" s="61"/>
      <c r="Q29" s="97" t="s">
        <v>29</v>
      </c>
      <c r="R29" s="358">
        <f t="shared" si="0"/>
        <v>0.31740000000000002</v>
      </c>
      <c r="T29" s="111"/>
      <c r="U29" s="112"/>
      <c r="V29" s="112"/>
      <c r="W29" s="112"/>
      <c r="X29" s="113"/>
      <c r="Y29" s="114"/>
      <c r="Z29" s="114"/>
      <c r="AA29" s="115"/>
      <c r="AB29" s="115"/>
      <c r="AC29" s="115"/>
      <c r="AD29" s="115"/>
      <c r="AE29" s="116"/>
      <c r="AF29" s="115"/>
      <c r="AG29" s="115"/>
      <c r="AH29" s="115"/>
      <c r="AI29" s="115"/>
      <c r="AJ29" s="115"/>
      <c r="AK29" s="115"/>
      <c r="AL29" s="115"/>
      <c r="AM29" s="115"/>
      <c r="AN29" s="115"/>
      <c r="AO29" s="117"/>
      <c r="AP29" s="117"/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17"/>
      <c r="BE29" s="117"/>
      <c r="BG29" s="88"/>
      <c r="BJ29" s="88"/>
    </row>
    <row r="30" spans="3:62" ht="18" customHeight="1" thickTop="1" thickBot="1" x14ac:dyDescent="0.4">
      <c r="C30" s="253" t="str">
        <f>IF($D$25=$M$5,"Pago Mensual en Buro(Obligaciones)","")</f>
        <v/>
      </c>
      <c r="D30" s="196"/>
      <c r="E30" s="192"/>
      <c r="F30" s="80"/>
      <c r="G30" s="80"/>
      <c r="H30" s="80"/>
      <c r="I30" s="76"/>
      <c r="L30" s="61"/>
      <c r="Q30" s="97" t="s">
        <v>30</v>
      </c>
      <c r="R30" s="358">
        <f t="shared" si="0"/>
        <v>0.31740000000000002</v>
      </c>
      <c r="T30" s="111"/>
      <c r="U30" s="112"/>
      <c r="V30" s="112"/>
      <c r="W30" s="112"/>
      <c r="X30" s="113"/>
      <c r="Y30" s="114"/>
      <c r="Z30" s="114"/>
      <c r="AA30" s="115"/>
      <c r="AB30" s="115"/>
      <c r="AC30" s="115"/>
      <c r="AD30" s="115"/>
      <c r="AE30" s="116"/>
      <c r="AF30" s="115"/>
      <c r="AG30" s="115"/>
      <c r="AH30" s="115"/>
      <c r="AI30" s="115"/>
      <c r="AJ30" s="115"/>
      <c r="AK30" s="115"/>
      <c r="AL30" s="115"/>
      <c r="AM30" s="115"/>
      <c r="AN30" s="115"/>
      <c r="AO30" s="117"/>
      <c r="AP30" s="117"/>
      <c r="AQ30" s="117"/>
      <c r="AR30" s="117"/>
      <c r="AS30" s="117"/>
      <c r="AT30" s="117"/>
      <c r="AU30" s="117"/>
      <c r="AV30" s="117"/>
      <c r="AW30" s="117"/>
      <c r="AX30" s="117"/>
      <c r="AY30" s="117"/>
      <c r="AZ30" s="117"/>
      <c r="BA30" s="117"/>
      <c r="BB30" s="117"/>
      <c r="BC30" s="117"/>
      <c r="BD30" s="117"/>
      <c r="BE30" s="117"/>
      <c r="BG30" s="88"/>
      <c r="BJ30" s="88"/>
    </row>
    <row r="31" spans="3:62" ht="18" customHeight="1" thickTop="1" thickBot="1" x14ac:dyDescent="0.4">
      <c r="C31" s="253" t="str">
        <f>IF(OR(D25&amp;D21=M49,D25&amp;D21=M50,D25&amp;D21=M51),"Monto Hipoteca Actual","")</f>
        <v/>
      </c>
      <c r="D31" s="199"/>
      <c r="E31" s="192"/>
      <c r="F31" s="406" t="str">
        <f>IF(D21=N8,"Pago Mensual",IF(D22="CI+CB","Distribución del Crédito",""))</f>
        <v/>
      </c>
      <c r="G31" s="406"/>
      <c r="H31" s="406"/>
      <c r="I31" s="311" t="s">
        <v>123</v>
      </c>
      <c r="L31" s="277">
        <f>AF78</f>
        <v>0</v>
      </c>
      <c r="Q31" s="81" t="s">
        <v>31</v>
      </c>
      <c r="R31" s="358">
        <f t="shared" si="0"/>
        <v>0.31740000000000002</v>
      </c>
      <c r="T31" s="111"/>
      <c r="U31" s="112"/>
      <c r="V31" s="112"/>
      <c r="W31" s="112"/>
      <c r="X31" s="113"/>
      <c r="Y31" s="114"/>
      <c r="Z31" s="114"/>
      <c r="AA31" s="115"/>
      <c r="AB31" s="115"/>
      <c r="AC31" s="115"/>
      <c r="AD31" s="115"/>
      <c r="AE31" s="116"/>
      <c r="AF31" s="115"/>
      <c r="AG31" s="115"/>
      <c r="AH31" s="115"/>
      <c r="AI31" s="115"/>
      <c r="AJ31" s="115"/>
      <c r="AK31" s="115"/>
      <c r="AL31" s="115"/>
      <c r="AM31" s="115"/>
      <c r="AN31" s="115"/>
      <c r="AO31" s="117"/>
      <c r="AP31" s="117"/>
      <c r="AQ31" s="117"/>
      <c r="AR31" s="117"/>
      <c r="AS31" s="117"/>
      <c r="AT31" s="117"/>
      <c r="AU31" s="117"/>
      <c r="AV31" s="117"/>
      <c r="AW31" s="117"/>
      <c r="AX31" s="117"/>
      <c r="AY31" s="117"/>
      <c r="AZ31" s="117"/>
      <c r="BA31" s="117"/>
      <c r="BB31" s="117"/>
      <c r="BC31" s="117"/>
      <c r="BD31" s="117"/>
      <c r="BE31" s="117"/>
      <c r="BG31" s="88"/>
      <c r="BJ31" s="88"/>
    </row>
    <row r="32" spans="3:62" ht="18" customHeight="1" thickTop="1" thickBot="1" x14ac:dyDescent="0.4">
      <c r="C32" s="254" t="str">
        <f>IF(AND(OR(D21=N4,D21=N7,D21=N9),D22="Cofinavit"),"Crédito Otorgado menos Ecotecnologías",IF(AND(OR(D21=N4,D21=N7),D22="Alia2"),"Crédito FOVISSSTE",""))</f>
        <v/>
      </c>
      <c r="D32" s="184"/>
      <c r="E32" s="192"/>
      <c r="F32" s="256" t="str">
        <f>IF(D21=N8,"Pago Hipoteca",IF(D22=O7,"Crédito HSBC - Tasa "&amp;(G26*100)&amp;"%",""))</f>
        <v/>
      </c>
      <c r="G32" s="411" t="e">
        <f>IF(D22=O7,H25-G33,PMT($G$26/12,$D$28*12,-$D$31)+($M$73*1000)+($D$31*$L$86/1000))</f>
        <v>#NUM!</v>
      </c>
      <c r="H32" s="411"/>
      <c r="I32" s="312" t="str">
        <f>IF(D22=O7,Amortización!K21,"")</f>
        <v/>
      </c>
      <c r="L32" s="276"/>
      <c r="Q32" s="97" t="s">
        <v>32</v>
      </c>
      <c r="R32" s="358">
        <f t="shared" si="0"/>
        <v>0.31740000000000002</v>
      </c>
      <c r="T32" s="111"/>
      <c r="U32" s="112"/>
      <c r="V32" s="112"/>
      <c r="W32" s="112"/>
      <c r="X32" s="113"/>
      <c r="Y32" s="114"/>
      <c r="Z32" s="114"/>
      <c r="AA32" s="115"/>
      <c r="AB32" s="115"/>
      <c r="AC32" s="115"/>
      <c r="AD32" s="115"/>
      <c r="AE32" s="116"/>
      <c r="AF32" s="115"/>
      <c r="AG32" s="115"/>
      <c r="AH32" s="115"/>
      <c r="AI32" s="115"/>
      <c r="AJ32" s="115"/>
      <c r="AK32" s="115"/>
      <c r="AL32" s="115"/>
      <c r="AM32" s="115"/>
      <c r="AN32" s="115"/>
      <c r="AO32" s="117"/>
      <c r="AP32" s="117"/>
      <c r="AQ32" s="117"/>
      <c r="AR32" s="117"/>
      <c r="AS32" s="117"/>
      <c r="AT32" s="117"/>
      <c r="AU32" s="117"/>
      <c r="AV32" s="117"/>
      <c r="AW32" s="117"/>
      <c r="AX32" s="117"/>
      <c r="AY32" s="117"/>
      <c r="AZ32" s="117"/>
      <c r="BA32" s="117"/>
      <c r="BB32" s="117"/>
      <c r="BC32" s="117"/>
      <c r="BD32" s="117"/>
      <c r="BE32" s="117"/>
      <c r="BG32" s="88"/>
      <c r="BJ32" s="88"/>
    </row>
    <row r="33" spans="3:63" ht="18" customHeight="1" thickTop="1" thickBot="1" x14ac:dyDescent="0.4">
      <c r="C33" s="255" t="str">
        <f>IF(AND(OR(D21=N4,D21=N7, D21=N9),D22="Cofinavit"),"Saldo Subcuenta de Vivienda",IF(AND(OR(D21=N4,D21=N7),D22="CI+CB"),"Saldo Subcuenta de Vivienda",IF(AND(OR(D21=N4,D21=N7),D22=O8),"Saldo Subcuenta de Vivienda","")))</f>
        <v/>
      </c>
      <c r="D33" s="196"/>
      <c r="E33" s="192"/>
      <c r="F33" s="256" t="str">
        <f>IF(D21=N8,"Liquidez (Sin IVA)",IF(D22=O7,"Crédito Infonavit - Tasa 10.45%",""))</f>
        <v/>
      </c>
      <c r="G33" s="412" t="e">
        <f>IF(D22=O7,ROUNDDOWN(MIN(H25*0.3,325*3153.7),2),PMT($G$26/12,$D$28*12,-(H25-D31))+((H25-D31)*$L$86/1000))</f>
        <v>#NUM!</v>
      </c>
      <c r="H33" s="412"/>
      <c r="I33" s="312" t="str">
        <f>IF(D22=O7,Amortización!AY12,"")</f>
        <v/>
      </c>
      <c r="L33" s="61"/>
      <c r="Q33" s="97" t="s">
        <v>33</v>
      </c>
      <c r="R33" s="358">
        <f t="shared" si="0"/>
        <v>0.31740000000000002</v>
      </c>
      <c r="T33" s="111"/>
      <c r="U33" s="112"/>
      <c r="V33" s="112"/>
      <c r="W33" s="112"/>
      <c r="X33" s="113"/>
      <c r="Y33" s="114"/>
      <c r="Z33" s="114"/>
      <c r="AA33" s="115"/>
      <c r="AB33" s="115"/>
      <c r="AC33" s="115"/>
      <c r="AD33" s="115"/>
      <c r="AE33" s="116"/>
      <c r="AF33" s="115"/>
      <c r="AG33" s="115"/>
      <c r="AH33" s="115"/>
      <c r="AI33" s="115"/>
      <c r="AJ33" s="115"/>
      <c r="AK33" s="115"/>
      <c r="AL33" s="115"/>
      <c r="AM33" s="115"/>
      <c r="AN33" s="115"/>
      <c r="AO33" s="117"/>
      <c r="AP33" s="117"/>
      <c r="AQ33" s="117"/>
      <c r="AR33" s="117"/>
      <c r="AS33" s="117"/>
      <c r="AT33" s="117"/>
      <c r="AU33" s="117"/>
      <c r="AV33" s="117"/>
      <c r="AW33" s="117"/>
      <c r="AX33" s="117"/>
      <c r="AY33" s="117"/>
      <c r="AZ33" s="117"/>
      <c r="BA33" s="117"/>
      <c r="BB33" s="117"/>
      <c r="BC33" s="117"/>
      <c r="BD33" s="117"/>
      <c r="BE33" s="117"/>
      <c r="BG33" s="88"/>
      <c r="BJ33" s="88"/>
    </row>
    <row r="34" spans="3:63" ht="18" customHeight="1" thickTop="1" thickBot="1" x14ac:dyDescent="0.4">
      <c r="C34" s="253" t="str">
        <f>IF(OR(D25&amp;D21=M47,D25&amp;D21=M48),"Enganche Adicional","")</f>
        <v/>
      </c>
      <c r="D34" s="201">
        <v>0</v>
      </c>
      <c r="E34" s="192"/>
      <c r="F34" s="256"/>
      <c r="G34" s="398"/>
      <c r="H34" s="398"/>
      <c r="I34" s="84"/>
      <c r="L34" s="61"/>
      <c r="Q34" s="81" t="s">
        <v>34</v>
      </c>
      <c r="R34" s="358">
        <f t="shared" si="0"/>
        <v>0.31740000000000002</v>
      </c>
      <c r="T34" s="111"/>
      <c r="U34" s="112"/>
      <c r="V34" s="112"/>
      <c r="W34" s="112"/>
      <c r="X34" s="113"/>
      <c r="Y34" s="114"/>
      <c r="Z34" s="114"/>
      <c r="AA34" s="115"/>
      <c r="AB34" s="115"/>
      <c r="AC34" s="115"/>
      <c r="AD34" s="115"/>
      <c r="AE34" s="116"/>
      <c r="AF34" s="115"/>
      <c r="AG34" s="115"/>
      <c r="AH34" s="115"/>
      <c r="AI34" s="115"/>
      <c r="AJ34" s="115"/>
      <c r="AK34" s="115"/>
      <c r="AL34" s="115"/>
      <c r="AM34" s="115"/>
      <c r="AN34" s="115"/>
      <c r="AO34" s="117"/>
      <c r="AP34" s="117"/>
      <c r="AQ34" s="117"/>
      <c r="AR34" s="117"/>
      <c r="AS34" s="117"/>
      <c r="AT34" s="117"/>
      <c r="AU34" s="117"/>
      <c r="AV34" s="117"/>
      <c r="AW34" s="117"/>
      <c r="AX34" s="117"/>
      <c r="AY34" s="117"/>
      <c r="AZ34" s="117"/>
      <c r="BA34" s="117"/>
      <c r="BB34" s="117"/>
      <c r="BC34" s="117"/>
      <c r="BD34" s="117"/>
      <c r="BE34" s="117"/>
      <c r="BG34" s="88"/>
      <c r="BJ34" s="88"/>
    </row>
    <row r="35" spans="3:63" ht="2.75" customHeight="1" thickTop="1" thickBot="1" x14ac:dyDescent="0.4">
      <c r="C35" s="256" t="str">
        <f>IF(D23=L171,"Comportamiento Crediticio","")</f>
        <v/>
      </c>
      <c r="D35" s="196">
        <v>3</v>
      </c>
      <c r="E35" s="192"/>
      <c r="F35" s="246"/>
      <c r="G35" s="246"/>
      <c r="H35" s="246"/>
      <c r="I35" s="84"/>
      <c r="L35" s="61"/>
      <c r="Q35" s="97"/>
      <c r="R35" s="82"/>
      <c r="T35" s="111"/>
      <c r="U35" s="112"/>
      <c r="V35" s="112"/>
      <c r="W35" s="112"/>
      <c r="X35" s="113"/>
      <c r="Y35" s="114"/>
      <c r="Z35" s="114"/>
      <c r="AA35" s="115"/>
      <c r="AB35" s="115"/>
      <c r="AC35" s="115"/>
      <c r="AD35" s="115"/>
      <c r="AE35" s="116"/>
      <c r="AF35" s="115"/>
      <c r="AG35" s="115"/>
      <c r="AH35" s="115"/>
      <c r="AI35" s="115"/>
      <c r="AJ35" s="115"/>
      <c r="AK35" s="115"/>
      <c r="AL35" s="115"/>
      <c r="AM35" s="115"/>
      <c r="AN35" s="115"/>
      <c r="AO35" s="117"/>
      <c r="AP35" s="117"/>
      <c r="AQ35" s="117"/>
      <c r="AR35" s="117"/>
      <c r="AS35" s="117"/>
      <c r="AT35" s="117"/>
      <c r="AU35" s="117"/>
      <c r="AV35" s="117"/>
      <c r="AW35" s="117"/>
      <c r="AX35" s="117"/>
      <c r="AY35" s="117"/>
      <c r="AZ35" s="117"/>
      <c r="BA35" s="117"/>
      <c r="BB35" s="117"/>
      <c r="BC35" s="117"/>
      <c r="BD35" s="117"/>
      <c r="BE35" s="117"/>
      <c r="BG35" s="88"/>
      <c r="BJ35" s="88"/>
    </row>
    <row r="36" spans="3:63" ht="18" customHeight="1" thickTop="1" thickBot="1" x14ac:dyDescent="0.4">
      <c r="C36" s="407" t="s">
        <v>314</v>
      </c>
      <c r="D36" s="407"/>
      <c r="E36" s="407"/>
      <c r="F36" s="407"/>
      <c r="G36" s="407"/>
      <c r="H36" s="407"/>
      <c r="I36" s="84"/>
      <c r="L36" s="61"/>
      <c r="Q36" s="97"/>
      <c r="R36" s="82"/>
      <c r="T36" s="111"/>
      <c r="U36" s="112"/>
      <c r="V36" s="112"/>
      <c r="W36" s="112"/>
      <c r="X36" s="113"/>
      <c r="Y36" s="114"/>
      <c r="Z36" s="114"/>
      <c r="AA36" s="115"/>
      <c r="AB36" s="115"/>
      <c r="AC36" s="115"/>
      <c r="AD36" s="115"/>
      <c r="AE36" s="116"/>
      <c r="AF36" s="115"/>
      <c r="AG36" s="115"/>
      <c r="AH36" s="115"/>
      <c r="AI36" s="115"/>
      <c r="AJ36" s="115"/>
      <c r="AK36" s="115"/>
      <c r="AL36" s="115"/>
      <c r="AM36" s="115"/>
      <c r="AN36" s="115"/>
      <c r="AO36" s="117"/>
      <c r="AP36" s="117"/>
      <c r="AQ36" s="117"/>
      <c r="AR36" s="117"/>
      <c r="AS36" s="117"/>
      <c r="AT36" s="117"/>
      <c r="AU36" s="117"/>
      <c r="AV36" s="117"/>
      <c r="AW36" s="117"/>
      <c r="AX36" s="117"/>
      <c r="AY36" s="117"/>
      <c r="AZ36" s="117"/>
      <c r="BA36" s="117"/>
      <c r="BB36" s="117"/>
      <c r="BC36" s="117"/>
      <c r="BD36" s="117"/>
      <c r="BE36" s="117"/>
      <c r="BG36" s="88"/>
      <c r="BJ36" s="88"/>
    </row>
    <row r="37" spans="3:63" ht="18" customHeight="1" thickTop="1" x14ac:dyDescent="0.35">
      <c r="C37" s="408" t="str">
        <f>IF(ISERROR(VLOOKUP(TRUE,$N$177:$O$200,2,0)),"",VLOOKUP(TRUE,$N$177:$O$200,2,0))</f>
        <v>Introducir Valor de la Vivienda</v>
      </c>
      <c r="D37" s="409"/>
      <c r="E37" s="409"/>
      <c r="F37" s="409"/>
      <c r="G37" s="409"/>
      <c r="H37" s="410"/>
      <c r="I37" s="84"/>
      <c r="L37" s="61"/>
      <c r="Q37" s="97"/>
      <c r="R37" s="82"/>
      <c r="T37" s="111"/>
      <c r="U37" s="112"/>
      <c r="V37" s="112"/>
      <c r="W37" s="112"/>
      <c r="X37" s="113"/>
      <c r="Y37" s="114"/>
      <c r="Z37" s="114"/>
      <c r="AA37" s="115"/>
      <c r="AB37" s="115"/>
      <c r="AC37" s="115"/>
      <c r="AD37" s="115"/>
      <c r="AE37" s="116"/>
      <c r="AF37" s="115"/>
      <c r="AG37" s="115"/>
      <c r="AH37" s="115"/>
      <c r="AI37" s="115"/>
      <c r="AJ37" s="115"/>
      <c r="AK37" s="115"/>
      <c r="AL37" s="115"/>
      <c r="AM37" s="115"/>
      <c r="AN37" s="115"/>
      <c r="AO37" s="117"/>
      <c r="AP37" s="117"/>
      <c r="AQ37" s="117"/>
      <c r="AR37" s="117"/>
      <c r="AS37" s="117"/>
      <c r="AT37" s="117"/>
      <c r="AU37" s="117"/>
      <c r="AV37" s="117"/>
      <c r="AW37" s="117"/>
      <c r="AX37" s="117"/>
      <c r="AY37" s="117"/>
      <c r="AZ37" s="117"/>
      <c r="BA37" s="117"/>
      <c r="BB37" s="117"/>
      <c r="BC37" s="117"/>
      <c r="BD37" s="117"/>
      <c r="BE37" s="117"/>
      <c r="BG37" s="88"/>
      <c r="BJ37" s="88"/>
    </row>
    <row r="38" spans="3:63" ht="18" customHeight="1" x14ac:dyDescent="0.35">
      <c r="C38" s="400" t="str">
        <f>IF(C23="Elige una tasa de interés", "EN BASE AL ESTUDIO DE CREDITO DEL CLIENTE Y SU AFORO, SE ASIGNARA UNA TASA DE INTERES","")</f>
        <v/>
      </c>
      <c r="D38" s="401"/>
      <c r="E38" s="401"/>
      <c r="F38" s="401"/>
      <c r="G38" s="401"/>
      <c r="H38" s="402"/>
      <c r="I38" s="84"/>
      <c r="L38" s="61"/>
      <c r="Q38" s="97"/>
      <c r="R38" s="82"/>
      <c r="T38" s="111"/>
      <c r="U38" s="112"/>
      <c r="V38" s="112"/>
      <c r="W38" s="112"/>
      <c r="X38" s="113"/>
      <c r="Y38" s="114"/>
      <c r="Z38" s="114"/>
      <c r="AA38" s="115"/>
      <c r="AB38" s="115"/>
      <c r="AC38" s="115"/>
      <c r="AD38" s="115"/>
      <c r="AE38" s="116"/>
      <c r="AF38" s="115"/>
      <c r="AG38" s="115"/>
      <c r="AH38" s="115"/>
      <c r="AI38" s="115"/>
      <c r="AJ38" s="115"/>
      <c r="AK38" s="115"/>
      <c r="AL38" s="115"/>
      <c r="AM38" s="115"/>
      <c r="AN38" s="115"/>
      <c r="AO38" s="117"/>
      <c r="AP38" s="117"/>
      <c r="AQ38" s="117"/>
      <c r="AR38" s="117"/>
      <c r="AS38" s="117"/>
      <c r="AT38" s="117"/>
      <c r="AU38" s="117"/>
      <c r="AV38" s="117"/>
      <c r="AW38" s="117"/>
      <c r="AX38" s="117"/>
      <c r="AY38" s="117"/>
      <c r="AZ38" s="117"/>
      <c r="BA38" s="117"/>
      <c r="BB38" s="117"/>
      <c r="BC38" s="117"/>
      <c r="BD38" s="117"/>
      <c r="BE38" s="117"/>
      <c r="BG38" s="88"/>
      <c r="BJ38" s="88"/>
    </row>
    <row r="39" spans="3:63" ht="18" customHeight="1" thickBot="1" x14ac:dyDescent="0.4">
      <c r="C39" s="403" t="str">
        <f>IF(C24="Se requiere LTV al 90%?", "EL CLIENTE PUEDE ACCEDER AL AFORO HASTA EL 90% SI ASI LO REQUIERE","")</f>
        <v/>
      </c>
      <c r="D39" s="404"/>
      <c r="E39" s="404"/>
      <c r="F39" s="404"/>
      <c r="G39" s="404"/>
      <c r="H39" s="405"/>
      <c r="I39" s="84"/>
      <c r="L39" s="61"/>
      <c r="Q39" s="97"/>
      <c r="R39" s="82"/>
      <c r="T39" s="111"/>
      <c r="U39" s="112"/>
      <c r="V39" s="112"/>
      <c r="W39" s="112"/>
      <c r="X39" s="113"/>
      <c r="Y39" s="114"/>
      <c r="Z39" s="114"/>
      <c r="AA39" s="115"/>
      <c r="AB39" s="115"/>
      <c r="AC39" s="115"/>
      <c r="AD39" s="115"/>
      <c r="AE39" s="116"/>
      <c r="AF39" s="115"/>
      <c r="AG39" s="115"/>
      <c r="AH39" s="115"/>
      <c r="AI39" s="115"/>
      <c r="AJ39" s="115"/>
      <c r="AK39" s="115"/>
      <c r="AL39" s="115"/>
      <c r="AM39" s="115"/>
      <c r="AN39" s="115"/>
      <c r="AO39" s="117"/>
      <c r="AP39" s="117"/>
      <c r="AQ39" s="117"/>
      <c r="AR39" s="117"/>
      <c r="AS39" s="117"/>
      <c r="AT39" s="117"/>
      <c r="AU39" s="117"/>
      <c r="AV39" s="117"/>
      <c r="AW39" s="117"/>
      <c r="AX39" s="117"/>
      <c r="AY39" s="117"/>
      <c r="AZ39" s="117"/>
      <c r="BA39" s="117"/>
      <c r="BB39" s="117"/>
      <c r="BC39" s="117"/>
      <c r="BD39" s="117"/>
      <c r="BE39" s="117"/>
      <c r="BG39" s="88"/>
      <c r="BJ39" s="88"/>
    </row>
    <row r="40" spans="3:63" ht="19.25" customHeight="1" thickTop="1" x14ac:dyDescent="0.35">
      <c r="C40" s="399" t="s">
        <v>219</v>
      </c>
      <c r="D40" s="399"/>
      <c r="E40" s="399"/>
      <c r="F40" s="399"/>
      <c r="G40" s="399"/>
      <c r="H40" s="399"/>
      <c r="I40" s="80"/>
      <c r="L40" s="118" t="s">
        <v>55</v>
      </c>
      <c r="M40" s="80" t="str">
        <f>K41&amp;K43</f>
        <v>0.0975Adquisicion</v>
      </c>
      <c r="T40" s="111" t="s">
        <v>68</v>
      </c>
      <c r="U40" s="119">
        <v>0</v>
      </c>
      <c r="V40" s="119">
        <v>0</v>
      </c>
      <c r="W40" s="119">
        <v>0</v>
      </c>
      <c r="X40" s="120">
        <v>0</v>
      </c>
      <c r="Y40" s="120">
        <v>0</v>
      </c>
      <c r="Z40" s="120">
        <v>0</v>
      </c>
      <c r="AA40" s="119">
        <v>0</v>
      </c>
      <c r="AB40" s="119">
        <v>0</v>
      </c>
      <c r="AC40" s="119">
        <v>0</v>
      </c>
      <c r="AD40" s="119">
        <v>0</v>
      </c>
      <c r="AE40" s="121">
        <v>0</v>
      </c>
      <c r="AF40" s="119">
        <v>0</v>
      </c>
      <c r="AG40" s="119">
        <v>0</v>
      </c>
      <c r="AH40" s="119">
        <v>0</v>
      </c>
      <c r="AI40" s="119">
        <v>0</v>
      </c>
      <c r="AJ40" s="119">
        <v>0</v>
      </c>
      <c r="AK40" s="119">
        <v>0</v>
      </c>
      <c r="AL40" s="119">
        <v>0</v>
      </c>
      <c r="AM40" s="119">
        <v>0</v>
      </c>
      <c r="AN40" s="119">
        <v>0</v>
      </c>
      <c r="AO40" s="119">
        <v>0</v>
      </c>
      <c r="AP40" s="119">
        <v>0</v>
      </c>
      <c r="AQ40" s="119">
        <v>0</v>
      </c>
      <c r="AR40" s="119">
        <v>0</v>
      </c>
      <c r="AS40" s="119">
        <v>0</v>
      </c>
      <c r="AT40" s="119">
        <v>0</v>
      </c>
      <c r="AU40" s="119">
        <v>0</v>
      </c>
      <c r="AV40" s="119">
        <v>0</v>
      </c>
      <c r="AW40" s="119">
        <v>0</v>
      </c>
      <c r="AX40" s="119">
        <v>0</v>
      </c>
      <c r="AY40" s="119">
        <v>0</v>
      </c>
      <c r="AZ40" s="119">
        <v>0</v>
      </c>
      <c r="BA40" s="119">
        <v>0</v>
      </c>
      <c r="BB40" s="119">
        <v>0</v>
      </c>
      <c r="BC40" s="119">
        <v>0</v>
      </c>
      <c r="BD40" s="119">
        <v>0</v>
      </c>
      <c r="BE40" s="119">
        <v>0</v>
      </c>
      <c r="BG40" s="88" t="s">
        <v>160</v>
      </c>
      <c r="BH40" s="80">
        <v>21.25</v>
      </c>
      <c r="BJ40" s="88" t="s">
        <v>160</v>
      </c>
      <c r="BK40" s="80">
        <v>20.650000000000002</v>
      </c>
    </row>
    <row r="41" spans="3:63" ht="19.25" customHeight="1" x14ac:dyDescent="0.35">
      <c r="C41" s="399" t="s">
        <v>457</v>
      </c>
      <c r="D41" s="399"/>
      <c r="E41" s="399"/>
      <c r="F41" s="399"/>
      <c r="G41" s="399"/>
      <c r="H41" s="399"/>
      <c r="I41" s="80"/>
      <c r="K41" s="217">
        <f>L170</f>
        <v>9.7500000000000003E-2</v>
      </c>
      <c r="L41" s="118" t="s">
        <v>78</v>
      </c>
      <c r="M41" s="122">
        <v>0</v>
      </c>
      <c r="T41" s="111" t="s">
        <v>69</v>
      </c>
      <c r="U41" s="111" t="s">
        <v>70</v>
      </c>
      <c r="V41" s="111" t="s">
        <v>70</v>
      </c>
      <c r="W41" s="111" t="s">
        <v>70</v>
      </c>
      <c r="X41" s="123" t="s">
        <v>70</v>
      </c>
      <c r="Y41" s="123" t="s">
        <v>70</v>
      </c>
      <c r="Z41" s="123" t="s">
        <v>70</v>
      </c>
      <c r="AA41" s="111" t="s">
        <v>70</v>
      </c>
      <c r="AB41" s="111" t="s">
        <v>70</v>
      </c>
      <c r="AC41" s="111" t="s">
        <v>70</v>
      </c>
      <c r="AD41" s="111" t="s">
        <v>70</v>
      </c>
      <c r="AE41" s="124" t="s">
        <v>70</v>
      </c>
      <c r="AF41" s="111" t="s">
        <v>70</v>
      </c>
      <c r="AG41" s="111" t="s">
        <v>70</v>
      </c>
      <c r="AH41" s="111" t="s">
        <v>70</v>
      </c>
      <c r="AI41" s="111" t="s">
        <v>70</v>
      </c>
      <c r="AJ41" s="111" t="s">
        <v>70</v>
      </c>
      <c r="AK41" s="111" t="s">
        <v>70</v>
      </c>
      <c r="AL41" s="111" t="s">
        <v>70</v>
      </c>
      <c r="AM41" s="111" t="s">
        <v>70</v>
      </c>
      <c r="AN41" s="111" t="s">
        <v>70</v>
      </c>
      <c r="AO41" s="111" t="s">
        <v>70</v>
      </c>
      <c r="AP41" s="111" t="s">
        <v>70</v>
      </c>
      <c r="AQ41" s="111" t="s">
        <v>70</v>
      </c>
      <c r="AR41" s="111" t="s">
        <v>70</v>
      </c>
      <c r="AS41" s="111" t="s">
        <v>70</v>
      </c>
      <c r="AT41" s="111" t="s">
        <v>70</v>
      </c>
      <c r="AU41" s="111" t="s">
        <v>70</v>
      </c>
      <c r="AV41" s="111" t="s">
        <v>70</v>
      </c>
      <c r="AW41" s="111" t="s">
        <v>70</v>
      </c>
      <c r="AX41" s="111" t="s">
        <v>70</v>
      </c>
      <c r="AY41" s="111" t="s">
        <v>70</v>
      </c>
      <c r="AZ41" s="111" t="s">
        <v>70</v>
      </c>
      <c r="BA41" s="111" t="s">
        <v>70</v>
      </c>
      <c r="BB41" s="111" t="s">
        <v>70</v>
      </c>
      <c r="BC41" s="111" t="s">
        <v>70</v>
      </c>
      <c r="BD41" s="111" t="s">
        <v>70</v>
      </c>
      <c r="BE41" s="111" t="s">
        <v>70</v>
      </c>
      <c r="BG41" s="104" t="s">
        <v>164</v>
      </c>
      <c r="BH41" s="80">
        <v>21.44</v>
      </c>
      <c r="BJ41" s="104" t="s">
        <v>164</v>
      </c>
      <c r="BK41" s="80">
        <v>20.84</v>
      </c>
    </row>
    <row r="42" spans="3:63" ht="19.25" customHeight="1" x14ac:dyDescent="0.35">
      <c r="C42" s="399" t="s">
        <v>142</v>
      </c>
      <c r="D42" s="399"/>
      <c r="E42" s="399"/>
      <c r="F42" s="399"/>
      <c r="G42" s="399"/>
      <c r="H42" s="399"/>
      <c r="I42" s="80"/>
      <c r="K42" s="217">
        <f>L171</f>
        <v>9.7500000000000003E-2</v>
      </c>
      <c r="L42" s="80" t="str">
        <f>K42&amp;K43</f>
        <v>0.0975Adquisicion</v>
      </c>
      <c r="M42" s="122">
        <v>0.01</v>
      </c>
      <c r="N42" s="87" t="s">
        <v>183</v>
      </c>
      <c r="O42" s="125">
        <f>IF(D23=L168,90%,IF(D23=L169,94%,IF(D23=L170,85%,IF(D23&amp;D35=L183,75%,90%))))</f>
        <v>0.9</v>
      </c>
      <c r="T42" s="126" t="s">
        <v>71</v>
      </c>
      <c r="U42" s="127">
        <v>0.9</v>
      </c>
      <c r="V42" s="127">
        <v>0.9</v>
      </c>
      <c r="W42" s="127">
        <v>0.9</v>
      </c>
      <c r="X42" s="127">
        <v>0.9</v>
      </c>
      <c r="Y42" s="128">
        <v>0.5</v>
      </c>
      <c r="Z42" s="128">
        <v>0.75</v>
      </c>
      <c r="AA42" s="128">
        <v>0.9</v>
      </c>
      <c r="AB42" s="128">
        <v>0.5</v>
      </c>
      <c r="AC42" s="128">
        <v>0.75</v>
      </c>
      <c r="AD42" s="128">
        <v>0.9</v>
      </c>
      <c r="AE42" s="129">
        <v>0.5</v>
      </c>
      <c r="AF42" s="128">
        <v>0.75</v>
      </c>
      <c r="AG42" s="128">
        <v>0.9</v>
      </c>
      <c r="AH42" s="128">
        <v>0.5</v>
      </c>
      <c r="AI42" s="128">
        <v>0.75</v>
      </c>
      <c r="AJ42" s="128">
        <v>0.9</v>
      </c>
      <c r="AK42" s="127">
        <v>0.9</v>
      </c>
      <c r="AL42" s="127">
        <v>0.9</v>
      </c>
      <c r="AM42" s="127">
        <v>0.9</v>
      </c>
      <c r="AN42" s="127">
        <v>0.9</v>
      </c>
      <c r="AO42" s="127">
        <v>0.85</v>
      </c>
      <c r="AP42" s="127">
        <v>0.85</v>
      </c>
      <c r="AQ42" s="127">
        <v>0.85</v>
      </c>
      <c r="AR42" s="127">
        <v>0.85</v>
      </c>
      <c r="AS42" s="127">
        <v>0.7</v>
      </c>
      <c r="AT42" s="127">
        <v>0.7</v>
      </c>
      <c r="AU42" s="127">
        <v>0.7</v>
      </c>
      <c r="AV42" s="128">
        <v>0.5</v>
      </c>
      <c r="AW42" s="128">
        <v>0.7</v>
      </c>
      <c r="AX42" s="128">
        <v>0.5</v>
      </c>
      <c r="AY42" s="128">
        <v>0.7</v>
      </c>
      <c r="AZ42" s="128">
        <v>0.5</v>
      </c>
      <c r="BA42" s="128">
        <v>0.7</v>
      </c>
      <c r="BB42" s="127">
        <v>0.9</v>
      </c>
      <c r="BC42" s="127">
        <v>0.9</v>
      </c>
      <c r="BD42" s="127">
        <v>0.9</v>
      </c>
      <c r="BE42" s="127">
        <v>0.9</v>
      </c>
      <c r="BG42" s="88" t="s">
        <v>157</v>
      </c>
      <c r="BH42" s="80">
        <v>13.08</v>
      </c>
      <c r="BJ42" s="88" t="s">
        <v>157</v>
      </c>
      <c r="BK42" s="80">
        <v>12.32</v>
      </c>
    </row>
    <row r="43" spans="3:63" ht="19.25" customHeight="1" x14ac:dyDescent="0.35">
      <c r="C43" s="399" t="s">
        <v>218</v>
      </c>
      <c r="D43" s="399"/>
      <c r="E43" s="399"/>
      <c r="F43" s="399"/>
      <c r="G43" s="399"/>
      <c r="H43" s="399"/>
      <c r="I43" s="80"/>
      <c r="K43" s="80" t="s">
        <v>79</v>
      </c>
      <c r="L43" s="130" t="str">
        <f>D21&amp;D22</f>
        <v>Adquisicion</v>
      </c>
      <c r="N43" s="80" t="s">
        <v>184</v>
      </c>
      <c r="O43" s="216" t="e">
        <f>IF(H25/D26&lt;=85%,85%,IF(AND(H25/D26&lt;=95%,D24="SI"),85%,""))</f>
        <v>#DIV/0!</v>
      </c>
      <c r="T43" s="111" t="s">
        <v>72</v>
      </c>
      <c r="U43" s="119">
        <v>0</v>
      </c>
      <c r="V43" s="119">
        <v>0</v>
      </c>
      <c r="W43" s="119">
        <v>0</v>
      </c>
      <c r="X43" s="120">
        <v>0</v>
      </c>
      <c r="Y43" s="132">
        <v>348</v>
      </c>
      <c r="Z43" s="132">
        <v>348</v>
      </c>
      <c r="AA43" s="133">
        <v>348</v>
      </c>
      <c r="AB43" s="132">
        <v>348</v>
      </c>
      <c r="AC43" s="132">
        <v>348</v>
      </c>
      <c r="AD43" s="133">
        <v>348</v>
      </c>
      <c r="AE43" s="134">
        <v>348</v>
      </c>
      <c r="AF43" s="132">
        <v>348</v>
      </c>
      <c r="AG43" s="132">
        <v>348</v>
      </c>
      <c r="AH43" s="132">
        <v>348</v>
      </c>
      <c r="AI43" s="132">
        <v>348</v>
      </c>
      <c r="AJ43" s="132">
        <v>348</v>
      </c>
      <c r="AK43" s="132">
        <v>0</v>
      </c>
      <c r="AL43" s="132">
        <v>0</v>
      </c>
      <c r="AM43" s="132">
        <v>0</v>
      </c>
      <c r="AN43" s="132">
        <v>0</v>
      </c>
      <c r="AO43" s="132">
        <v>348</v>
      </c>
      <c r="AP43" s="132">
        <v>348</v>
      </c>
      <c r="AQ43" s="132">
        <v>348</v>
      </c>
      <c r="AR43" s="132">
        <v>348</v>
      </c>
      <c r="AS43" s="133">
        <v>348</v>
      </c>
      <c r="AT43" s="133">
        <v>348</v>
      </c>
      <c r="AU43" s="133">
        <v>348</v>
      </c>
      <c r="AV43" s="133">
        <v>348</v>
      </c>
      <c r="AW43" s="133">
        <v>348</v>
      </c>
      <c r="AX43" s="133">
        <v>348</v>
      </c>
      <c r="AY43" s="133">
        <v>348</v>
      </c>
      <c r="AZ43" s="133">
        <v>348</v>
      </c>
      <c r="BA43" s="133">
        <v>348</v>
      </c>
      <c r="BB43" s="132">
        <v>0</v>
      </c>
      <c r="BC43" s="132">
        <v>0</v>
      </c>
      <c r="BD43" s="132">
        <v>0</v>
      </c>
      <c r="BE43" s="133">
        <v>0</v>
      </c>
      <c r="BG43" s="88" t="s">
        <v>161</v>
      </c>
      <c r="BH43" s="80">
        <v>13.35</v>
      </c>
      <c r="BJ43" s="88" t="s">
        <v>161</v>
      </c>
      <c r="BK43" s="80">
        <v>12.59</v>
      </c>
    </row>
    <row r="44" spans="3:63" ht="19.25" customHeight="1" x14ac:dyDescent="0.35">
      <c r="C44" s="399" t="s">
        <v>144</v>
      </c>
      <c r="D44" s="399"/>
      <c r="E44" s="399"/>
      <c r="F44" s="399"/>
      <c r="G44" s="399"/>
      <c r="H44" s="399"/>
      <c r="I44" s="80"/>
      <c r="K44" s="80" t="str">
        <f>K43&amp;L40</f>
        <v>AdquisicionPremier</v>
      </c>
      <c r="L44" s="61" t="s">
        <v>80</v>
      </c>
      <c r="N44" s="80" t="s">
        <v>185</v>
      </c>
      <c r="O44" s="216" t="e">
        <f>IF(H25/D26&lt;=50%,50%,IF(H25/D26&lt;=80%,80%,""))</f>
        <v>#DIV/0!</v>
      </c>
      <c r="T44" s="135" t="s">
        <v>73</v>
      </c>
      <c r="U44" s="136">
        <v>20.86</v>
      </c>
      <c r="V44" s="136">
        <v>12.91</v>
      </c>
      <c r="W44" s="136">
        <v>10.56</v>
      </c>
      <c r="X44" s="137">
        <v>9.4499999999999993</v>
      </c>
      <c r="Y44" s="137">
        <v>21</v>
      </c>
      <c r="Z44" s="137">
        <v>21.25</v>
      </c>
      <c r="AA44" s="136">
        <v>21.44</v>
      </c>
      <c r="AB44" s="136">
        <v>13.08</v>
      </c>
      <c r="AC44" s="136">
        <v>13.35</v>
      </c>
      <c r="AD44" s="136">
        <v>13.58</v>
      </c>
      <c r="AE44" s="138">
        <v>10.75</v>
      </c>
      <c r="AF44" s="136">
        <v>11.05</v>
      </c>
      <c r="AG44" s="136">
        <v>11.3</v>
      </c>
      <c r="AH44" s="136">
        <v>9.65</v>
      </c>
      <c r="AI44" s="136">
        <v>9.98</v>
      </c>
      <c r="AJ44" s="136">
        <v>10.25</v>
      </c>
      <c r="AK44" s="136">
        <v>21.1</v>
      </c>
      <c r="AL44" s="136">
        <v>13.19</v>
      </c>
      <c r="AM44" s="136">
        <v>10.87</v>
      </c>
      <c r="AN44" s="136">
        <v>9.7799999999999994</v>
      </c>
      <c r="AO44" s="136">
        <v>20.86</v>
      </c>
      <c r="AP44" s="136">
        <v>12.91</v>
      </c>
      <c r="AQ44" s="136">
        <v>10.56</v>
      </c>
      <c r="AR44" s="136">
        <v>9.4499999999999993</v>
      </c>
      <c r="AS44" s="136">
        <v>21.99</v>
      </c>
      <c r="AT44" s="136">
        <v>14.2</v>
      </c>
      <c r="AU44" s="136">
        <v>12</v>
      </c>
      <c r="AV44" s="136">
        <v>22.24</v>
      </c>
      <c r="AW44" s="136">
        <v>22.75</v>
      </c>
      <c r="AX44" s="136">
        <v>14.49</v>
      </c>
      <c r="AY44" s="136">
        <v>15.08</v>
      </c>
      <c r="AZ44" s="136">
        <v>12.33</v>
      </c>
      <c r="BA44" s="136">
        <v>12.98</v>
      </c>
      <c r="BB44" s="136">
        <v>20.95</v>
      </c>
      <c r="BC44" s="136">
        <v>13.02</v>
      </c>
      <c r="BD44" s="136">
        <v>10.68</v>
      </c>
      <c r="BE44" s="136">
        <v>9.58</v>
      </c>
      <c r="BG44" s="210" t="s">
        <v>165</v>
      </c>
      <c r="BH44" s="80">
        <v>13.58</v>
      </c>
      <c r="BJ44" s="88" t="s">
        <v>165</v>
      </c>
      <c r="BK44" s="80">
        <v>12.81</v>
      </c>
    </row>
    <row r="45" spans="3:63" ht="18.75" customHeight="1" x14ac:dyDescent="0.35">
      <c r="I45" s="80"/>
      <c r="L45" s="80" t="str">
        <f>(IF(D21&amp;D16=N7&amp;L40,N4,D21))</f>
        <v>Adquisicion</v>
      </c>
      <c r="M45" s="80" t="str">
        <f>D21&amp;D16&amp;D28&amp;O50</f>
        <v>Adquisicion0.9</v>
      </c>
      <c r="N45" s="80" t="s">
        <v>186</v>
      </c>
      <c r="O45" s="249" t="e">
        <f>IF(AND(D22="CI+CB",D24="SI"),90%,IF(OR(H25/D26&lt;=90%,D22=O5,D22=O6),90%,90%))</f>
        <v>#DIV/0!</v>
      </c>
      <c r="T45" s="139" t="s">
        <v>74</v>
      </c>
      <c r="U45" s="140">
        <v>21.49</v>
      </c>
      <c r="V45" s="140">
        <v>13.54</v>
      </c>
      <c r="W45" s="140">
        <v>11.19</v>
      </c>
      <c r="X45" s="141">
        <v>10.08</v>
      </c>
      <c r="Y45" s="141">
        <v>21.97</v>
      </c>
      <c r="Z45" s="141">
        <v>22.22</v>
      </c>
      <c r="AA45" s="140">
        <v>22.41</v>
      </c>
      <c r="AB45" s="140">
        <v>14.05</v>
      </c>
      <c r="AC45" s="140">
        <v>14.32</v>
      </c>
      <c r="AD45" s="140">
        <v>14.55</v>
      </c>
      <c r="AE45" s="142">
        <v>11.72</v>
      </c>
      <c r="AF45" s="140">
        <v>12.02</v>
      </c>
      <c r="AG45" s="140">
        <v>12.27</v>
      </c>
      <c r="AH45" s="140">
        <v>10.62</v>
      </c>
      <c r="AI45" s="140">
        <v>10.95</v>
      </c>
      <c r="AJ45" s="140">
        <v>11.22</v>
      </c>
      <c r="AK45" s="136">
        <v>21.73</v>
      </c>
      <c r="AL45" s="136">
        <v>13.82</v>
      </c>
      <c r="AM45" s="136">
        <v>11.5</v>
      </c>
      <c r="AN45" s="136">
        <v>10.41</v>
      </c>
      <c r="AO45" s="136">
        <v>21.83</v>
      </c>
      <c r="AP45" s="136">
        <v>13.88</v>
      </c>
      <c r="AQ45" s="136">
        <v>11.53</v>
      </c>
      <c r="AR45" s="136">
        <v>10.42</v>
      </c>
      <c r="AS45" s="136">
        <v>22.96</v>
      </c>
      <c r="AT45" s="136">
        <v>15.17</v>
      </c>
      <c r="AU45" s="136">
        <v>12.97</v>
      </c>
      <c r="AV45" s="136">
        <v>23.21</v>
      </c>
      <c r="AW45" s="136">
        <v>23.72</v>
      </c>
      <c r="AX45" s="136">
        <v>15.46</v>
      </c>
      <c r="AY45" s="136">
        <v>16.05</v>
      </c>
      <c r="AZ45" s="136">
        <v>13.3</v>
      </c>
      <c r="BA45" s="136">
        <v>13.95</v>
      </c>
      <c r="BB45" s="136">
        <v>21.58</v>
      </c>
      <c r="BC45" s="136">
        <v>13.65</v>
      </c>
      <c r="BD45" s="136">
        <v>11.31</v>
      </c>
      <c r="BE45" s="136">
        <v>10.210000000000001</v>
      </c>
      <c r="BG45" s="104" t="s">
        <v>158</v>
      </c>
      <c r="BH45" s="80">
        <v>10.75</v>
      </c>
      <c r="BJ45" s="104" t="s">
        <v>158</v>
      </c>
      <c r="BK45" s="80">
        <v>9.879999999999999</v>
      </c>
    </row>
    <row r="46" spans="3:63" ht="18.75" customHeight="1" thickBot="1" x14ac:dyDescent="0.4">
      <c r="C46" s="186"/>
      <c r="D46" s="186"/>
      <c r="E46" s="186"/>
      <c r="F46" s="186"/>
      <c r="G46" s="186"/>
      <c r="H46" s="186" t="s">
        <v>506</v>
      </c>
      <c r="I46" s="80"/>
      <c r="L46" s="80" t="str">
        <f>(IF(D21&amp;D16=N7&amp;L40,N4,D21)&amp;D16&amp;D28)</f>
        <v>Adquisicion</v>
      </c>
      <c r="N46" s="80" t="s">
        <v>187</v>
      </c>
      <c r="O46" s="278" t="e">
        <f>IF(H25/D26&lt;=50%,50%,IF(H25/D26&lt;=80%,80%,""))</f>
        <v>#DIV/0!</v>
      </c>
      <c r="T46" s="143" t="s">
        <v>75</v>
      </c>
      <c r="U46" s="144">
        <v>0.11213950516192828</v>
      </c>
      <c r="V46" s="144">
        <v>0.11238446445089667</v>
      </c>
      <c r="W46" s="144">
        <v>0.11361706845991981</v>
      </c>
      <c r="X46" s="145">
        <v>0.11264460203402682</v>
      </c>
      <c r="Y46" s="145">
        <v>0.13198320089555771</v>
      </c>
      <c r="Z46" s="145">
        <v>0.13319946505480273</v>
      </c>
      <c r="AA46" s="144">
        <v>0.13668198273306742</v>
      </c>
      <c r="AB46" s="144">
        <v>0.12857183383655157</v>
      </c>
      <c r="AC46" s="144">
        <v>0.13020070310236886</v>
      </c>
      <c r="AD46" s="144">
        <v>0.13410276462271575</v>
      </c>
      <c r="AE46" s="146">
        <v>0.12804706074257388</v>
      </c>
      <c r="AF46" s="144">
        <v>0.13008291613502432</v>
      </c>
      <c r="AG46" s="144">
        <v>0.13395739046234523</v>
      </c>
      <c r="AH46" s="144">
        <v>0.1259378519861849</v>
      </c>
      <c r="AI46" s="144">
        <v>0.12832814856680086</v>
      </c>
      <c r="AJ46" s="144">
        <v>0.13224471205418364</v>
      </c>
      <c r="AK46" s="147">
        <v>0.12237483200502286</v>
      </c>
      <c r="AL46" s="147">
        <v>0.12061308106735935</v>
      </c>
      <c r="AM46" s="147">
        <v>0.12113792215525998</v>
      </c>
      <c r="AN46" s="147">
        <v>0.11974164629389961</v>
      </c>
      <c r="AO46" s="147">
        <v>0.11720434851948447</v>
      </c>
      <c r="AP46" s="147">
        <v>0.11736673509352302</v>
      </c>
      <c r="AQ46" s="147">
        <v>0.11824046255321652</v>
      </c>
      <c r="AR46" s="147">
        <v>0.11697777051859437</v>
      </c>
      <c r="AS46" s="148">
        <v>0.14509563989459018</v>
      </c>
      <c r="AT46" s="148">
        <v>0.14418387167102664</v>
      </c>
      <c r="AU46" s="148">
        <v>0.14461230113292745</v>
      </c>
      <c r="AV46" s="147">
        <v>0.16224714314860411</v>
      </c>
      <c r="AW46" s="147">
        <v>0.16974319322659781</v>
      </c>
      <c r="AX46" s="147">
        <v>0.15731709122130932</v>
      </c>
      <c r="AY46" s="147">
        <v>0.16544345081798584</v>
      </c>
      <c r="AZ46" s="147">
        <v>0.15656553142642138</v>
      </c>
      <c r="BA46" s="147">
        <v>0.16490077445726326</v>
      </c>
      <c r="BB46" s="147">
        <v>0.11414335184379265</v>
      </c>
      <c r="BC46" s="147">
        <v>0.11454557953386058</v>
      </c>
      <c r="BD46" s="147">
        <v>0.11574011843035104</v>
      </c>
      <c r="BE46" s="147">
        <v>0.11476994775873295</v>
      </c>
      <c r="BG46" s="88" t="s">
        <v>162</v>
      </c>
      <c r="BH46" s="80">
        <v>11.05</v>
      </c>
      <c r="BJ46" s="88" t="s">
        <v>162</v>
      </c>
      <c r="BK46" s="80">
        <v>10.17</v>
      </c>
    </row>
    <row r="47" spans="3:63" ht="30" customHeight="1" x14ac:dyDescent="0.35">
      <c r="C47" s="399" t="s">
        <v>219</v>
      </c>
      <c r="D47" s="399"/>
      <c r="E47" s="399"/>
      <c r="F47" s="399"/>
      <c r="G47" s="399"/>
      <c r="H47" s="399"/>
      <c r="I47" s="80"/>
      <c r="L47" s="80" t="str">
        <f>(IF(D21&amp;D16=N7&amp;L40,N4,D21)&amp;D16&amp;D28&amp;O50)</f>
        <v>Adquisicion0.9</v>
      </c>
      <c r="M47" s="80" t="str">
        <f>M6&amp;N4</f>
        <v>Por Valor de la ViviendaAdquisicion</v>
      </c>
      <c r="N47" s="80" t="s">
        <v>188</v>
      </c>
      <c r="O47" s="216" t="e">
        <f>IF(H25/D26&lt;=95%,90%,"")</f>
        <v>#DIV/0!</v>
      </c>
      <c r="T47" s="149"/>
      <c r="U47" s="150"/>
      <c r="V47" s="150"/>
      <c r="W47" s="150"/>
      <c r="X47" s="150"/>
      <c r="Y47" s="150"/>
      <c r="Z47" s="150"/>
      <c r="AA47" s="150"/>
      <c r="AB47" s="150"/>
      <c r="AC47" s="150"/>
      <c r="AD47" s="150"/>
      <c r="AE47" s="150"/>
      <c r="AF47" s="150"/>
      <c r="AG47" s="150"/>
      <c r="AH47" s="150"/>
      <c r="AI47" s="150"/>
      <c r="AJ47" s="150"/>
      <c r="AK47" s="150"/>
      <c r="AL47" s="150"/>
      <c r="AM47" s="150"/>
      <c r="AN47" s="150"/>
      <c r="AO47" s="150"/>
      <c r="AP47" s="150"/>
      <c r="AQ47" s="150"/>
      <c r="AR47" s="150"/>
      <c r="AS47" s="150"/>
      <c r="AT47" s="150"/>
      <c r="AU47" s="150"/>
      <c r="AV47" s="150"/>
      <c r="AW47" s="150"/>
      <c r="AX47" s="150"/>
      <c r="AY47" s="150"/>
      <c r="AZ47" s="150"/>
      <c r="BA47" s="150"/>
      <c r="BB47" s="151"/>
      <c r="BC47" s="151"/>
      <c r="BD47" s="151"/>
      <c r="BE47" s="151"/>
      <c r="BG47" s="88" t="s">
        <v>166</v>
      </c>
      <c r="BH47" s="80">
        <v>11.3</v>
      </c>
      <c r="BJ47" s="88" t="s">
        <v>166</v>
      </c>
      <c r="BK47" s="80">
        <v>10.41</v>
      </c>
    </row>
    <row r="48" spans="3:63" ht="30" customHeight="1" x14ac:dyDescent="0.35">
      <c r="C48" s="80"/>
      <c r="D48" s="80"/>
      <c r="F48" s="80"/>
      <c r="G48" s="80"/>
      <c r="H48" s="80"/>
      <c r="I48" s="80"/>
      <c r="L48" s="80" t="str">
        <f>(IF(D21&amp;D16=N7&amp;L40,N4,D21)&amp;D28)</f>
        <v>Adquisicion</v>
      </c>
      <c r="M48" s="80" t="str">
        <f>M6&amp;N7</f>
        <v>Por Valor de la ViviendaExclusiva</v>
      </c>
      <c r="N48" s="80" t="s">
        <v>189</v>
      </c>
      <c r="O48" s="216" t="e">
        <f>IF(H25/D26&lt;=95%,90%,"")</f>
        <v>#DIV/0!</v>
      </c>
      <c r="T48" s="149"/>
      <c r="U48" s="150"/>
      <c r="V48" s="150"/>
      <c r="W48" s="150"/>
      <c r="X48" s="150"/>
      <c r="Y48" s="150"/>
      <c r="Z48" s="150"/>
      <c r="AA48" s="150"/>
      <c r="AB48" s="150"/>
      <c r="AC48" s="150"/>
      <c r="AD48" s="150"/>
      <c r="AE48" s="150"/>
      <c r="AF48" s="150"/>
      <c r="AG48" s="150"/>
      <c r="AH48" s="150"/>
      <c r="AI48" s="150"/>
      <c r="AJ48" s="150"/>
      <c r="AK48" s="150"/>
      <c r="AL48" s="150"/>
      <c r="AM48" s="150"/>
      <c r="AN48" s="150"/>
      <c r="AO48" s="150"/>
      <c r="AP48" s="150"/>
      <c r="AQ48" s="150"/>
      <c r="AR48" s="150"/>
      <c r="AS48" s="150"/>
      <c r="AT48" s="150"/>
      <c r="AU48" s="150"/>
      <c r="AV48" s="150"/>
      <c r="AW48" s="150"/>
      <c r="AX48" s="150"/>
      <c r="AY48" s="150"/>
      <c r="AZ48" s="150"/>
      <c r="BA48" s="150"/>
      <c r="BB48" s="151"/>
      <c r="BC48" s="151"/>
      <c r="BD48" s="151"/>
      <c r="BE48" s="151"/>
      <c r="BG48" s="88" t="s">
        <v>159</v>
      </c>
      <c r="BH48" s="80">
        <v>9.65</v>
      </c>
      <c r="BJ48" s="88" t="s">
        <v>159</v>
      </c>
      <c r="BK48" s="80">
        <v>8.69</v>
      </c>
    </row>
    <row r="49" spans="3:63" ht="30" hidden="1" customHeight="1" x14ac:dyDescent="0.35">
      <c r="C49" s="80"/>
      <c r="D49" s="80"/>
      <c r="F49" s="80"/>
      <c r="G49" s="80"/>
      <c r="H49" s="80"/>
      <c r="I49" s="80"/>
      <c r="L49" s="80" t="str">
        <f>(IF(D21&amp;D16=N7&amp;L40,N4,D21)&amp;D28)</f>
        <v>Adquisicion</v>
      </c>
      <c r="M49" s="80" t="str">
        <f>M4&amp;N8</f>
        <v>Por monto de crédito y valor de la viviendaPago Hipoteca+Liquidez</v>
      </c>
      <c r="N49" s="80" t="s">
        <v>433</v>
      </c>
      <c r="O49" s="122">
        <v>0.9</v>
      </c>
      <c r="T49" s="149"/>
      <c r="U49" s="150"/>
      <c r="V49" s="150"/>
      <c r="W49" s="150"/>
      <c r="X49" s="150"/>
      <c r="Y49" s="150"/>
      <c r="Z49" s="150"/>
      <c r="AA49" s="150"/>
      <c r="AB49" s="150"/>
      <c r="AC49" s="150"/>
      <c r="AD49" s="150"/>
      <c r="AE49" s="150"/>
      <c r="AF49" s="150"/>
      <c r="AG49" s="150"/>
      <c r="AH49" s="150"/>
      <c r="AI49" s="150"/>
      <c r="AJ49" s="150"/>
      <c r="AK49" s="150"/>
      <c r="AL49" s="150"/>
      <c r="AM49" s="150"/>
      <c r="AN49" s="150"/>
      <c r="AO49" s="150"/>
      <c r="AP49" s="150"/>
      <c r="AQ49" s="150"/>
      <c r="AR49" s="150"/>
      <c r="AS49" s="150"/>
      <c r="AT49" s="150"/>
      <c r="AU49" s="152"/>
      <c r="AV49" s="150"/>
      <c r="AW49" s="150"/>
      <c r="AX49" s="150"/>
      <c r="AY49" s="150"/>
      <c r="AZ49" s="150"/>
      <c r="BA49" s="150"/>
      <c r="BB49" s="153"/>
      <c r="BC49" s="153"/>
      <c r="BD49" s="153"/>
      <c r="BE49" s="153"/>
      <c r="BG49" s="104" t="s">
        <v>163</v>
      </c>
      <c r="BH49" s="80">
        <v>9.98</v>
      </c>
      <c r="BJ49" s="104" t="s">
        <v>163</v>
      </c>
      <c r="BK49" s="80">
        <v>9.01</v>
      </c>
    </row>
    <row r="50" spans="3:63" ht="30" hidden="1" customHeight="1" x14ac:dyDescent="0.35">
      <c r="C50" s="80"/>
      <c r="D50" s="80"/>
      <c r="F50" s="80"/>
      <c r="G50" s="80"/>
      <c r="H50" s="80"/>
      <c r="I50" s="80"/>
      <c r="L50" s="80" t="str">
        <f>(IF(D21&amp;D16=N7&amp;L40,N4,D21)&amp;D16&amp;D28)</f>
        <v>Adquisicion</v>
      </c>
      <c r="M50" s="80" t="str">
        <f>M6&amp;N8</f>
        <v>Por Valor de la ViviendaPago Hipoteca+Liquidez</v>
      </c>
      <c r="N50" s="87" t="s">
        <v>71</v>
      </c>
      <c r="O50" s="319">
        <f>IF(D21=N4,O42,IF(D21=N5,O43,IF(D21=N6,O44,IF(D21=N7,O47,IF(D21=N9,O49)))))</f>
        <v>0.9</v>
      </c>
      <c r="U50" s="75" t="s">
        <v>76</v>
      </c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75"/>
      <c r="AJ50" s="75"/>
      <c r="AK50" s="75"/>
      <c r="AL50" s="75"/>
      <c r="AM50" s="75"/>
      <c r="AN50" s="75"/>
      <c r="AO50" s="75"/>
      <c r="AP50" s="75"/>
      <c r="AQ50" s="75"/>
      <c r="AR50" s="75"/>
      <c r="AS50" s="75"/>
      <c r="AT50" s="75"/>
      <c r="AU50" s="75"/>
      <c r="AV50" s="75"/>
      <c r="AW50" s="75"/>
      <c r="AX50" s="75"/>
      <c r="AY50" s="75"/>
      <c r="AZ50" s="75"/>
      <c r="BA50" s="75"/>
      <c r="BG50" s="88" t="s">
        <v>167</v>
      </c>
      <c r="BH50" s="80">
        <v>10.25</v>
      </c>
      <c r="BJ50" s="88" t="s">
        <v>167</v>
      </c>
      <c r="BK50" s="80">
        <v>9.27</v>
      </c>
    </row>
    <row r="51" spans="3:63" ht="30" hidden="1" customHeight="1" thickBot="1" x14ac:dyDescent="0.4">
      <c r="C51" s="80"/>
      <c r="D51" s="80"/>
      <c r="F51" s="80"/>
      <c r="G51" s="80"/>
      <c r="H51" s="80"/>
      <c r="I51" s="80"/>
      <c r="L51" s="61" t="s">
        <v>71</v>
      </c>
      <c r="M51" s="80" t="str">
        <f>M5&amp;N8</f>
        <v>Por ingresos del clientePago Hipoteca+Liquidez</v>
      </c>
      <c r="BG51" s="88" t="s">
        <v>168</v>
      </c>
      <c r="BH51" s="80">
        <v>21.1</v>
      </c>
      <c r="BJ51" s="88" t="s">
        <v>168</v>
      </c>
      <c r="BK51" s="80">
        <v>20.5</v>
      </c>
    </row>
    <row r="52" spans="3:63" ht="30" hidden="1" customHeight="1" thickBot="1" x14ac:dyDescent="0.4">
      <c r="C52" s="80"/>
      <c r="D52" s="80"/>
      <c r="F52" s="80"/>
      <c r="G52" s="80"/>
      <c r="H52" s="80"/>
      <c r="I52" s="80"/>
      <c r="L52" s="154">
        <f>IF($L$45="LiquidezPremier",N52,M52)</f>
        <v>0.5</v>
      </c>
      <c r="M52" s="131">
        <v>0.5</v>
      </c>
      <c r="N52" s="131">
        <v>0.7</v>
      </c>
      <c r="O52" s="131">
        <v>0.85</v>
      </c>
      <c r="T52" s="89" t="s">
        <v>54</v>
      </c>
      <c r="U52" s="90" t="s">
        <v>55</v>
      </c>
      <c r="V52" s="91"/>
      <c r="W52" s="91"/>
      <c r="X52" s="92"/>
      <c r="Y52" s="93" t="s">
        <v>56</v>
      </c>
      <c r="Z52" s="94"/>
      <c r="AA52" s="94"/>
      <c r="AB52" s="94"/>
      <c r="AC52" s="94"/>
      <c r="AD52" s="94"/>
      <c r="AE52" s="94"/>
      <c r="AF52" s="94"/>
      <c r="AG52" s="94"/>
      <c r="AH52" s="94"/>
      <c r="AI52" s="94"/>
      <c r="AJ52" s="94"/>
      <c r="AK52" s="93" t="s">
        <v>57</v>
      </c>
      <c r="AL52" s="94"/>
      <c r="AM52" s="94"/>
      <c r="AN52" s="95"/>
      <c r="AO52" s="93" t="s">
        <v>58</v>
      </c>
      <c r="AP52" s="94"/>
      <c r="AQ52" s="94"/>
      <c r="AR52" s="95"/>
      <c r="BB52" s="93" t="s">
        <v>61</v>
      </c>
      <c r="BC52" s="94"/>
      <c r="BD52" s="94"/>
      <c r="BE52" s="95"/>
      <c r="BG52" s="80" t="s">
        <v>169</v>
      </c>
      <c r="BH52" s="80">
        <v>13.19</v>
      </c>
      <c r="BJ52" s="80" t="s">
        <v>169</v>
      </c>
      <c r="BK52" s="80">
        <v>12.43</v>
      </c>
    </row>
    <row r="53" spans="3:63" ht="30" hidden="1" customHeight="1" thickBot="1" x14ac:dyDescent="0.4">
      <c r="F53" s="80"/>
      <c r="G53" s="80"/>
      <c r="H53" s="80"/>
      <c r="I53" s="80"/>
      <c r="L53" s="154">
        <f>IF($L$45="LiquidezPremier",N53,M53)</f>
        <v>0.7</v>
      </c>
      <c r="M53" s="131">
        <v>0.7</v>
      </c>
      <c r="N53" s="131">
        <v>0.7</v>
      </c>
      <c r="O53" s="131">
        <v>0.85</v>
      </c>
      <c r="T53" s="89"/>
      <c r="U53" s="98" t="s">
        <v>62</v>
      </c>
      <c r="V53" s="99" t="s">
        <v>63</v>
      </c>
      <c r="W53" s="99" t="s">
        <v>64</v>
      </c>
      <c r="X53" s="99" t="s">
        <v>65</v>
      </c>
      <c r="Y53" s="100" t="s">
        <v>62</v>
      </c>
      <c r="Z53" s="101" t="s">
        <v>62</v>
      </c>
      <c r="AA53" s="102" t="s">
        <v>62</v>
      </c>
      <c r="AB53" s="98" t="s">
        <v>63</v>
      </c>
      <c r="AC53" s="99" t="s">
        <v>63</v>
      </c>
      <c r="AD53" s="103" t="s">
        <v>63</v>
      </c>
      <c r="AE53" s="99" t="s">
        <v>64</v>
      </c>
      <c r="AF53" s="99" t="s">
        <v>64</v>
      </c>
      <c r="AG53" s="103" t="s">
        <v>65</v>
      </c>
      <c r="AH53" s="100" t="s">
        <v>65</v>
      </c>
      <c r="AI53" s="101" t="s">
        <v>65</v>
      </c>
      <c r="AJ53" s="101" t="s">
        <v>65</v>
      </c>
      <c r="AK53" s="98" t="s">
        <v>62</v>
      </c>
      <c r="AL53" s="99" t="s">
        <v>63</v>
      </c>
      <c r="AM53" s="99" t="s">
        <v>64</v>
      </c>
      <c r="AN53" s="103" t="s">
        <v>65</v>
      </c>
      <c r="AO53" s="98" t="s">
        <v>62</v>
      </c>
      <c r="AP53" s="99" t="s">
        <v>63</v>
      </c>
      <c r="AQ53" s="99" t="s">
        <v>64</v>
      </c>
      <c r="AR53" s="103" t="s">
        <v>65</v>
      </c>
      <c r="BB53" s="98" t="s">
        <v>62</v>
      </c>
      <c r="BC53" s="99" t="s">
        <v>63</v>
      </c>
      <c r="BD53" s="99" t="s">
        <v>64</v>
      </c>
      <c r="BE53" s="103" t="s">
        <v>65</v>
      </c>
      <c r="BG53" s="80" t="s">
        <v>170</v>
      </c>
      <c r="BH53" s="80">
        <v>10.87</v>
      </c>
      <c r="BJ53" s="80" t="s">
        <v>170</v>
      </c>
      <c r="BK53" s="80">
        <v>10</v>
      </c>
    </row>
    <row r="54" spans="3:63" ht="30" hidden="1" customHeight="1" x14ac:dyDescent="0.35">
      <c r="C54" s="80"/>
      <c r="D54" s="80"/>
      <c r="F54" s="80"/>
      <c r="G54" s="80"/>
      <c r="H54" s="80"/>
      <c r="I54" s="80"/>
      <c r="L54" s="154">
        <f>IF($L$45="LiquidezPremier",N54,M54)</f>
        <v>0.75</v>
      </c>
      <c r="M54" s="131">
        <v>0.75</v>
      </c>
      <c r="N54" s="131">
        <v>0.7</v>
      </c>
      <c r="O54" s="131">
        <v>0.85</v>
      </c>
      <c r="T54" s="106" t="s">
        <v>66</v>
      </c>
      <c r="U54" s="107">
        <v>9.1999999999999998E-2</v>
      </c>
      <c r="V54" s="107">
        <v>9.4500000000000001E-2</v>
      </c>
      <c r="W54" s="107">
        <v>9.7000000000000003E-2</v>
      </c>
      <c r="X54" s="107">
        <v>9.7000000000000003E-2</v>
      </c>
      <c r="Y54" s="107">
        <v>9.5000000000000001E-2</v>
      </c>
      <c r="Z54" s="107">
        <v>9.9999999999999992E-2</v>
      </c>
      <c r="AA54" s="107">
        <v>0.104</v>
      </c>
      <c r="AB54" s="107">
        <v>9.7500000000000003E-2</v>
      </c>
      <c r="AC54" s="107">
        <v>0.10249999999999999</v>
      </c>
      <c r="AD54" s="107">
        <v>0.1065</v>
      </c>
      <c r="AE54" s="107">
        <v>0.1</v>
      </c>
      <c r="AF54" s="107">
        <v>0.105</v>
      </c>
      <c r="AG54" s="107">
        <v>0.109</v>
      </c>
      <c r="AH54" s="107">
        <v>0.1</v>
      </c>
      <c r="AI54" s="107">
        <v>0.105</v>
      </c>
      <c r="AJ54" s="107">
        <v>0.109</v>
      </c>
      <c r="AK54" s="107">
        <v>9.6999999999999989E-2</v>
      </c>
      <c r="AL54" s="107">
        <v>9.9499999999999991E-2</v>
      </c>
      <c r="AM54" s="107">
        <v>0.10199999999999999</v>
      </c>
      <c r="AN54" s="107">
        <v>0.10199999999999999</v>
      </c>
      <c r="AO54" s="107">
        <v>9.1999999999999998E-2</v>
      </c>
      <c r="AP54" s="107">
        <v>9.4500000000000001E-2</v>
      </c>
      <c r="AQ54" s="107">
        <v>9.7000000000000003E-2</v>
      </c>
      <c r="AR54" s="107">
        <v>9.7000000000000003E-2</v>
      </c>
      <c r="BB54" s="107">
        <v>9.4E-2</v>
      </c>
      <c r="BC54" s="107">
        <v>9.6500000000000002E-2</v>
      </c>
      <c r="BD54" s="107">
        <v>9.9000000000000005E-2</v>
      </c>
      <c r="BE54" s="107">
        <v>9.9000000000000005E-2</v>
      </c>
      <c r="BG54" s="80" t="s">
        <v>171</v>
      </c>
      <c r="BH54" s="80">
        <v>9.7799999999999994</v>
      </c>
      <c r="BJ54" s="80" t="s">
        <v>171</v>
      </c>
      <c r="BK54" s="80">
        <v>8.82</v>
      </c>
    </row>
    <row r="55" spans="3:63" ht="30" hidden="1" customHeight="1" x14ac:dyDescent="0.35">
      <c r="C55" s="80"/>
      <c r="D55" s="80"/>
      <c r="F55" s="175"/>
      <c r="G55" s="181"/>
      <c r="H55" s="182"/>
      <c r="I55" s="84"/>
      <c r="L55" s="154">
        <f>IF($L$45="LiquidezPremier",N55,M55)</f>
        <v>0.85</v>
      </c>
      <c r="M55" s="131">
        <v>0.85</v>
      </c>
      <c r="N55" s="131">
        <v>0.7</v>
      </c>
      <c r="O55" s="131">
        <v>0.85</v>
      </c>
      <c r="T55" s="111" t="s">
        <v>67</v>
      </c>
      <c r="U55" s="112">
        <v>0</v>
      </c>
      <c r="V55" s="112">
        <v>0</v>
      </c>
      <c r="W55" s="112">
        <v>0</v>
      </c>
      <c r="X55" s="112">
        <v>0</v>
      </c>
      <c r="Y55" s="112">
        <v>0.01</v>
      </c>
      <c r="Z55" s="112">
        <v>0.01</v>
      </c>
      <c r="AA55" s="112">
        <v>0.01</v>
      </c>
      <c r="AB55" s="112">
        <v>0.01</v>
      </c>
      <c r="AC55" s="112">
        <v>0.01</v>
      </c>
      <c r="AD55" s="112">
        <v>0.01</v>
      </c>
      <c r="AE55" s="112">
        <v>0.01</v>
      </c>
      <c r="AF55" s="112">
        <v>0.01</v>
      </c>
      <c r="AG55" s="112">
        <v>0.01</v>
      </c>
      <c r="AH55" s="112">
        <v>0.01</v>
      </c>
      <c r="AI55" s="112">
        <v>0.01</v>
      </c>
      <c r="AJ55" s="112">
        <v>0.01</v>
      </c>
      <c r="AK55" s="115">
        <v>0.01</v>
      </c>
      <c r="AL55" s="115">
        <v>0.01</v>
      </c>
      <c r="AM55" s="115">
        <v>0.01</v>
      </c>
      <c r="AN55" s="115">
        <v>0.01</v>
      </c>
      <c r="AO55" s="117">
        <v>0</v>
      </c>
      <c r="AP55" s="117">
        <v>0</v>
      </c>
      <c r="AQ55" s="117">
        <v>0</v>
      </c>
      <c r="AR55" s="117">
        <v>0</v>
      </c>
      <c r="BB55" s="117">
        <v>0</v>
      </c>
      <c r="BC55" s="117">
        <v>0</v>
      </c>
      <c r="BD55" s="117">
        <v>0</v>
      </c>
      <c r="BE55" s="117">
        <v>0</v>
      </c>
      <c r="BG55" s="80" t="s">
        <v>148</v>
      </c>
      <c r="BH55" s="80">
        <v>20.86</v>
      </c>
      <c r="BJ55" s="80" t="s">
        <v>148</v>
      </c>
      <c r="BK55" s="80">
        <v>20.260000000000002</v>
      </c>
    </row>
    <row r="56" spans="3:63" ht="30" hidden="1" customHeight="1" thickBot="1" x14ac:dyDescent="0.4">
      <c r="C56" s="80"/>
      <c r="D56" s="80"/>
      <c r="F56" s="176"/>
      <c r="G56" s="155"/>
      <c r="H56" s="79"/>
      <c r="I56" s="84"/>
      <c r="L56" s="154">
        <f>IF($L$45="LiquidezPremier",N56,M56)</f>
        <v>0.9</v>
      </c>
      <c r="M56" s="131">
        <v>0.9</v>
      </c>
      <c r="N56" s="131">
        <v>0.7</v>
      </c>
      <c r="O56" s="131">
        <v>0.85</v>
      </c>
      <c r="T56" s="111" t="s">
        <v>68</v>
      </c>
      <c r="U56" s="119">
        <v>0</v>
      </c>
      <c r="V56" s="119">
        <v>0</v>
      </c>
      <c r="W56" s="119">
        <v>0</v>
      </c>
      <c r="X56" s="119">
        <v>0</v>
      </c>
      <c r="Y56" s="119">
        <v>0</v>
      </c>
      <c r="Z56" s="119">
        <v>0</v>
      </c>
      <c r="AA56" s="119">
        <v>0</v>
      </c>
      <c r="AB56" s="119">
        <v>0</v>
      </c>
      <c r="AC56" s="119">
        <v>0</v>
      </c>
      <c r="AD56" s="119">
        <v>0</v>
      </c>
      <c r="AE56" s="119">
        <v>0</v>
      </c>
      <c r="AF56" s="119">
        <v>0</v>
      </c>
      <c r="AG56" s="119">
        <v>0</v>
      </c>
      <c r="AH56" s="119">
        <v>0</v>
      </c>
      <c r="AI56" s="119">
        <v>0</v>
      </c>
      <c r="AJ56" s="119">
        <v>0</v>
      </c>
      <c r="AK56" s="119">
        <v>0</v>
      </c>
      <c r="AL56" s="119">
        <v>0</v>
      </c>
      <c r="AM56" s="119">
        <v>0</v>
      </c>
      <c r="AN56" s="119">
        <v>0</v>
      </c>
      <c r="AO56" s="119">
        <v>0</v>
      </c>
      <c r="AP56" s="119">
        <v>0</v>
      </c>
      <c r="AQ56" s="119">
        <v>0</v>
      </c>
      <c r="AR56" s="119">
        <v>0</v>
      </c>
      <c r="BB56" s="119">
        <v>0</v>
      </c>
      <c r="BC56" s="119">
        <v>0</v>
      </c>
      <c r="BD56" s="119">
        <v>0</v>
      </c>
      <c r="BE56" s="119">
        <v>0</v>
      </c>
      <c r="BG56" s="80" t="s">
        <v>149</v>
      </c>
      <c r="BH56" s="80">
        <v>12.91</v>
      </c>
      <c r="BJ56" s="80" t="s">
        <v>149</v>
      </c>
      <c r="BK56" s="80">
        <v>12.16</v>
      </c>
    </row>
    <row r="57" spans="3:63" ht="30" hidden="1" customHeight="1" thickBot="1" x14ac:dyDescent="0.4">
      <c r="C57" s="80"/>
      <c r="D57" s="80"/>
      <c r="I57" s="84"/>
      <c r="J57" s="84"/>
      <c r="M57" s="55"/>
      <c r="T57" s="111" t="s">
        <v>69</v>
      </c>
      <c r="U57" s="111" t="s">
        <v>70</v>
      </c>
      <c r="V57" s="111" t="s">
        <v>70</v>
      </c>
      <c r="W57" s="111" t="s">
        <v>70</v>
      </c>
      <c r="X57" s="111" t="s">
        <v>70</v>
      </c>
      <c r="Y57" s="111" t="s">
        <v>70</v>
      </c>
      <c r="Z57" s="111" t="s">
        <v>70</v>
      </c>
      <c r="AA57" s="111" t="s">
        <v>70</v>
      </c>
      <c r="AB57" s="111" t="s">
        <v>70</v>
      </c>
      <c r="AC57" s="111" t="s">
        <v>70</v>
      </c>
      <c r="AD57" s="111" t="s">
        <v>70</v>
      </c>
      <c r="AE57" s="111" t="s">
        <v>70</v>
      </c>
      <c r="AF57" s="111" t="s">
        <v>70</v>
      </c>
      <c r="AG57" s="111" t="s">
        <v>70</v>
      </c>
      <c r="AH57" s="111" t="s">
        <v>70</v>
      </c>
      <c r="AI57" s="111" t="s">
        <v>70</v>
      </c>
      <c r="AJ57" s="111" t="s">
        <v>70</v>
      </c>
      <c r="AK57" s="111" t="s">
        <v>70</v>
      </c>
      <c r="AL57" s="111" t="s">
        <v>70</v>
      </c>
      <c r="AM57" s="111" t="s">
        <v>70</v>
      </c>
      <c r="AN57" s="111" t="s">
        <v>70</v>
      </c>
      <c r="AO57" s="111" t="s">
        <v>70</v>
      </c>
      <c r="AP57" s="111" t="s">
        <v>70</v>
      </c>
      <c r="AQ57" s="111" t="s">
        <v>70</v>
      </c>
      <c r="AR57" s="111" t="s">
        <v>70</v>
      </c>
      <c r="BB57" s="111" t="s">
        <v>70</v>
      </c>
      <c r="BC57" s="111" t="s">
        <v>70</v>
      </c>
      <c r="BD57" s="111" t="s">
        <v>70</v>
      </c>
      <c r="BE57" s="111" t="s">
        <v>70</v>
      </c>
      <c r="BG57" s="80" t="s">
        <v>150</v>
      </c>
      <c r="BH57" s="80">
        <v>10.56</v>
      </c>
      <c r="BJ57" s="80" t="s">
        <v>150</v>
      </c>
      <c r="BK57" s="80">
        <v>9.6999999999999993</v>
      </c>
    </row>
    <row r="58" spans="3:63" ht="30" hidden="1" customHeight="1" thickTop="1" thickBot="1" x14ac:dyDescent="0.4">
      <c r="D58" s="84"/>
      <c r="J58" s="84"/>
      <c r="M58" s="56" t="str">
        <f>IF(AND(D25=M6,D22="Alia2",D23=L170),MIN(P75,P76),IF(AND(D25=M6,D22="Alia2",D23=L171),MIN(P75,P76),IF(J4="",IF(D25=M6,P76,IF(P75&lt;100000,"-",P75)),0)))</f>
        <v>-</v>
      </c>
      <c r="N58" s="156">
        <f>IFERROR(MIN(M58,M64),0)</f>
        <v>0</v>
      </c>
      <c r="O58" s="157">
        <f>N58*G19</f>
        <v>0</v>
      </c>
      <c r="T58" s="126" t="s">
        <v>71</v>
      </c>
      <c r="U58" s="127">
        <v>0.9</v>
      </c>
      <c r="V58" s="127">
        <v>0.9</v>
      </c>
      <c r="W58" s="127">
        <v>0.9</v>
      </c>
      <c r="X58" s="127">
        <v>0.9</v>
      </c>
      <c r="Y58" s="127">
        <v>0.5</v>
      </c>
      <c r="Z58" s="127">
        <v>0.75</v>
      </c>
      <c r="AA58" s="127">
        <v>0.9</v>
      </c>
      <c r="AB58" s="127">
        <v>0.5</v>
      </c>
      <c r="AC58" s="127">
        <v>0.75</v>
      </c>
      <c r="AD58" s="127">
        <v>0.9</v>
      </c>
      <c r="AE58" s="127">
        <v>0.5</v>
      </c>
      <c r="AF58" s="127">
        <v>0.75</v>
      </c>
      <c r="AG58" s="127">
        <v>0.9</v>
      </c>
      <c r="AH58" s="127">
        <v>0.5</v>
      </c>
      <c r="AI58" s="127">
        <v>0.75</v>
      </c>
      <c r="AJ58" s="127">
        <v>0.9</v>
      </c>
      <c r="AK58" s="127">
        <v>0.9</v>
      </c>
      <c r="AL58" s="127">
        <v>0.9</v>
      </c>
      <c r="AM58" s="127">
        <v>0.9</v>
      </c>
      <c r="AN58" s="127">
        <v>0.9</v>
      </c>
      <c r="AO58" s="127">
        <v>0.85</v>
      </c>
      <c r="AP58" s="127">
        <v>0.85</v>
      </c>
      <c r="AQ58" s="127">
        <v>0.85</v>
      </c>
      <c r="AR58" s="127">
        <v>0.85</v>
      </c>
      <c r="BB58" s="127">
        <v>0.9</v>
      </c>
      <c r="BC58" s="127">
        <v>0.9</v>
      </c>
      <c r="BD58" s="127">
        <v>0.9</v>
      </c>
      <c r="BE58" s="127">
        <v>0.9</v>
      </c>
      <c r="BG58" s="80" t="s">
        <v>151</v>
      </c>
      <c r="BH58" s="80">
        <v>9.4499999999999993</v>
      </c>
      <c r="BJ58" s="80" t="s">
        <v>151</v>
      </c>
      <c r="BK58" s="80">
        <v>8.5</v>
      </c>
    </row>
    <row r="59" spans="3:63" ht="30" hidden="1" customHeight="1" thickTop="1" thickBot="1" x14ac:dyDescent="0.4">
      <c r="J59" s="84"/>
      <c r="L59" s="80" t="s">
        <v>96</v>
      </c>
      <c r="M59" s="57">
        <f>IF(H21="-",0,-D33)</f>
        <v>0</v>
      </c>
      <c r="O59" s="158"/>
      <c r="T59" s="111" t="s">
        <v>72</v>
      </c>
      <c r="U59" s="119">
        <v>0</v>
      </c>
      <c r="V59" s="119">
        <v>0</v>
      </c>
      <c r="W59" s="119">
        <v>0</v>
      </c>
      <c r="X59" s="119">
        <v>0</v>
      </c>
      <c r="Y59" s="133">
        <v>348</v>
      </c>
      <c r="Z59" s="133">
        <v>348</v>
      </c>
      <c r="AA59" s="133">
        <v>348</v>
      </c>
      <c r="AB59" s="133">
        <v>348</v>
      </c>
      <c r="AC59" s="133">
        <v>348</v>
      </c>
      <c r="AD59" s="133">
        <v>348</v>
      </c>
      <c r="AE59" s="133">
        <v>348</v>
      </c>
      <c r="AF59" s="133">
        <v>348</v>
      </c>
      <c r="AG59" s="133">
        <v>348</v>
      </c>
      <c r="AH59" s="133">
        <v>348</v>
      </c>
      <c r="AI59" s="133">
        <v>348</v>
      </c>
      <c r="AJ59" s="133">
        <v>348</v>
      </c>
      <c r="AK59" s="119">
        <v>0</v>
      </c>
      <c r="AL59" s="119">
        <v>0</v>
      </c>
      <c r="AM59" s="119">
        <v>0</v>
      </c>
      <c r="AN59" s="119">
        <v>0</v>
      </c>
      <c r="AO59" s="133">
        <v>348</v>
      </c>
      <c r="AP59" s="133">
        <v>348</v>
      </c>
      <c r="AQ59" s="133">
        <v>348</v>
      </c>
      <c r="AR59" s="133">
        <v>348</v>
      </c>
      <c r="BB59" s="132">
        <v>0</v>
      </c>
      <c r="BC59" s="132">
        <v>0</v>
      </c>
      <c r="BD59" s="132">
        <v>0</v>
      </c>
      <c r="BE59" s="133">
        <v>0</v>
      </c>
      <c r="BG59" s="80" t="s">
        <v>175</v>
      </c>
      <c r="BH59" s="80">
        <v>21.99</v>
      </c>
      <c r="BJ59" s="80" t="s">
        <v>175</v>
      </c>
      <c r="BK59" s="80">
        <v>21.99</v>
      </c>
    </row>
    <row r="60" spans="3:63" ht="30" hidden="1" customHeight="1" thickTop="1" thickBot="1" x14ac:dyDescent="0.4">
      <c r="J60" s="84"/>
      <c r="L60" s="80" t="s">
        <v>95</v>
      </c>
      <c r="M60" s="56" t="e">
        <f>IF(D21=V78,"",IF(D21=V79,"",IF(D21=V80,"",IF(J4="",IF(OR(D22&amp;D21=O8&amp;N4,D22&amp;D21=O8&amp;N7),D26-D32-M58,IF(OR(D22&amp;D21=O7&amp;N4,D22&amp;D21=O7&amp;N7),D26-M58,IF(OR(D22&amp;D21=O6&amp;N4,D22&amp;D21=O6&amp;N7,D22&amp;D21=O6&amp;N9),D26-D32-M58,D26-M58))),"-"))))</f>
        <v>#VALUE!</v>
      </c>
      <c r="O60" s="158" t="str">
        <f>N4&amp;O5</f>
        <v>AdquisicionApoyo Infonavit</v>
      </c>
      <c r="T60" s="135" t="s">
        <v>73</v>
      </c>
      <c r="U60" s="136">
        <v>20.260000000000002</v>
      </c>
      <c r="V60" s="136">
        <v>12.16</v>
      </c>
      <c r="W60" s="136">
        <v>9.6999999999999993</v>
      </c>
      <c r="X60" s="137">
        <v>8.5</v>
      </c>
      <c r="Y60" s="137">
        <v>20.41</v>
      </c>
      <c r="Z60" s="137">
        <v>20.650000000000002</v>
      </c>
      <c r="AA60" s="137">
        <v>20.84</v>
      </c>
      <c r="AB60" s="136">
        <v>12.32</v>
      </c>
      <c r="AC60" s="136">
        <v>12.59</v>
      </c>
      <c r="AD60" s="136">
        <v>12.81</v>
      </c>
      <c r="AE60" s="136">
        <v>9.879999999999999</v>
      </c>
      <c r="AF60" s="136">
        <v>10.17</v>
      </c>
      <c r="AG60" s="136">
        <v>10.41</v>
      </c>
      <c r="AH60" s="136">
        <v>8.69</v>
      </c>
      <c r="AI60" s="136">
        <v>9.01</v>
      </c>
      <c r="AJ60" s="136">
        <v>9.27</v>
      </c>
      <c r="AK60" s="136">
        <v>20.5</v>
      </c>
      <c r="AL60" s="136">
        <v>12.43</v>
      </c>
      <c r="AM60" s="136">
        <v>10</v>
      </c>
      <c r="AN60" s="136">
        <v>8.82</v>
      </c>
      <c r="AO60" s="136">
        <v>20.260000000000002</v>
      </c>
      <c r="AP60" s="136">
        <v>12.16</v>
      </c>
      <c r="AQ60" s="136">
        <v>9.6999999999999993</v>
      </c>
      <c r="AR60" s="136">
        <v>8.5</v>
      </c>
      <c r="BB60" s="136">
        <v>20.360000000000003</v>
      </c>
      <c r="BC60" s="136">
        <v>12.27</v>
      </c>
      <c r="BD60" s="136">
        <v>9.82</v>
      </c>
      <c r="BE60" s="136">
        <v>8.629999999999999</v>
      </c>
      <c r="BG60" s="80" t="s">
        <v>176</v>
      </c>
      <c r="BH60" s="80">
        <v>14.2</v>
      </c>
      <c r="BJ60" s="80" t="s">
        <v>176</v>
      </c>
      <c r="BK60" s="80">
        <v>14.2</v>
      </c>
    </row>
    <row r="61" spans="3:63" ht="30" hidden="1" customHeight="1" thickTop="1" x14ac:dyDescent="0.35">
      <c r="J61" s="84"/>
      <c r="L61" s="80" t="s">
        <v>94</v>
      </c>
      <c r="M61" s="58">
        <f>IFERROR(M59+IF(M60="-",0,M60)-IF(D25=M6,0,0),2)</f>
        <v>2</v>
      </c>
      <c r="O61" s="80" t="str">
        <f>N7&amp;O5</f>
        <v>ExclusivaApoyo Infonavit</v>
      </c>
      <c r="T61" s="139" t="s">
        <v>74</v>
      </c>
      <c r="U61" s="140">
        <v>20.89</v>
      </c>
      <c r="V61" s="140">
        <v>12.79</v>
      </c>
      <c r="W61" s="140">
        <v>10.33</v>
      </c>
      <c r="X61" s="141">
        <v>9.1300000000000008</v>
      </c>
      <c r="Y61" s="141">
        <v>21.38</v>
      </c>
      <c r="Z61" s="141">
        <v>21.62</v>
      </c>
      <c r="AA61" s="141">
        <v>21.81</v>
      </c>
      <c r="AB61" s="140">
        <v>13.29</v>
      </c>
      <c r="AC61" s="140">
        <v>13.56</v>
      </c>
      <c r="AD61" s="140">
        <v>13.78</v>
      </c>
      <c r="AE61" s="140">
        <v>10.85</v>
      </c>
      <c r="AF61" s="140">
        <v>11.14</v>
      </c>
      <c r="AG61" s="140">
        <v>11.38</v>
      </c>
      <c r="AH61" s="140">
        <v>9.66</v>
      </c>
      <c r="AI61" s="140">
        <v>9.98</v>
      </c>
      <c r="AJ61" s="140">
        <v>10.24</v>
      </c>
      <c r="AK61" s="136">
        <v>21.13</v>
      </c>
      <c r="AL61" s="136">
        <v>13.06</v>
      </c>
      <c r="AM61" s="136">
        <v>10.63</v>
      </c>
      <c r="AN61" s="136">
        <v>9.4499999999999993</v>
      </c>
      <c r="AO61" s="136">
        <v>21.23</v>
      </c>
      <c r="AP61" s="136">
        <v>13.13</v>
      </c>
      <c r="AQ61" s="136">
        <v>10.67</v>
      </c>
      <c r="AR61" s="136">
        <v>9.4700000000000006</v>
      </c>
      <c r="BB61" s="136">
        <v>20.99</v>
      </c>
      <c r="BC61" s="136">
        <v>12.9</v>
      </c>
      <c r="BD61" s="136">
        <v>10.45</v>
      </c>
      <c r="BE61" s="136">
        <v>9.26</v>
      </c>
      <c r="BG61" s="80" t="s">
        <v>177</v>
      </c>
      <c r="BH61" s="80">
        <v>12</v>
      </c>
      <c r="BJ61" s="80" t="s">
        <v>177</v>
      </c>
      <c r="BK61" s="80">
        <v>12</v>
      </c>
    </row>
    <row r="62" spans="3:63" ht="30" hidden="1" customHeight="1" thickBot="1" x14ac:dyDescent="0.4">
      <c r="J62" s="84"/>
      <c r="L62" s="80" t="s">
        <v>109</v>
      </c>
      <c r="M62" s="59">
        <f>IF(AND(D22=O6,D32&gt;1),95%,IF(AND(D22=O8,D32&gt;1),95%,IF(D22=O5,95%,IF(AND(D22=O7,D24="NO"),85%,90%))))</f>
        <v>0.9</v>
      </c>
      <c r="N62" s="159"/>
      <c r="O62" s="80" t="str">
        <f>N9&amp;O5</f>
        <v>Nomina EspecialApoyo Infonavit</v>
      </c>
      <c r="T62" s="143" t="s">
        <v>75</v>
      </c>
      <c r="U62" s="144">
        <v>0.11183318903119965</v>
      </c>
      <c r="V62" s="144">
        <v>0.11205101487453395</v>
      </c>
      <c r="W62" s="144">
        <v>0.11314867989572219</v>
      </c>
      <c r="X62" s="145">
        <v>0.11202358100500698</v>
      </c>
      <c r="Y62" s="145">
        <v>0.13161243000515999</v>
      </c>
      <c r="Z62" s="145">
        <v>0.13277150944638971</v>
      </c>
      <c r="AA62" s="145">
        <v>0.13642032223316591</v>
      </c>
      <c r="AB62" s="144">
        <v>0.1277860711248362</v>
      </c>
      <c r="AC62" s="144">
        <v>0.12964691819389196</v>
      </c>
      <c r="AD62" s="144">
        <v>0.13344688232242419</v>
      </c>
      <c r="AE62" s="144">
        <v>0.12700506499298259</v>
      </c>
      <c r="AF62" s="144">
        <v>0.12929070521389563</v>
      </c>
      <c r="AG62" s="144">
        <v>0.13317082274694902</v>
      </c>
      <c r="AH62" s="144">
        <v>0.12472284513723353</v>
      </c>
      <c r="AI62" s="144">
        <v>0.12733171490837414</v>
      </c>
      <c r="AJ62" s="144">
        <v>0.13127500852199137</v>
      </c>
      <c r="AK62" s="147">
        <v>0.12209573695145415</v>
      </c>
      <c r="AL62" s="147">
        <v>0.12010811739310046</v>
      </c>
      <c r="AM62" s="147">
        <v>0.12051078901402934</v>
      </c>
      <c r="AN62" s="147">
        <v>0.11903821701522332</v>
      </c>
      <c r="AO62" s="147">
        <v>0.11683533546739744</v>
      </c>
      <c r="AP62" s="147">
        <v>0.11777543463534501</v>
      </c>
      <c r="AQ62" s="147">
        <v>0.11758409437640172</v>
      </c>
      <c r="AR62" s="147">
        <v>0.11611858905562356</v>
      </c>
      <c r="BB62" s="147">
        <v>0.11400656290185984</v>
      </c>
      <c r="BC62" s="147">
        <v>0.11420960200615715</v>
      </c>
      <c r="BD62" s="147">
        <v>0.11530670807518684</v>
      </c>
      <c r="BE62" s="147">
        <v>0.11418559638629699</v>
      </c>
      <c r="BG62" s="80" t="s">
        <v>178</v>
      </c>
      <c r="BH62" s="80">
        <v>22.24</v>
      </c>
      <c r="BJ62" s="80" t="s">
        <v>178</v>
      </c>
      <c r="BK62" s="80">
        <v>22.24</v>
      </c>
    </row>
    <row r="63" spans="3:63" ht="30" hidden="1" customHeight="1" thickBot="1" x14ac:dyDescent="0.4">
      <c r="J63" s="84"/>
      <c r="L63" s="80" t="s">
        <v>110</v>
      </c>
      <c r="M63" s="363">
        <f>IF(AND(D22="Cofinavit",D32&gt;1),1-(D26-D32)/D26,IF(D22="Apoyo Infonavit",1-(D26-D32)/D26,0))</f>
        <v>0</v>
      </c>
      <c r="BG63" s="80" t="s">
        <v>179</v>
      </c>
      <c r="BH63" s="80">
        <v>22.75</v>
      </c>
      <c r="BJ63" s="80" t="s">
        <v>179</v>
      </c>
      <c r="BK63" s="80">
        <v>22.75</v>
      </c>
    </row>
    <row r="64" spans="3:63" ht="30" hidden="1" customHeight="1" thickTop="1" thickBot="1" x14ac:dyDescent="0.4">
      <c r="J64" s="84"/>
      <c r="L64" s="80" t="s">
        <v>111</v>
      </c>
      <c r="M64" s="60">
        <f>IFERROR(MIN(D26*(M62-M63),IF(D25=M6,MIN(P76+M61,M58),IF(P75&lt;100000,"-",MIN(P75+M61,M58)))),0)</f>
        <v>0</v>
      </c>
      <c r="N64" s="361"/>
      <c r="O64" s="362">
        <f>M62-M63</f>
        <v>0.9</v>
      </c>
      <c r="BG64" s="80" t="s">
        <v>181</v>
      </c>
      <c r="BH64" s="80">
        <v>14.49</v>
      </c>
      <c r="BJ64" s="80" t="s">
        <v>181</v>
      </c>
      <c r="BK64" s="80">
        <v>14.49</v>
      </c>
    </row>
    <row r="65" spans="6:63" ht="30" hidden="1" customHeight="1" x14ac:dyDescent="0.35">
      <c r="J65" s="84"/>
      <c r="L65" s="61" t="s">
        <v>97</v>
      </c>
      <c r="M65" s="62"/>
      <c r="BG65" s="80" t="s">
        <v>180</v>
      </c>
      <c r="BH65" s="80">
        <v>15.08</v>
      </c>
      <c r="BJ65" s="80" t="s">
        <v>180</v>
      </c>
      <c r="BK65" s="80">
        <v>15.08</v>
      </c>
    </row>
    <row r="66" spans="6:63" ht="30" hidden="1" customHeight="1" x14ac:dyDescent="0.35">
      <c r="J66" s="84"/>
      <c r="L66" s="63"/>
      <c r="M66" s="64"/>
      <c r="BG66" s="80" t="s">
        <v>182</v>
      </c>
      <c r="BH66" s="80">
        <v>12.33</v>
      </c>
      <c r="BJ66" s="80" t="s">
        <v>182</v>
      </c>
      <c r="BK66" s="80">
        <v>12.33</v>
      </c>
    </row>
    <row r="67" spans="6:63" ht="30" hidden="1" customHeight="1" x14ac:dyDescent="0.35">
      <c r="J67" s="84"/>
      <c r="L67" s="63" t="s">
        <v>98</v>
      </c>
      <c r="M67" s="65">
        <f>IF(D25="Por Campaña",100%,65%)</f>
        <v>0.65</v>
      </c>
      <c r="Z67" s="259"/>
      <c r="BG67" s="80" t="s">
        <v>174</v>
      </c>
      <c r="BH67" s="80">
        <v>12.98</v>
      </c>
      <c r="BJ67" s="80" t="s">
        <v>174</v>
      </c>
      <c r="BK67" s="80">
        <v>12.98</v>
      </c>
    </row>
    <row r="68" spans="6:63" ht="30" hidden="1" customHeight="1" x14ac:dyDescent="0.35">
      <c r="F68" s="79">
        <f>IF(AND(D19="Asalariado",H25&gt;10000000),90%,0)</f>
        <v>0</v>
      </c>
      <c r="J68" s="84"/>
      <c r="L68" s="63" t="s">
        <v>99</v>
      </c>
      <c r="M68" s="66">
        <v>1</v>
      </c>
    </row>
    <row r="69" spans="6:63" ht="30" hidden="1" customHeight="1" x14ac:dyDescent="0.35">
      <c r="J69" s="84"/>
      <c r="M69" s="160">
        <f>MIN(((IF(D17="SI",D31,0)+D29)*M67),(((IF(D17="SI",D28,0)+D29)*M67)-D30))*M68</f>
        <v>0</v>
      </c>
      <c r="Q69" s="161" t="s">
        <v>81</v>
      </c>
      <c r="R69" s="161"/>
      <c r="T69" s="2" t="s">
        <v>49</v>
      </c>
      <c r="V69" s="61" t="s">
        <v>39</v>
      </c>
      <c r="W69" s="61" t="s">
        <v>87</v>
      </c>
      <c r="X69" s="61" t="s">
        <v>88</v>
      </c>
      <c r="Y69" s="61" t="s">
        <v>89</v>
      </c>
      <c r="Z69" s="162"/>
    </row>
    <row r="70" spans="6:63" ht="30" hidden="1" customHeight="1" x14ac:dyDescent="0.35">
      <c r="J70" s="84"/>
      <c r="Q70" s="1" t="s">
        <v>82</v>
      </c>
      <c r="R70" s="1" t="s">
        <v>83</v>
      </c>
      <c r="T70" s="314">
        <v>0.02</v>
      </c>
      <c r="V70" s="163" t="s">
        <v>41</v>
      </c>
      <c r="W70" s="67">
        <f>D27</f>
        <v>0</v>
      </c>
      <c r="X70" s="67" t="s">
        <v>504</v>
      </c>
      <c r="Y70" s="68">
        <f>IF(D21&amp;D16&amp;D23&amp;L5=M168,(D26*0.95),IF(D21&amp;D16&amp;D23&amp;D24=M170,(D26*0.85),IF(D21&amp;D16&amp;D23&amp;D24=N170,(D26*0.9),IF(D21&amp;D16&amp;D23&amp;D24=N171,(D26*0.9),IF(D21&amp;D16&amp;D23&amp;D24=M171,(D26*O50),(D26*1)-D32)))))</f>
        <v>0</v>
      </c>
      <c r="Z70" s="164"/>
    </row>
    <row r="71" spans="6:63" ht="30" hidden="1" customHeight="1" x14ac:dyDescent="0.35">
      <c r="H71" s="79"/>
      <c r="J71" s="84"/>
      <c r="L71" s="63" t="s">
        <v>100</v>
      </c>
      <c r="M71" s="165">
        <f>IF(D21=N6,0.348,IF(D21&amp;D16=L6,0.29,0))</f>
        <v>0</v>
      </c>
      <c r="P71" s="151"/>
      <c r="Q71" s="166">
        <v>0</v>
      </c>
      <c r="R71" s="167">
        <v>2146</v>
      </c>
      <c r="T71" s="314">
        <v>0.03</v>
      </c>
      <c r="V71" s="163" t="s">
        <v>42</v>
      </c>
      <c r="W71" s="69">
        <f>Y72</f>
        <v>0</v>
      </c>
      <c r="X71" s="67" t="s">
        <v>86</v>
      </c>
      <c r="Y71" s="68">
        <f>IF(SUM(Y70,D32)&lt;SUM(D26,G18,G21*D26),SUM(D26,G18,G21*D26)-SUM(D32,D33),Y70)</f>
        <v>2146</v>
      </c>
      <c r="Z71" s="164"/>
    </row>
    <row r="72" spans="6:63" ht="30" hidden="1" customHeight="1" x14ac:dyDescent="0.35">
      <c r="H72" s="79"/>
      <c r="J72" s="84"/>
      <c r="L72" s="63" t="s">
        <v>101</v>
      </c>
      <c r="M72" s="165">
        <f>L86</f>
        <v>0.44</v>
      </c>
      <c r="P72" s="151"/>
      <c r="Q72" s="166">
        <v>500001</v>
      </c>
      <c r="R72" s="167">
        <v>3421.9999999999995</v>
      </c>
      <c r="T72" s="314">
        <v>0.04</v>
      </c>
      <c r="V72" s="163" t="s">
        <v>43</v>
      </c>
      <c r="W72" s="69">
        <f>Y72</f>
        <v>0</v>
      </c>
      <c r="X72" s="67"/>
      <c r="Y72" s="70">
        <f>MIN(Y71,Y70)</f>
        <v>0</v>
      </c>
      <c r="Z72" s="164"/>
    </row>
    <row r="73" spans="6:63" ht="30" hidden="1" customHeight="1" x14ac:dyDescent="0.35">
      <c r="H73" s="79"/>
      <c r="J73" s="84"/>
      <c r="L73" s="63" t="s">
        <v>102</v>
      </c>
      <c r="M73" s="349" t="e">
        <f>VLOOKUP(D18,$Q$3:$R$39,2,0)*IF(D25=M7,1,0.7)</f>
        <v>#N/A</v>
      </c>
      <c r="N73" s="160"/>
      <c r="P73" s="151"/>
      <c r="Q73" s="166">
        <v>1000001</v>
      </c>
      <c r="R73" s="167">
        <v>5916</v>
      </c>
      <c r="T73" s="314">
        <v>4.4999999999999998E-2</v>
      </c>
      <c r="V73" s="163" t="s">
        <v>452</v>
      </c>
      <c r="W73" s="69">
        <f>IF(D25="Valor de la Vivienda",D26-D33,MIN(D26-D33,D29))</f>
        <v>0</v>
      </c>
      <c r="X73" s="67"/>
      <c r="Y73" s="71"/>
      <c r="Z73" s="164"/>
      <c r="AB73" s="80" t="s">
        <v>505</v>
      </c>
      <c r="AF73" s="258"/>
    </row>
    <row r="74" spans="6:63" ht="30" hidden="1" customHeight="1" x14ac:dyDescent="0.35">
      <c r="H74" s="79"/>
      <c r="J74" s="84"/>
      <c r="L74" s="63" t="s">
        <v>103</v>
      </c>
      <c r="M74" s="168" t="e">
        <f>IF(D22="CI+CB",(IF(OR(D25=M4),G26,VLOOKUP(D16&amp;D21&amp;D28,M102:N165,2,0))*0.7)+(10.45%*0.3),IF(OR(D22="Apoyo Infonavit",D22="Cofinavit"),9.8%,IF(OR(D25=M4),G26,VLOOKUP(D16&amp;D21&amp;D28,M102:N165,2,0))))</f>
        <v>#N/A</v>
      </c>
      <c r="N74" s="189"/>
      <c r="P74" s="151"/>
      <c r="Q74" s="166">
        <v>2000001</v>
      </c>
      <c r="R74" s="167">
        <v>9222</v>
      </c>
      <c r="T74" s="314">
        <v>0.05</v>
      </c>
      <c r="V74" s="80" t="s">
        <v>85</v>
      </c>
      <c r="W74" s="69">
        <f>IF(D25="Valor de la Vivienda",D26-D33,MIN(D26-D33,D29))</f>
        <v>0</v>
      </c>
      <c r="AB74" s="80" t="str">
        <f>D22&amp;D23</f>
        <v/>
      </c>
    </row>
    <row r="75" spans="6:63" ht="30" hidden="1" customHeight="1" x14ac:dyDescent="0.35">
      <c r="H75" s="79"/>
      <c r="J75" s="84"/>
      <c r="L75" s="63" t="s">
        <v>104</v>
      </c>
      <c r="M75" s="169">
        <v>0</v>
      </c>
      <c r="O75" s="61" t="s">
        <v>266</v>
      </c>
      <c r="P75" s="69">
        <f>IFERROR(VLOOKUP(D21,V77:X82,IF(OR(D25=M4,D25=M6),2,3),0),0)</f>
        <v>0</v>
      </c>
      <c r="Q75" s="166">
        <v>3000001</v>
      </c>
      <c r="R75" s="167">
        <v>12470</v>
      </c>
      <c r="T75" s="314">
        <v>0.06</v>
      </c>
    </row>
    <row r="76" spans="6:63" ht="30" hidden="1" customHeight="1" x14ac:dyDescent="0.35">
      <c r="H76" s="79"/>
      <c r="J76" s="84"/>
      <c r="L76" s="63" t="s">
        <v>105</v>
      </c>
      <c r="M76" s="288" t="e">
        <f>IF(Amortización!E14="Pago Fijo",ROUND(PMT(M74/12,D28*12,-1000),2),
IF(AND(OR(D22="Apoyo Infonavit",D22="Cofinavit"),D28=25,N20=TRUE,Amortización!E14="Pago Bajo"),8.86,
IF(AND(OR(D22="Apoyo Infonavit",D22="Cofinavit"),D28=20,N20=TRUE,Amortización!E14="Pago Bajo"),9.02,
IF(AND(OR(D22="Apoyo Infonavit",D22="Cofinavit"),D28=15,N20=TRUE,Amortización!E14="Pago Bajo"),10.23,
IF(AND(OR(D22="Apoyo Infonavit",D22="Cofinavit"),D28=10,N20=TRUE,Amortización!E14="Pago Bajo"),12.84,
IF(AND(OR(D22="Apoyo Infonavit",D22="Cofinavit"),D28=5,N20=TRUE,Amortización!E14="Pago Bajo"),21.08,
IF(AND(OR(D22="Apoyo Infonavit",D22="Cofinavit"),D28=25,Amortización!E14="Pago Bajo"),8.9,
IF(AND(OR(D22="Apoyo Infonavit",D22="Cofinavit"),D28=20,Amortización!E14="Pago Bajo"),9.06,
IF(AND(OR(D22="Apoyo Infonavit",D22="Cofinavit"),D28=15,Amortización!E14="Pago Bajo"),10.28,
IF(AND(OR(D22="Apoyo Infonavit",D22="Cofinavit"),D28=10,Amortización!E14="Pago Bajo"),12.87,
IF(AND(OR(D22="Apoyo Infonavit",D22="Cofinavit"),D28=5,Amortización!E14="Pago Bajo"),21.14,
VLOOKUP(D16&amp;D21&amp;D28,M102:O131,3,0))+M72+M73+M71+M75))))))))))</f>
        <v>#N/A</v>
      </c>
      <c r="N76" s="289"/>
      <c r="O76" s="61" t="s">
        <v>108</v>
      </c>
      <c r="P76" s="69">
        <f>IF(OR(D21=V81,D21=V77),MIN(IF(D22=V74,W74,IF(D22=V72,W72,IF(D22=V73,W73,VLOOKUP(D21,V77:Y82,4,0)*D26))),Y81*D26,30000000),MIN(VLOOKUP(D21,V77:Y82,4,0)*D26,30000000))-IF(AND(D25=X45,D21=V77),D27,0)</f>
        <v>0</v>
      </c>
      <c r="Q76" s="166">
        <v>4000001</v>
      </c>
      <c r="R76" s="167">
        <v>15369.999999999998</v>
      </c>
      <c r="T76" s="314">
        <v>7.0000000000000007E-2</v>
      </c>
      <c r="V76" s="61" t="s">
        <v>36</v>
      </c>
      <c r="W76" s="61" t="s">
        <v>90</v>
      </c>
      <c r="X76" s="61" t="s">
        <v>91</v>
      </c>
      <c r="Y76" s="61" t="s">
        <v>92</v>
      </c>
      <c r="Z76" s="61" t="s">
        <v>93</v>
      </c>
    </row>
    <row r="77" spans="6:63" ht="30" hidden="1" customHeight="1" x14ac:dyDescent="0.35">
      <c r="H77" s="79"/>
      <c r="J77" s="84"/>
      <c r="M77" s="289"/>
      <c r="N77" s="160"/>
      <c r="P77" s="151"/>
      <c r="Q77" s="166">
        <v>5000001</v>
      </c>
      <c r="R77" s="167">
        <v>19952</v>
      </c>
      <c r="T77" s="314">
        <v>0.08</v>
      </c>
      <c r="V77" s="163" t="s">
        <v>79</v>
      </c>
      <c r="W77" s="67" t="e">
        <f>MIN(VLOOKUP(D22,$V$70:$W$74,2,0),IF(D25=M4,D27,50000000),D26*Y77,50000000)</f>
        <v>#N/A</v>
      </c>
      <c r="X77" s="67">
        <f>MIN($G$29,IF($D$21=$V$77,IF(OR($D$22=$V$70,$D$22=$V$72,$D$22=$V$71),$D$26*Y77,IF($D$22=$V$74,MIN($D$26-D33,$D$26*Y77),IF($D$32+$D$33&gt;0.1*$D$26,$D$26-$D$32,IF($D$32&lt;0.05*$D$26,$G$29,$D$26*0.95-$D$32)))),$D$26*Y77))</f>
        <v>0</v>
      </c>
      <c r="Y77" s="71">
        <f>IF(AND(D16="Premier",D24="SI"),AC77,
IF(AND(OR(D16="Premier",D16="No Premier"),D22="Apoyo Infonavit"),AD77,
IF(AND(OR(D16="Premier",D16="No Premier"),D22="Cofinavit"),AD77,
IF(AND(D16="Premier",D22="Alia2"),AD77,
IF(AND(D23=L170,D22="Apoyo Infonavit",D24="SI"),AC77,IF(AND(D23=L171,D22="Apoyo Infonavit",D24="SI"),AC77,IF(AND(D22="Alia2",D23=L171),AC78,IF(D22="CI+CB",AD78,IF(D17="SI",AC77,AB77)))))))))</f>
        <v>0.9</v>
      </c>
      <c r="Z77" s="164">
        <v>350000</v>
      </c>
      <c r="AB77" s="275">
        <f>IF(D16=L40,90%,IF(AND(D22="Cofinavit",D23=L168),95%,IF(D22="Apoyo Infonavit",95%,IF(AND(D23=L170,D22="Apoyo Infonavit"),95%,IF(AND(D23=L170,D22="Tradicional"),85%,IF(D23=L168,90%,IF(D23&amp;D35=L183,80%,IF(D23&amp;D35=L184,75%,90%))))+IF(D16=L40,0%,IF(D24=L4,15%))+IF(D22&amp;D24=O6&amp;L4,0.05,0)+IF(D22&amp;O50=O6&amp;0.9,0.05,+IF(D22&amp;D24=O5&amp;L4,0.05,0)+IF(D22&amp;O50=O5&amp;0.9,0.05,0))))))+IF(AB74=AB73,0.05,0)</f>
        <v>0.9</v>
      </c>
      <c r="AC77" s="122">
        <v>0.9</v>
      </c>
      <c r="AD77" s="122">
        <v>0.95</v>
      </c>
      <c r="AG77" s="80" t="e">
        <f>VLOOKUP(D22,$V$70:$W$74,2,0)</f>
        <v>#N/A</v>
      </c>
      <c r="AL77" s="157"/>
    </row>
    <row r="78" spans="6:63" ht="30" hidden="1" customHeight="1" x14ac:dyDescent="0.35">
      <c r="H78" s="79"/>
      <c r="J78" s="84"/>
      <c r="P78" s="151"/>
      <c r="Q78" s="166">
        <v>7000001</v>
      </c>
      <c r="R78" s="167">
        <v>23200</v>
      </c>
      <c r="T78" s="314">
        <v>0.09</v>
      </c>
      <c r="V78" s="163" t="s">
        <v>37</v>
      </c>
      <c r="W78" s="69">
        <f>IF(D25="Por Valor de la Vivienda",MIN(D26*Y78,50000000),MIN(D26*Y78,D27,50000000))</f>
        <v>0</v>
      </c>
      <c r="X78" s="67">
        <f>MIN(D26*Y78,G29)</f>
        <v>0</v>
      </c>
      <c r="Y78" s="71">
        <f>IF(D24="SI",AR42+0.1,AR42)</f>
        <v>0.85</v>
      </c>
      <c r="Z78" s="164">
        <v>350000</v>
      </c>
      <c r="AC78" s="278">
        <f>IF(D16=L40,90%,IF(AND(D22="Alia2",D23=L170,D24="SI"),90%,IF(AND(D23=L168,D22="Apoyo Infonavit"),95%,IF(AND(D23=L170,D22="Alia2"),85%,IF(AND(D23=L170,D22="Tradicional"),85%,IF(D23=L168,90%,IF(D23&amp;D35=L183,75%,IF(D23&amp;D35=L184,75%,90%))))+IF(D16=L40,0%,IF(D24=L4,15%))+IF(D22&amp;D24=O6&amp;L4,0.05,0)+IF(D22&amp;O50=O6&amp;0.9,0.05,+IF(D22&amp;D24=O5&amp;L4,0.05,0)+IF(D22&amp;O50=O5&amp;0.9,0.05,0))))))</f>
        <v>0.9</v>
      </c>
      <c r="AD78" s="122">
        <f>IF(D24="SI",90%,85%)</f>
        <v>0.85</v>
      </c>
      <c r="AG78" s="80">
        <f>IF(D25=M4,D27,50000000)</f>
        <v>50000000</v>
      </c>
    </row>
    <row r="79" spans="6:63" ht="30" hidden="1" customHeight="1" x14ac:dyDescent="0.35">
      <c r="H79" s="79"/>
      <c r="J79" s="84"/>
      <c r="M79" s="73" t="e">
        <f>ROUND(M69/(ROUND(PMT(M74/12,D28*12,-1000),2)+M71+M72+M73)*1000,0)</f>
        <v>#N/A</v>
      </c>
      <c r="P79" s="151"/>
      <c r="Q79" s="166">
        <v>10000001</v>
      </c>
      <c r="R79" s="167">
        <v>24360</v>
      </c>
      <c r="T79" s="314">
        <v>0.1</v>
      </c>
      <c r="V79" s="163" t="s">
        <v>38</v>
      </c>
      <c r="W79" s="69">
        <f>MIN($D$26*Y79,$D$27,70000000)</f>
        <v>0</v>
      </c>
      <c r="X79" s="67">
        <f>MIN(D26*Y79,G29,50000000)</f>
        <v>0</v>
      </c>
      <c r="Y79" s="71">
        <v>0.8</v>
      </c>
      <c r="Z79" s="164">
        <v>350000</v>
      </c>
      <c r="AC79" s="122"/>
      <c r="AG79" s="157">
        <f>D26*Y77</f>
        <v>0</v>
      </c>
    </row>
    <row r="80" spans="6:63" ht="30" hidden="1" customHeight="1" x14ac:dyDescent="0.35">
      <c r="H80" s="79"/>
      <c r="J80" s="84"/>
      <c r="P80" s="151"/>
      <c r="Q80" s="166"/>
      <c r="R80" s="167"/>
      <c r="T80" s="314">
        <v>0.11</v>
      </c>
      <c r="V80" s="163" t="str">
        <f>N8</f>
        <v>Pago Hipoteca+Liquidez</v>
      </c>
      <c r="W80" s="69">
        <f>MIN($D$26*Y80,$D$27,50000000)</f>
        <v>0</v>
      </c>
      <c r="X80" s="67">
        <f>MIN(D26*Y80,G29)</f>
        <v>0</v>
      </c>
      <c r="Y80" s="71">
        <f>AR42</f>
        <v>0.85</v>
      </c>
      <c r="Z80" s="164">
        <v>350000</v>
      </c>
      <c r="AC80" s="122"/>
    </row>
    <row r="81" spans="8:29" ht="30" hidden="1" customHeight="1" x14ac:dyDescent="0.35">
      <c r="H81" s="79"/>
      <c r="J81" s="84"/>
      <c r="L81" s="80" t="s">
        <v>112</v>
      </c>
      <c r="M81" s="157" t="str">
        <f>IF(D25=M4,D27,M82)</f>
        <v/>
      </c>
      <c r="P81" s="151"/>
      <c r="Q81" s="166"/>
      <c r="R81" s="167"/>
      <c r="T81" s="314">
        <v>0.12</v>
      </c>
      <c r="V81" s="163" t="s">
        <v>57</v>
      </c>
      <c r="W81" s="67" t="e">
        <f>MIN(VLOOKUP(D22,$V$70:$W$74,2,0),IF(D25=M4,D27,50000000),D26*Y81,50000000)</f>
        <v>#N/A</v>
      </c>
      <c r="X81" s="67">
        <f>MIN($G$29,IF($D$21=$V$81,IF(OR($D$22=$V$70,$D$22=$V$71),$D$26*$Y$81,IF($D$22=$V$74,MIN($D$26-#REF!,$D$26*$Y$81),IF($D$32+$D$33&gt;0.1*$D$26,$D$26-$D$32-$D$33,IF($D$32&lt;0.05*$D$26,$G$29,$D$26*0.95-$D$32)))),$D$26*Y77))</f>
        <v>0</v>
      </c>
      <c r="Y81" s="71">
        <f>IF(D21=N4,95%,IF(D22=O6,95%,IF(AND(D22=O5,D24="SI"),90%,IF(D22=O5,95%,IF(D22=O8,95%,IF(D22=O7,85%+AB81,AK42))))))</f>
        <v>0.95</v>
      </c>
      <c r="Z81" s="164">
        <v>350000</v>
      </c>
      <c r="AB81" s="80">
        <f>IF(D24="SI",5%,0)</f>
        <v>0</v>
      </c>
      <c r="AC81" s="122"/>
    </row>
    <row r="82" spans="8:29" ht="30" hidden="1" customHeight="1" x14ac:dyDescent="0.35">
      <c r="H82" s="79"/>
      <c r="J82" s="84"/>
      <c r="L82" s="80" t="s">
        <v>113</v>
      </c>
      <c r="M82" s="159" t="str">
        <f>IF($D$25=$M$6,MIN(($D$26*$O$82)-$D$34,$P$76),"")</f>
        <v/>
      </c>
      <c r="O82" s="80">
        <f>IF(D21=V79,Y79,IF(D21=V78,Y78,IF(D21=V80,Y80,90%)))</f>
        <v>0.9</v>
      </c>
      <c r="P82" s="151"/>
      <c r="Q82" s="166"/>
      <c r="R82" s="167"/>
      <c r="V82" s="163" t="s">
        <v>433</v>
      </c>
      <c r="W82" s="67" t="e">
        <f>MIN(VLOOKUP(D22,$V$70:$W$74,2,0),IF(D25=M4,D27,50000000),D26*Y82,50000000)</f>
        <v>#N/A</v>
      </c>
      <c r="X82" s="67">
        <f>MIN($G$29,IF($D$21=$V$82,IF(OR($D$22=$V$70,$D$22=$V$71),$D$26*$Y$82,IF($D$22=$V$74,MIN($D$26-#REF!,$D$26*$Y$82),IF($D$32+$D$33&gt;0.1*$D$26,$D$26-$D$32-$D$33,IF($D$32&lt;0.05*$D$26,$G$29,$D$26*0.95-$D$32)))),$D$26*Y77))</f>
        <v>0</v>
      </c>
      <c r="Y82" s="71">
        <f>IF(D22=O5,95%,90%)</f>
        <v>0.9</v>
      </c>
      <c r="Z82" s="164">
        <v>350000</v>
      </c>
    </row>
    <row r="83" spans="8:29" ht="30" hidden="1" customHeight="1" x14ac:dyDescent="0.35">
      <c r="H83" s="79"/>
      <c r="J83" s="84"/>
      <c r="M83" s="170">
        <f>MIN(M82,M84,M81)</f>
        <v>0</v>
      </c>
      <c r="N83" s="159">
        <f>IFERROR(M83*G19,0)</f>
        <v>0</v>
      </c>
      <c r="P83" s="151"/>
      <c r="Q83" s="166"/>
      <c r="R83" s="167"/>
      <c r="V83" s="61" t="s">
        <v>106</v>
      </c>
      <c r="W83" s="72" t="s">
        <v>107</v>
      </c>
    </row>
    <row r="84" spans="8:29" ht="30" hidden="1" customHeight="1" x14ac:dyDescent="0.35">
      <c r="H84" s="79"/>
      <c r="J84" s="84"/>
      <c r="M84" s="69">
        <f>MIN($D$26-$D$32-$D$33-D34,$D$26*1-$D$32)</f>
        <v>0</v>
      </c>
      <c r="P84" s="151"/>
      <c r="Q84" s="166"/>
      <c r="R84" s="167"/>
      <c r="V84" s="63">
        <f>$D$28</f>
        <v>0</v>
      </c>
      <c r="W84" s="73">
        <f>IF($D$22="CI+CB",(Amortización!$K$21+Amortización!$AY$12)/100%/65%,IF(Amortización!$F$16="NO",Amortización!$K$21/100%/65%,Amortización!$K$24/100%/65%))</f>
        <v>0</v>
      </c>
      <c r="Y84" s="80" t="str">
        <f>IF(H25&gt;10000000,"SI","NO")</f>
        <v>NO</v>
      </c>
    </row>
    <row r="85" spans="8:29" ht="30" hidden="1" customHeight="1" x14ac:dyDescent="0.35">
      <c r="H85" s="79"/>
      <c r="J85" s="84"/>
      <c r="L85" s="61" t="s">
        <v>145</v>
      </c>
      <c r="P85" s="151"/>
      <c r="Q85" s="166"/>
      <c r="R85" s="167"/>
      <c r="V85" s="63">
        <f>$D$28</f>
        <v>0</v>
      </c>
      <c r="W85" s="73">
        <f>IF($D$22="CI+CB",(Amortización!$K$21+Amortización!$AY$12)/100%/65%,IF(Amortización!$F$16="NO",Amortización!$K$21/100%/65%,Amortización!$K$24/100%/65%))</f>
        <v>0</v>
      </c>
    </row>
    <row r="86" spans="8:29" ht="30" hidden="1" customHeight="1" x14ac:dyDescent="0.35">
      <c r="H86" s="79"/>
      <c r="J86" s="84"/>
      <c r="K86" s="80" t="s">
        <v>146</v>
      </c>
      <c r="L86" s="171">
        <f>IF(N20="Verdadero",0.44,0.44)</f>
        <v>0.44</v>
      </c>
      <c r="P86" s="151"/>
      <c r="Q86" s="166"/>
      <c r="R86" s="167"/>
      <c r="V86" s="63">
        <f>$D$28</f>
        <v>0</v>
      </c>
      <c r="W86" s="73">
        <f>IF($D$22="CI+CB",(Amortización!$K$21+Amortización!$AY$12)/100%/65%,IF(Amortización!$F$16="NO",Amortización!$K$21/100%/65%,Amortización!$K$24/100%/65%))</f>
        <v>0</v>
      </c>
    </row>
    <row r="87" spans="8:29" ht="30" hidden="1" customHeight="1" x14ac:dyDescent="0.35">
      <c r="H87" s="79"/>
      <c r="J87" s="84"/>
      <c r="K87" s="80" t="s">
        <v>147</v>
      </c>
      <c r="L87" s="171"/>
      <c r="P87" s="151"/>
      <c r="Q87" s="166"/>
      <c r="R87" s="167"/>
      <c r="V87" s="63">
        <f>$D$28</f>
        <v>0</v>
      </c>
      <c r="W87" s="73">
        <f>IF($D$22="CI+CB",(Amortización!$K$21+Amortización!$AY$12)/100%/65%,IF(Amortización!$F$16="NO",Amortización!$K$21/100%/65%,Amortización!$K$24/100%/65%))</f>
        <v>0</v>
      </c>
      <c r="X87" s="160"/>
    </row>
    <row r="88" spans="8:29" ht="30" hidden="1" customHeight="1" x14ac:dyDescent="0.35">
      <c r="H88" s="79"/>
      <c r="J88" s="84"/>
      <c r="P88" s="151"/>
      <c r="Q88" s="166"/>
      <c r="R88" s="167"/>
    </row>
    <row r="89" spans="8:29" ht="30" hidden="1" customHeight="1" x14ac:dyDescent="0.35">
      <c r="H89" s="79"/>
      <c r="J89" s="84"/>
      <c r="K89" s="80" t="s">
        <v>119</v>
      </c>
      <c r="M89" s="80" t="s">
        <v>119</v>
      </c>
      <c r="P89" s="151"/>
      <c r="Q89" s="166"/>
      <c r="R89" s="167"/>
    </row>
    <row r="90" spans="8:29" ht="30" hidden="1" customHeight="1" x14ac:dyDescent="0.35">
      <c r="H90" s="79"/>
      <c r="J90" s="84"/>
      <c r="K90" s="80" t="s">
        <v>76</v>
      </c>
      <c r="P90" s="151"/>
      <c r="Q90" s="166"/>
      <c r="R90" s="167"/>
    </row>
    <row r="91" spans="8:29" ht="30" hidden="1" customHeight="1" x14ac:dyDescent="0.35">
      <c r="H91" s="79"/>
      <c r="J91" s="84"/>
      <c r="P91" s="151"/>
      <c r="Q91" s="166"/>
      <c r="R91" s="167" t="str">
        <f>IF(D22=O6,"Cofi",IF(D22=O8,"Cofi",""))</f>
        <v/>
      </c>
      <c r="V91" s="80" t="s">
        <v>173</v>
      </c>
      <c r="W91" s="131">
        <v>0.65</v>
      </c>
      <c r="X91" s="131"/>
      <c r="Y91" s="131"/>
      <c r="Z91" s="131"/>
    </row>
    <row r="92" spans="8:29" ht="30" hidden="1" customHeight="1" x14ac:dyDescent="0.35">
      <c r="H92" s="79"/>
      <c r="J92" s="84"/>
      <c r="P92" s="151"/>
      <c r="Q92" s="166"/>
      <c r="R92" s="167"/>
      <c r="W92" s="160"/>
    </row>
    <row r="93" spans="8:29" ht="30" hidden="1" customHeight="1" x14ac:dyDescent="0.35">
      <c r="H93" s="79"/>
      <c r="J93" s="84"/>
      <c r="L93" s="151">
        <f>MIN(D26*0.9,D26-D34)</f>
        <v>0</v>
      </c>
      <c r="P93" s="151"/>
      <c r="Q93" s="166"/>
      <c r="R93" s="167"/>
    </row>
    <row r="94" spans="8:29" ht="30" hidden="1" customHeight="1" x14ac:dyDescent="0.35">
      <c r="H94" s="79"/>
      <c r="J94" s="84"/>
      <c r="P94" s="151"/>
      <c r="Q94" s="166"/>
      <c r="R94" s="167"/>
      <c r="T94" s="295">
        <f>IF(OR(D22=O6,D22=O8),(H25+D32)/D26,G25)</f>
        <v>0</v>
      </c>
      <c r="V94" s="80" t="str">
        <f>V77&amp;L190</f>
        <v>Adquisicion</v>
      </c>
      <c r="W94" s="260" t="str">
        <f>IF(H25&gt;10000000,"SI","NO")</f>
        <v>NO</v>
      </c>
      <c r="X94" s="122">
        <f>IF(W94="SI","10%",0)</f>
        <v>0</v>
      </c>
    </row>
    <row r="95" spans="8:29" ht="30" hidden="1" customHeight="1" x14ac:dyDescent="0.35">
      <c r="H95" s="79"/>
      <c r="J95" s="84"/>
      <c r="P95" s="151"/>
      <c r="Q95" s="166"/>
      <c r="R95" s="167"/>
      <c r="T95" s="295">
        <f>IF(AND(R91="Cofi",T94&lt;=0.8, G25&lt;=70%),0.7,MAX(T94,G25))</f>
        <v>0</v>
      </c>
      <c r="V95" s="80" t="str">
        <f>V77&amp;L191</f>
        <v>AdquisicionNormal</v>
      </c>
      <c r="X95" s="122">
        <v>0.1</v>
      </c>
    </row>
    <row r="96" spans="8:29" ht="30" hidden="1" customHeight="1" x14ac:dyDescent="0.35">
      <c r="H96" s="79"/>
      <c r="J96" s="84"/>
      <c r="P96" s="151"/>
      <c r="Q96" s="166"/>
      <c r="R96" s="167"/>
      <c r="T96" s="295" t="str">
        <f>IF(D22&lt;&gt;O4,"",G25)</f>
        <v/>
      </c>
      <c r="V96" s="80" t="str">
        <f>V77&amp;L192</f>
        <v>Adquisicion</v>
      </c>
      <c r="X96" s="122">
        <v>0.15</v>
      </c>
    </row>
    <row r="97" spans="8:45" ht="30" hidden="1" customHeight="1" x14ac:dyDescent="0.35">
      <c r="H97" s="79"/>
      <c r="J97" s="84"/>
      <c r="V97" s="80" t="str">
        <f>V77&amp;L193</f>
        <v>Adquisicion</v>
      </c>
      <c r="X97" s="122">
        <v>0.4</v>
      </c>
    </row>
    <row r="98" spans="8:45" ht="30" hidden="1" customHeight="1" x14ac:dyDescent="0.35">
      <c r="H98" s="79"/>
      <c r="J98" s="84"/>
      <c r="V98" s="80" t="str">
        <f>$V$81&amp;L190</f>
        <v>Exclusiva</v>
      </c>
      <c r="X98" s="122">
        <v>0.1</v>
      </c>
    </row>
    <row r="99" spans="8:45" ht="30" hidden="1" customHeight="1" x14ac:dyDescent="0.35">
      <c r="H99" s="79"/>
      <c r="J99" s="84"/>
      <c r="V99" s="80" t="str">
        <f>$V$81&amp;L191</f>
        <v>ExclusivaNormal</v>
      </c>
      <c r="X99" s="122">
        <v>0.1</v>
      </c>
    </row>
    <row r="100" spans="8:45" ht="30" hidden="1" customHeight="1" x14ac:dyDescent="0.35">
      <c r="H100" s="79"/>
      <c r="J100" s="84"/>
      <c r="V100" s="80" t="str">
        <f>$V$81&amp;L192</f>
        <v>Exclusiva</v>
      </c>
      <c r="X100" s="122">
        <v>0.15</v>
      </c>
    </row>
    <row r="101" spans="8:45" ht="30" hidden="1" customHeight="1" thickBot="1" x14ac:dyDescent="0.4">
      <c r="H101" s="79"/>
      <c r="J101" s="84"/>
      <c r="L101" s="80" t="s">
        <v>55</v>
      </c>
      <c r="M101" s="131"/>
      <c r="N101" s="131"/>
      <c r="O101" s="131"/>
      <c r="P101" s="131"/>
      <c r="Q101" s="131"/>
      <c r="R101" s="172"/>
      <c r="S101" s="131"/>
      <c r="T101" s="131"/>
      <c r="U101" s="131"/>
      <c r="V101" s="80" t="str">
        <f>$V$81&amp;L193</f>
        <v>Exclusiva</v>
      </c>
      <c r="W101" s="131"/>
      <c r="X101" s="122">
        <v>0.4</v>
      </c>
      <c r="Y101" s="131"/>
      <c r="Z101" s="131"/>
      <c r="AA101" s="131"/>
      <c r="AB101" s="131"/>
      <c r="AC101" s="131"/>
      <c r="AD101" s="131"/>
      <c r="AE101" s="131"/>
      <c r="AF101" s="131"/>
      <c r="AG101" s="131"/>
      <c r="AH101" s="131"/>
      <c r="AI101" s="131"/>
      <c r="AJ101" s="131"/>
      <c r="AK101" s="131"/>
      <c r="AL101" s="131"/>
      <c r="AM101" s="131"/>
      <c r="AN101" s="131"/>
      <c r="AO101" s="131"/>
      <c r="AP101" s="131"/>
      <c r="AQ101" s="131"/>
      <c r="AR101" s="131"/>
      <c r="AS101" s="131"/>
    </row>
    <row r="102" spans="8:45" ht="30" hidden="1" customHeight="1" thickBot="1" x14ac:dyDescent="0.4">
      <c r="H102" s="79"/>
      <c r="J102" s="84"/>
      <c r="K102" s="80">
        <v>5</v>
      </c>
      <c r="L102" s="172">
        <v>9.1999999999999998E-2</v>
      </c>
      <c r="M102" s="87" t="s">
        <v>191</v>
      </c>
      <c r="N102" s="317">
        <f>N103-0.25%</f>
        <v>9.6000000000000002E-2</v>
      </c>
      <c r="O102" s="80">
        <v>19.990000000000002</v>
      </c>
      <c r="Q102" s="87"/>
      <c r="R102" s="261" t="str">
        <f>"PremierAdquisicion5"&amp;IF(D24="SI","0.9","0.9")</f>
        <v>PremierAdquisicion50.9</v>
      </c>
      <c r="S102" s="274">
        <f>IF(OR(D22="Apoyo Infonavit",D22="Cofinavit"),9.8%,9.75%)</f>
        <v>9.7500000000000003E-2</v>
      </c>
      <c r="T102" s="291">
        <f>IF(D19=L190,0%,IF($T$96&lt;=0.85,0%,0))</f>
        <v>0</v>
      </c>
      <c r="U102" s="291">
        <f>IF($D$19=$L$190,0%,IF(AND($D$22&lt;&gt;$O$4,$T$95&lt;=0.95),0.72%,0))</f>
        <v>0</v>
      </c>
      <c r="V102" s="291">
        <f>IF($D$19=$L$190,0.95%,0)</f>
        <v>9.4999999999999998E-3</v>
      </c>
      <c r="W102" s="292">
        <f t="shared" ref="W102:W105" si="1">IF($D$22="CI+CB",-0.55%,0)</f>
        <v>0</v>
      </c>
    </row>
    <row r="103" spans="8:45" ht="30" hidden="1" customHeight="1" thickBot="1" x14ac:dyDescent="0.4">
      <c r="H103" s="79"/>
      <c r="J103" s="84"/>
      <c r="K103" s="80">
        <v>10</v>
      </c>
      <c r="L103" s="172">
        <v>9.4500000000000001E-2</v>
      </c>
      <c r="M103" s="87" t="s">
        <v>192</v>
      </c>
      <c r="N103" s="317">
        <f>N104-0.25%</f>
        <v>9.8500000000000004E-2</v>
      </c>
      <c r="O103" s="80">
        <v>11.84</v>
      </c>
      <c r="Q103" s="87"/>
      <c r="R103" s="261" t="str">
        <f>"PremierAdquisicion10"&amp;IF(D24="SI","0.9","0.9")</f>
        <v>PremierAdquisicion100.9</v>
      </c>
      <c r="S103" s="274">
        <f>IF(OR(D22="Apoyo Infonavit",D22="Cofinavit"),9.8%,9.75%)</f>
        <v>9.7500000000000003E-2</v>
      </c>
      <c r="T103" s="292">
        <f>IF(D19=L190,0%,IF($T$96&lt;=0.85,0%,0))</f>
        <v>0</v>
      </c>
      <c r="U103" s="291">
        <f>IF($D$19=$L$190,0%,IF(AND($D$22&lt;&gt;$O$4,$T$95&lt;=0.95),0.72%,0))</f>
        <v>0</v>
      </c>
      <c r="V103" s="292">
        <f>IF($D$19=$L$190,0.95%,0)</f>
        <v>9.4999999999999998E-3</v>
      </c>
      <c r="W103" s="292">
        <f t="shared" si="1"/>
        <v>0</v>
      </c>
    </row>
    <row r="104" spans="8:45" ht="30" hidden="1" customHeight="1" thickBot="1" x14ac:dyDescent="0.4">
      <c r="H104" s="79"/>
      <c r="J104" s="84"/>
      <c r="K104" s="80">
        <v>15</v>
      </c>
      <c r="L104" s="172">
        <v>9.7000000000000003E-2</v>
      </c>
      <c r="M104" s="87" t="s">
        <v>193</v>
      </c>
      <c r="N104" s="317">
        <f>N105</f>
        <v>0.10100000000000001</v>
      </c>
      <c r="O104" s="80">
        <v>9.34</v>
      </c>
      <c r="Q104" s="87"/>
      <c r="R104" s="261" t="str">
        <f>"PremierAdquisicion15"&amp;IF(D24="SI","0.9","0.9")</f>
        <v>PremierAdquisicion150.9</v>
      </c>
      <c r="S104" s="274">
        <f>IF(OR(D22="Apoyo Infonavit",D22="Cofinavit"),9.8%,9.75%)</f>
        <v>9.7500000000000003E-2</v>
      </c>
      <c r="T104" s="292">
        <f>IF(D19=L190,0%,IF($T$96&lt;=0.85,0%,0))</f>
        <v>0</v>
      </c>
      <c r="U104" s="291">
        <f>IF($D$19=$L$190,0%,IF(AND($D$22&lt;&gt;$O$4,$T$95&lt;=0.95),0.72%,0))</f>
        <v>0</v>
      </c>
      <c r="V104" s="292">
        <f>IF($D$19=$L$190,0.95%,0)</f>
        <v>9.4999999999999998E-3</v>
      </c>
      <c r="W104" s="292">
        <f t="shared" si="1"/>
        <v>0</v>
      </c>
    </row>
    <row r="105" spans="8:45" ht="30" hidden="1" customHeight="1" thickBot="1" x14ac:dyDescent="0.4">
      <c r="H105" s="79"/>
      <c r="J105" s="84"/>
      <c r="K105" s="80">
        <v>20</v>
      </c>
      <c r="L105" s="172">
        <v>9.7000000000000003E-2</v>
      </c>
      <c r="M105" s="87" t="s">
        <v>194</v>
      </c>
      <c r="N105" s="294">
        <v>0.10100000000000001</v>
      </c>
      <c r="O105" s="80">
        <v>8.11</v>
      </c>
      <c r="Q105" s="87"/>
      <c r="R105" s="261" t="str">
        <f>"PremierAdquisicion20"&amp;IF(D24="SI","0.9","0.9")</f>
        <v>PremierAdquisicion200.9</v>
      </c>
      <c r="S105" s="274">
        <f>IF(OR(D22="Apoyo Infonavit",D22="Cofinavit"),9.8%,9.75%)</f>
        <v>9.7500000000000003E-2</v>
      </c>
      <c r="T105" s="293">
        <f>IF(D19=L190,0%,IF($T$96&lt;=0.85,0%,0))</f>
        <v>0</v>
      </c>
      <c r="U105" s="291">
        <f>IF($D$19=$L$190,0%,IF(AND($D$22&lt;&gt;$O$4,$T$95&lt;=0.95),0.72%,0))</f>
        <v>0</v>
      </c>
      <c r="V105" s="293">
        <f>IF($D$19=$L$190,0.95%,0)</f>
        <v>9.4999999999999998E-3</v>
      </c>
      <c r="W105" s="292">
        <f t="shared" si="1"/>
        <v>0</v>
      </c>
    </row>
    <row r="106" spans="8:45" ht="30" hidden="1" customHeight="1" thickBot="1" x14ac:dyDescent="0.4">
      <c r="H106" s="79"/>
      <c r="J106" s="84"/>
      <c r="M106" s="87" t="s">
        <v>195</v>
      </c>
      <c r="N106" s="317">
        <f>N107-0.25%</f>
        <v>9.6000000000000002E-2</v>
      </c>
      <c r="O106" s="80">
        <v>20.150000000000002</v>
      </c>
      <c r="Q106" s="87"/>
      <c r="R106" s="261" t="str">
        <f>"PremierAdquisicion25"&amp;IF(D25="SI","0.9","0.9")</f>
        <v>PremierAdquisicion250.9</v>
      </c>
      <c r="S106" s="274">
        <f>IF(OR(D22="Apoyo Infonavit",D22="Cofinavit"),9.8%,9.75%)</f>
        <v>9.7500000000000003E-2</v>
      </c>
      <c r="T106" s="293">
        <f>IF(D20=L191,0%,IF($T$96&lt;=0.85,0%,0))</f>
        <v>0</v>
      </c>
      <c r="U106" s="291">
        <f>IF($D$19=$L$190,0%,IF(AND($D$22&lt;&gt;$O$4,$T$95&lt;=0.95),0.72%,0))</f>
        <v>0</v>
      </c>
      <c r="V106" s="293">
        <f>IF($D$19=$L$190,0.95%,0)</f>
        <v>9.4999999999999998E-3</v>
      </c>
      <c r="W106" s="292">
        <f>IF($D$22="CI+CB",-0.55%,0)</f>
        <v>0</v>
      </c>
    </row>
    <row r="107" spans="8:45" ht="30" hidden="1" customHeight="1" x14ac:dyDescent="0.35">
      <c r="H107" s="79"/>
      <c r="J107" s="84"/>
      <c r="L107" s="80" t="s">
        <v>56</v>
      </c>
      <c r="M107" s="87" t="s">
        <v>196</v>
      </c>
      <c r="N107" s="317">
        <f>N108-0.25%</f>
        <v>9.8500000000000004E-2</v>
      </c>
      <c r="O107" s="80">
        <v>12.02</v>
      </c>
      <c r="Q107" s="87"/>
      <c r="R107" s="263" t="s">
        <v>239</v>
      </c>
      <c r="S107" s="274">
        <f>S111-0.25%</f>
        <v>0.106</v>
      </c>
    </row>
    <row r="108" spans="8:45" ht="30" hidden="1" customHeight="1" x14ac:dyDescent="0.35">
      <c r="H108" s="79"/>
      <c r="J108" s="84"/>
      <c r="M108" s="87" t="s">
        <v>197</v>
      </c>
      <c r="N108" s="317">
        <f>N109</f>
        <v>0.10100000000000001</v>
      </c>
      <c r="O108" s="80">
        <v>9.5399999999999991</v>
      </c>
      <c r="Q108" s="87"/>
      <c r="R108" s="263" t="s">
        <v>322</v>
      </c>
      <c r="S108" s="274">
        <f t="shared" ref="S108:S110" si="2">S112-0.25%</f>
        <v>0.106</v>
      </c>
    </row>
    <row r="109" spans="8:45" ht="30" hidden="1" customHeight="1" x14ac:dyDescent="0.35">
      <c r="H109" s="79"/>
      <c r="J109" s="84"/>
      <c r="K109" s="80">
        <v>5</v>
      </c>
      <c r="L109" s="153">
        <v>0.104</v>
      </c>
      <c r="M109" s="87" t="s">
        <v>198</v>
      </c>
      <c r="N109" s="294">
        <v>0.10100000000000001</v>
      </c>
      <c r="O109" s="80">
        <v>8.33</v>
      </c>
      <c r="Q109" s="87"/>
      <c r="R109" s="263" t="s">
        <v>317</v>
      </c>
      <c r="S109" s="274">
        <f t="shared" si="2"/>
        <v>0.11249999999999999</v>
      </c>
    </row>
    <row r="110" spans="8:45" ht="30" hidden="1" customHeight="1" x14ac:dyDescent="0.35">
      <c r="H110" s="79"/>
      <c r="J110" s="84"/>
      <c r="K110" s="80">
        <v>10</v>
      </c>
      <c r="L110" s="153">
        <v>0.1065</v>
      </c>
      <c r="M110" s="173" t="s">
        <v>209</v>
      </c>
      <c r="N110" s="317">
        <f>N111-0.25%</f>
        <v>9.6000000000000002E-2</v>
      </c>
      <c r="O110" s="80">
        <v>20.03</v>
      </c>
      <c r="Q110" s="87"/>
      <c r="R110" s="263" t="s">
        <v>235</v>
      </c>
      <c r="S110" s="274">
        <f t="shared" si="2"/>
        <v>0.11749999999999999</v>
      </c>
    </row>
    <row r="111" spans="8:45" ht="30" hidden="1" customHeight="1" x14ac:dyDescent="0.35">
      <c r="H111" s="79"/>
      <c r="J111" s="84"/>
      <c r="K111" s="80">
        <v>15</v>
      </c>
      <c r="L111" s="153">
        <v>0.109</v>
      </c>
      <c r="M111" s="173" t="s">
        <v>210</v>
      </c>
      <c r="N111" s="317">
        <f>N112-0.25%</f>
        <v>9.8500000000000004E-2</v>
      </c>
      <c r="O111" s="80">
        <v>11.89</v>
      </c>
      <c r="Q111" s="87"/>
      <c r="R111" s="262" t="s">
        <v>240</v>
      </c>
      <c r="S111" s="274">
        <f>S115-0.25%</f>
        <v>0.1085</v>
      </c>
    </row>
    <row r="112" spans="8:45" ht="30" hidden="1" customHeight="1" x14ac:dyDescent="0.35">
      <c r="H112" s="79"/>
      <c r="J112" s="84"/>
      <c r="K112" s="80">
        <v>20</v>
      </c>
      <c r="L112" s="153">
        <v>0.109</v>
      </c>
      <c r="M112" s="173" t="s">
        <v>211</v>
      </c>
      <c r="N112" s="317">
        <f>N113</f>
        <v>0.10100000000000001</v>
      </c>
      <c r="O112" s="80">
        <v>9.4</v>
      </c>
      <c r="Q112" s="87"/>
      <c r="R112" s="262" t="s">
        <v>323</v>
      </c>
      <c r="S112" s="274">
        <f t="shared" ref="S112:S114" si="3">S116-0.25%</f>
        <v>0.1085</v>
      </c>
    </row>
    <row r="113" spans="8:22" ht="30" hidden="1" customHeight="1" x14ac:dyDescent="0.35">
      <c r="H113" s="79"/>
      <c r="J113" s="84"/>
      <c r="M113" s="173" t="s">
        <v>212</v>
      </c>
      <c r="N113" s="317">
        <v>0.10100000000000001</v>
      </c>
      <c r="O113" s="80">
        <v>8.18</v>
      </c>
      <c r="Q113" s="87"/>
      <c r="R113" s="262" t="s">
        <v>318</v>
      </c>
      <c r="S113" s="274">
        <f t="shared" si="3"/>
        <v>0.11499999999999999</v>
      </c>
    </row>
    <row r="114" spans="8:22" ht="30" hidden="1" customHeight="1" x14ac:dyDescent="0.35">
      <c r="H114" s="79"/>
      <c r="J114" s="84"/>
      <c r="L114" s="80" t="s">
        <v>57</v>
      </c>
      <c r="M114" s="87" t="s">
        <v>199</v>
      </c>
      <c r="N114" s="317">
        <f>N115-0.25%</f>
        <v>9.849999999999999E-2</v>
      </c>
      <c r="O114" s="80">
        <v>20.060000000000002</v>
      </c>
      <c r="Q114" s="87"/>
      <c r="R114" s="262" t="s">
        <v>236</v>
      </c>
      <c r="S114" s="274">
        <f t="shared" si="3"/>
        <v>0.12</v>
      </c>
    </row>
    <row r="115" spans="8:22" ht="30" hidden="1" customHeight="1" x14ac:dyDescent="0.35">
      <c r="H115" s="79"/>
      <c r="J115" s="84"/>
      <c r="K115" s="80">
        <v>5</v>
      </c>
      <c r="L115" s="172">
        <v>9.6999999999999989E-2</v>
      </c>
      <c r="M115" s="87" t="s">
        <v>200</v>
      </c>
      <c r="N115" s="317">
        <f>N116-0.25%</f>
        <v>0.10099999999999999</v>
      </c>
      <c r="O115" s="80">
        <v>11.92</v>
      </c>
      <c r="Q115" s="87"/>
      <c r="R115" s="266" t="s">
        <v>241</v>
      </c>
      <c r="S115" s="274">
        <v>0.111</v>
      </c>
    </row>
    <row r="116" spans="8:22" ht="30" hidden="1" customHeight="1" x14ac:dyDescent="0.35">
      <c r="H116" s="79"/>
      <c r="J116" s="84"/>
      <c r="K116" s="80">
        <v>10</v>
      </c>
      <c r="L116" s="172">
        <v>9.9499999999999991E-2</v>
      </c>
      <c r="M116" s="87" t="s">
        <v>201</v>
      </c>
      <c r="N116" s="317">
        <f>N117</f>
        <v>0.10349999999999999</v>
      </c>
      <c r="O116" s="80">
        <v>9.43</v>
      </c>
      <c r="Q116" s="87"/>
      <c r="R116" s="266" t="s">
        <v>324</v>
      </c>
      <c r="S116" s="274">
        <v>0.111</v>
      </c>
    </row>
    <row r="117" spans="8:22" ht="30" hidden="1" customHeight="1" x14ac:dyDescent="0.35">
      <c r="H117" s="79"/>
      <c r="J117" s="84"/>
      <c r="K117" s="80">
        <v>15</v>
      </c>
      <c r="L117" s="172">
        <v>0.10199999999999999</v>
      </c>
      <c r="M117" s="87" t="s">
        <v>202</v>
      </c>
      <c r="N117" s="294">
        <v>0.10349999999999999</v>
      </c>
      <c r="O117" s="80">
        <v>8.2099999999999991</v>
      </c>
      <c r="Q117" s="87"/>
      <c r="R117" s="266" t="s">
        <v>319</v>
      </c>
      <c r="S117" s="274">
        <v>0.11749999999999999</v>
      </c>
    </row>
    <row r="118" spans="8:22" ht="30" hidden="1" customHeight="1" x14ac:dyDescent="0.35">
      <c r="H118" s="79"/>
      <c r="J118" s="84"/>
      <c r="K118" s="80">
        <v>20</v>
      </c>
      <c r="L118" s="172">
        <v>0.10199999999999999</v>
      </c>
      <c r="M118" s="87" t="s">
        <v>203</v>
      </c>
      <c r="N118" s="318">
        <f>N119-0.25%</f>
        <v>0.125</v>
      </c>
      <c r="Q118" s="87"/>
      <c r="R118" s="266" t="s">
        <v>237</v>
      </c>
      <c r="S118" s="274">
        <v>0.1225</v>
      </c>
    </row>
    <row r="119" spans="8:22" ht="30" hidden="1" customHeight="1" x14ac:dyDescent="0.35">
      <c r="H119" s="79"/>
      <c r="J119" s="84"/>
      <c r="L119" s="80" t="s">
        <v>58</v>
      </c>
      <c r="M119" s="87" t="s">
        <v>204</v>
      </c>
      <c r="N119" s="318">
        <f>N120-0.25%</f>
        <v>0.1275</v>
      </c>
      <c r="Q119" s="87"/>
      <c r="R119" s="265" t="s">
        <v>243</v>
      </c>
      <c r="S119" s="274">
        <f>S120-0.25%</f>
        <v>0.106</v>
      </c>
      <c r="T119" s="304"/>
    </row>
    <row r="120" spans="8:22" ht="30" hidden="1" customHeight="1" x14ac:dyDescent="0.35">
      <c r="H120" s="79"/>
      <c r="J120" s="84"/>
      <c r="K120" s="80">
        <v>5</v>
      </c>
      <c r="L120" s="172">
        <v>9.1999999999999998E-2</v>
      </c>
      <c r="M120" s="87" t="s">
        <v>205</v>
      </c>
      <c r="N120" s="317">
        <v>0.13</v>
      </c>
      <c r="Q120" s="87"/>
      <c r="R120" s="265" t="s">
        <v>244</v>
      </c>
      <c r="S120" s="274">
        <f>S121-0.25%</f>
        <v>0.1085</v>
      </c>
      <c r="T120" s="304"/>
    </row>
    <row r="121" spans="8:22" ht="30" hidden="1" customHeight="1" x14ac:dyDescent="0.35">
      <c r="H121" s="79"/>
      <c r="J121" s="84"/>
      <c r="K121" s="80">
        <v>10</v>
      </c>
      <c r="L121" s="172">
        <v>9.4500000000000001E-2</v>
      </c>
      <c r="M121" s="87" t="s">
        <v>206</v>
      </c>
      <c r="N121" s="318">
        <f>N122-0.25%</f>
        <v>0.11599999999999999</v>
      </c>
      <c r="Q121" s="87"/>
      <c r="R121" s="265" t="s">
        <v>245</v>
      </c>
      <c r="S121" s="274">
        <f>S122</f>
        <v>0.111</v>
      </c>
      <c r="T121" s="304"/>
    </row>
    <row r="122" spans="8:22" ht="30" hidden="1" customHeight="1" x14ac:dyDescent="0.35">
      <c r="H122" s="79"/>
      <c r="J122" s="84"/>
      <c r="K122" s="80">
        <v>15</v>
      </c>
      <c r="L122" s="172">
        <v>9.7000000000000003E-2</v>
      </c>
      <c r="M122" s="87" t="s">
        <v>207</v>
      </c>
      <c r="N122" s="318">
        <f>N123-0.25%</f>
        <v>0.11849999999999999</v>
      </c>
      <c r="Q122" s="87"/>
      <c r="R122" s="265" t="s">
        <v>246</v>
      </c>
      <c r="S122" s="274">
        <v>0.111</v>
      </c>
      <c r="T122" s="304"/>
    </row>
    <row r="123" spans="8:22" ht="30" hidden="1" customHeight="1" x14ac:dyDescent="0.35">
      <c r="H123" s="79"/>
      <c r="J123" s="84"/>
      <c r="K123" s="80">
        <v>20</v>
      </c>
      <c r="L123" s="172">
        <v>9.7000000000000003E-2</v>
      </c>
      <c r="M123" s="87" t="s">
        <v>208</v>
      </c>
      <c r="N123" s="317">
        <v>0.121</v>
      </c>
      <c r="Q123" s="87"/>
      <c r="R123" s="265" t="s">
        <v>475</v>
      </c>
      <c r="S123" s="274">
        <v>0.111</v>
      </c>
      <c r="T123" s="304"/>
    </row>
    <row r="124" spans="8:22" ht="30" hidden="1" customHeight="1" x14ac:dyDescent="0.35">
      <c r="H124" s="79"/>
      <c r="J124" s="84"/>
      <c r="M124" s="87" t="s">
        <v>267</v>
      </c>
      <c r="N124" s="317">
        <f>N125-0.25%</f>
        <v>9.849999999999999E-2</v>
      </c>
      <c r="O124" s="80">
        <v>19.89</v>
      </c>
      <c r="Q124" s="87"/>
      <c r="R124" s="267" t="s">
        <v>247</v>
      </c>
      <c r="S124" s="274">
        <f>S125-0.25%</f>
        <v>0.1075</v>
      </c>
      <c r="T124" s="304"/>
    </row>
    <row r="125" spans="8:22" ht="30" hidden="1" customHeight="1" x14ac:dyDescent="0.35">
      <c r="H125" s="79"/>
      <c r="J125" s="84"/>
      <c r="L125" s="80" t="s">
        <v>185</v>
      </c>
      <c r="M125" s="87" t="s">
        <v>268</v>
      </c>
      <c r="N125" s="317">
        <f>N126-0.25%</f>
        <v>0.10099999999999999</v>
      </c>
      <c r="O125" s="80">
        <v>11.74</v>
      </c>
      <c r="Q125" s="87"/>
      <c r="R125" s="267" t="s">
        <v>248</v>
      </c>
      <c r="S125" s="274">
        <f>S126-0.25%</f>
        <v>0.11</v>
      </c>
      <c r="T125" s="304"/>
    </row>
    <row r="126" spans="8:22" ht="30" hidden="1" customHeight="1" x14ac:dyDescent="0.35">
      <c r="H126" s="79"/>
      <c r="J126" s="84"/>
      <c r="K126" s="80">
        <v>5</v>
      </c>
      <c r="L126" s="172">
        <v>0.11499999999999999</v>
      </c>
      <c r="M126" s="87" t="s">
        <v>269</v>
      </c>
      <c r="N126" s="317">
        <f>N127</f>
        <v>0.10349999999999999</v>
      </c>
      <c r="O126" s="80">
        <v>9.23</v>
      </c>
      <c r="Q126" s="87"/>
      <c r="R126" s="267" t="s">
        <v>249</v>
      </c>
      <c r="S126" s="274">
        <f>S127</f>
        <v>0.1125</v>
      </c>
      <c r="T126" s="304"/>
    </row>
    <row r="127" spans="8:22" ht="30" hidden="1" customHeight="1" thickBot="1" x14ac:dyDescent="0.4">
      <c r="H127" s="79"/>
      <c r="J127" s="84"/>
      <c r="K127" s="80">
        <v>10</v>
      </c>
      <c r="L127" s="172">
        <v>0.11749999999999999</v>
      </c>
      <c r="M127" s="87" t="s">
        <v>270</v>
      </c>
      <c r="N127" s="317">
        <v>0.10349999999999999</v>
      </c>
      <c r="O127" s="80">
        <v>7.99</v>
      </c>
      <c r="Q127" s="87"/>
      <c r="R127" s="267" t="s">
        <v>250</v>
      </c>
      <c r="S127" s="274">
        <v>0.1125</v>
      </c>
      <c r="T127" s="304"/>
    </row>
    <row r="128" spans="8:22" ht="30" hidden="1" customHeight="1" x14ac:dyDescent="0.35">
      <c r="H128" s="79"/>
      <c r="J128" s="84"/>
      <c r="K128" s="80">
        <v>15</v>
      </c>
      <c r="L128" s="172">
        <v>0.12</v>
      </c>
      <c r="M128" s="290" t="s">
        <v>326</v>
      </c>
      <c r="N128" s="317">
        <f>N129-0.25%</f>
        <v>9.6000000000000002E-2</v>
      </c>
      <c r="O128">
        <v>19.990000000000002</v>
      </c>
      <c r="Q128" s="87"/>
      <c r="R128" s="264" t="s">
        <v>484</v>
      </c>
      <c r="S128" s="274">
        <f>S129-0.25%</f>
        <v>0.1225</v>
      </c>
      <c r="T128" s="304"/>
      <c r="V128" s="296">
        <f>IF($D$19=$L$190,0.4%,0)</f>
        <v>4.0000000000000001E-3</v>
      </c>
    </row>
    <row r="129" spans="8:24" ht="30" hidden="1" customHeight="1" x14ac:dyDescent="0.35">
      <c r="H129" s="79"/>
      <c r="J129" s="84"/>
      <c r="M129" s="290" t="s">
        <v>327</v>
      </c>
      <c r="N129" s="317">
        <f>N130-0.25%</f>
        <v>9.8500000000000004E-2</v>
      </c>
      <c r="O129" s="80">
        <v>11.84</v>
      </c>
      <c r="Q129" s="87"/>
      <c r="R129" s="264" t="s">
        <v>485</v>
      </c>
      <c r="S129" s="359">
        <f>S130-0.25%</f>
        <v>0.125</v>
      </c>
      <c r="T129" s="304"/>
      <c r="V129" s="297">
        <f>IF($D$19=$L$190,0.4%,0)</f>
        <v>4.0000000000000001E-3</v>
      </c>
    </row>
    <row r="130" spans="8:24" ht="30" hidden="1" customHeight="1" thickBot="1" x14ac:dyDescent="0.4">
      <c r="H130" s="79"/>
      <c r="J130" s="84"/>
      <c r="L130" s="80" t="s">
        <v>190</v>
      </c>
      <c r="M130" s="290" t="s">
        <v>328</v>
      </c>
      <c r="N130" s="317">
        <f>N131</f>
        <v>0.10100000000000001</v>
      </c>
      <c r="O130" s="80">
        <v>9.34</v>
      </c>
      <c r="Q130" s="87"/>
      <c r="R130" s="264" t="s">
        <v>486</v>
      </c>
      <c r="S130" s="274">
        <v>0.1275</v>
      </c>
      <c r="T130" s="304"/>
      <c r="V130" s="298">
        <f>IF($D$19=$L$190,0.4%,0)</f>
        <v>4.0000000000000001E-3</v>
      </c>
    </row>
    <row r="131" spans="8:24" ht="30" hidden="1" customHeight="1" x14ac:dyDescent="0.35">
      <c r="H131" s="79"/>
      <c r="J131" s="84"/>
      <c r="K131" s="80">
        <v>5</v>
      </c>
      <c r="L131" s="153">
        <v>0.13</v>
      </c>
      <c r="M131" s="290" t="s">
        <v>329</v>
      </c>
      <c r="N131" s="317">
        <v>0.10100000000000001</v>
      </c>
      <c r="O131" s="80">
        <v>8.11</v>
      </c>
      <c r="Q131" s="87"/>
      <c r="R131" s="263" t="s">
        <v>251</v>
      </c>
      <c r="S131" s="274">
        <f>S133-0.25%</f>
        <v>0.13</v>
      </c>
      <c r="T131" s="304"/>
      <c r="V131" s="299"/>
    </row>
    <row r="132" spans="8:24" ht="30" hidden="1" customHeight="1" x14ac:dyDescent="0.35">
      <c r="H132" s="79"/>
      <c r="J132" s="84"/>
      <c r="K132" s="80">
        <v>10</v>
      </c>
      <c r="L132" s="153">
        <v>0.13250000000000001</v>
      </c>
      <c r="M132" s="268" t="s">
        <v>408</v>
      </c>
      <c r="N132" s="300">
        <f t="shared" ref="N132:N133" si="4">N133</f>
        <v>9.849999999999999E-2</v>
      </c>
      <c r="Q132" s="87"/>
      <c r="R132" s="263" t="s">
        <v>487</v>
      </c>
      <c r="S132" s="274">
        <f t="shared" ref="S132:S133" si="5">S134-0.25%</f>
        <v>0.13250000000000001</v>
      </c>
      <c r="T132" s="304"/>
    </row>
    <row r="133" spans="8:24" ht="30" hidden="1" customHeight="1" x14ac:dyDescent="0.35">
      <c r="H133" s="79"/>
      <c r="J133" s="84"/>
      <c r="K133" s="80">
        <v>15</v>
      </c>
      <c r="L133" s="153">
        <v>0.13500000000000001</v>
      </c>
      <c r="M133" s="268" t="s">
        <v>409</v>
      </c>
      <c r="N133" s="300">
        <f t="shared" si="4"/>
        <v>9.849999999999999E-2</v>
      </c>
      <c r="Q133" s="87"/>
      <c r="R133" s="263" t="s">
        <v>252</v>
      </c>
      <c r="S133" s="274">
        <f t="shared" si="5"/>
        <v>0.13250000000000001</v>
      </c>
      <c r="T133" s="304"/>
    </row>
    <row r="134" spans="8:24" ht="30" hidden="1" customHeight="1" x14ac:dyDescent="0.35">
      <c r="K134" s="87">
        <v>5</v>
      </c>
      <c r="M134" s="268" t="s">
        <v>410</v>
      </c>
      <c r="N134" s="300">
        <f>N135</f>
        <v>9.849999999999999E-2</v>
      </c>
      <c r="Q134" s="87"/>
      <c r="R134" s="263" t="s">
        <v>488</v>
      </c>
      <c r="S134" s="274">
        <f>S136-0.25%</f>
        <v>0.13500000000000001</v>
      </c>
      <c r="T134" s="304"/>
    </row>
    <row r="135" spans="8:24" ht="30" hidden="1" customHeight="1" x14ac:dyDescent="0.35">
      <c r="K135" s="87">
        <v>6</v>
      </c>
      <c r="M135" s="268" t="s">
        <v>411</v>
      </c>
      <c r="N135" s="316">
        <f>N136-0.25%</f>
        <v>9.849999999999999E-2</v>
      </c>
      <c r="Q135" s="87"/>
      <c r="R135" s="263" t="s">
        <v>253</v>
      </c>
      <c r="S135" s="274">
        <v>0.13500000000000001</v>
      </c>
      <c r="T135" s="304"/>
    </row>
    <row r="136" spans="8:24" ht="30" hidden="1" customHeight="1" thickBot="1" x14ac:dyDescent="0.4">
      <c r="K136" s="87">
        <v>7</v>
      </c>
      <c r="M136" s="268" t="s">
        <v>412</v>
      </c>
      <c r="N136" s="300">
        <f t="shared" ref="N136:N137" si="6">N137</f>
        <v>0.10099999999999999</v>
      </c>
      <c r="Q136" s="87"/>
      <c r="R136" s="263" t="s">
        <v>489</v>
      </c>
      <c r="S136" s="274">
        <v>0.13750000000000001</v>
      </c>
      <c r="T136" s="304"/>
    </row>
    <row r="137" spans="8:24" ht="30" hidden="1" customHeight="1" x14ac:dyDescent="0.35">
      <c r="K137" s="87">
        <v>8</v>
      </c>
      <c r="M137" s="268" t="s">
        <v>413</v>
      </c>
      <c r="N137" s="300">
        <f t="shared" si="6"/>
        <v>0.10099999999999999</v>
      </c>
      <c r="Q137" s="87"/>
      <c r="R137" s="261" t="s">
        <v>271</v>
      </c>
      <c r="S137" s="274">
        <f>S138-0.25%-V137</f>
        <v>8.9499999999999982E-2</v>
      </c>
      <c r="T137" s="304"/>
      <c r="V137" s="296">
        <f>IF($D$19=$L$190,0.6%,0)</f>
        <v>6.0000000000000001E-3</v>
      </c>
    </row>
    <row r="138" spans="8:24" ht="30" hidden="1" customHeight="1" x14ac:dyDescent="0.35">
      <c r="K138" s="87">
        <v>9</v>
      </c>
      <c r="M138" s="268" t="s">
        <v>414</v>
      </c>
      <c r="N138" s="300">
        <f>N139</f>
        <v>0.10099999999999999</v>
      </c>
      <c r="Q138" s="87"/>
      <c r="R138" s="261" t="s">
        <v>272</v>
      </c>
      <c r="S138" s="274">
        <f>S139-0.25%-V138</f>
        <v>9.799999999999999E-2</v>
      </c>
      <c r="T138" s="304"/>
      <c r="V138" s="297">
        <f>IF($D$19=$L$190,0.6%,0)</f>
        <v>6.0000000000000001E-3</v>
      </c>
    </row>
    <row r="139" spans="8:24" s="79" customFormat="1" ht="30" hidden="1" customHeight="1" x14ac:dyDescent="0.35">
      <c r="H139" s="84"/>
      <c r="K139" s="200">
        <v>10</v>
      </c>
      <c r="M139" s="268" t="s">
        <v>415</v>
      </c>
      <c r="N139" s="315">
        <f>N140-0.25%</f>
        <v>0.10099999999999999</v>
      </c>
      <c r="Q139" s="87"/>
      <c r="R139" s="261" t="s">
        <v>273</v>
      </c>
      <c r="S139" s="274">
        <f>S140-V139</f>
        <v>0.1065</v>
      </c>
      <c r="T139" s="304"/>
      <c r="U139" s="80"/>
      <c r="V139" s="297">
        <f>IF($D$19=$L$190,0.6%,0)</f>
        <v>6.0000000000000001E-3</v>
      </c>
      <c r="W139" s="80"/>
      <c r="X139" s="80"/>
    </row>
    <row r="140" spans="8:24" s="79" customFormat="1" ht="30" hidden="1" customHeight="1" thickBot="1" x14ac:dyDescent="0.4">
      <c r="H140" s="84"/>
      <c r="K140" s="200">
        <v>11</v>
      </c>
      <c r="M140" s="268" t="s">
        <v>416</v>
      </c>
      <c r="N140" s="300">
        <f t="shared" ref="N140:N141" si="7">N141</f>
        <v>0.10349999999999999</v>
      </c>
      <c r="Q140" s="87"/>
      <c r="R140" s="261" t="s">
        <v>274</v>
      </c>
      <c r="S140" s="274">
        <v>0.1125</v>
      </c>
      <c r="T140" s="304"/>
      <c r="U140" s="80"/>
      <c r="V140" s="298">
        <f>IF($D$19=$L$190,0.6%,0)</f>
        <v>6.0000000000000001E-3</v>
      </c>
      <c r="W140" s="80"/>
    </row>
    <row r="141" spans="8:24" s="79" customFormat="1" ht="30" hidden="1" customHeight="1" x14ac:dyDescent="0.35">
      <c r="H141" s="84"/>
      <c r="K141" s="200">
        <v>12</v>
      </c>
      <c r="M141" s="268" t="s">
        <v>417</v>
      </c>
      <c r="N141" s="300">
        <f t="shared" si="7"/>
        <v>0.10349999999999999</v>
      </c>
      <c r="Q141" s="200"/>
      <c r="R141" s="268" t="s">
        <v>275</v>
      </c>
      <c r="S141" s="274">
        <f>S142-0.25%</f>
        <v>0.106</v>
      </c>
      <c r="T141" s="305"/>
    </row>
    <row r="142" spans="8:24" s="79" customFormat="1" ht="30" hidden="1" customHeight="1" x14ac:dyDescent="0.35">
      <c r="H142" s="84"/>
      <c r="K142" s="200">
        <v>13</v>
      </c>
      <c r="M142" s="268" t="s">
        <v>418</v>
      </c>
      <c r="N142" s="300">
        <f>N143</f>
        <v>0.10349999999999999</v>
      </c>
      <c r="Q142" s="200"/>
      <c r="R142" s="268" t="s">
        <v>276</v>
      </c>
      <c r="S142" s="274">
        <f>S143-0.25%</f>
        <v>0.1085</v>
      </c>
      <c r="T142" s="305"/>
    </row>
    <row r="143" spans="8:24" s="79" customFormat="1" ht="30" hidden="1" customHeight="1" x14ac:dyDescent="0.35">
      <c r="H143" s="84"/>
      <c r="K143" s="200">
        <v>14</v>
      </c>
      <c r="M143" s="268" t="s">
        <v>419</v>
      </c>
      <c r="N143" s="300">
        <v>0.10349999999999999</v>
      </c>
      <c r="Q143" s="200"/>
      <c r="R143" s="268" t="s">
        <v>277</v>
      </c>
      <c r="S143" s="274">
        <f>S144</f>
        <v>0.111</v>
      </c>
      <c r="T143" s="305"/>
    </row>
    <row r="144" spans="8:24" s="79" customFormat="1" ht="30" hidden="1" customHeight="1" x14ac:dyDescent="0.35">
      <c r="H144" s="84"/>
      <c r="K144" s="200">
        <v>15</v>
      </c>
      <c r="M144" s="79" t="s">
        <v>420</v>
      </c>
      <c r="N144" s="300">
        <f t="shared" ref="N144:N145" si="8">N145</f>
        <v>9.849999999999999E-2</v>
      </c>
      <c r="Q144" s="200"/>
      <c r="R144" s="268" t="s">
        <v>278</v>
      </c>
      <c r="S144" s="274">
        <v>0.111</v>
      </c>
      <c r="T144" s="305"/>
    </row>
    <row r="145" spans="8:24" s="79" customFormat="1" ht="30" hidden="1" customHeight="1" x14ac:dyDescent="0.35">
      <c r="H145" s="84"/>
      <c r="K145" s="200">
        <v>16</v>
      </c>
      <c r="M145" s="79" t="s">
        <v>421</v>
      </c>
      <c r="N145" s="300">
        <f t="shared" si="8"/>
        <v>9.849999999999999E-2</v>
      </c>
      <c r="Q145" s="200"/>
      <c r="R145" s="268" t="s">
        <v>476</v>
      </c>
      <c r="S145" s="274">
        <v>0.111</v>
      </c>
      <c r="T145" s="305"/>
    </row>
    <row r="146" spans="8:24" s="79" customFormat="1" ht="30" hidden="1" customHeight="1" x14ac:dyDescent="0.35">
      <c r="H146" s="84"/>
      <c r="K146" s="200">
        <v>17</v>
      </c>
      <c r="M146" s="79" t="s">
        <v>422</v>
      </c>
      <c r="N146" s="300">
        <f>N147</f>
        <v>9.849999999999999E-2</v>
      </c>
      <c r="Q146" s="200"/>
      <c r="R146" s="269" t="s">
        <v>242</v>
      </c>
      <c r="S146" s="274">
        <v>0.111</v>
      </c>
      <c r="T146" s="84"/>
    </row>
    <row r="147" spans="8:24" s="79" customFormat="1" ht="30" hidden="1" customHeight="1" x14ac:dyDescent="0.35">
      <c r="H147" s="84"/>
      <c r="K147" s="200">
        <v>18</v>
      </c>
      <c r="M147" s="79" t="s">
        <v>423</v>
      </c>
      <c r="N147" s="316">
        <f>N148-0.25%</f>
        <v>9.849999999999999E-2</v>
      </c>
      <c r="Q147" s="200"/>
      <c r="R147" s="269" t="s">
        <v>325</v>
      </c>
      <c r="S147" s="274">
        <v>0.111</v>
      </c>
      <c r="T147" s="84"/>
      <c r="U147" s="80"/>
    </row>
    <row r="148" spans="8:24" s="79" customFormat="1" ht="30" hidden="1" customHeight="1" x14ac:dyDescent="0.35">
      <c r="H148" s="84"/>
      <c r="K148" s="200">
        <v>19</v>
      </c>
      <c r="M148" s="79" t="s">
        <v>424</v>
      </c>
      <c r="N148" s="300">
        <f t="shared" ref="N148:N149" si="9">N149</f>
        <v>0.10099999999999999</v>
      </c>
      <c r="Q148" s="200"/>
      <c r="R148" s="269" t="s">
        <v>320</v>
      </c>
      <c r="S148" s="274">
        <v>0.11749999999999999</v>
      </c>
      <c r="T148" s="84"/>
      <c r="U148" s="80"/>
    </row>
    <row r="149" spans="8:24" s="79" customFormat="1" ht="30" hidden="1" customHeight="1" x14ac:dyDescent="0.35">
      <c r="H149" s="84"/>
      <c r="K149" s="200">
        <v>20</v>
      </c>
      <c r="M149" s="79" t="s">
        <v>425</v>
      </c>
      <c r="N149" s="300">
        <f t="shared" si="9"/>
        <v>0.10099999999999999</v>
      </c>
      <c r="Q149" s="200"/>
      <c r="R149" s="269" t="s">
        <v>238</v>
      </c>
      <c r="S149" s="274">
        <v>0.1225</v>
      </c>
      <c r="T149" s="84"/>
      <c r="U149" s="80"/>
    </row>
    <row r="150" spans="8:24" s="79" customFormat="1" ht="30" hidden="1" customHeight="1" x14ac:dyDescent="0.35">
      <c r="H150" s="84"/>
      <c r="K150" s="200"/>
      <c r="M150" s="79" t="s">
        <v>426</v>
      </c>
      <c r="N150" s="300">
        <f>N151</f>
        <v>0.10099999999999999</v>
      </c>
      <c r="Q150" s="200"/>
      <c r="R150" s="269" t="s">
        <v>477</v>
      </c>
      <c r="S150" s="274">
        <v>0.111</v>
      </c>
      <c r="T150" s="84"/>
      <c r="U150" s="80"/>
    </row>
    <row r="151" spans="8:24" s="79" customFormat="1" ht="30" hidden="1" customHeight="1" x14ac:dyDescent="0.35">
      <c r="H151" s="84"/>
      <c r="K151" s="200"/>
      <c r="M151" s="79" t="s">
        <v>427</v>
      </c>
      <c r="N151" s="315">
        <f>N152-0.25%</f>
        <v>0.10099999999999999</v>
      </c>
      <c r="Q151" s="200"/>
      <c r="R151" s="269" t="s">
        <v>478</v>
      </c>
      <c r="S151" s="274">
        <v>0.111</v>
      </c>
      <c r="T151" s="84"/>
      <c r="U151" s="80"/>
    </row>
    <row r="152" spans="8:24" s="79" customFormat="1" ht="30" hidden="1" customHeight="1" x14ac:dyDescent="0.35">
      <c r="H152" s="84"/>
      <c r="K152" s="200"/>
      <c r="M152" s="79" t="s">
        <v>428</v>
      </c>
      <c r="N152" s="300">
        <f t="shared" ref="N152:N153" si="10">N153</f>
        <v>0.10349999999999999</v>
      </c>
      <c r="Q152" s="200"/>
      <c r="R152" s="269" t="s">
        <v>479</v>
      </c>
      <c r="S152" s="274">
        <v>0.11749999999999999</v>
      </c>
      <c r="T152" s="84"/>
      <c r="U152" s="80"/>
    </row>
    <row r="153" spans="8:24" s="79" customFormat="1" ht="30" hidden="1" customHeight="1" x14ac:dyDescent="0.35">
      <c r="H153" s="84"/>
      <c r="K153" s="200"/>
      <c r="L153" s="79" t="s">
        <v>230</v>
      </c>
      <c r="M153" s="79" t="s">
        <v>429</v>
      </c>
      <c r="N153" s="300">
        <f t="shared" si="10"/>
        <v>0.10349999999999999</v>
      </c>
      <c r="Q153" s="200"/>
      <c r="R153" s="269" t="s">
        <v>480</v>
      </c>
      <c r="S153" s="274">
        <v>0.1225</v>
      </c>
      <c r="T153" s="84"/>
      <c r="U153" s="80"/>
    </row>
    <row r="154" spans="8:24" s="79" customFormat="1" ht="30" hidden="1" customHeight="1" x14ac:dyDescent="0.35">
      <c r="H154" s="84"/>
      <c r="L154" s="79" t="s">
        <v>232</v>
      </c>
      <c r="M154" s="79" t="s">
        <v>430</v>
      </c>
      <c r="N154" s="300">
        <f>N155</f>
        <v>0.10349999999999999</v>
      </c>
      <c r="Q154" s="200"/>
      <c r="R154" s="264" t="s">
        <v>330</v>
      </c>
      <c r="S154" s="274">
        <f>S155-0.25%</f>
        <v>0.12</v>
      </c>
      <c r="T154" s="305"/>
      <c r="U154" s="80"/>
    </row>
    <row r="155" spans="8:24" s="79" customFormat="1" ht="30" hidden="1" customHeight="1" x14ac:dyDescent="0.35">
      <c r="H155" s="84"/>
      <c r="L155" s="79" t="s">
        <v>231</v>
      </c>
      <c r="M155" s="79" t="s">
        <v>431</v>
      </c>
      <c r="N155" s="300">
        <v>0.10349999999999999</v>
      </c>
      <c r="Q155" s="200"/>
      <c r="R155" s="264" t="s">
        <v>331</v>
      </c>
      <c r="S155" s="274">
        <f>S156-0.25%</f>
        <v>0.1225</v>
      </c>
      <c r="T155" s="305"/>
      <c r="U155" s="80"/>
    </row>
    <row r="156" spans="8:24" s="79" customFormat="1" ht="30" hidden="1" customHeight="1" x14ac:dyDescent="0.35">
      <c r="H156" s="84"/>
      <c r="M156" s="80" t="s">
        <v>468</v>
      </c>
      <c r="N156" s="219">
        <f>N157-0.25%</f>
        <v>9.6000000000000002E-2</v>
      </c>
      <c r="Q156" s="200"/>
      <c r="R156" s="264" t="s">
        <v>332</v>
      </c>
      <c r="S156" s="274">
        <v>0.125</v>
      </c>
      <c r="T156" s="305"/>
      <c r="U156" s="80"/>
    </row>
    <row r="157" spans="8:24" ht="30" hidden="1" customHeight="1" x14ac:dyDescent="0.35">
      <c r="M157" s="80" t="s">
        <v>467</v>
      </c>
      <c r="N157" s="348">
        <f>N158-0.25%</f>
        <v>9.8500000000000004E-2</v>
      </c>
      <c r="Q157" s="200"/>
      <c r="R157" s="262" t="s">
        <v>384</v>
      </c>
      <c r="S157" s="301">
        <f t="shared" ref="S157:S163" si="11">S161-0.25%</f>
        <v>0.1075</v>
      </c>
      <c r="T157" s="305"/>
      <c r="V157" s="79"/>
      <c r="W157" s="79"/>
      <c r="X157" s="79"/>
    </row>
    <row r="158" spans="8:24" ht="30" hidden="1" customHeight="1" x14ac:dyDescent="0.35">
      <c r="L158" s="191" t="str">
        <f>IF(C29="Ingreso mensual neto*","Ingreso mensual neto*",IF(C29="Pago Mensual Máximo","Pago Mensual Máximo","1"))</f>
        <v>1</v>
      </c>
      <c r="M158" s="80" t="s">
        <v>469</v>
      </c>
      <c r="N158" s="217">
        <f>N159</f>
        <v>0.10100000000000001</v>
      </c>
      <c r="Q158" s="200"/>
      <c r="R158" s="262" t="s">
        <v>385</v>
      </c>
      <c r="S158" s="301">
        <f t="shared" si="11"/>
        <v>0.1075</v>
      </c>
      <c r="T158" s="305"/>
      <c r="V158" s="79"/>
      <c r="W158" s="79"/>
      <c r="X158" s="79"/>
    </row>
    <row r="159" spans="8:24" ht="30" hidden="1" customHeight="1" x14ac:dyDescent="0.35">
      <c r="L159" s="191" t="s">
        <v>255</v>
      </c>
      <c r="M159" s="80" t="s">
        <v>470</v>
      </c>
      <c r="N159" s="217">
        <v>0.10100000000000001</v>
      </c>
      <c r="Q159" s="200"/>
      <c r="R159" s="262" t="s">
        <v>386</v>
      </c>
      <c r="S159" s="301">
        <f t="shared" si="11"/>
        <v>0.1075</v>
      </c>
      <c r="T159" s="305"/>
      <c r="V159" s="79"/>
      <c r="W159" s="79"/>
      <c r="X159" s="79"/>
    </row>
    <row r="160" spans="8:24" ht="30" hidden="1" customHeight="1" x14ac:dyDescent="0.35">
      <c r="M160" s="80" t="s">
        <v>471</v>
      </c>
      <c r="N160" s="219">
        <f>N161-0.25%</f>
        <v>9.6000000000000002E-2</v>
      </c>
      <c r="Q160" s="200"/>
      <c r="R160" s="262" t="s">
        <v>387</v>
      </c>
      <c r="S160" s="301">
        <f t="shared" si="11"/>
        <v>0.1075</v>
      </c>
      <c r="T160" s="305"/>
      <c r="V160" s="79"/>
      <c r="W160" s="79"/>
      <c r="X160" s="79"/>
    </row>
    <row r="161" spans="10:24" ht="30" hidden="1" customHeight="1" x14ac:dyDescent="0.35">
      <c r="L161" s="193" t="s">
        <v>306</v>
      </c>
      <c r="M161" s="80" t="s">
        <v>472</v>
      </c>
      <c r="N161" s="348">
        <f>N162-0.25%</f>
        <v>9.8500000000000004E-2</v>
      </c>
      <c r="Q161" s="200"/>
      <c r="R161" s="267" t="s">
        <v>388</v>
      </c>
      <c r="S161" s="301">
        <f t="shared" si="11"/>
        <v>0.11</v>
      </c>
      <c r="T161" s="305"/>
      <c r="V161" s="79"/>
      <c r="W161" s="79"/>
      <c r="X161" s="79"/>
    </row>
    <row r="162" spans="10:24" ht="30" hidden="1" customHeight="1" x14ac:dyDescent="0.35">
      <c r="M162" s="80" t="s">
        <v>473</v>
      </c>
      <c r="N162" s="217">
        <f>N163</f>
        <v>0.10100000000000001</v>
      </c>
      <c r="Q162" s="200"/>
      <c r="R162" s="267" t="s">
        <v>389</v>
      </c>
      <c r="S162" s="301">
        <f t="shared" si="11"/>
        <v>0.11</v>
      </c>
      <c r="T162" s="305"/>
      <c r="V162" s="79"/>
      <c r="W162" s="79"/>
    </row>
    <row r="163" spans="10:24" ht="30" hidden="1" customHeight="1" x14ac:dyDescent="0.35">
      <c r="L163" s="191" t="s">
        <v>45</v>
      </c>
      <c r="M163" s="80" t="s">
        <v>474</v>
      </c>
      <c r="N163" s="217">
        <v>0.10100000000000001</v>
      </c>
      <c r="Q163" s="200"/>
      <c r="R163" s="267" t="s">
        <v>390</v>
      </c>
      <c r="S163" s="301">
        <f t="shared" si="11"/>
        <v>0.11</v>
      </c>
      <c r="T163" s="305"/>
      <c r="V163" s="79"/>
      <c r="W163" s="79"/>
    </row>
    <row r="164" spans="10:24" ht="30" hidden="1" customHeight="1" x14ac:dyDescent="0.35">
      <c r="L164" s="80" t="s">
        <v>260</v>
      </c>
      <c r="M164" s="80" t="str">
        <f>"Premier"&amp;N8&amp;D28</f>
        <v>PremierPago Hipoteca+Liquidez</v>
      </c>
      <c r="N164" s="217">
        <v>0.107</v>
      </c>
      <c r="Q164" s="87"/>
      <c r="R164" s="267" t="s">
        <v>391</v>
      </c>
      <c r="S164" s="301">
        <f>S168-0.25%</f>
        <v>0.11</v>
      </c>
      <c r="T164" s="304"/>
    </row>
    <row r="165" spans="10:24" ht="30" hidden="1" customHeight="1" x14ac:dyDescent="0.35">
      <c r="L165" s="80" t="s">
        <v>265</v>
      </c>
      <c r="M165" s="80" t="str">
        <f>"No Premier"&amp;N8&amp;D28</f>
        <v>No PremierPago Hipoteca+Liquidez</v>
      </c>
      <c r="N165" s="217">
        <v>0.107</v>
      </c>
      <c r="Q165" s="87"/>
      <c r="R165" s="262" t="s">
        <v>392</v>
      </c>
      <c r="S165" s="301">
        <v>0.1125</v>
      </c>
      <c r="T165" s="304"/>
    </row>
    <row r="166" spans="10:24" ht="30" hidden="1" customHeight="1" x14ac:dyDescent="0.35">
      <c r="L166" s="80" t="s">
        <v>308</v>
      </c>
      <c r="Q166" s="87"/>
      <c r="R166" s="262" t="s">
        <v>393</v>
      </c>
      <c r="S166" s="301">
        <v>0.1125</v>
      </c>
      <c r="T166" s="304"/>
    </row>
    <row r="167" spans="10:24" ht="30" hidden="1" customHeight="1" x14ac:dyDescent="0.35">
      <c r="L167" s="80" t="s">
        <v>448</v>
      </c>
      <c r="Q167" s="87"/>
      <c r="R167" s="262" t="s">
        <v>394</v>
      </c>
      <c r="S167" s="301">
        <v>0.1125</v>
      </c>
      <c r="T167" s="304"/>
    </row>
    <row r="168" spans="10:24" ht="30" hidden="1" customHeight="1" thickBot="1" x14ac:dyDescent="0.4">
      <c r="J168" s="79">
        <v>1</v>
      </c>
      <c r="L168" s="279">
        <f>IF($D$28=$P$4,9.75%,9.75%)</f>
        <v>9.7500000000000003E-2</v>
      </c>
      <c r="M168" s="220" t="str">
        <f>N4&amp;L41&amp;L168&amp;L5</f>
        <v>AdquisicionNo Premier0.0975NO</v>
      </c>
      <c r="N168" s="219"/>
      <c r="Q168" s="87"/>
      <c r="R168" s="262" t="s">
        <v>395</v>
      </c>
      <c r="S168" s="301">
        <v>0.1125</v>
      </c>
      <c r="T168" s="304"/>
    </row>
    <row r="169" spans="10:24" ht="30" hidden="1" customHeight="1" x14ac:dyDescent="0.35">
      <c r="J169" s="79">
        <v>2</v>
      </c>
      <c r="L169" s="279">
        <f>IF($D$28=$P$4,9.75%,9.75%)</f>
        <v>9.7500000000000003E-2</v>
      </c>
      <c r="M169" s="218"/>
      <c r="Q169" s="87"/>
      <c r="R169" s="268" t="s">
        <v>396</v>
      </c>
      <c r="S169" s="300">
        <f>11.25%-0.5%-V169</f>
        <v>0.10149999999999999</v>
      </c>
      <c r="T169" s="304"/>
      <c r="V169" s="296">
        <f>IF($D$19=$L$190,0.6%,0)</f>
        <v>6.0000000000000001E-3</v>
      </c>
    </row>
    <row r="170" spans="10:24" ht="30" hidden="1" customHeight="1" x14ac:dyDescent="0.35">
      <c r="J170" s="79">
        <v>3</v>
      </c>
      <c r="L170" s="279">
        <f>IF($D$28=$P$4,9.75%,9.75%)</f>
        <v>9.7500000000000003E-2</v>
      </c>
      <c r="M170" s="220" t="str">
        <f>N4&amp;L41&amp;L170&amp;L5</f>
        <v>AdquisicionNo Premier0.0975NO</v>
      </c>
      <c r="N170" s="220" t="str">
        <f>N4&amp;L41&amp;L170&amp;L4</f>
        <v>AdquisicionNo Premier0.0975SI</v>
      </c>
      <c r="Q170" s="87"/>
      <c r="R170" s="268" t="s">
        <v>397</v>
      </c>
      <c r="S170" s="300">
        <f>11.25%-0.5%-V170</f>
        <v>0.10149999999999999</v>
      </c>
      <c r="T170" s="304"/>
      <c r="V170" s="297">
        <f>IF($D$19=$L$190,0.6%,0)</f>
        <v>6.0000000000000001E-3</v>
      </c>
    </row>
    <row r="171" spans="10:24" ht="30" hidden="1" customHeight="1" x14ac:dyDescent="0.35">
      <c r="J171" s="79">
        <v>4</v>
      </c>
      <c r="L171" s="279">
        <f>IF($D$28=$P$4,9.75%,9.75%)</f>
        <v>9.7500000000000003E-2</v>
      </c>
      <c r="M171" s="218" t="str">
        <f>N4&amp;L41&amp;L171&amp;L5</f>
        <v>AdquisicionNo Premier0.0975NO</v>
      </c>
      <c r="N171" s="220" t="str">
        <f>N4&amp;L41&amp;L171&amp;L4</f>
        <v>AdquisicionNo Premier0.0975SI</v>
      </c>
      <c r="Q171" s="87"/>
      <c r="R171" s="268" t="s">
        <v>398</v>
      </c>
      <c r="S171" s="300">
        <f>11.25%-0.5%-V171</f>
        <v>0.10149999999999999</v>
      </c>
      <c r="T171" s="304"/>
      <c r="V171" s="297">
        <f>IF($D$19=$L$190,0.6%,0)</f>
        <v>6.0000000000000001E-3</v>
      </c>
    </row>
    <row r="172" spans="10:24" ht="30" hidden="1" customHeight="1" thickBot="1" x14ac:dyDescent="0.4">
      <c r="L172" s="250" t="s">
        <v>315</v>
      </c>
      <c r="Q172" s="87"/>
      <c r="R172" s="268" t="s">
        <v>399</v>
      </c>
      <c r="S172" s="300">
        <f>11.25%-0.5%-V172</f>
        <v>0.10149999999999999</v>
      </c>
      <c r="T172" s="304"/>
      <c r="V172" s="298">
        <f>IF($D$19=$L$190,0.6%,0)</f>
        <v>6.0000000000000001E-3</v>
      </c>
    </row>
    <row r="173" spans="10:24" ht="30" hidden="1" customHeight="1" x14ac:dyDescent="0.35">
      <c r="L173" s="80" t="s">
        <v>283</v>
      </c>
      <c r="N173" s="216" t="e">
        <f>D27/D26</f>
        <v>#DIV/0!</v>
      </c>
      <c r="Q173" s="87"/>
      <c r="R173" s="268" t="s">
        <v>400</v>
      </c>
      <c r="S173" s="300">
        <f>11.25%-0.25%-V173</f>
        <v>0.104</v>
      </c>
      <c r="T173" s="304"/>
      <c r="V173" s="296">
        <f t="shared" ref="V173:V180" si="12">IF($D$19=$L$190,0.6%,0)</f>
        <v>6.0000000000000001E-3</v>
      </c>
    </row>
    <row r="174" spans="10:24" ht="30" hidden="1" customHeight="1" x14ac:dyDescent="0.35">
      <c r="Q174" s="87"/>
      <c r="R174" s="268" t="s">
        <v>401</v>
      </c>
      <c r="S174" s="300">
        <f>11.25%-0.25%-V174</f>
        <v>0.104</v>
      </c>
      <c r="T174" s="304"/>
      <c r="V174" s="297">
        <f t="shared" si="12"/>
        <v>6.0000000000000001E-3</v>
      </c>
    </row>
    <row r="175" spans="10:24" ht="30" hidden="1" customHeight="1" x14ac:dyDescent="0.35">
      <c r="Q175" s="87"/>
      <c r="R175" s="268" t="s">
        <v>402</v>
      </c>
      <c r="S175" s="300">
        <f>11.25%-0.25%-V175</f>
        <v>0.104</v>
      </c>
      <c r="T175" s="304"/>
      <c r="V175" s="297">
        <f t="shared" si="12"/>
        <v>6.0000000000000001E-3</v>
      </c>
    </row>
    <row r="176" spans="10:24" ht="30" hidden="1" customHeight="1" thickBot="1" x14ac:dyDescent="0.4">
      <c r="Q176" s="87"/>
      <c r="R176" s="268" t="s">
        <v>403</v>
      </c>
      <c r="S176" s="300">
        <f>11.25%-0.25%-V176</f>
        <v>0.104</v>
      </c>
      <c r="T176" s="304"/>
      <c r="V176" s="298">
        <f t="shared" si="12"/>
        <v>6.0000000000000001E-3</v>
      </c>
    </row>
    <row r="177" spans="12:22" ht="30" hidden="1" customHeight="1" x14ac:dyDescent="0.35">
      <c r="N177" s="79" t="b">
        <f>D21=""</f>
        <v>0</v>
      </c>
      <c r="O177" s="188" t="s">
        <v>257</v>
      </c>
      <c r="Q177" s="87"/>
      <c r="R177" s="268" t="s">
        <v>404</v>
      </c>
      <c r="S177" s="300">
        <f>11.25%-V177</f>
        <v>0.1065</v>
      </c>
      <c r="T177" s="304"/>
      <c r="V177" s="296">
        <f t="shared" si="12"/>
        <v>6.0000000000000001E-3</v>
      </c>
    </row>
    <row r="178" spans="12:22" ht="30" hidden="1" customHeight="1" x14ac:dyDescent="0.35">
      <c r="N178" s="80" t="b">
        <f>D26=0</f>
        <v>1</v>
      </c>
      <c r="O178" s="80" t="s">
        <v>258</v>
      </c>
      <c r="Q178" s="87"/>
      <c r="R178" s="268" t="s">
        <v>405</v>
      </c>
      <c r="S178" s="300">
        <f>11.25%-V178</f>
        <v>0.1065</v>
      </c>
      <c r="T178" s="304"/>
      <c r="V178" s="297">
        <f t="shared" si="12"/>
        <v>6.0000000000000001E-3</v>
      </c>
    </row>
    <row r="179" spans="12:22" ht="30" hidden="1" customHeight="1" x14ac:dyDescent="0.35">
      <c r="L179" s="220">
        <f>IF(D22="CI+CB",0,IF(D21=N5,0,IF(D16=L40,0.7%,IF(D21=N7,0.7%,0.6%))))</f>
        <v>6.0000000000000001E-3</v>
      </c>
      <c r="N179" s="80" t="b">
        <f>D26&lt;350000</f>
        <v>1</v>
      </c>
      <c r="O179" s="188" t="s">
        <v>223</v>
      </c>
      <c r="Q179" s="87"/>
      <c r="R179" s="268" t="s">
        <v>406</v>
      </c>
      <c r="S179" s="300">
        <f>11.25%-V179</f>
        <v>0.1065</v>
      </c>
      <c r="T179" s="304"/>
      <c r="V179" s="297">
        <f t="shared" si="12"/>
        <v>6.0000000000000001E-3</v>
      </c>
    </row>
    <row r="180" spans="12:22" ht="30" hidden="1" customHeight="1" thickBot="1" x14ac:dyDescent="0.4">
      <c r="N180" s="80" t="b">
        <f>AND(D25=M4,D27=0)</f>
        <v>0</v>
      </c>
      <c r="O180" s="80" t="s">
        <v>227</v>
      </c>
      <c r="Q180" s="87"/>
      <c r="R180" s="268" t="s">
        <v>407</v>
      </c>
      <c r="S180" s="300">
        <f>11.25%-V180</f>
        <v>0.1065</v>
      </c>
      <c r="T180" s="304"/>
      <c r="V180" s="298">
        <f t="shared" si="12"/>
        <v>6.0000000000000001E-3</v>
      </c>
    </row>
    <row r="181" spans="12:22" ht="30" hidden="1" customHeight="1" x14ac:dyDescent="0.35">
      <c r="L181" s="80">
        <v>3</v>
      </c>
      <c r="N181" s="189" t="b">
        <f>AND(D25=M5,D29&lt;8500)</f>
        <v>0</v>
      </c>
      <c r="O181" s="188" t="s">
        <v>254</v>
      </c>
      <c r="Q181" s="87"/>
      <c r="R181" s="80" t="s">
        <v>434</v>
      </c>
      <c r="S181" s="217">
        <f>S182-0.25%</f>
        <v>0.106</v>
      </c>
      <c r="T181" s="304"/>
    </row>
    <row r="182" spans="12:22" ht="30" hidden="1" customHeight="1" x14ac:dyDescent="0.35">
      <c r="L182" s="80">
        <v>4</v>
      </c>
      <c r="N182" s="80" t="b">
        <f>AND(D21=N6,D26&lt;350000)</f>
        <v>0</v>
      </c>
      <c r="O182" s="188" t="s">
        <v>223</v>
      </c>
      <c r="Q182" s="87"/>
      <c r="R182" s="80" t="s">
        <v>435</v>
      </c>
      <c r="S182" s="217">
        <f>S183-0.25%</f>
        <v>0.1085</v>
      </c>
      <c r="T182" s="304"/>
    </row>
    <row r="183" spans="12:22" ht="30" hidden="1" customHeight="1" x14ac:dyDescent="0.35">
      <c r="L183" s="80" t="str">
        <f>L171&amp;L181</f>
        <v>0.09753</v>
      </c>
      <c r="N183" s="80" t="b">
        <f>AND(D21&lt;&gt;N6,H25&gt;20000000)</f>
        <v>0</v>
      </c>
      <c r="O183" s="188" t="s">
        <v>483</v>
      </c>
      <c r="Q183" s="87"/>
      <c r="R183" s="80" t="s">
        <v>436</v>
      </c>
      <c r="S183" s="217">
        <f>S185</f>
        <v>0.111</v>
      </c>
      <c r="T183" s="304"/>
    </row>
    <row r="184" spans="12:22" ht="30" hidden="1" customHeight="1" x14ac:dyDescent="0.35">
      <c r="L184" s="80" t="str">
        <f>L171&amp;L182</f>
        <v>0.09754</v>
      </c>
      <c r="N184" s="80" t="b">
        <f>AND(D21=N6,H25&gt;50000000)</f>
        <v>0</v>
      </c>
      <c r="O184" s="188" t="s">
        <v>459</v>
      </c>
      <c r="Q184" s="87"/>
      <c r="R184" s="80" t="s">
        <v>437</v>
      </c>
      <c r="S184" s="217">
        <v>0.111</v>
      </c>
      <c r="T184" s="304"/>
    </row>
    <row r="185" spans="12:22" ht="30" hidden="1" customHeight="1" x14ac:dyDescent="0.35">
      <c r="L185" s="80" t="s">
        <v>316</v>
      </c>
      <c r="N185" s="80" t="b">
        <f>AND(D21=N6,D27&gt;50000000)</f>
        <v>0</v>
      </c>
      <c r="O185" s="188" t="s">
        <v>459</v>
      </c>
      <c r="Q185" s="87"/>
      <c r="R185" s="80" t="s">
        <v>481</v>
      </c>
      <c r="S185" s="217">
        <v>0.111</v>
      </c>
      <c r="T185" s="304"/>
    </row>
    <row r="186" spans="12:22" ht="30" hidden="1" customHeight="1" x14ac:dyDescent="0.35">
      <c r="N186" s="79" t="e">
        <f>AND(D21=N6,N173&gt;70%)</f>
        <v>#DIV/0!</v>
      </c>
      <c r="O186" s="188" t="s">
        <v>226</v>
      </c>
      <c r="Q186" s="87"/>
      <c r="R186" s="80" t="s">
        <v>438</v>
      </c>
      <c r="S186" s="217">
        <f>S187-0.25%</f>
        <v>0.106</v>
      </c>
      <c r="T186" s="304"/>
    </row>
    <row r="187" spans="12:22" ht="30" hidden="1" customHeight="1" x14ac:dyDescent="0.35">
      <c r="O187" s="188" t="s">
        <v>224</v>
      </c>
      <c r="Q187" s="87"/>
      <c r="R187" s="80" t="s">
        <v>439</v>
      </c>
      <c r="S187" s="217">
        <f>S188-0.25%</f>
        <v>0.1085</v>
      </c>
      <c r="T187" s="304"/>
    </row>
    <row r="188" spans="12:22" ht="30" hidden="1" customHeight="1" x14ac:dyDescent="0.35">
      <c r="N188" s="80" t="b">
        <f>AND($D$21=$N$5,$G$25&gt;85%,$D$24="NO")</f>
        <v>0</v>
      </c>
      <c r="O188" s="188" t="s">
        <v>225</v>
      </c>
      <c r="Q188" s="87"/>
      <c r="R188" s="80" t="s">
        <v>440</v>
      </c>
      <c r="S188" s="217">
        <f>S190</f>
        <v>0.111</v>
      </c>
      <c r="T188" s="304"/>
    </row>
    <row r="189" spans="12:22" ht="30" hidden="1" customHeight="1" x14ac:dyDescent="0.35">
      <c r="L189" s="80" t="s">
        <v>383</v>
      </c>
      <c r="N189" s="80" t="b">
        <f>AND(D21=N6,G25&gt;70%)</f>
        <v>0</v>
      </c>
      <c r="O189" s="188" t="s">
        <v>226</v>
      </c>
      <c r="Q189" s="87"/>
      <c r="R189" s="80" t="s">
        <v>441</v>
      </c>
      <c r="S189" s="217">
        <v>0.111</v>
      </c>
      <c r="T189" s="304"/>
    </row>
    <row r="190" spans="12:22" ht="30" hidden="1" customHeight="1" x14ac:dyDescent="0.35">
      <c r="L190" s="80" t="str">
        <f>IF(D16="Premier","Alto Valor","")</f>
        <v/>
      </c>
      <c r="N190" s="79" t="b">
        <f>AND(D21=N6,D28&gt;15)</f>
        <v>0</v>
      </c>
      <c r="O190" s="188" t="s">
        <v>229</v>
      </c>
      <c r="Q190" s="87"/>
      <c r="R190" s="80" t="s">
        <v>482</v>
      </c>
      <c r="S190" s="217">
        <v>0.111</v>
      </c>
      <c r="T190" s="304"/>
    </row>
    <row r="191" spans="12:22" ht="30" hidden="1" customHeight="1" x14ac:dyDescent="0.35">
      <c r="L191" s="80" t="s">
        <v>378</v>
      </c>
      <c r="N191" s="79"/>
      <c r="O191" s="188"/>
    </row>
    <row r="192" spans="12:22" ht="30" hidden="1" customHeight="1" x14ac:dyDescent="0.35">
      <c r="N192" s="79" t="b">
        <f>AND(D21=N7,D22&lt;&gt;O6,D22&lt;&gt;O8,H25&lt;200000)</f>
        <v>0</v>
      </c>
      <c r="O192" s="188" t="s">
        <v>228</v>
      </c>
    </row>
    <row r="193" spans="14:15" ht="30" hidden="1" customHeight="1" x14ac:dyDescent="0.35">
      <c r="N193" s="79"/>
      <c r="O193" s="188" t="s">
        <v>233</v>
      </c>
    </row>
    <row r="194" spans="14:15" ht="30" hidden="1" customHeight="1" x14ac:dyDescent="0.35">
      <c r="N194" s="79" t="b">
        <f>AND(D22=O6,H25&lt;100000)</f>
        <v>0</v>
      </c>
      <c r="O194" s="188" t="s">
        <v>234</v>
      </c>
    </row>
    <row r="195" spans="14:15" ht="30" hidden="1" customHeight="1" x14ac:dyDescent="0.35">
      <c r="N195" s="79" t="b">
        <f>AND(D22=O8,H25&lt;100000)</f>
        <v>0</v>
      </c>
      <c r="O195" s="188" t="s">
        <v>234</v>
      </c>
    </row>
    <row r="196" spans="14:15" ht="30" hidden="1" customHeight="1" x14ac:dyDescent="0.35">
      <c r="N196" s="79" t="b">
        <f>AND(OR(D25=M5,D25=M4,D25=M6),D21=N8,D31=0)</f>
        <v>0</v>
      </c>
      <c r="O196" s="188" t="s">
        <v>261</v>
      </c>
    </row>
    <row r="197" spans="14:15" ht="30" hidden="1" customHeight="1" x14ac:dyDescent="0.35">
      <c r="N197" s="79" t="b">
        <f>AND(D21=N8,D25=M4,D31&lt;200000)</f>
        <v>0</v>
      </c>
      <c r="O197" s="79" t="s">
        <v>262</v>
      </c>
    </row>
    <row r="198" spans="14:15" ht="30" hidden="1" customHeight="1" x14ac:dyDescent="0.35">
      <c r="N198" s="79" t="b">
        <f>AND(D25=M4,D21=N8,D27-D31&lt;10000)</f>
        <v>0</v>
      </c>
      <c r="O198" s="79" t="s">
        <v>263</v>
      </c>
    </row>
    <row r="199" spans="14:15" ht="30" hidden="1" customHeight="1" x14ac:dyDescent="0.35">
      <c r="N199" s="80" t="b">
        <f>AND($D$21=$N$8,$G$25&gt;85%)</f>
        <v>0</v>
      </c>
      <c r="O199" s="188" t="s">
        <v>225</v>
      </c>
    </row>
    <row r="200" spans="14:15" ht="30" hidden="1" customHeight="1" x14ac:dyDescent="0.35">
      <c r="N200" s="80" t="b">
        <f>AND(D21&lt;&gt;N7,D22&lt;&gt;O6,D22&lt;&gt;O8,H25&lt;200000)</f>
        <v>1</v>
      </c>
      <c r="O200" s="188" t="s">
        <v>228</v>
      </c>
    </row>
    <row r="267" spans="20:20" ht="30" hidden="1" customHeight="1" x14ac:dyDescent="0.35">
      <c r="T267" s="80" t="s">
        <v>37</v>
      </c>
    </row>
    <row r="268" spans="20:20" ht="30" hidden="1" customHeight="1" x14ac:dyDescent="0.35">
      <c r="T268" s="80" t="s">
        <v>38</v>
      </c>
    </row>
    <row r="65536" ht="12.75" hidden="1" customHeight="1" x14ac:dyDescent="0.35"/>
  </sheetData>
  <sheetProtection algorithmName="SHA-512" hashValue="mZj6wNFNhNE9VZf/oisgCLTsuKnmNc3ZprfetcBt+U3bEpVuCWBWPO8TwD7Ql6ngj/jaSaueHCIEyZHUla2POw==" saltValue="lgw6yLUJJweO0IwOJvsWyQ==" spinCount="100000" sheet="1" objects="1" scenarios="1"/>
  <dataConsolidate/>
  <mergeCells count="26">
    <mergeCell ref="I26:J28"/>
    <mergeCell ref="G34:H34"/>
    <mergeCell ref="C41:H41"/>
    <mergeCell ref="C47:H47"/>
    <mergeCell ref="C40:H40"/>
    <mergeCell ref="C42:H42"/>
    <mergeCell ref="C43:H43"/>
    <mergeCell ref="C44:H44"/>
    <mergeCell ref="C38:H38"/>
    <mergeCell ref="C39:H39"/>
    <mergeCell ref="F31:H31"/>
    <mergeCell ref="C36:H36"/>
    <mergeCell ref="C37:H37"/>
    <mergeCell ref="G32:H32"/>
    <mergeCell ref="G33:H33"/>
    <mergeCell ref="D4:F4"/>
    <mergeCell ref="G27:H27"/>
    <mergeCell ref="G28:H28"/>
    <mergeCell ref="G29:H29"/>
    <mergeCell ref="G18:H18"/>
    <mergeCell ref="G20:H20"/>
    <mergeCell ref="G17:H17"/>
    <mergeCell ref="F16:H16"/>
    <mergeCell ref="G22:H22"/>
    <mergeCell ref="G26:H26"/>
    <mergeCell ref="F24:H24"/>
  </mergeCells>
  <conditionalFormatting sqref="G55">
    <cfRule type="expression" dxfId="52" priority="64" stopIfTrue="1">
      <formula>"SI($C$9=$K$3,""0"")"</formula>
    </cfRule>
  </conditionalFormatting>
  <conditionalFormatting sqref="G56">
    <cfRule type="expression" dxfId="51" priority="63" stopIfTrue="1">
      <formula>"SI($C$9=$K$3,""0"")"</formula>
    </cfRule>
  </conditionalFormatting>
  <conditionalFormatting sqref="D33">
    <cfRule type="expression" dxfId="50" priority="53">
      <formula>$C$33=$L$155</formula>
    </cfRule>
  </conditionalFormatting>
  <conditionalFormatting sqref="D32">
    <cfRule type="expression" dxfId="49" priority="45">
      <formula>$C$32=""</formula>
    </cfRule>
  </conditionalFormatting>
  <conditionalFormatting sqref="D31">
    <cfRule type="expression" dxfId="48" priority="41">
      <formula>$C$31=$L$164</formula>
    </cfRule>
  </conditionalFormatting>
  <conditionalFormatting sqref="D34">
    <cfRule type="expression" dxfId="47" priority="39">
      <formula>$C$34=$L$165</formula>
    </cfRule>
  </conditionalFormatting>
  <conditionalFormatting sqref="D30">
    <cfRule type="expression" dxfId="46" priority="69">
      <formula>$C$30=$L$159</formula>
    </cfRule>
    <cfRule type="expression" dxfId="45" priority="70">
      <formula>$C$30=$L$159</formula>
    </cfRule>
    <cfRule type="expression" dxfId="44" priority="71">
      <formula>$C$30=$L$159</formula>
    </cfRule>
  </conditionalFormatting>
  <conditionalFormatting sqref="D35">
    <cfRule type="expression" dxfId="43" priority="32">
      <formula>$C$35=$L$185</formula>
    </cfRule>
  </conditionalFormatting>
  <conditionalFormatting sqref="F32:H32">
    <cfRule type="expression" dxfId="42" priority="30" stopIfTrue="1">
      <formula>$D$21=$N$8</formula>
    </cfRule>
  </conditionalFormatting>
  <conditionalFormatting sqref="F33">
    <cfRule type="expression" dxfId="41" priority="29" stopIfTrue="1">
      <formula>OR($D$21=$N$8,D22=O7)</formula>
    </cfRule>
  </conditionalFormatting>
  <conditionalFormatting sqref="F31:H31">
    <cfRule type="expression" dxfId="40" priority="28" stopIfTrue="1">
      <formula>OR($D$21=$N$8,D22=O7)</formula>
    </cfRule>
  </conditionalFormatting>
  <conditionalFormatting sqref="F32:F33">
    <cfRule type="expression" dxfId="39" priority="27" stopIfTrue="1">
      <formula>OR($D$21=$N$8,D22=O7)</formula>
    </cfRule>
  </conditionalFormatting>
  <conditionalFormatting sqref="G33:H33">
    <cfRule type="expression" dxfId="38" priority="25" stopIfTrue="1">
      <formula>OR($D$21=$N$8,D22=O7)</formula>
    </cfRule>
  </conditionalFormatting>
  <conditionalFormatting sqref="D29">
    <cfRule type="expression" dxfId="37" priority="18">
      <formula>$C$29=$L$158</formula>
    </cfRule>
    <cfRule type="expression" dxfId="36" priority="19">
      <formula>$C$29=$L$158</formula>
    </cfRule>
  </conditionalFormatting>
  <conditionalFormatting sqref="D24">
    <cfRule type="expression" dxfId="35" priority="16">
      <formula>OR($C$24=$L$167,D22=O7)</formula>
    </cfRule>
  </conditionalFormatting>
  <conditionalFormatting sqref="D27">
    <cfRule type="expression" dxfId="34" priority="15">
      <formula>$C$27=$L$163</formula>
    </cfRule>
  </conditionalFormatting>
  <conditionalFormatting sqref="G32:H32">
    <cfRule type="expression" dxfId="33" priority="14" stopIfTrue="1">
      <formula>$D$22=O7</formula>
    </cfRule>
  </conditionalFormatting>
  <conditionalFormatting sqref="I31">
    <cfRule type="expression" dxfId="32" priority="8" stopIfTrue="1">
      <formula>$D$22=$O$7</formula>
    </cfRule>
  </conditionalFormatting>
  <conditionalFormatting sqref="I31">
    <cfRule type="expression" dxfId="31" priority="7" stopIfTrue="1">
      <formula>$D$22=$O$7</formula>
    </cfRule>
  </conditionalFormatting>
  <conditionalFormatting sqref="I32">
    <cfRule type="expression" dxfId="30" priority="6">
      <formula>D22=O7</formula>
    </cfRule>
  </conditionalFormatting>
  <conditionalFormatting sqref="I33">
    <cfRule type="expression" dxfId="29" priority="5">
      <formula>D22=O7</formula>
    </cfRule>
  </conditionalFormatting>
  <conditionalFormatting sqref="D22">
    <cfRule type="expression" dxfId="28" priority="4">
      <formula>$C$22&lt;&gt;""</formula>
    </cfRule>
  </conditionalFormatting>
  <conditionalFormatting sqref="D23">
    <cfRule type="expression" dxfId="27" priority="2" stopIfTrue="1">
      <formula>$C$23=$L$166</formula>
    </cfRule>
  </conditionalFormatting>
  <conditionalFormatting sqref="I26:J28">
    <cfRule type="expression" dxfId="26" priority="1">
      <formula>$I$26&lt;&gt;""</formula>
    </cfRule>
  </conditionalFormatting>
  <dataValidations count="12">
    <dataValidation type="list" allowBlank="1" showInputMessage="1" showErrorMessage="1" sqref="D17 D24" xr:uid="{00000000-0002-0000-0100-000000000000}">
      <formula1>$L$4:$L$5</formula1>
    </dataValidation>
    <dataValidation type="list" allowBlank="1" showInputMessage="1" showErrorMessage="1" sqref="D25" xr:uid="{00000000-0002-0000-0100-000001000000}">
      <formula1>$M$4:$M$7</formula1>
    </dataValidation>
    <dataValidation type="list" allowBlank="1" showInputMessage="1" showErrorMessage="1" sqref="D22" xr:uid="{00000000-0002-0000-0100-000002000000}">
      <formula1>IF(OR(D21="Adquisicion",D21="Exclusiva"),$O$4:$O$6,O4)</formula1>
    </dataValidation>
    <dataValidation type="list" allowBlank="1" showInputMessage="1" showErrorMessage="1" sqref="P9:P39" xr:uid="{00000000-0002-0000-0100-000003000000}">
      <formula1>$P$4:$P$7</formula1>
    </dataValidation>
    <dataValidation type="list" allowBlank="1" showInputMessage="1" showErrorMessage="1" sqref="G21" xr:uid="{00000000-0002-0000-0100-000004000000}">
      <formula1>$T$70:$T$81</formula1>
    </dataValidation>
    <dataValidation type="decimal" allowBlank="1" showInputMessage="1" showErrorMessage="1" error="Solo puede indicar números en este campo" sqref="D32:D33" xr:uid="{00000000-0002-0000-0100-000005000000}">
      <formula1>0.01</formula1>
      <formula2>100000000</formula2>
    </dataValidation>
    <dataValidation type="list" allowBlank="1" showInputMessage="1" showErrorMessage="1" sqref="D16" xr:uid="{00000000-0002-0000-0100-000006000000}">
      <formula1>$L$40:$L$41</formula1>
    </dataValidation>
    <dataValidation type="list" allowBlank="1" showInputMessage="1" showErrorMessage="1" sqref="M89" xr:uid="{00000000-0002-0000-0100-000008000000}">
      <formula1>$K$89:$K$90</formula1>
    </dataValidation>
    <dataValidation type="list" allowBlank="1" showInputMessage="1" showErrorMessage="1" sqref="D35" xr:uid="{00000000-0002-0000-0100-00000A000000}">
      <formula1>$L$181:$L$182</formula1>
    </dataValidation>
    <dataValidation type="list" allowBlank="1" showInputMessage="1" showErrorMessage="1" sqref="D18" xr:uid="{00000000-0002-0000-0100-00000C000000}">
      <formula1>$Q$3:$Q$39</formula1>
    </dataValidation>
    <dataValidation type="list" allowBlank="1" showInputMessage="1" showErrorMessage="1" sqref="D28" xr:uid="{00000000-0002-0000-0100-00000D000000}">
      <formula1>IF(OR($D$21=$N$8,$D$21=$N$5),$K$134:$K$149,$P$4:$P$8)</formula1>
    </dataValidation>
    <dataValidation type="list" allowBlank="1" showInputMessage="1" showErrorMessage="1" sqref="F19" xr:uid="{00000000-0002-0000-0100-00000E000000}">
      <formula1>$M$19:$M$21</formula1>
    </dataValidation>
  </dataValidations>
  <pageMargins left="0.7" right="0.7" top="0.75" bottom="0.75" header="0.3" footer="0.3"/>
  <pageSetup scale="61" orientation="landscape" r:id="rId1"/>
  <headerFooter>
    <oddFooter>&amp;C_x000D_&amp;1#&amp;"Calibri"&amp;10&amp;K000000 PUBLIC</oddFooter>
    <evenFooter>&amp;LINTERNAL</evenFooter>
    <firstFooter>&amp;LINTERNAL</firstFooter>
  </headerFooter>
  <ignoredErrors>
    <ignoredError sqref="L54" unlockedFormula="1"/>
    <ignoredError sqref="H33 H32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Check Box 4">
              <controlPr defaultSize="0" autoFill="0" autoLine="0" autoPict="0" altText="">
                <anchor moveWithCells="1">
                  <from>
                    <xdr:col>6</xdr:col>
                    <xdr:colOff>412750</xdr:colOff>
                    <xdr:row>13</xdr:row>
                    <xdr:rowOff>69850</xdr:rowOff>
                  </from>
                  <to>
                    <xdr:col>7</xdr:col>
                    <xdr:colOff>800100</xdr:colOff>
                    <xdr:row>14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pageSetUpPr fitToPage="1"/>
  </sheetPr>
  <dimension ref="A1:IX330"/>
  <sheetViews>
    <sheetView showGridLines="0" zoomScale="115" zoomScaleNormal="115" workbookViewId="0">
      <selection activeCell="E11" sqref="E11:F11"/>
    </sheetView>
  </sheetViews>
  <sheetFormatPr baseColWidth="10" defaultColWidth="0" defaultRowHeight="14.5" zeroHeight="1" x14ac:dyDescent="0.35"/>
  <cols>
    <col min="1" max="2" width="2.1796875" customWidth="1"/>
    <col min="3" max="3" width="15.453125" style="3" customWidth="1"/>
    <col min="4" max="4" width="18.54296875" style="3" customWidth="1"/>
    <col min="5" max="5" width="18" style="3" customWidth="1"/>
    <col min="6" max="6" width="17.1796875" style="3" customWidth="1"/>
    <col min="7" max="8" width="18.54296875" style="3" customWidth="1"/>
    <col min="9" max="9" width="19.26953125" style="3" customWidth="1"/>
    <col min="10" max="12" width="18.54296875" style="3" customWidth="1"/>
    <col min="13" max="15" width="19.453125" style="3" customWidth="1"/>
    <col min="16" max="16" width="16.1796875" style="3" customWidth="1"/>
    <col min="17" max="17" width="19.453125" style="3" customWidth="1"/>
    <col min="18" max="18" width="17.1796875" style="6" customWidth="1"/>
    <col min="19" max="19" width="3.81640625" style="3" customWidth="1"/>
    <col min="20" max="20" width="6.1796875" style="3" hidden="1" customWidth="1"/>
    <col min="21" max="21" width="22.1796875" style="3" hidden="1" customWidth="1"/>
    <col min="22" max="22" width="29.453125" style="3" hidden="1" customWidth="1"/>
    <col min="23" max="23" width="3.453125" style="3" hidden="1" customWidth="1"/>
    <col min="24" max="24" width="13.81640625" style="270" hidden="1" customWidth="1"/>
    <col min="25" max="25" width="5.1796875" style="3" hidden="1" customWidth="1"/>
    <col min="26" max="26" width="3.453125" style="3" hidden="1" customWidth="1"/>
    <col min="27" max="27" width="3.453125" hidden="1" customWidth="1"/>
    <col min="28" max="28" width="39.1796875" hidden="1" customWidth="1"/>
    <col min="29" max="30" width="3.453125" hidden="1" customWidth="1"/>
    <col min="31" max="31" width="14.81640625" hidden="1" customWidth="1"/>
    <col min="32" max="32" width="3.453125" hidden="1" customWidth="1"/>
    <col min="33" max="33" width="16.1796875" hidden="1" customWidth="1"/>
    <col min="34" max="34" width="14.81640625" hidden="1" customWidth="1"/>
    <col min="35" max="35" width="13" hidden="1" customWidth="1"/>
    <col min="36" max="36" width="11.54296875" hidden="1" customWidth="1"/>
    <col min="37" max="37" width="72.81640625" hidden="1" customWidth="1"/>
    <col min="38" max="38" width="7.54296875" hidden="1" customWidth="1"/>
    <col min="39" max="40" width="3.453125" hidden="1" customWidth="1"/>
    <col min="41" max="42" width="8.453125" hidden="1" customWidth="1"/>
    <col min="43" max="44" width="16.1796875" hidden="1" customWidth="1"/>
    <col min="45" max="47" width="3.453125" hidden="1" customWidth="1"/>
    <col min="48" max="53" width="15.81640625" hidden="1" customWidth="1"/>
    <col min="54" max="54" width="17.81640625" hidden="1" customWidth="1"/>
    <col min="55" max="60" width="15.81640625" hidden="1" customWidth="1"/>
    <col min="61" max="61" width="2.54296875" hidden="1" customWidth="1"/>
    <col min="62" max="63" width="15.81640625" hidden="1" customWidth="1"/>
    <col min="64" max="66" width="3" hidden="1" customWidth="1"/>
    <col min="67" max="67" width="2.1796875" hidden="1" customWidth="1"/>
    <col min="68" max="68" width="3" hidden="1" customWidth="1"/>
    <col min="69" max="257" width="3.453125" hidden="1" customWidth="1"/>
    <col min="258" max="258" width="7.1796875" hidden="1" customWidth="1"/>
    <col min="259" max="16384" width="11.453125" hidden="1"/>
  </cols>
  <sheetData>
    <row r="1" spans="3:60" x14ac:dyDescent="0.35">
      <c r="D1" s="4"/>
      <c r="E1" s="4"/>
      <c r="F1" s="4"/>
      <c r="G1" s="4"/>
      <c r="H1" s="4"/>
      <c r="I1"/>
      <c r="K1"/>
      <c r="Q1" s="28"/>
      <c r="R1" s="5"/>
      <c r="V1" s="3" t="s">
        <v>2</v>
      </c>
      <c r="X1" s="286">
        <f>Resumen!D28</f>
        <v>0</v>
      </c>
      <c r="AB1" t="b">
        <f>IF(X1=5,60,IF(X1=10,120,IF(X1=15,180,IF(X1=20,240))))</f>
        <v>0</v>
      </c>
      <c r="AE1" t="str">
        <f>V1&amp;0</f>
        <v>SI0</v>
      </c>
    </row>
    <row r="2" spans="3:60" x14ac:dyDescent="0.35">
      <c r="I2"/>
      <c r="K2"/>
      <c r="V2" s="3" t="s">
        <v>0</v>
      </c>
      <c r="X2" s="285">
        <f>IF(E16=V1,3,0)</f>
        <v>0</v>
      </c>
      <c r="AE2">
        <f>COUNT(F21:F320)</f>
        <v>1</v>
      </c>
      <c r="AH2" t="s">
        <v>496</v>
      </c>
    </row>
    <row r="3" spans="3:60" ht="26" x14ac:dyDescent="0.35">
      <c r="G3" s="380" t="s">
        <v>301</v>
      </c>
      <c r="H3" s="380"/>
      <c r="I3" s="380"/>
      <c r="K3"/>
      <c r="X3" s="285"/>
      <c r="AH3" s="356" t="b">
        <f>Resumen!N20</f>
        <v>0</v>
      </c>
      <c r="AV3" s="419" t="s">
        <v>456</v>
      </c>
      <c r="AW3" s="419"/>
      <c r="AX3" s="419"/>
    </row>
    <row r="4" spans="3:60" ht="23.5" x14ac:dyDescent="0.35">
      <c r="C4" s="8" t="s">
        <v>114</v>
      </c>
      <c r="D4" s="8"/>
      <c r="E4" s="8"/>
      <c r="F4" s="194"/>
      <c r="G4" s="51" t="s">
        <v>123</v>
      </c>
      <c r="H4" s="8"/>
      <c r="I4" s="8"/>
      <c r="J4" s="8"/>
      <c r="K4" s="8"/>
      <c r="M4" s="8"/>
      <c r="N4" s="8"/>
      <c r="O4" s="8"/>
      <c r="P4" s="8"/>
      <c r="Q4" s="8"/>
      <c r="X4" s="285" t="s">
        <v>377</v>
      </c>
    </row>
    <row r="5" spans="3:60" ht="13.5" customHeight="1" x14ac:dyDescent="0.35">
      <c r="C5" s="8"/>
      <c r="D5" s="8"/>
      <c r="E5" s="8"/>
      <c r="F5" s="209" t="str">
        <f>IF(E7="Pago de Hipoteca",E7&amp;Resumen!D28&amp;Resumen!O50,IF(E7&amp;E9="AdquisicionPremier",Amortización!E7&amp;Amortización!E9&amp;Resumen!D28&amp;90%,IF(E7&amp;E9="LiquidezPremier",E7&amp;E9&amp;Resumen!D28&amp;70%,E7&amp;E9&amp;Resumen!D28&amp;Resumen!O50)))</f>
        <v>Adquisicion00.9</v>
      </c>
      <c r="G5" s="51" t="s">
        <v>172</v>
      </c>
      <c r="H5" s="209" t="str">
        <f>E8&amp;E11</f>
        <v>Adquisicion</v>
      </c>
      <c r="I5" s="8"/>
      <c r="J5" s="8"/>
      <c r="K5" s="8"/>
      <c r="L5" s="420">
        <f ca="1">TODAY()</f>
        <v>45911</v>
      </c>
      <c r="M5" s="420"/>
      <c r="N5" s="420"/>
      <c r="O5" s="420"/>
      <c r="P5" s="420"/>
      <c r="Q5" s="420"/>
    </row>
    <row r="6" spans="3:60" ht="3" customHeight="1" thickBot="1" x14ac:dyDescent="0.5">
      <c r="C6" s="9"/>
      <c r="D6" s="9"/>
      <c r="E6" s="9"/>
      <c r="F6" s="9"/>
      <c r="G6" s="10"/>
      <c r="H6" s="10"/>
      <c r="I6" s="10"/>
      <c r="J6" s="10"/>
      <c r="K6" s="11"/>
      <c r="L6" s="10"/>
      <c r="M6" s="10"/>
      <c r="N6" s="10"/>
      <c r="O6" s="10"/>
      <c r="P6" s="10"/>
      <c r="Q6" s="10"/>
      <c r="R6" s="245"/>
      <c r="AV6" s="9"/>
      <c r="AW6" s="9"/>
      <c r="AX6" s="9"/>
      <c r="AY6" s="9"/>
      <c r="AZ6" s="10"/>
      <c r="BA6" s="10"/>
      <c r="BB6" s="10"/>
      <c r="BC6" s="10"/>
      <c r="BD6" s="11"/>
      <c r="BE6" s="10"/>
      <c r="BF6" s="10"/>
      <c r="BG6" s="10"/>
      <c r="BH6" s="245"/>
    </row>
    <row r="7" spans="3:60" ht="19" thickBot="1" x14ac:dyDescent="0.5">
      <c r="C7" s="13" t="s">
        <v>115</v>
      </c>
      <c r="E7" s="247" t="str">
        <f>IF(E8&amp;E9=Resumen!N7&amp;Resumen!L40,Resumen!N4,Amortización!E8)</f>
        <v>Adquisicion</v>
      </c>
      <c r="F7" s="7"/>
      <c r="G7" s="14"/>
      <c r="H7" s="7" t="str">
        <f>IF(E10="CI+CB", "Datos del crédito HSBC - CI+CB", "Datos del crédito")</f>
        <v>Datos del crédito</v>
      </c>
      <c r="U7" s="15" t="s">
        <v>36</v>
      </c>
      <c r="V7" s="15"/>
      <c r="AK7">
        <f>K11/12</f>
        <v>0</v>
      </c>
      <c r="AL7" t="s">
        <v>44</v>
      </c>
      <c r="AV7" s="7" t="s">
        <v>455</v>
      </c>
      <c r="AW7" s="3"/>
      <c r="AX7" s="3"/>
      <c r="AY7" s="3"/>
    </row>
    <row r="8" spans="3:60" ht="15.5" thickTop="1" thickBot="1" x14ac:dyDescent="0.4">
      <c r="C8" s="16" t="s">
        <v>36</v>
      </c>
      <c r="D8" s="12"/>
      <c r="E8" s="421" t="str">
        <f>Resumen!D21</f>
        <v>Adquisicion</v>
      </c>
      <c r="F8" s="421"/>
      <c r="G8" s="17"/>
      <c r="H8" s="16" t="s">
        <v>121</v>
      </c>
      <c r="I8" s="12"/>
      <c r="K8" s="225">
        <f>Resumen!D26</f>
        <v>0</v>
      </c>
      <c r="M8" s="306" t="str">
        <f>IF(E16="SI","Intereses Diferidos","")</f>
        <v/>
      </c>
      <c r="N8" s="306"/>
      <c r="O8" s="306"/>
      <c r="P8" s="306"/>
      <c r="Q8" s="424" t="str">
        <f>IF(E16="SI",MAX(0,(F24*3)-AG19),"")</f>
        <v/>
      </c>
      <c r="R8" s="425"/>
      <c r="U8" s="18" t="s">
        <v>79</v>
      </c>
      <c r="X8" s="270" t="s">
        <v>119</v>
      </c>
      <c r="AB8" t="s">
        <v>284</v>
      </c>
      <c r="AV8" s="16" t="s">
        <v>121</v>
      </c>
      <c r="AW8" s="12"/>
      <c r="AX8" s="3"/>
      <c r="AY8" s="225"/>
    </row>
    <row r="9" spans="3:60" ht="15.5" thickTop="1" thickBot="1" x14ac:dyDescent="0.4">
      <c r="C9" s="16" t="s">
        <v>282</v>
      </c>
      <c r="D9" s="12"/>
      <c r="E9" s="422">
        <f>Resumen!D16</f>
        <v>0</v>
      </c>
      <c r="F9" s="422"/>
      <c r="G9" s="19"/>
      <c r="H9" s="20" t="s">
        <v>117</v>
      </c>
      <c r="K9" s="205">
        <f>IF(H5="Pago Hipoteca+LiquidezPago de Hipoteca",Resumen!D31,IF(H5="Pago Hipoteca+LiquidezLiquidez",Resumen!H25-Resumen!D31,IF(E10=Resumen!O7,Resumen!G32,Resumen!H25)))</f>
        <v>0</v>
      </c>
      <c r="L9"/>
      <c r="M9" s="3" t="str">
        <f>IF(M8="","","Los prepagos liquidan inicialmente los intereses diferidos")</f>
        <v/>
      </c>
      <c r="U9" s="18" t="s">
        <v>37</v>
      </c>
      <c r="X9" s="270" t="s">
        <v>76</v>
      </c>
      <c r="AB9" t="s">
        <v>285</v>
      </c>
      <c r="AK9" t="str">
        <f>C8&amp;C9&amp;AL7&amp;H10</f>
        <v>ProductoTipo de clientePlazoTasa anual</v>
      </c>
      <c r="AQ9" t="s">
        <v>444</v>
      </c>
      <c r="AV9" s="20" t="s">
        <v>117</v>
      </c>
      <c r="AW9" s="3"/>
      <c r="AX9" s="3"/>
      <c r="AY9" s="225">
        <f>IF(E10="CI+CB",Resumen!G33,0)</f>
        <v>0</v>
      </c>
    </row>
    <row r="10" spans="3:60" ht="15.5" thickTop="1" thickBot="1" x14ac:dyDescent="0.4">
      <c r="C10" s="16" t="str">
        <f>IF(OR(E8=U11,E8=U10),"Esquema","Tipo de financiamiento")</f>
        <v>Tipo de financiamiento</v>
      </c>
      <c r="D10" s="12"/>
      <c r="E10" s="421">
        <f>IF(OR(E8=U11,E8=U10),"Pago Fijo",Resumen!D22)</f>
        <v>0</v>
      </c>
      <c r="F10" s="421"/>
      <c r="G10" s="14"/>
      <c r="H10" s="20" t="s">
        <v>118</v>
      </c>
      <c r="K10" s="206">
        <f>Resumen!G26</f>
        <v>9.8000000000000004E-2</v>
      </c>
      <c r="U10" s="21" t="s">
        <v>38</v>
      </c>
      <c r="AB10">
        <f>K11/12</f>
        <v>0</v>
      </c>
      <c r="AK10" s="248" t="str">
        <f>E8&amp;E9&amp;AK7&amp;K10</f>
        <v>Adquisicion000.098</v>
      </c>
      <c r="AQ10" t="str">
        <f>AK7&amp;K10</f>
        <v>00.098</v>
      </c>
      <c r="AV10" s="20" t="s">
        <v>118</v>
      </c>
      <c r="AW10" s="3"/>
      <c r="AX10" s="3"/>
      <c r="AY10" s="206">
        <v>0.1045</v>
      </c>
    </row>
    <row r="11" spans="3:60" ht="15" customHeight="1" thickTop="1" thickBot="1" x14ac:dyDescent="0.4">
      <c r="C11" s="12" t="str">
        <f>IF(E8=U11,"Tabla a simular","")</f>
        <v/>
      </c>
      <c r="D11" s="12"/>
      <c r="E11" s="423"/>
      <c r="F11" s="423"/>
      <c r="G11" s="22"/>
      <c r="H11" s="24" t="s">
        <v>125</v>
      </c>
      <c r="K11" s="207">
        <f>Resumen!$D$28*12</f>
        <v>0</v>
      </c>
      <c r="M11" s="18"/>
      <c r="N11" s="18"/>
      <c r="O11" s="18"/>
      <c r="P11" s="18"/>
      <c r="U11" s="3" t="s">
        <v>259</v>
      </c>
      <c r="AV11" s="24" t="s">
        <v>125</v>
      </c>
      <c r="AW11" s="3"/>
      <c r="AX11" s="3"/>
      <c r="AY11" s="207">
        <f>Resumen!$D$28*12</f>
        <v>0</v>
      </c>
    </row>
    <row r="12" spans="3:60" ht="20.25" customHeight="1" thickTop="1" thickBot="1" x14ac:dyDescent="0.4">
      <c r="G12" s="22"/>
      <c r="H12" s="26" t="str">
        <f>Resumen!$F$19</f>
        <v>C. Contratación Crédito</v>
      </c>
      <c r="K12" s="339">
        <f>IF(H12="Comisión por apertura",Resumen!$G$19, Resumen!$G$19)</f>
        <v>0</v>
      </c>
      <c r="U12" s="15" t="s">
        <v>57</v>
      </c>
      <c r="V12" s="15"/>
      <c r="AV12" s="26" t="s">
        <v>123</v>
      </c>
      <c r="AW12" s="3"/>
      <c r="AX12" s="3"/>
      <c r="AY12" s="225">
        <f>MAX(BD21:BD260)</f>
        <v>0</v>
      </c>
    </row>
    <row r="13" spans="3:60" ht="19.5" thickTop="1" thickBot="1" x14ac:dyDescent="0.5">
      <c r="C13" s="13" t="s">
        <v>313</v>
      </c>
      <c r="G13" s="23"/>
      <c r="H13" s="3" t="s">
        <v>499</v>
      </c>
      <c r="K13" s="205">
        <f>Resumen!G18</f>
        <v>2146</v>
      </c>
      <c r="U13" s="3" t="s">
        <v>42</v>
      </c>
      <c r="V13" s="3" t="s">
        <v>321</v>
      </c>
      <c r="AB13" s="3" t="s">
        <v>120</v>
      </c>
      <c r="AC13" s="3"/>
      <c r="AD13" s="3"/>
      <c r="AE13" s="282" t="e">
        <f>VLOOKUP(Resumen!D18,Resumen!Q3:R39,2,0)/1000</f>
        <v>#N/A</v>
      </c>
      <c r="AG13">
        <v>2.92E-4</v>
      </c>
      <c r="AH13" t="s">
        <v>494</v>
      </c>
      <c r="AV13" s="3" t="s">
        <v>122</v>
      </c>
      <c r="AW13" s="3"/>
      <c r="AX13" s="3"/>
      <c r="AY13" s="310">
        <v>0.01</v>
      </c>
    </row>
    <row r="14" spans="3:60" ht="15.75" customHeight="1" thickTop="1" thickBot="1" x14ac:dyDescent="0.4">
      <c r="C14" s="16" t="str">
        <f>IF(E8=U10,"",IF(E8=U11,"",IF(E8=U9,"Esquema","Esquema")))</f>
        <v>Esquema</v>
      </c>
      <c r="D14" s="12"/>
      <c r="E14" s="414" t="s">
        <v>119</v>
      </c>
      <c r="F14" s="415"/>
      <c r="G14" s="14"/>
      <c r="H14" s="12" t="s">
        <v>312</v>
      </c>
      <c r="I14" s="12"/>
      <c r="K14" s="226">
        <f>IF(K9="-","-",COUNT($D$20:$D$320))</f>
        <v>1</v>
      </c>
      <c r="M14" s="18"/>
      <c r="N14" s="18"/>
      <c r="O14" s="18"/>
      <c r="P14" s="18"/>
      <c r="U14" s="15" t="s">
        <v>124</v>
      </c>
      <c r="AB14" s="3" t="s">
        <v>122</v>
      </c>
      <c r="AC14" s="3"/>
      <c r="AD14" s="3"/>
      <c r="AE14" s="205">
        <f>IF(OR(E8&amp;E9="AdquisicionPremier",Resumen!D21=Resumen!N8),"0",IF(OR(E8="Exclusiva",E10="Apoyo Infonavit", E10= "Cofinavit",Resumen!N20="VERDADERO"),"0",IF(E8&amp;E9="AdquisicionNo Premier",250,IF(OR(E8="Pago de Hipoteca",E8="nomina Especial"),"0",250))))</f>
        <v>250</v>
      </c>
      <c r="AG14">
        <v>0.37</v>
      </c>
      <c r="AH14" t="s">
        <v>495</v>
      </c>
      <c r="AV14" s="12" t="s">
        <v>312</v>
      </c>
      <c r="AW14" s="12"/>
      <c r="AX14" s="3"/>
      <c r="AY14" s="226">
        <f>IF(AY9="-","-",COUNT($D$20:$D$320))</f>
        <v>1</v>
      </c>
    </row>
    <row r="15" spans="3:60" ht="15.5" thickTop="1" thickBot="1" x14ac:dyDescent="0.4">
      <c r="C15" s="16" t="s">
        <v>220</v>
      </c>
      <c r="D15" s="12"/>
      <c r="E15" s="414" t="s">
        <v>44</v>
      </c>
      <c r="F15" s="415"/>
      <c r="G15" s="14"/>
      <c r="H15" s="14" t="str">
        <f>"Factor "&amp;IF(E10="Pago Fijo","Pago Fijo",E14)</f>
        <v>Factor Pago Fijo</v>
      </c>
      <c r="I15" s="17"/>
      <c r="K15" s="227" t="e">
        <f>IF(E14=X9,VLOOKUP(AQ10,AQ17:AR89,2,0),PMT($K$10/12,$K$11,-1000))</f>
        <v>#NUM!</v>
      </c>
      <c r="L15" s="21"/>
      <c r="M15" s="21"/>
      <c r="N15" s="21"/>
      <c r="O15" s="21"/>
      <c r="P15" s="21"/>
      <c r="U15" s="3" t="s">
        <v>42</v>
      </c>
      <c r="AV15" s="14" t="str">
        <f>"Factor "&amp;IF(AS10="Pago Fijo","Pago Fijo",AS14)</f>
        <v xml:space="preserve">Factor </v>
      </c>
      <c r="AW15" s="17"/>
      <c r="AX15" s="3"/>
      <c r="AY15" s="227" t="e">
        <f>PMT($AY$10/12,$AY$11,-1000)</f>
        <v>#NUM!</v>
      </c>
    </row>
    <row r="16" spans="3:60" ht="15.5" thickTop="1" thickBot="1" x14ac:dyDescent="0.4">
      <c r="C16" s="303" t="str">
        <f>IF(C12="","",IF(E14=X9,"","Skip Payment"))</f>
        <v/>
      </c>
      <c r="E16" s="414" t="s">
        <v>0</v>
      </c>
      <c r="F16" s="415"/>
      <c r="G16" s="25"/>
      <c r="M16" s="27"/>
      <c r="N16" s="27"/>
      <c r="O16" s="27"/>
      <c r="P16" s="27"/>
      <c r="AV16" s="3"/>
      <c r="AW16" s="3"/>
      <c r="AX16" s="3"/>
      <c r="AY16" s="3"/>
    </row>
    <row r="17" spans="3:65" ht="19.5" thickTop="1" thickBot="1" x14ac:dyDescent="0.5">
      <c r="C17" s="28" t="s">
        <v>126</v>
      </c>
      <c r="E17" s="416">
        <f>IF(OR(Resumen!D21&amp;Resumen!D22=Resumen!O60,Resumen!D21&amp;Resumen!D22=Resumen!O61,Resumen!D21&amp;Resumen!D22=Resumen!O62),MIN(IF(Resumen!D29="",0,Resumen!D29),3439.46*25),0)</f>
        <v>0</v>
      </c>
      <c r="F17" s="417"/>
      <c r="G17" s="29"/>
      <c r="H17" s="32" t="s">
        <v>127</v>
      </c>
      <c r="I17" s="30"/>
      <c r="J17" s="30"/>
      <c r="K17" s="208" t="str">
        <f>IF(ISERROR(((1+IRR(V20:V320))^(12))-1),"-",(((1+IRR(V20:V320))^(12))-1))</f>
        <v>-</v>
      </c>
      <c r="M17" s="18"/>
      <c r="N17" s="18"/>
      <c r="O17" s="18"/>
      <c r="P17" s="18"/>
      <c r="Q17" s="12"/>
      <c r="W17" s="21"/>
      <c r="AK17" s="280" t="s">
        <v>335</v>
      </c>
      <c r="AL17" s="280">
        <v>19.770000000000003</v>
      </c>
      <c r="AO17" s="320">
        <v>5</v>
      </c>
      <c r="AP17" s="321">
        <f>AP18-0.25%</f>
        <v>9.8799999999999999E-2</v>
      </c>
      <c r="AQ17" s="322" t="str">
        <f>AO17&amp;AP17</f>
        <v>50.0988</v>
      </c>
      <c r="AR17" s="323">
        <v>20.48</v>
      </c>
      <c r="AS17" s="280"/>
      <c r="AV17" s="32" t="s">
        <v>127</v>
      </c>
      <c r="AW17" s="30"/>
      <c r="AX17" s="30"/>
      <c r="AY17" s="208" t="str">
        <f>IF(ISERROR(((1+IRR(BK20:BK320))^(12))-1),"-",(((1+IRR(BK20:BK320))^(12))-1))</f>
        <v>-</v>
      </c>
      <c r="BA17" s="284"/>
    </row>
    <row r="18" spans="3:65" ht="15.5" thickTop="1" thickBot="1" x14ac:dyDescent="0.4">
      <c r="G18" s="31"/>
      <c r="L18" s="30"/>
      <c r="M18" s="52"/>
      <c r="N18" s="52"/>
      <c r="O18" s="52"/>
      <c r="P18" s="52"/>
      <c r="Q18" s="33"/>
      <c r="R18" s="34"/>
      <c r="V18" s="287"/>
      <c r="AK18" s="280" t="s">
        <v>335</v>
      </c>
      <c r="AL18" s="280">
        <v>19.770000000000003</v>
      </c>
      <c r="AO18" s="324">
        <v>10</v>
      </c>
      <c r="AP18" s="325">
        <f>AP19-0.25%</f>
        <v>0.1013</v>
      </c>
      <c r="AQ18" s="326" t="str">
        <f t="shared" ref="AQ18:AQ68" si="0">AO18&amp;AP18</f>
        <v>100.1013</v>
      </c>
      <c r="AR18" s="327">
        <v>12.39</v>
      </c>
      <c r="AS18" s="280"/>
    </row>
    <row r="19" spans="3:65" ht="27" thickTop="1" thickBot="1" x14ac:dyDescent="0.4">
      <c r="C19" s="35" t="s">
        <v>128</v>
      </c>
      <c r="D19" s="35" t="s">
        <v>129</v>
      </c>
      <c r="E19" s="35" t="s">
        <v>130</v>
      </c>
      <c r="F19" s="35" t="s">
        <v>502</v>
      </c>
      <c r="G19" s="35" t="s">
        <v>132</v>
      </c>
      <c r="H19" s="35" t="s">
        <v>133</v>
      </c>
      <c r="I19" s="35" t="s">
        <v>500</v>
      </c>
      <c r="J19" s="35" t="str">
        <f>IF(OR(E11=Resumen!N6,E8=Resumen!N6),"Iva Sobre Intereses","")</f>
        <v/>
      </c>
      <c r="K19" s="35" t="s">
        <v>501</v>
      </c>
      <c r="L19" s="35" t="s">
        <v>135</v>
      </c>
      <c r="M19" s="35" t="s">
        <v>463</v>
      </c>
      <c r="N19" s="35" t="s">
        <v>464</v>
      </c>
      <c r="O19" s="35" t="s">
        <v>462</v>
      </c>
      <c r="P19" s="35" t="s">
        <v>465</v>
      </c>
      <c r="Q19" s="35" t="s">
        <v>136</v>
      </c>
      <c r="R19" s="35" t="s">
        <v>286</v>
      </c>
      <c r="U19" s="15" t="s">
        <v>137</v>
      </c>
      <c r="V19" s="15" t="s">
        <v>138</v>
      </c>
      <c r="X19" s="271" t="s">
        <v>139</v>
      </c>
      <c r="Y19" s="35" t="s">
        <v>222</v>
      </c>
      <c r="AG19" s="18">
        <f>SUM(M21:M320)</f>
        <v>0</v>
      </c>
      <c r="AH19" t="s">
        <v>446</v>
      </c>
      <c r="AI19" t="s">
        <v>447</v>
      </c>
      <c r="AK19" s="280" t="s">
        <v>335</v>
      </c>
      <c r="AL19" s="280">
        <v>19.770000000000003</v>
      </c>
      <c r="AO19" s="324">
        <v>15</v>
      </c>
      <c r="AP19" s="325">
        <f>AP20</f>
        <v>0.1038</v>
      </c>
      <c r="AQ19" s="326" t="str">
        <f t="shared" si="0"/>
        <v>150.1038</v>
      </c>
      <c r="AR19" s="327">
        <v>9.94</v>
      </c>
      <c r="AS19" s="280"/>
      <c r="AV19" s="35" t="s">
        <v>128</v>
      </c>
      <c r="AW19" s="35" t="s">
        <v>129</v>
      </c>
      <c r="AX19" s="35" t="s">
        <v>130</v>
      </c>
      <c r="AY19" s="35" t="s">
        <v>131</v>
      </c>
      <c r="AZ19" s="35" t="s">
        <v>132</v>
      </c>
      <c r="BA19" s="35" t="s">
        <v>133</v>
      </c>
      <c r="BB19" s="35" t="s">
        <v>134</v>
      </c>
      <c r="BC19" s="35" t="str">
        <f>IF(OR(AX11=Resumen!BD6,AX8=Resumen!BD6),"Iva Intereses","")</f>
        <v/>
      </c>
      <c r="BD19" s="35" t="s">
        <v>311</v>
      </c>
      <c r="BE19" s="35" t="s">
        <v>135</v>
      </c>
      <c r="BF19" s="35" t="s">
        <v>221</v>
      </c>
      <c r="BH19" s="35" t="s">
        <v>286</v>
      </c>
      <c r="BI19" s="3"/>
      <c r="BJ19" s="3"/>
      <c r="BK19" s="15" t="s">
        <v>137</v>
      </c>
      <c r="BL19" s="15"/>
      <c r="BM19" s="35"/>
    </row>
    <row r="20" spans="3:65" ht="15" thickBot="1" x14ac:dyDescent="0.4">
      <c r="C20" s="36">
        <v>0</v>
      </c>
      <c r="D20" s="37"/>
      <c r="E20" s="38"/>
      <c r="F20" s="38"/>
      <c r="G20" s="39"/>
      <c r="H20" s="39"/>
      <c r="K20" s="40" t="str">
        <f>IF(D20="","",E20+F20+G20+H20+I20)</f>
        <v/>
      </c>
      <c r="L20" s="240">
        <f>K9</f>
        <v>0</v>
      </c>
      <c r="M20" s="40"/>
      <c r="N20" s="40"/>
      <c r="O20" s="40"/>
      <c r="P20" s="40"/>
      <c r="Q20" s="41"/>
      <c r="R20" s="53"/>
      <c r="T20" s="3">
        <v>0</v>
      </c>
      <c r="U20" s="45">
        <f>IF(ISNUMBER(K9),-K9,0)+IF(H12="Comisión por apertura",IF(ISNUMBER(K12),K12*K9,0),0)+IF(ISNUMBER(K13),K13/1.16,0)+IF(ISNUMBER(Resumen!G20),Resumen!G20/1.16)</f>
        <v>1850.0000000000002</v>
      </c>
      <c r="V20" s="45">
        <f>IF(ISNUMBER(K9),-K9,0)+IF(H12="C. Contratación Crédito",IF(ISNUMBER(K12),K12*K9,0),0)+IF(ISNUMBER(K13),K13/1.16,0)+IF(ISNUMBER(Resumen!G20),Resumen!G20/1.16)</f>
        <v>1850.0000000000002</v>
      </c>
      <c r="AG20" t="s">
        <v>445</v>
      </c>
      <c r="AH20" s="283">
        <f>IF(E16="no",0,K9*K10*3/12)</f>
        <v>0</v>
      </c>
      <c r="AK20" s="280" t="s">
        <v>333</v>
      </c>
      <c r="AL20" s="280">
        <v>11.61</v>
      </c>
      <c r="AO20" s="324">
        <v>20</v>
      </c>
      <c r="AP20" s="325">
        <f>AP21</f>
        <v>0.1038</v>
      </c>
      <c r="AQ20" s="326" t="str">
        <f t="shared" si="0"/>
        <v>200.1038</v>
      </c>
      <c r="AR20" s="327">
        <v>8.76</v>
      </c>
      <c r="AS20" s="280"/>
      <c r="AV20" s="36">
        <v>0</v>
      </c>
      <c r="AW20" s="37"/>
      <c r="AX20" s="38"/>
      <c r="AY20" s="38"/>
      <c r="AZ20" s="39"/>
      <c r="BA20" s="39"/>
      <c r="BB20" s="3"/>
      <c r="BC20" s="3"/>
      <c r="BD20" s="40" t="str">
        <f>IF(AW20="","",AX20+AY20+AZ20+BA20+BB20)</f>
        <v/>
      </c>
      <c r="BE20" s="240">
        <f>BD9</f>
        <v>0</v>
      </c>
      <c r="BF20" s="40"/>
      <c r="BH20" s="53"/>
      <c r="BI20" s="3"/>
      <c r="BJ20" s="3">
        <v>0</v>
      </c>
      <c r="BK20" s="45">
        <f>IF(ISNUMBER(AY9),-AY9,0)+IF(ISNUMBER(AY12),AY12,0)+IF(ISNUMBER(AY13),AY13/1.16,0)+IF(ISNUMBER(Resumen!AW20),Resumen!AW20/1.16)</f>
        <v>8.6206896551724154E-3</v>
      </c>
      <c r="BL20" s="45"/>
      <c r="BM20" s="41"/>
    </row>
    <row r="21" spans="3:65" ht="15.5" thickTop="1" thickBot="1" x14ac:dyDescent="0.4">
      <c r="C21" s="36">
        <v>1</v>
      </c>
      <c r="D21" s="37">
        <f>IF(K9="-","",K9)</f>
        <v>0</v>
      </c>
      <c r="E21" s="236" t="e">
        <f>IF($E$16=$V$1,0,IF(D21="","",IF($E$14="Pago Fijo",MIN(IF($E$15="Mensualidad",-PMT(R21/12,$K$11-C20,D21)-F21,-PMT(R21/12,$K$11,$K$9)-F21),D21),MIN(X21*$K$9*$K$15/1000-F21,D21))))</f>
        <v>#NUM!</v>
      </c>
      <c r="F21" s="237">
        <f>IF($E$16=$V$1,0,IF(D21="","",D21*(R21/12)))</f>
        <v>0</v>
      </c>
      <c r="G21" s="238">
        <f>IF($E$16=$V$1,0,IF(D21="","",L20*Resumen!$L$86/1000))</f>
        <v>0</v>
      </c>
      <c r="H21" s="237" t="e">
        <f>IF($E$16=$V$1,0,IF(D21="","",IF($E$11="Liquidez","0",AB21)))</f>
        <v>#N/A</v>
      </c>
      <c r="I21" s="238">
        <f>IF($E$16=$V$1,0,IF(D21="","",Amortización!$AE$14))</f>
        <v>250</v>
      </c>
      <c r="J21" s="239">
        <f>IFERROR(IF(OR($E$11=Resumen!$N$6,$E$8=Resumen!$N$6),Amortización!F21*0.16,0),"")</f>
        <v>0</v>
      </c>
      <c r="K21" s="237">
        <f>IFERROR(IF(D21="","",E21+F21+G21+H21+I21+Y21+J21),0)</f>
        <v>0</v>
      </c>
      <c r="L21" s="240">
        <f>IFERROR(IF(D21="","",IF((D21-E21-AI21-Q21)&lt;1,0,D21-E21-AI21-Q21)),0)</f>
        <v>0</v>
      </c>
      <c r="M21" s="43" t="str">
        <f t="shared" ref="M21:M84" si="1">IF(OR(L20=0,L20=""),"",0)</f>
        <v/>
      </c>
      <c r="N21" s="44" t="str">
        <f>IF(OR(O21="",O21=0),M21,M21-O21-P21)</f>
        <v/>
      </c>
      <c r="O21" s="44" t="str">
        <f>IF(M21="","",IF(AND($H$12="Comisión pago anticipado",C21&lt;37),M21-(M21/(1+$K$12)),0))</f>
        <v/>
      </c>
      <c r="P21" s="44" t="str">
        <f>IF(O21="","",IF(O21=0,0,O21*0.16))</f>
        <v/>
      </c>
      <c r="Q21" s="74"/>
      <c r="R21" s="243">
        <f>IF(D21="","",Resumen!$G$26)</f>
        <v>9.8000000000000004E-2</v>
      </c>
      <c r="T21" s="3" t="str">
        <f>IF(ISNUMBER(T20),IF($K$11&gt;=T20+1,T20+1,""),"")</f>
        <v/>
      </c>
      <c r="U21" s="42" t="e">
        <f>IF(D21="","",E21+F21+G21+H21/1.16+I21+Q21)</f>
        <v>#NUM!</v>
      </c>
      <c r="V21" s="45">
        <f>IF($E$16=$V$1,AI21,IF(ISNUMBER(T21),IF($E$14="Pago Fijo",PMT(R21/12,$K$11,-$K$9),X21*$K$15*$K$9/1000)+G21+AI21+Q21+H21/1.16+$AE$14,0))</f>
        <v>0</v>
      </c>
      <c r="X21" s="272">
        <v>1</v>
      </c>
      <c r="Y21" s="39">
        <v>0</v>
      </c>
      <c r="AB21" s="357" t="e">
        <f>IF((($K$8*0.7)*($AE$13))&gt;L20*($AE$13),($K$8*0.7)*($AE$13),($AE$13)*L20)</f>
        <v>#N/A</v>
      </c>
      <c r="AE21" s="283">
        <f>K9*K10/12</f>
        <v>0</v>
      </c>
      <c r="AG21" s="307">
        <f>IF($AH$20=0,0,IF(N21&gt;AH20,MAX(0,N21-AH20),N21))</f>
        <v>0</v>
      </c>
      <c r="AH21" s="283">
        <f>IFERROR(MAX(0,AH20-N21),0)</f>
        <v>0</v>
      </c>
      <c r="AI21" t="str">
        <f>IF($E$16="no",N21,IF(AH21&gt;0,0,AG21))</f>
        <v/>
      </c>
      <c r="AK21" s="280" t="s">
        <v>333</v>
      </c>
      <c r="AL21" s="280">
        <v>11.61</v>
      </c>
      <c r="AO21" s="324">
        <v>25</v>
      </c>
      <c r="AP21" s="353">
        <v>0.1038</v>
      </c>
      <c r="AQ21" s="326" t="str">
        <f t="shared" si="0"/>
        <v>250.1038</v>
      </c>
      <c r="AR21" s="327">
        <v>8.7100000000000009</v>
      </c>
      <c r="AS21" s="280"/>
      <c r="AV21" s="36">
        <v>1</v>
      </c>
      <c r="AW21" s="37">
        <f>IF(AY9="-","",AY9)</f>
        <v>0</v>
      </c>
      <c r="AX21" s="236" t="e">
        <f>IF($E$16=$V$1,0,IF(AW21="","",PMT($AY$10/12,$AY$11,-$AW$21)-AY21))</f>
        <v>#NUM!</v>
      </c>
      <c r="AY21" s="237">
        <f>IF($E$16=$V$1,0,IF(AW21="","",AW21*(BH21/12)))</f>
        <v>0</v>
      </c>
      <c r="AZ21" s="238">
        <f>IF($E$16=$V$1,0,IF(AW21="","",BE20*0/1000))</f>
        <v>0</v>
      </c>
      <c r="BA21" s="237">
        <f>IF($E$16=$V$1,0,IF(AW21="","",IF($E$11="Liquidez","0",0)))</f>
        <v>0</v>
      </c>
      <c r="BB21" s="238">
        <f>IF($E$16=$V$1,0,IF(AW21="","",AW21*$AY$13/12))</f>
        <v>0</v>
      </c>
      <c r="BC21" s="239">
        <f>IFERROR(IF(OR($E$11=Resumen!$N$6,$E$8=Resumen!$N$6),Amortización!AY21*0.16,0),"")</f>
        <v>0</v>
      </c>
      <c r="BD21" s="237">
        <f>IFERROR(IF(AW21="","",AX21+AY21+AZ21+BA21+BB21+BC21),0)</f>
        <v>0</v>
      </c>
      <c r="BE21" s="240">
        <f t="shared" ref="BE21:BE84" si="2">IFERROR(IF(AW21="","",IF((AW21-AX21-BY21)&lt;1,0,AW21-AX21-BY21)),0)</f>
        <v>0</v>
      </c>
      <c r="BF21" s="43" t="str">
        <f t="shared" ref="BF21:BF84" si="3">IF(OR(BE20=0,BE20=""),"",0)</f>
        <v/>
      </c>
      <c r="BH21" s="243">
        <f>IF(AW21="","",$AY$10)</f>
        <v>0.1045</v>
      </c>
      <c r="BI21" s="3"/>
      <c r="BJ21" s="3" t="str">
        <f>IF(ISNUMBER(BJ20),IF($K$11&gt;=BJ20+1,BJ20+1,""),"")</f>
        <v/>
      </c>
      <c r="BK21" s="42" t="e">
        <f>IF(AW21="","",AX21+AY21+AZ21+BA21/1.16+BB21/1.16)</f>
        <v>#NUM!</v>
      </c>
      <c r="BL21" s="45"/>
      <c r="BM21" s="74"/>
    </row>
    <row r="22" spans="3:65" ht="15.5" thickTop="1" thickBot="1" x14ac:dyDescent="0.4">
      <c r="C22" s="36" t="str">
        <f t="shared" ref="C22:C53" si="4">IF(OR(L21="",L21=0),"",IF(C21+1&gt;$K$11+$X$2,"",C21+1))</f>
        <v/>
      </c>
      <c r="D22" s="37" t="e">
        <f>IF(IF(D21="","",D21-E21-Q21-AI21)&lt;0.01,"",IF(D21="","",L21))</f>
        <v>#NUM!</v>
      </c>
      <c r="E22" s="236" t="e">
        <f>IF($E$16=$V$1,0,IF(D22="","",IF($E$14="Pago Fijo",MIN(IF($E$15="Mensualidad",-PMT(R22/12,$K$11-C21,D22)-F22,-PMT(R22/12,$K$11,$K$9)-F22),D22),MIN(X22*$K$9*$K$15/1000-F22,D22))))</f>
        <v>#NUM!</v>
      </c>
      <c r="F22" s="237" t="e">
        <f>IF($E$16=$V$1,0,IF(D22="","",D22*(R22/12)))</f>
        <v>#NUM!</v>
      </c>
      <c r="G22" s="238" t="e">
        <f>IF($E$16=$V$1,0,IF(D22="","",L21*Resumen!$L$86/1000))</f>
        <v>#NUM!</v>
      </c>
      <c r="H22" s="237" t="e">
        <f t="shared" ref="H22:H85" si="5">IF($E$16=$V$1,0,IF(D22="","",IF($E$11="Liquidez","0",AB22)))</f>
        <v>#NUM!</v>
      </c>
      <c r="I22" s="238" t="e">
        <f>IF($E$16=$V$1,0,IF(D22="","",Amortización!$AE$14))</f>
        <v>#NUM!</v>
      </c>
      <c r="J22" s="239">
        <f>IFERROR(IF(OR($E$11=Resumen!$N$6,$E$8=Resumen!$N$6),Amortización!F22*0.16,0),"")</f>
        <v>0</v>
      </c>
      <c r="K22" s="237">
        <f t="shared" ref="K22:K85" si="6">IFERROR(IF(D22="","",E22+F22+G22+H22+I22+Y22+J22),0)</f>
        <v>0</v>
      </c>
      <c r="L22" s="240">
        <f t="shared" ref="L22:L85" si="7">IFERROR(IF(D22="","",IF((D22-E22-AI22-Q22)&lt;1,0,D22-E22-AI22-Q22)),0)</f>
        <v>0</v>
      </c>
      <c r="M22" s="43">
        <v>0</v>
      </c>
      <c r="N22" s="44">
        <f t="shared" ref="N22:N85" si="8">IF(OR(O22="",O22=0),M22,M22-O22-P22)</f>
        <v>0</v>
      </c>
      <c r="O22" s="44">
        <f t="shared" ref="O22:O85" si="9">IF(M22="","",IF(AND($H$12="Comisión pago anticipado",C22&lt;37),M22-(M22/(1+$K$12)),0))</f>
        <v>0</v>
      </c>
      <c r="P22" s="44">
        <f t="shared" ref="P22:P85" si="10">IF(O22="","",IF(O22=0,0,O22*0.16))</f>
        <v>0</v>
      </c>
      <c r="Q22" s="242" t="str">
        <f>IF(OR(L21=0,L21=""),"",IF(E22&gt;=D22,0,$E$17*10%))</f>
        <v/>
      </c>
      <c r="R22" s="243" t="e">
        <f t="shared" ref="R22:R32" si="11">IF(D22="","",R21)</f>
        <v>#NUM!</v>
      </c>
      <c r="S22" s="187"/>
      <c r="T22" s="187" t="str">
        <f t="shared" ref="T22:T53" si="12">C22</f>
        <v/>
      </c>
      <c r="U22" s="42" t="e">
        <f t="shared" ref="U22:U85" si="13">IF(D22="","",E22+F22+G22+H22/1.16+I22+Q22)</f>
        <v>#NUM!</v>
      </c>
      <c r="V22" s="45">
        <f t="shared" ref="V22:V85" si="14">IF($E$16=$V$1,AI22,IF(ISNUMBER(T22),IF($E$14="Pago Fijo",PMT(R22/12,$K$11,-$K$9),X22*$K$15*$K$9/1000)+G22+AI22+Q22+H22/1.16+$AE$14,0))</f>
        <v>0</v>
      </c>
      <c r="W22" s="187"/>
      <c r="X22" s="272">
        <v>1</v>
      </c>
      <c r="Y22" s="187">
        <v>0</v>
      </c>
      <c r="Z22" s="187"/>
      <c r="AB22" s="357" t="e">
        <f t="shared" ref="AB22:AB85" si="15">IF((($K$8*0.7)*($AE$13))&gt;L21*($AE$13),($K$8*0.7)*($AE$13),($AE$13)*L21)</f>
        <v>#N/A</v>
      </c>
      <c r="AE22" s="283"/>
      <c r="AG22" s="307">
        <f t="shared" ref="AG22:AG85" si="16">IF($AH$20=0,0,IF(N22&gt;AH21,MAX(0,N22-AH21),N22))</f>
        <v>0</v>
      </c>
      <c r="AH22" s="283">
        <f t="shared" ref="AH22:AH85" si="17">IFERROR(MAX(0,AH21-N22),0)</f>
        <v>0</v>
      </c>
      <c r="AI22">
        <f t="shared" ref="AI22:AI85" si="18">IF($E$16="no",N22,IF(AH22&gt;0,0,AG22))</f>
        <v>0</v>
      </c>
      <c r="AK22" s="280" t="s">
        <v>333</v>
      </c>
      <c r="AL22" s="280">
        <v>11.61</v>
      </c>
      <c r="AO22" s="324">
        <v>5</v>
      </c>
      <c r="AP22" s="325">
        <f>AP23-0.25%</f>
        <v>9.9499999999999991E-2</v>
      </c>
      <c r="AQ22" s="326" t="str">
        <f t="shared" si="0"/>
        <v>50.0995</v>
      </c>
      <c r="AR22" s="327">
        <v>20.51</v>
      </c>
      <c r="AS22" s="248"/>
      <c r="AV22" s="36" t="str">
        <f t="shared" ref="AV22:AV85" si="19">IF(OR(BE21="",BE21=0),"",IF(AV21+1&gt;$K$11+$X$2,"",AV21+1))</f>
        <v/>
      </c>
      <c r="AW22" s="37" t="e">
        <f t="shared" ref="AW22:AW85" si="20">IF(IF(AW21="","",AW21-AX21-BM21-BY21)&lt;0.01,"",IF(AW21="","",BE21))</f>
        <v>#NUM!</v>
      </c>
      <c r="AX22" s="236" t="e">
        <f t="shared" ref="AX22:AX85" si="21">IF($E$16=$V$1,0,IF(AW22="","",PMT($AY$10/12,$AY$11,-$AW$21)-AY22))</f>
        <v>#NUM!</v>
      </c>
      <c r="AY22" s="237" t="e">
        <f>IF($E$16=$V$1,0,IF(AW22="","",AW22*(BH22/12)))</f>
        <v>#NUM!</v>
      </c>
      <c r="AZ22" s="238" t="e">
        <f t="shared" ref="AZ22:AZ85" si="22">IF($E$16=$V$1,0,IF(AW22="","",BE21*0/1000))</f>
        <v>#NUM!</v>
      </c>
      <c r="BA22" s="237" t="e">
        <f t="shared" ref="BA22:BA85" si="23">IF($E$16=$V$1,0,IF(AW22="","",IF($E$11="Liquidez","0",0)))</f>
        <v>#NUM!</v>
      </c>
      <c r="BB22" s="238" t="e">
        <f t="shared" ref="BB22:BB85" si="24">IF($E$16=$V$1,0,IF(AW22="","",AW22*$AY$13/12))</f>
        <v>#NUM!</v>
      </c>
      <c r="BC22" s="239">
        <f>IFERROR(IF(OR($E$11=Resumen!$N$6,$E$8=Resumen!$N$6),Amortización!AY22*0.16,0),"")</f>
        <v>0</v>
      </c>
      <c r="BD22" s="237">
        <f t="shared" ref="BD22:BD85" si="25">IFERROR(IF(AW22="","",AX22+AY22+AZ22+BA22+BB22+BC22),0)</f>
        <v>0</v>
      </c>
      <c r="BE22" s="240">
        <f t="shared" si="2"/>
        <v>0</v>
      </c>
      <c r="BF22" s="43" t="str">
        <f t="shared" si="3"/>
        <v/>
      </c>
      <c r="BH22" s="243" t="e">
        <f t="shared" ref="BH22:BH32" si="26">IF(AW22="","",BH21)</f>
        <v>#NUM!</v>
      </c>
      <c r="BI22" s="187"/>
      <c r="BJ22" s="187" t="str">
        <f t="shared" ref="BJ22:BJ85" si="27">AV22</f>
        <v/>
      </c>
      <c r="BK22" s="42" t="e">
        <f t="shared" ref="BK22:BK85" si="28">IF(AW22="","",AX22+AY22+AZ22+BA22/1.16+BB22/1.16)</f>
        <v>#NUM!</v>
      </c>
      <c r="BL22" s="45"/>
      <c r="BM22" s="242"/>
    </row>
    <row r="23" spans="3:65" ht="15.5" thickTop="1" thickBot="1" x14ac:dyDescent="0.4">
      <c r="C23" s="36" t="str">
        <f t="shared" si="4"/>
        <v/>
      </c>
      <c r="D23" s="37" t="e">
        <f t="shared" ref="D23:D86" si="29">IF(IF(D22="","",D22-E22-Q22-AI22)&lt;0.01,"",IF(D22="","",L22))</f>
        <v>#NUM!</v>
      </c>
      <c r="E23" s="236" t="e">
        <f>IF($E$16=$V$1,0,IF(D23="","",IF($E$14="Pago Fijo",MIN(IF($E$15="Mensualidad",-PMT(R23/12,$K$11-C22,D23)-F23,-PMT(R23/12,$K$11,$K$9)-F23),D23),MIN(X23*$K$9*$K$15/1000-F23,D23))))</f>
        <v>#NUM!</v>
      </c>
      <c r="F23" s="237" t="e">
        <f>IF($E$16=$V$1,0,IF(D23="","",D23*(R23/12)))</f>
        <v>#NUM!</v>
      </c>
      <c r="G23" s="238" t="e">
        <f>IF($E$16=$V$1,0,IF(D23="","",L22*Resumen!$L$86/1000))</f>
        <v>#NUM!</v>
      </c>
      <c r="H23" s="237" t="e">
        <f t="shared" si="5"/>
        <v>#NUM!</v>
      </c>
      <c r="I23" s="238" t="e">
        <f>IF($E$16=$V$1,0,IF(D23="","",Amortización!$AE$14))</f>
        <v>#NUM!</v>
      </c>
      <c r="J23" s="239">
        <f>IFERROR(IF(OR($E$11=Resumen!$N$6,$E$8=Resumen!$N$6),Amortización!F23*0.16,0),"")</f>
        <v>0</v>
      </c>
      <c r="K23" s="237">
        <f t="shared" si="6"/>
        <v>0</v>
      </c>
      <c r="L23" s="240">
        <f t="shared" si="7"/>
        <v>0</v>
      </c>
      <c r="M23" s="43" t="str">
        <f t="shared" si="1"/>
        <v/>
      </c>
      <c r="N23" s="44" t="str">
        <f t="shared" si="8"/>
        <v/>
      </c>
      <c r="O23" s="44" t="str">
        <f t="shared" si="9"/>
        <v/>
      </c>
      <c r="P23" s="44" t="str">
        <f t="shared" si="10"/>
        <v/>
      </c>
      <c r="Q23" s="242"/>
      <c r="R23" s="243" t="e">
        <f t="shared" si="11"/>
        <v>#NUM!</v>
      </c>
      <c r="S23" s="187"/>
      <c r="T23" s="187" t="str">
        <f t="shared" si="12"/>
        <v/>
      </c>
      <c r="U23" s="42" t="e">
        <f t="shared" si="13"/>
        <v>#NUM!</v>
      </c>
      <c r="V23" s="45">
        <f t="shared" si="14"/>
        <v>0</v>
      </c>
      <c r="W23" s="187"/>
      <c r="X23" s="272">
        <v>1</v>
      </c>
      <c r="Y23" s="187">
        <v>0</v>
      </c>
      <c r="Z23" s="187"/>
      <c r="AB23" s="357" t="e">
        <f t="shared" si="15"/>
        <v>#N/A</v>
      </c>
      <c r="AE23" s="284" t="e">
        <f>PMT(R23/12,K11,-K9)</f>
        <v>#NUM!</v>
      </c>
      <c r="AG23" s="307">
        <f t="shared" si="16"/>
        <v>0</v>
      </c>
      <c r="AH23" s="283">
        <f t="shared" si="17"/>
        <v>0</v>
      </c>
      <c r="AI23" t="str">
        <f t="shared" si="18"/>
        <v/>
      </c>
      <c r="AK23" s="280" t="s">
        <v>336</v>
      </c>
      <c r="AL23" s="280">
        <v>9.09</v>
      </c>
      <c r="AO23" s="324">
        <v>10</v>
      </c>
      <c r="AP23" s="325">
        <f>AP24-0.25%</f>
        <v>0.10199999999999999</v>
      </c>
      <c r="AQ23" s="326" t="str">
        <f t="shared" si="0"/>
        <v>100.102</v>
      </c>
      <c r="AR23" s="327">
        <v>12.42</v>
      </c>
      <c r="AS23" s="248"/>
      <c r="AV23" s="36" t="str">
        <f t="shared" si="19"/>
        <v/>
      </c>
      <c r="AW23" s="37" t="e">
        <f t="shared" si="20"/>
        <v>#NUM!</v>
      </c>
      <c r="AX23" s="236" t="e">
        <f t="shared" si="21"/>
        <v>#NUM!</v>
      </c>
      <c r="AY23" s="237" t="e">
        <f>IF($E$16=$V$1,0,IF(AW23="","",AW23*(BH23/12)))</f>
        <v>#NUM!</v>
      </c>
      <c r="AZ23" s="238" t="e">
        <f t="shared" si="22"/>
        <v>#NUM!</v>
      </c>
      <c r="BA23" s="237" t="e">
        <f t="shared" si="23"/>
        <v>#NUM!</v>
      </c>
      <c r="BB23" s="238" t="e">
        <f t="shared" si="24"/>
        <v>#NUM!</v>
      </c>
      <c r="BC23" s="239">
        <f>IFERROR(IF(OR($E$11=Resumen!$N$6,$E$8=Resumen!$N$6),Amortización!AY23*0.16,0),"")</f>
        <v>0</v>
      </c>
      <c r="BD23" s="237">
        <f t="shared" si="25"/>
        <v>0</v>
      </c>
      <c r="BE23" s="240">
        <f t="shared" si="2"/>
        <v>0</v>
      </c>
      <c r="BF23" s="43" t="str">
        <f t="shared" si="3"/>
        <v/>
      </c>
      <c r="BH23" s="243" t="e">
        <f t="shared" si="26"/>
        <v>#NUM!</v>
      </c>
      <c r="BI23" s="187"/>
      <c r="BJ23" s="187" t="str">
        <f t="shared" si="27"/>
        <v/>
      </c>
      <c r="BK23" s="42" t="e">
        <f t="shared" si="28"/>
        <v>#NUM!</v>
      </c>
      <c r="BL23" s="45"/>
      <c r="BM23" s="242"/>
    </row>
    <row r="24" spans="3:65" ht="15.5" thickTop="1" thickBot="1" x14ac:dyDescent="0.4">
      <c r="C24" s="36" t="str">
        <f t="shared" si="4"/>
        <v/>
      </c>
      <c r="D24" s="37" t="e">
        <f t="shared" si="29"/>
        <v>#NUM!</v>
      </c>
      <c r="E24" s="236">
        <f>IFERROR(IF($E$14&amp;$E$16=$X$4,PMT(R24/12,$K$11,-$K$9)-F24,IF(D24="","",IF($E$14="Pago Fijo",MIN(IF($E$15="Mensualidad",-PMT(R24/12,$K$11-C23,D24)-F24,-PMT(R24/12,$K$11,$K$9)-F24),D24),MIN(X24*$K$9*$K$15/1000-F24,D24)))),0)</f>
        <v>0</v>
      </c>
      <c r="F24" s="237" t="e">
        <f>IF(D24="","",D24*(R24/12))</f>
        <v>#NUM!</v>
      </c>
      <c r="G24" s="238" t="e">
        <f>IF(D24="","",L23*Resumen!$L$86/1000)</f>
        <v>#NUM!</v>
      </c>
      <c r="H24" s="237" t="e">
        <f t="shared" si="5"/>
        <v>#NUM!</v>
      </c>
      <c r="I24" s="238" t="e">
        <f>IF($E$16=$V$1,0,IF(D24="","",Amortización!$AE$14))</f>
        <v>#NUM!</v>
      </c>
      <c r="J24" s="239">
        <f>IFERROR(IF(OR($E$11=Resumen!$N$6,$E$8=Resumen!$N$6),Amortización!F24*0.16,0),"")</f>
        <v>0</v>
      </c>
      <c r="K24" s="237">
        <f t="shared" si="6"/>
        <v>0</v>
      </c>
      <c r="L24" s="240">
        <f>IFERROR(IF(D24="","",IF((D24-E24-AI24-Q24)&lt;1,0,D24-E24-AI24-Q24)),0)</f>
        <v>0</v>
      </c>
      <c r="M24" s="43" t="str">
        <f t="shared" si="1"/>
        <v/>
      </c>
      <c r="N24" s="44" t="str">
        <f t="shared" si="8"/>
        <v/>
      </c>
      <c r="O24" s="44" t="str">
        <f t="shared" si="9"/>
        <v/>
      </c>
      <c r="P24" s="44" t="str">
        <f t="shared" si="10"/>
        <v/>
      </c>
      <c r="Q24" s="242" t="str">
        <f>IF(OR(L23=0,L23=""),"",IF(E24&gt;=D24,0,$E$17*10%))</f>
        <v/>
      </c>
      <c r="R24" s="243" t="e">
        <f t="shared" si="11"/>
        <v>#NUM!</v>
      </c>
      <c r="S24" s="187"/>
      <c r="T24" s="187" t="str">
        <f t="shared" si="12"/>
        <v/>
      </c>
      <c r="U24" s="42" t="e">
        <f t="shared" si="13"/>
        <v>#NUM!</v>
      </c>
      <c r="V24" s="45">
        <f t="shared" si="14"/>
        <v>0</v>
      </c>
      <c r="W24" s="187"/>
      <c r="X24" s="272">
        <v>1</v>
      </c>
      <c r="Y24" s="187">
        <v>0</v>
      </c>
      <c r="Z24" s="187"/>
      <c r="AB24" s="357" t="e">
        <f t="shared" si="15"/>
        <v>#N/A</v>
      </c>
      <c r="AE24" s="284" t="e">
        <f>AE23-AE21</f>
        <v>#NUM!</v>
      </c>
      <c r="AG24" s="307">
        <f t="shared" si="16"/>
        <v>0</v>
      </c>
      <c r="AH24" s="283">
        <f t="shared" si="17"/>
        <v>0</v>
      </c>
      <c r="AI24" t="str">
        <f t="shared" si="18"/>
        <v/>
      </c>
      <c r="AK24" s="280" t="s">
        <v>336</v>
      </c>
      <c r="AL24" s="280">
        <v>9.09</v>
      </c>
      <c r="AO24" s="324">
        <v>15</v>
      </c>
      <c r="AP24" s="325">
        <f>AP25</f>
        <v>0.1045</v>
      </c>
      <c r="AQ24" s="326" t="str">
        <f t="shared" si="0"/>
        <v>150.1045</v>
      </c>
      <c r="AR24" s="327">
        <v>9.98</v>
      </c>
      <c r="AS24" s="248"/>
      <c r="AV24" s="36" t="str">
        <f t="shared" si="19"/>
        <v/>
      </c>
      <c r="AW24" s="37" t="e">
        <f t="shared" si="20"/>
        <v>#NUM!</v>
      </c>
      <c r="AX24" s="236" t="e">
        <f t="shared" si="21"/>
        <v>#NUM!</v>
      </c>
      <c r="AY24" s="237" t="e">
        <f t="shared" ref="AY24:AY87" si="30">IF(AW24="","",AW24*(BH24/12))</f>
        <v>#NUM!</v>
      </c>
      <c r="AZ24" s="238" t="e">
        <f t="shared" si="22"/>
        <v>#NUM!</v>
      </c>
      <c r="BA24" s="237" t="e">
        <f t="shared" si="23"/>
        <v>#NUM!</v>
      </c>
      <c r="BB24" s="238" t="e">
        <f t="shared" si="24"/>
        <v>#NUM!</v>
      </c>
      <c r="BC24" s="239">
        <f>IFERROR(IF(OR($E$11=Resumen!$N$6,$E$8=Resumen!$N$6),Amortización!AY24*0.16,0),"")</f>
        <v>0</v>
      </c>
      <c r="BD24" s="237">
        <f t="shared" si="25"/>
        <v>0</v>
      </c>
      <c r="BE24" s="240">
        <f t="shared" si="2"/>
        <v>0</v>
      </c>
      <c r="BF24" s="43" t="str">
        <f t="shared" si="3"/>
        <v/>
      </c>
      <c r="BH24" s="243" t="e">
        <f t="shared" si="26"/>
        <v>#NUM!</v>
      </c>
      <c r="BI24" s="187"/>
      <c r="BJ24" s="187" t="str">
        <f t="shared" si="27"/>
        <v/>
      </c>
      <c r="BK24" s="42" t="e">
        <f t="shared" si="28"/>
        <v>#NUM!</v>
      </c>
      <c r="BL24" s="45"/>
      <c r="BM24" s="242"/>
    </row>
    <row r="25" spans="3:65" ht="15.5" thickTop="1" thickBot="1" x14ac:dyDescent="0.4">
      <c r="C25" s="36" t="str">
        <f t="shared" si="4"/>
        <v/>
      </c>
      <c r="D25" s="37" t="e">
        <f t="shared" si="29"/>
        <v>#NUM!</v>
      </c>
      <c r="E25" s="236">
        <f t="shared" ref="E25:E88" si="31">IFERROR(IF($E$14&amp;$E$16=$X$4,PMT(R25/12,$K$11,-$K$9)-F25,IF(D25="","",IF($E$14="Pago Fijo",MIN(IF($E$15="Mensualidad",-PMT(R25/12,$K$11-C24,D25)-F25,-PMT(R25/12,$K$11,$K$9)-F25),D25),MIN(X25*$K$9*$K$15/1000-F25,D25)))),0)</f>
        <v>0</v>
      </c>
      <c r="F25" s="237" t="e">
        <f t="shared" ref="F25:F55" si="32">IF(D25="","",D25*(R25/12))</f>
        <v>#NUM!</v>
      </c>
      <c r="G25" s="238" t="e">
        <f>IF(D25="","",L24*Resumen!$L$86/1000)</f>
        <v>#NUM!</v>
      </c>
      <c r="H25" s="237" t="e">
        <f t="shared" si="5"/>
        <v>#NUM!</v>
      </c>
      <c r="I25" s="238" t="e">
        <f>IF($E$16=$V$1,0,IF(D25="","",Amortización!$AE$14))</f>
        <v>#NUM!</v>
      </c>
      <c r="J25" s="239">
        <f>IFERROR(IF(OR($E$11=Resumen!$N$6,$E$8=Resumen!$N$6),Amortización!F25*0.16,0),"")</f>
        <v>0</v>
      </c>
      <c r="K25" s="237">
        <f t="shared" si="6"/>
        <v>0</v>
      </c>
      <c r="L25" s="240">
        <f t="shared" si="7"/>
        <v>0</v>
      </c>
      <c r="M25" s="43" t="str">
        <f t="shared" si="1"/>
        <v/>
      </c>
      <c r="N25" s="44" t="str">
        <f t="shared" si="8"/>
        <v/>
      </c>
      <c r="O25" s="44" t="str">
        <f t="shared" si="9"/>
        <v/>
      </c>
      <c r="P25" s="44" t="str">
        <f t="shared" si="10"/>
        <v/>
      </c>
      <c r="Q25" s="242"/>
      <c r="R25" s="243" t="e">
        <f t="shared" si="11"/>
        <v>#NUM!</v>
      </c>
      <c r="S25" s="187"/>
      <c r="T25" s="187" t="str">
        <f t="shared" si="12"/>
        <v/>
      </c>
      <c r="U25" s="42" t="e">
        <f t="shared" si="13"/>
        <v>#NUM!</v>
      </c>
      <c r="V25" s="45">
        <f t="shared" si="14"/>
        <v>0</v>
      </c>
      <c r="W25" s="187"/>
      <c r="X25" s="272">
        <v>1</v>
      </c>
      <c r="Y25" s="187">
        <v>0</v>
      </c>
      <c r="Z25" s="187"/>
      <c r="AB25" s="357" t="e">
        <f t="shared" si="15"/>
        <v>#N/A</v>
      </c>
      <c r="AG25" s="307">
        <f t="shared" si="16"/>
        <v>0</v>
      </c>
      <c r="AH25" s="283">
        <f t="shared" si="17"/>
        <v>0</v>
      </c>
      <c r="AI25" t="str">
        <f t="shared" si="18"/>
        <v/>
      </c>
      <c r="AK25" s="280" t="s">
        <v>336</v>
      </c>
      <c r="AL25" s="280">
        <v>9.09</v>
      </c>
      <c r="AO25" s="324">
        <v>20</v>
      </c>
      <c r="AP25" s="325">
        <f>AP26</f>
        <v>0.1045</v>
      </c>
      <c r="AQ25" s="326" t="str">
        <f t="shared" si="0"/>
        <v>200.1045</v>
      </c>
      <c r="AR25" s="327">
        <v>8.8000000000000007</v>
      </c>
      <c r="AV25" s="36" t="str">
        <f t="shared" si="19"/>
        <v/>
      </c>
      <c r="AW25" s="37" t="e">
        <f t="shared" si="20"/>
        <v>#NUM!</v>
      </c>
      <c r="AX25" s="236" t="e">
        <f t="shared" si="21"/>
        <v>#NUM!</v>
      </c>
      <c r="AY25" s="237" t="e">
        <f t="shared" si="30"/>
        <v>#NUM!</v>
      </c>
      <c r="AZ25" s="238" t="e">
        <f t="shared" si="22"/>
        <v>#NUM!</v>
      </c>
      <c r="BA25" s="237" t="e">
        <f t="shared" si="23"/>
        <v>#NUM!</v>
      </c>
      <c r="BB25" s="238" t="e">
        <f t="shared" si="24"/>
        <v>#NUM!</v>
      </c>
      <c r="BC25" s="239">
        <f>IFERROR(IF(OR($E$11=Resumen!$N$6,$E$8=Resumen!$N$6),Amortización!AY25*0.16,0),"")</f>
        <v>0</v>
      </c>
      <c r="BD25" s="237">
        <f t="shared" si="25"/>
        <v>0</v>
      </c>
      <c r="BE25" s="240">
        <f t="shared" si="2"/>
        <v>0</v>
      </c>
      <c r="BF25" s="43" t="str">
        <f t="shared" si="3"/>
        <v/>
      </c>
      <c r="BH25" s="243" t="e">
        <f t="shared" si="26"/>
        <v>#NUM!</v>
      </c>
      <c r="BI25" s="187"/>
      <c r="BJ25" s="187" t="str">
        <f t="shared" si="27"/>
        <v/>
      </c>
      <c r="BK25" s="42" t="e">
        <f t="shared" si="28"/>
        <v>#NUM!</v>
      </c>
      <c r="BL25" s="45"/>
      <c r="BM25" s="242"/>
    </row>
    <row r="26" spans="3:65" ht="15.5" thickTop="1" thickBot="1" x14ac:dyDescent="0.4">
      <c r="C26" s="36" t="str">
        <f t="shared" si="4"/>
        <v/>
      </c>
      <c r="D26" s="37" t="e">
        <f t="shared" si="29"/>
        <v>#NUM!</v>
      </c>
      <c r="E26" s="236">
        <f t="shared" si="31"/>
        <v>0</v>
      </c>
      <c r="F26" s="237" t="e">
        <f t="shared" si="32"/>
        <v>#NUM!</v>
      </c>
      <c r="G26" s="238" t="e">
        <f>IF(D26="","",L25*Resumen!$L$86/1000)</f>
        <v>#NUM!</v>
      </c>
      <c r="H26" s="237" t="e">
        <f t="shared" si="5"/>
        <v>#NUM!</v>
      </c>
      <c r="I26" s="238" t="e">
        <f>IF($E$16=$V$1,0,IF(D26="","",Amortización!$AE$14))</f>
        <v>#NUM!</v>
      </c>
      <c r="J26" s="239">
        <f>IFERROR(IF(OR($E$11=Resumen!$N$6,$E$8=Resumen!$N$6),Amortización!F26*0.16,0),"")</f>
        <v>0</v>
      </c>
      <c r="K26" s="237">
        <f t="shared" si="6"/>
        <v>0</v>
      </c>
      <c r="L26" s="240">
        <f t="shared" si="7"/>
        <v>0</v>
      </c>
      <c r="M26" s="43" t="str">
        <f t="shared" si="1"/>
        <v/>
      </c>
      <c r="N26" s="44" t="str">
        <f t="shared" si="8"/>
        <v/>
      </c>
      <c r="O26" s="44" t="str">
        <f t="shared" si="9"/>
        <v/>
      </c>
      <c r="P26" s="44" t="str">
        <f t="shared" si="10"/>
        <v/>
      </c>
      <c r="Q26" s="242" t="str">
        <f>IF(OR(L25=0,L25=""),"",IF(E26&gt;=D26,0,$E$17*10%))</f>
        <v/>
      </c>
      <c r="R26" s="243" t="e">
        <f t="shared" si="11"/>
        <v>#NUM!</v>
      </c>
      <c r="S26" s="187"/>
      <c r="T26" s="187" t="str">
        <f t="shared" si="12"/>
        <v/>
      </c>
      <c r="U26" s="42" t="e">
        <f>IF(D26="","",E26+F26+G26+H26/1.16+I26+Q26)</f>
        <v>#NUM!</v>
      </c>
      <c r="V26" s="45">
        <f t="shared" si="14"/>
        <v>0</v>
      </c>
      <c r="W26" s="187"/>
      <c r="X26" s="272">
        <v>1</v>
      </c>
      <c r="Y26" s="187">
        <v>0</v>
      </c>
      <c r="Z26" s="187"/>
      <c r="AB26" s="357" t="e">
        <f t="shared" si="15"/>
        <v>#N/A</v>
      </c>
      <c r="AG26" s="307">
        <f t="shared" si="16"/>
        <v>0</v>
      </c>
      <c r="AH26" s="283">
        <f t="shared" si="17"/>
        <v>0</v>
      </c>
      <c r="AI26" t="str">
        <f t="shared" si="18"/>
        <v/>
      </c>
      <c r="AK26" s="280" t="s">
        <v>337</v>
      </c>
      <c r="AL26" s="280">
        <v>7.84</v>
      </c>
      <c r="AO26" s="324">
        <v>25</v>
      </c>
      <c r="AP26" s="351">
        <v>0.1045</v>
      </c>
      <c r="AQ26" s="326" t="str">
        <f t="shared" ref="AQ26:AQ27" si="33">AO26&amp;AP26</f>
        <v>250.1045</v>
      </c>
      <c r="AR26" s="327">
        <v>8.76</v>
      </c>
      <c r="AV26" s="36" t="str">
        <f t="shared" si="19"/>
        <v/>
      </c>
      <c r="AW26" s="37" t="e">
        <f t="shared" si="20"/>
        <v>#NUM!</v>
      </c>
      <c r="AX26" s="236" t="e">
        <f t="shared" si="21"/>
        <v>#NUM!</v>
      </c>
      <c r="AY26" s="237" t="e">
        <f t="shared" si="30"/>
        <v>#NUM!</v>
      </c>
      <c r="AZ26" s="238" t="e">
        <f t="shared" si="22"/>
        <v>#NUM!</v>
      </c>
      <c r="BA26" s="237" t="e">
        <f t="shared" si="23"/>
        <v>#NUM!</v>
      </c>
      <c r="BB26" s="238" t="e">
        <f t="shared" si="24"/>
        <v>#NUM!</v>
      </c>
      <c r="BC26" s="239">
        <f>IFERROR(IF(OR($E$11=Resumen!$N$6,$E$8=Resumen!$N$6),Amortización!AY26*0.16,0),"")</f>
        <v>0</v>
      </c>
      <c r="BD26" s="237">
        <f t="shared" si="25"/>
        <v>0</v>
      </c>
      <c r="BE26" s="240">
        <f t="shared" si="2"/>
        <v>0</v>
      </c>
      <c r="BF26" s="43" t="str">
        <f t="shared" si="3"/>
        <v/>
      </c>
      <c r="BH26" s="243" t="e">
        <f t="shared" si="26"/>
        <v>#NUM!</v>
      </c>
      <c r="BI26" s="187"/>
      <c r="BJ26" s="187" t="str">
        <f t="shared" si="27"/>
        <v/>
      </c>
      <c r="BK26" s="42" t="e">
        <f t="shared" si="28"/>
        <v>#NUM!</v>
      </c>
      <c r="BL26" s="45"/>
      <c r="BM26" s="242"/>
    </row>
    <row r="27" spans="3:65" ht="15.5" thickTop="1" thickBot="1" x14ac:dyDescent="0.4">
      <c r="C27" s="36" t="str">
        <f t="shared" si="4"/>
        <v/>
      </c>
      <c r="D27" s="37" t="e">
        <f t="shared" si="29"/>
        <v>#NUM!</v>
      </c>
      <c r="E27" s="236">
        <f t="shared" si="31"/>
        <v>0</v>
      </c>
      <c r="F27" s="237" t="e">
        <f t="shared" si="32"/>
        <v>#NUM!</v>
      </c>
      <c r="G27" s="238" t="e">
        <f>IF(D27="","",L26*Resumen!$L$86/1000)</f>
        <v>#NUM!</v>
      </c>
      <c r="H27" s="237" t="e">
        <f t="shared" si="5"/>
        <v>#NUM!</v>
      </c>
      <c r="I27" s="238" t="e">
        <f>IF($E$16=$V$1,0,IF(D27="","",Amortización!$AE$14))</f>
        <v>#NUM!</v>
      </c>
      <c r="J27" s="239">
        <f>IFERROR(IF(OR($E$11=Resumen!$N$6,$E$8=Resumen!$N$6),Amortización!F27*0.16,0),"")</f>
        <v>0</v>
      </c>
      <c r="K27" s="237">
        <f t="shared" si="6"/>
        <v>0</v>
      </c>
      <c r="L27" s="240">
        <f t="shared" si="7"/>
        <v>0</v>
      </c>
      <c r="M27" s="43">
        <v>0</v>
      </c>
      <c r="N27" s="44">
        <f t="shared" si="8"/>
        <v>0</v>
      </c>
      <c r="O27" s="44">
        <f t="shared" si="9"/>
        <v>0</v>
      </c>
      <c r="P27" s="44">
        <f t="shared" si="10"/>
        <v>0</v>
      </c>
      <c r="Q27" s="242"/>
      <c r="R27" s="243" t="e">
        <f t="shared" si="11"/>
        <v>#NUM!</v>
      </c>
      <c r="S27" s="187"/>
      <c r="T27" s="187" t="str">
        <f t="shared" si="12"/>
        <v/>
      </c>
      <c r="U27" s="42" t="e">
        <f t="shared" si="13"/>
        <v>#NUM!</v>
      </c>
      <c r="V27" s="45">
        <f t="shared" si="14"/>
        <v>0</v>
      </c>
      <c r="W27" s="187"/>
      <c r="X27" s="272">
        <v>1</v>
      </c>
      <c r="Y27" s="187">
        <v>0</v>
      </c>
      <c r="Z27" s="187"/>
      <c r="AB27" s="357" t="e">
        <f t="shared" si="15"/>
        <v>#N/A</v>
      </c>
      <c r="AG27" s="307">
        <f t="shared" si="16"/>
        <v>0</v>
      </c>
      <c r="AH27" s="283">
        <f t="shared" si="17"/>
        <v>0</v>
      </c>
      <c r="AI27">
        <f t="shared" si="18"/>
        <v>0</v>
      </c>
      <c r="AK27" s="280" t="s">
        <v>337</v>
      </c>
      <c r="AL27" s="280">
        <v>7.84</v>
      </c>
      <c r="AO27" s="324">
        <v>5</v>
      </c>
      <c r="AP27" s="325">
        <f>AP31-0.25%</f>
        <v>0.106</v>
      </c>
      <c r="AQ27" s="326" t="str">
        <f t="shared" si="33"/>
        <v>50.106</v>
      </c>
      <c r="AR27" s="327">
        <v>20.83</v>
      </c>
      <c r="AV27" s="36" t="str">
        <f t="shared" si="19"/>
        <v/>
      </c>
      <c r="AW27" s="37" t="e">
        <f t="shared" si="20"/>
        <v>#NUM!</v>
      </c>
      <c r="AX27" s="236" t="e">
        <f t="shared" si="21"/>
        <v>#NUM!</v>
      </c>
      <c r="AY27" s="237" t="e">
        <f t="shared" si="30"/>
        <v>#NUM!</v>
      </c>
      <c r="AZ27" s="238" t="e">
        <f t="shared" si="22"/>
        <v>#NUM!</v>
      </c>
      <c r="BA27" s="237" t="e">
        <f t="shared" si="23"/>
        <v>#NUM!</v>
      </c>
      <c r="BB27" s="238" t="e">
        <f t="shared" si="24"/>
        <v>#NUM!</v>
      </c>
      <c r="BC27" s="239">
        <f>IFERROR(IF(OR($E$11=Resumen!$N$6,$E$8=Resumen!$N$6),Amortización!AY27*0.16,0),"")</f>
        <v>0</v>
      </c>
      <c r="BD27" s="237">
        <f t="shared" si="25"/>
        <v>0</v>
      </c>
      <c r="BE27" s="240">
        <f t="shared" si="2"/>
        <v>0</v>
      </c>
      <c r="BF27" s="43" t="str">
        <f t="shared" si="3"/>
        <v/>
      </c>
      <c r="BH27" s="243" t="e">
        <f t="shared" si="26"/>
        <v>#NUM!</v>
      </c>
      <c r="BI27" s="187"/>
      <c r="BJ27" s="187" t="str">
        <f t="shared" si="27"/>
        <v/>
      </c>
      <c r="BK27" s="42" t="e">
        <f t="shared" si="28"/>
        <v>#NUM!</v>
      </c>
      <c r="BL27" s="45"/>
      <c r="BM27" s="242"/>
    </row>
    <row r="28" spans="3:65" ht="15.5" thickTop="1" thickBot="1" x14ac:dyDescent="0.4">
      <c r="C28" s="36" t="str">
        <f t="shared" si="4"/>
        <v/>
      </c>
      <c r="D28" s="37" t="e">
        <f t="shared" si="29"/>
        <v>#NUM!</v>
      </c>
      <c r="E28" s="236">
        <f t="shared" si="31"/>
        <v>0</v>
      </c>
      <c r="F28" s="237" t="e">
        <f t="shared" si="32"/>
        <v>#NUM!</v>
      </c>
      <c r="G28" s="238" t="e">
        <f>IF(D28="","",L27*Resumen!$L$86/1000)</f>
        <v>#NUM!</v>
      </c>
      <c r="H28" s="237" t="e">
        <f t="shared" si="5"/>
        <v>#NUM!</v>
      </c>
      <c r="I28" s="238" t="e">
        <f>IF($E$16=$V$1,0,IF(D28="","",Amortización!$AE$14))</f>
        <v>#NUM!</v>
      </c>
      <c r="J28" s="239">
        <f>IFERROR(IF(OR($E$11=Resumen!$N$6,$E$8=Resumen!$N$6),Amortización!F28*0.16,0),"")</f>
        <v>0</v>
      </c>
      <c r="K28" s="237">
        <f t="shared" si="6"/>
        <v>0</v>
      </c>
      <c r="L28" s="240">
        <f t="shared" si="7"/>
        <v>0</v>
      </c>
      <c r="M28" s="43" t="str">
        <f t="shared" si="1"/>
        <v/>
      </c>
      <c r="N28" s="44" t="str">
        <f t="shared" si="8"/>
        <v/>
      </c>
      <c r="O28" s="44" t="str">
        <f t="shared" si="9"/>
        <v/>
      </c>
      <c r="P28" s="44" t="str">
        <f t="shared" si="10"/>
        <v/>
      </c>
      <c r="Q28" s="242" t="str">
        <f>IF(OR(L27=0,L27=""),"",IF(E28&gt;=D28,0,$E$17*10%))</f>
        <v/>
      </c>
      <c r="R28" s="243" t="e">
        <f t="shared" si="11"/>
        <v>#NUM!</v>
      </c>
      <c r="S28" s="187"/>
      <c r="T28" s="187" t="str">
        <f t="shared" si="12"/>
        <v/>
      </c>
      <c r="U28" s="42" t="e">
        <f t="shared" si="13"/>
        <v>#NUM!</v>
      </c>
      <c r="V28" s="45">
        <f t="shared" si="14"/>
        <v>0</v>
      </c>
      <c r="W28" s="187"/>
      <c r="X28" s="272">
        <v>1</v>
      </c>
      <c r="Y28" s="187">
        <v>0</v>
      </c>
      <c r="Z28" s="187"/>
      <c r="AB28" s="357" t="e">
        <f t="shared" si="15"/>
        <v>#N/A</v>
      </c>
      <c r="AG28" s="307">
        <f t="shared" si="16"/>
        <v>0</v>
      </c>
      <c r="AH28" s="283">
        <f t="shared" si="17"/>
        <v>0</v>
      </c>
      <c r="AI28" t="str">
        <f t="shared" si="18"/>
        <v/>
      </c>
      <c r="AK28" s="280" t="s">
        <v>337</v>
      </c>
      <c r="AL28" s="280">
        <v>7.84</v>
      </c>
      <c r="AO28" s="324">
        <v>5</v>
      </c>
      <c r="AP28" s="350">
        <f t="shared" ref="AP28:AP30" si="34">AP32-0.25%</f>
        <v>0.106</v>
      </c>
      <c r="AQ28" s="326" t="str">
        <f t="shared" si="0"/>
        <v>50.106</v>
      </c>
      <c r="AR28" s="327">
        <v>20.83</v>
      </c>
      <c r="AV28" s="36" t="str">
        <f t="shared" si="19"/>
        <v/>
      </c>
      <c r="AW28" s="37" t="e">
        <f t="shared" si="20"/>
        <v>#NUM!</v>
      </c>
      <c r="AX28" s="236" t="e">
        <f t="shared" si="21"/>
        <v>#NUM!</v>
      </c>
      <c r="AY28" s="237" t="e">
        <f t="shared" si="30"/>
        <v>#NUM!</v>
      </c>
      <c r="AZ28" s="238" t="e">
        <f t="shared" si="22"/>
        <v>#NUM!</v>
      </c>
      <c r="BA28" s="237" t="e">
        <f t="shared" si="23"/>
        <v>#NUM!</v>
      </c>
      <c r="BB28" s="238" t="e">
        <f t="shared" si="24"/>
        <v>#NUM!</v>
      </c>
      <c r="BC28" s="239">
        <f>IFERROR(IF(OR($E$11=Resumen!$N$6,$E$8=Resumen!$N$6),Amortización!AY28*0.16,0),"")</f>
        <v>0</v>
      </c>
      <c r="BD28" s="237">
        <f t="shared" si="25"/>
        <v>0</v>
      </c>
      <c r="BE28" s="240">
        <f t="shared" si="2"/>
        <v>0</v>
      </c>
      <c r="BF28" s="43" t="str">
        <f t="shared" si="3"/>
        <v/>
      </c>
      <c r="BH28" s="243" t="e">
        <f t="shared" si="26"/>
        <v>#NUM!</v>
      </c>
      <c r="BI28" s="187"/>
      <c r="BJ28" s="187" t="str">
        <f t="shared" si="27"/>
        <v/>
      </c>
      <c r="BK28" s="42" t="e">
        <f t="shared" si="28"/>
        <v>#NUM!</v>
      </c>
      <c r="BL28" s="45"/>
      <c r="BM28" s="242"/>
    </row>
    <row r="29" spans="3:65" ht="15.5" thickTop="1" thickBot="1" x14ac:dyDescent="0.4">
      <c r="C29" s="36" t="str">
        <f t="shared" si="4"/>
        <v/>
      </c>
      <c r="D29" s="37" t="e">
        <f t="shared" si="29"/>
        <v>#NUM!</v>
      </c>
      <c r="E29" s="236">
        <f t="shared" si="31"/>
        <v>0</v>
      </c>
      <c r="F29" s="237" t="e">
        <f t="shared" si="32"/>
        <v>#NUM!</v>
      </c>
      <c r="G29" s="238" t="e">
        <f>IF(D29="","",L28*Resumen!$L$86/1000)</f>
        <v>#NUM!</v>
      </c>
      <c r="H29" s="237" t="e">
        <f t="shared" si="5"/>
        <v>#NUM!</v>
      </c>
      <c r="I29" s="238" t="e">
        <f>IF($E$16=$V$1,0,IF(D29="","",Amortización!$AE$14))</f>
        <v>#NUM!</v>
      </c>
      <c r="J29" s="239">
        <f>IFERROR(IF(OR($E$11=Resumen!$N$6,$E$8=Resumen!$N$6),Amortización!F29*0.16,0),"")</f>
        <v>0</v>
      </c>
      <c r="K29" s="237">
        <f t="shared" si="6"/>
        <v>0</v>
      </c>
      <c r="L29" s="240">
        <f t="shared" si="7"/>
        <v>0</v>
      </c>
      <c r="M29" s="43" t="str">
        <f t="shared" si="1"/>
        <v/>
      </c>
      <c r="N29" s="44" t="str">
        <f t="shared" si="8"/>
        <v/>
      </c>
      <c r="O29" s="44" t="str">
        <f t="shared" si="9"/>
        <v/>
      </c>
      <c r="P29" s="44" t="str">
        <f t="shared" si="10"/>
        <v/>
      </c>
      <c r="Q29" s="242"/>
      <c r="R29" s="243" t="e">
        <f t="shared" si="11"/>
        <v>#NUM!</v>
      </c>
      <c r="S29" s="187"/>
      <c r="T29" s="187" t="str">
        <f t="shared" si="12"/>
        <v/>
      </c>
      <c r="U29" s="42" t="e">
        <f t="shared" si="13"/>
        <v>#NUM!</v>
      </c>
      <c r="V29" s="45">
        <f t="shared" si="14"/>
        <v>0</v>
      </c>
      <c r="W29" s="187"/>
      <c r="X29" s="272">
        <v>1</v>
      </c>
      <c r="Y29" s="187">
        <v>0</v>
      </c>
      <c r="Z29" s="187"/>
      <c r="AB29" s="357" t="e">
        <f t="shared" si="15"/>
        <v>#N/A</v>
      </c>
      <c r="AG29" s="307">
        <f t="shared" si="16"/>
        <v>0</v>
      </c>
      <c r="AH29" s="283">
        <f t="shared" si="17"/>
        <v>0</v>
      </c>
      <c r="AI29" t="str">
        <f t="shared" si="18"/>
        <v/>
      </c>
      <c r="AK29" s="280" t="s">
        <v>334</v>
      </c>
      <c r="AL29" s="280">
        <v>19.770000000000003</v>
      </c>
      <c r="AO29" s="324">
        <v>5</v>
      </c>
      <c r="AP29" s="325">
        <f t="shared" si="34"/>
        <v>0.11249999999999999</v>
      </c>
      <c r="AQ29" s="326" t="str">
        <f t="shared" si="0"/>
        <v>50.1125</v>
      </c>
      <c r="AR29" s="327">
        <v>21.15</v>
      </c>
      <c r="AV29" s="36" t="str">
        <f t="shared" si="19"/>
        <v/>
      </c>
      <c r="AW29" s="37" t="e">
        <f t="shared" si="20"/>
        <v>#NUM!</v>
      </c>
      <c r="AX29" s="236" t="e">
        <f t="shared" si="21"/>
        <v>#NUM!</v>
      </c>
      <c r="AY29" s="237" t="e">
        <f t="shared" si="30"/>
        <v>#NUM!</v>
      </c>
      <c r="AZ29" s="238" t="e">
        <f t="shared" si="22"/>
        <v>#NUM!</v>
      </c>
      <c r="BA29" s="237" t="e">
        <f t="shared" si="23"/>
        <v>#NUM!</v>
      </c>
      <c r="BB29" s="238" t="e">
        <f t="shared" si="24"/>
        <v>#NUM!</v>
      </c>
      <c r="BC29" s="239">
        <f>IFERROR(IF(OR($E$11=Resumen!$N$6,$E$8=Resumen!$N$6),Amortización!AY29*0.16,0),"")</f>
        <v>0</v>
      </c>
      <c r="BD29" s="237">
        <f t="shared" si="25"/>
        <v>0</v>
      </c>
      <c r="BE29" s="240">
        <f t="shared" si="2"/>
        <v>0</v>
      </c>
      <c r="BF29" s="43" t="str">
        <f t="shared" si="3"/>
        <v/>
      </c>
      <c r="BH29" s="243" t="e">
        <f t="shared" si="26"/>
        <v>#NUM!</v>
      </c>
      <c r="BI29" s="187"/>
      <c r="BJ29" s="187" t="str">
        <f t="shared" si="27"/>
        <v/>
      </c>
      <c r="BK29" s="42" t="e">
        <f t="shared" si="28"/>
        <v>#NUM!</v>
      </c>
      <c r="BL29" s="45"/>
      <c r="BM29" s="242"/>
    </row>
    <row r="30" spans="3:65" ht="15.5" thickTop="1" thickBot="1" x14ac:dyDescent="0.4">
      <c r="C30" s="36" t="str">
        <f t="shared" si="4"/>
        <v/>
      </c>
      <c r="D30" s="37" t="e">
        <f t="shared" si="29"/>
        <v>#NUM!</v>
      </c>
      <c r="E30" s="236">
        <f t="shared" si="31"/>
        <v>0</v>
      </c>
      <c r="F30" s="237" t="e">
        <f t="shared" si="32"/>
        <v>#NUM!</v>
      </c>
      <c r="G30" s="238" t="e">
        <f>IF(D30="","",L29*Resumen!$L$86/1000)</f>
        <v>#NUM!</v>
      </c>
      <c r="H30" s="237" t="e">
        <f t="shared" si="5"/>
        <v>#NUM!</v>
      </c>
      <c r="I30" s="238" t="e">
        <f>IF($E$16=$V$1,0,IF(D30="","",Amortización!$AE$14))</f>
        <v>#NUM!</v>
      </c>
      <c r="J30" s="239">
        <f>IFERROR(IF(OR($E$11=Resumen!$N$6,$E$8=Resumen!$N$6),Amortización!F30*0.16,0),"")</f>
        <v>0</v>
      </c>
      <c r="K30" s="237">
        <f t="shared" si="6"/>
        <v>0</v>
      </c>
      <c r="L30" s="240">
        <f t="shared" si="7"/>
        <v>0</v>
      </c>
      <c r="M30" s="43" t="str">
        <f t="shared" si="1"/>
        <v/>
      </c>
      <c r="N30" s="44" t="str">
        <f t="shared" si="8"/>
        <v/>
      </c>
      <c r="O30" s="44" t="str">
        <f t="shared" si="9"/>
        <v/>
      </c>
      <c r="P30" s="44" t="str">
        <f t="shared" si="10"/>
        <v/>
      </c>
      <c r="Q30" s="242" t="str">
        <f>IF(OR(L29=0,L29=""),"",IF(E30&gt;=D30,0,$E$17*10%))</f>
        <v/>
      </c>
      <c r="R30" s="243" t="e">
        <f t="shared" si="11"/>
        <v>#NUM!</v>
      </c>
      <c r="S30" s="187"/>
      <c r="T30" s="187" t="str">
        <f t="shared" si="12"/>
        <v/>
      </c>
      <c r="U30" s="42" t="e">
        <f t="shared" si="13"/>
        <v>#NUM!</v>
      </c>
      <c r="V30" s="45">
        <f t="shared" si="14"/>
        <v>0</v>
      </c>
      <c r="W30" s="187"/>
      <c r="X30" s="272">
        <v>1</v>
      </c>
      <c r="Y30" s="187">
        <v>0</v>
      </c>
      <c r="Z30" s="187"/>
      <c r="AB30" s="357" t="e">
        <f t="shared" si="15"/>
        <v>#N/A</v>
      </c>
      <c r="AG30" s="307">
        <f t="shared" si="16"/>
        <v>0</v>
      </c>
      <c r="AH30" s="283">
        <f t="shared" si="17"/>
        <v>0</v>
      </c>
      <c r="AI30" t="str">
        <f t="shared" si="18"/>
        <v/>
      </c>
      <c r="AK30" s="280" t="s">
        <v>338</v>
      </c>
      <c r="AL30" s="280">
        <v>19.87</v>
      </c>
      <c r="AO30" s="324">
        <v>5</v>
      </c>
      <c r="AP30" s="325">
        <f t="shared" si="34"/>
        <v>0.11749999999999999</v>
      </c>
      <c r="AQ30" s="326" t="str">
        <f t="shared" si="0"/>
        <v>50.1175</v>
      </c>
      <c r="AR30" s="327">
        <v>21.39</v>
      </c>
      <c r="AV30" s="36" t="str">
        <f t="shared" si="19"/>
        <v/>
      </c>
      <c r="AW30" s="37" t="e">
        <f t="shared" si="20"/>
        <v>#NUM!</v>
      </c>
      <c r="AX30" s="236" t="e">
        <f t="shared" si="21"/>
        <v>#NUM!</v>
      </c>
      <c r="AY30" s="237" t="e">
        <f t="shared" si="30"/>
        <v>#NUM!</v>
      </c>
      <c r="AZ30" s="238" t="e">
        <f t="shared" si="22"/>
        <v>#NUM!</v>
      </c>
      <c r="BA30" s="237" t="e">
        <f t="shared" si="23"/>
        <v>#NUM!</v>
      </c>
      <c r="BB30" s="238" t="e">
        <f t="shared" si="24"/>
        <v>#NUM!</v>
      </c>
      <c r="BC30" s="239">
        <f>IFERROR(IF(OR($E$11=Resumen!$N$6,$E$8=Resumen!$N$6),Amortización!AY30*0.16,0),"")</f>
        <v>0</v>
      </c>
      <c r="BD30" s="237">
        <f t="shared" si="25"/>
        <v>0</v>
      </c>
      <c r="BE30" s="240">
        <f t="shared" si="2"/>
        <v>0</v>
      </c>
      <c r="BF30" s="43" t="str">
        <f t="shared" si="3"/>
        <v/>
      </c>
      <c r="BH30" s="243" t="e">
        <f t="shared" si="26"/>
        <v>#NUM!</v>
      </c>
      <c r="BI30" s="187"/>
      <c r="BJ30" s="187" t="str">
        <f t="shared" si="27"/>
        <v/>
      </c>
      <c r="BK30" s="42" t="e">
        <f t="shared" si="28"/>
        <v>#NUM!</v>
      </c>
      <c r="BL30" s="45"/>
      <c r="BM30" s="242"/>
    </row>
    <row r="31" spans="3:65" ht="15.5" thickTop="1" thickBot="1" x14ac:dyDescent="0.4">
      <c r="C31" s="36" t="str">
        <f t="shared" si="4"/>
        <v/>
      </c>
      <c r="D31" s="37" t="e">
        <f t="shared" si="29"/>
        <v>#NUM!</v>
      </c>
      <c r="E31" s="236">
        <f t="shared" si="31"/>
        <v>0</v>
      </c>
      <c r="F31" s="237" t="e">
        <f t="shared" si="32"/>
        <v>#NUM!</v>
      </c>
      <c r="G31" s="238" t="e">
        <f>IF(D31="","",L30*Resumen!$L$86/1000)</f>
        <v>#NUM!</v>
      </c>
      <c r="H31" s="237" t="e">
        <f t="shared" si="5"/>
        <v>#NUM!</v>
      </c>
      <c r="I31" s="238" t="e">
        <f>IF($E$16=$V$1,0,IF(D31="","",Amortización!$AE$14))</f>
        <v>#NUM!</v>
      </c>
      <c r="J31" s="239">
        <f>IFERROR(IF(OR($E$11=Resumen!$N$6,$E$8=Resumen!$N$6),Amortización!F31*0.16,0),"")</f>
        <v>0</v>
      </c>
      <c r="K31" s="237">
        <f t="shared" si="6"/>
        <v>0</v>
      </c>
      <c r="L31" s="240">
        <f t="shared" si="7"/>
        <v>0</v>
      </c>
      <c r="M31" s="43" t="str">
        <f t="shared" si="1"/>
        <v/>
      </c>
      <c r="N31" s="44" t="str">
        <f t="shared" si="8"/>
        <v/>
      </c>
      <c r="O31" s="44" t="str">
        <f t="shared" si="9"/>
        <v/>
      </c>
      <c r="P31" s="44" t="str">
        <f t="shared" si="10"/>
        <v/>
      </c>
      <c r="Q31" s="242"/>
      <c r="R31" s="243" t="e">
        <f t="shared" si="11"/>
        <v>#NUM!</v>
      </c>
      <c r="S31" s="187"/>
      <c r="T31" s="187" t="str">
        <f t="shared" si="12"/>
        <v/>
      </c>
      <c r="U31" s="42" t="e">
        <f t="shared" si="13"/>
        <v>#NUM!</v>
      </c>
      <c r="V31" s="45">
        <f t="shared" si="14"/>
        <v>0</v>
      </c>
      <c r="W31" s="187"/>
      <c r="X31" s="272">
        <v>1</v>
      </c>
      <c r="Y31" s="187">
        <v>0</v>
      </c>
      <c r="Z31" s="187"/>
      <c r="AB31" s="357" t="e">
        <f t="shared" si="15"/>
        <v>#N/A</v>
      </c>
      <c r="AG31" s="307">
        <f t="shared" si="16"/>
        <v>0</v>
      </c>
      <c r="AH31" s="283">
        <f t="shared" si="17"/>
        <v>0</v>
      </c>
      <c r="AI31" t="str">
        <f t="shared" si="18"/>
        <v/>
      </c>
      <c r="AK31" s="280" t="s">
        <v>339</v>
      </c>
      <c r="AL31" s="280">
        <v>19.96</v>
      </c>
      <c r="AO31" s="324">
        <v>10</v>
      </c>
      <c r="AP31" s="325">
        <f>AP35-0.25%</f>
        <v>0.1085</v>
      </c>
      <c r="AQ31" s="326" t="str">
        <f t="shared" si="0"/>
        <v>100.1085</v>
      </c>
      <c r="AR31" s="327">
        <v>12.77</v>
      </c>
      <c r="AV31" s="36" t="str">
        <f t="shared" si="19"/>
        <v/>
      </c>
      <c r="AW31" s="37" t="e">
        <f t="shared" si="20"/>
        <v>#NUM!</v>
      </c>
      <c r="AX31" s="236" t="e">
        <f t="shared" si="21"/>
        <v>#NUM!</v>
      </c>
      <c r="AY31" s="237" t="e">
        <f t="shared" si="30"/>
        <v>#NUM!</v>
      </c>
      <c r="AZ31" s="238" t="e">
        <f t="shared" si="22"/>
        <v>#NUM!</v>
      </c>
      <c r="BA31" s="237" t="e">
        <f t="shared" si="23"/>
        <v>#NUM!</v>
      </c>
      <c r="BB31" s="238" t="e">
        <f t="shared" si="24"/>
        <v>#NUM!</v>
      </c>
      <c r="BC31" s="239">
        <f>IFERROR(IF(OR($E$11=Resumen!$N$6,$E$8=Resumen!$N$6),Amortización!AY31*0.16,0),"")</f>
        <v>0</v>
      </c>
      <c r="BD31" s="237">
        <f t="shared" si="25"/>
        <v>0</v>
      </c>
      <c r="BE31" s="240">
        <f t="shared" si="2"/>
        <v>0</v>
      </c>
      <c r="BF31" s="43" t="str">
        <f t="shared" si="3"/>
        <v/>
      </c>
      <c r="BH31" s="243" t="e">
        <f t="shared" si="26"/>
        <v>#NUM!</v>
      </c>
      <c r="BI31" s="187"/>
      <c r="BJ31" s="187" t="str">
        <f t="shared" si="27"/>
        <v/>
      </c>
      <c r="BK31" s="42" t="e">
        <f t="shared" si="28"/>
        <v>#NUM!</v>
      </c>
      <c r="BL31" s="45"/>
      <c r="BM31" s="242"/>
    </row>
    <row r="32" spans="3:65" ht="15.5" thickTop="1" thickBot="1" x14ac:dyDescent="0.4">
      <c r="C32" s="36" t="str">
        <f t="shared" si="4"/>
        <v/>
      </c>
      <c r="D32" s="37" t="e">
        <f t="shared" si="29"/>
        <v>#NUM!</v>
      </c>
      <c r="E32" s="236">
        <f t="shared" si="31"/>
        <v>0</v>
      </c>
      <c r="F32" s="237" t="e">
        <f t="shared" si="32"/>
        <v>#NUM!</v>
      </c>
      <c r="G32" s="238" t="e">
        <f>IF(D32="","",L31*Resumen!$L$86/1000)</f>
        <v>#NUM!</v>
      </c>
      <c r="H32" s="237" t="e">
        <f t="shared" si="5"/>
        <v>#NUM!</v>
      </c>
      <c r="I32" s="238" t="e">
        <f>IF($E$16=$V$1,0,IF(D32="","",Amortización!$AE$14))</f>
        <v>#NUM!</v>
      </c>
      <c r="J32" s="239">
        <f>IFERROR(IF(OR($E$11=Resumen!$N$6,$E$8=Resumen!$N$6),Amortización!F32*0.16,0),"")</f>
        <v>0</v>
      </c>
      <c r="K32" s="237">
        <f t="shared" si="6"/>
        <v>0</v>
      </c>
      <c r="L32" s="240">
        <f t="shared" si="7"/>
        <v>0</v>
      </c>
      <c r="M32" s="43" t="str">
        <f t="shared" si="1"/>
        <v/>
      </c>
      <c r="N32" s="44" t="str">
        <f t="shared" si="8"/>
        <v/>
      </c>
      <c r="O32" s="44" t="str">
        <f t="shared" si="9"/>
        <v/>
      </c>
      <c r="P32" s="44" t="str">
        <f t="shared" si="10"/>
        <v/>
      </c>
      <c r="Q32" s="242" t="str">
        <f>IF(OR(L31=0,L31=""),"",IF(E32&gt;=D32,0,$E$17*10%))</f>
        <v/>
      </c>
      <c r="R32" s="243" t="e">
        <f t="shared" si="11"/>
        <v>#NUM!</v>
      </c>
      <c r="S32" s="187"/>
      <c r="T32" s="187" t="str">
        <f t="shared" si="12"/>
        <v/>
      </c>
      <c r="U32" s="42" t="e">
        <f t="shared" si="13"/>
        <v>#NUM!</v>
      </c>
      <c r="V32" s="45">
        <f t="shared" si="14"/>
        <v>0</v>
      </c>
      <c r="W32" s="187"/>
      <c r="X32" s="272">
        <v>1</v>
      </c>
      <c r="Y32" s="187">
        <v>0</v>
      </c>
      <c r="Z32" s="187"/>
      <c r="AB32" s="357" t="e">
        <f t="shared" si="15"/>
        <v>#N/A</v>
      </c>
      <c r="AG32" s="307">
        <f t="shared" si="16"/>
        <v>0</v>
      </c>
      <c r="AH32" s="283">
        <f t="shared" si="17"/>
        <v>0</v>
      </c>
      <c r="AI32" t="str">
        <f t="shared" si="18"/>
        <v/>
      </c>
      <c r="AK32" s="280" t="s">
        <v>340</v>
      </c>
      <c r="AL32" s="280">
        <v>20.130000000000003</v>
      </c>
      <c r="AO32" s="324">
        <v>10</v>
      </c>
      <c r="AP32" s="325">
        <f t="shared" ref="AP32:AP34" si="35">AP36-0.25%</f>
        <v>0.1085</v>
      </c>
      <c r="AQ32" s="326" t="str">
        <f t="shared" si="0"/>
        <v>100.1085</v>
      </c>
      <c r="AR32" s="327">
        <v>12.77</v>
      </c>
      <c r="AV32" s="36" t="str">
        <f t="shared" si="19"/>
        <v/>
      </c>
      <c r="AW32" s="37" t="e">
        <f t="shared" si="20"/>
        <v>#NUM!</v>
      </c>
      <c r="AX32" s="236" t="e">
        <f t="shared" si="21"/>
        <v>#NUM!</v>
      </c>
      <c r="AY32" s="237" t="e">
        <f t="shared" si="30"/>
        <v>#NUM!</v>
      </c>
      <c r="AZ32" s="238" t="e">
        <f t="shared" si="22"/>
        <v>#NUM!</v>
      </c>
      <c r="BA32" s="237" t="e">
        <f t="shared" si="23"/>
        <v>#NUM!</v>
      </c>
      <c r="BB32" s="238" t="e">
        <f t="shared" si="24"/>
        <v>#NUM!</v>
      </c>
      <c r="BC32" s="239">
        <f>IFERROR(IF(OR($E$11=Resumen!$N$6,$E$8=Resumen!$N$6),Amortización!AY32*0.16,0),"")</f>
        <v>0</v>
      </c>
      <c r="BD32" s="237">
        <f t="shared" si="25"/>
        <v>0</v>
      </c>
      <c r="BE32" s="240">
        <f t="shared" si="2"/>
        <v>0</v>
      </c>
      <c r="BF32" s="43" t="str">
        <f t="shared" si="3"/>
        <v/>
      </c>
      <c r="BH32" s="243" t="e">
        <f t="shared" si="26"/>
        <v>#NUM!</v>
      </c>
      <c r="BI32" s="187"/>
      <c r="BJ32" s="187" t="str">
        <f t="shared" si="27"/>
        <v/>
      </c>
      <c r="BK32" s="42" t="e">
        <f t="shared" si="28"/>
        <v>#NUM!</v>
      </c>
      <c r="BL32" s="45"/>
      <c r="BM32" s="242"/>
    </row>
    <row r="33" spans="3:65" ht="15.5" thickTop="1" thickBot="1" x14ac:dyDescent="0.4">
      <c r="C33" s="36" t="str">
        <f t="shared" si="4"/>
        <v/>
      </c>
      <c r="D33" s="37" t="e">
        <f t="shared" si="29"/>
        <v>#NUM!</v>
      </c>
      <c r="E33" s="236">
        <f>IFERROR(IF($E$14&amp;$E$16=$X$4,PMT(R33/12,$K$11,-$K$9)-F33,IF(D33="","",IF($E$14="Pago Fijo",MIN(IF($E$15="Mensualidad",-PMT(R33/12,$K$11-C32,D33)-F33,-PMT(R33/12,$K$11,$K$9)-F33),D33),MIN(X33*$K$9*$K$15/1000-F33,D33)))),0)</f>
        <v>0</v>
      </c>
      <c r="F33" s="237" t="e">
        <f t="shared" si="32"/>
        <v>#NUM!</v>
      </c>
      <c r="G33" s="238" t="e">
        <f>IF(D33="","",L32*Resumen!$L$86/1000)</f>
        <v>#NUM!</v>
      </c>
      <c r="H33" s="237" t="e">
        <f t="shared" si="5"/>
        <v>#NUM!</v>
      </c>
      <c r="I33" s="238" t="e">
        <f>IF($E$16=$V$1,0,IF(D33="","",Amortización!$AE$14))</f>
        <v>#NUM!</v>
      </c>
      <c r="J33" s="239">
        <f>IFERROR(IF(OR($E$11=Resumen!$N$6,$E$8=Resumen!$N$6),Amortización!F33*0.16,0),"")</f>
        <v>0</v>
      </c>
      <c r="K33" s="237">
        <f t="shared" si="6"/>
        <v>0</v>
      </c>
      <c r="L33" s="240">
        <f t="shared" si="7"/>
        <v>0</v>
      </c>
      <c r="M33" s="43" t="str">
        <f t="shared" si="1"/>
        <v/>
      </c>
      <c r="N33" s="44" t="str">
        <f t="shared" si="8"/>
        <v/>
      </c>
      <c r="O33" s="44" t="str">
        <f t="shared" si="9"/>
        <v/>
      </c>
      <c r="P33" s="44" t="str">
        <f t="shared" si="10"/>
        <v/>
      </c>
      <c r="Q33" s="242"/>
      <c r="R33" s="244" t="e">
        <f>IF(D33="","",R32)-IF(E8&amp;E9&amp;AB10&amp;E14=AB8,0%,IF(E8&amp;E9&amp;AB10&amp;E14=AB9,0%,0))+IF(E10&amp;E8=V13,0%,0)</f>
        <v>#NUM!</v>
      </c>
      <c r="S33" s="187"/>
      <c r="T33" s="187" t="str">
        <f t="shared" si="12"/>
        <v/>
      </c>
      <c r="U33" s="42" t="e">
        <f>IF(D33="","",E33+F33+G33+H33/1.16+I33+Q33)</f>
        <v>#NUM!</v>
      </c>
      <c r="V33" s="45">
        <f t="shared" si="14"/>
        <v>0</v>
      </c>
      <c r="W33" s="187"/>
      <c r="X33" s="272" t="b">
        <f>IF($E$16=$V$1,1,IF(OR(AND($E$8="Adquisicion",$E$9="Premier"),AND($E$8="Exclusiva",$E$9="Premier"),AND($E$8="Nomina Especial",$E$9="Premier")),X23*1.019,IF(OR(AND($E$8="Adquisicion",$E$9="No Premier"),AND($E$8="Exclusiva",$E$9="No Premier"),AND($E$8="Nomina Especial",$E$9="No Premier")),X23*1.019,IF($E$8="Pago de Hipoteca",X21*1.019))))</f>
        <v>0</v>
      </c>
      <c r="Y33" s="187">
        <v>0</v>
      </c>
      <c r="Z33" s="187"/>
      <c r="AB33" s="357" t="e">
        <f t="shared" si="15"/>
        <v>#N/A</v>
      </c>
      <c r="AG33" s="307">
        <f t="shared" si="16"/>
        <v>0</v>
      </c>
      <c r="AH33" s="283">
        <f t="shared" si="17"/>
        <v>0</v>
      </c>
      <c r="AI33" t="str">
        <f t="shared" si="18"/>
        <v/>
      </c>
      <c r="AK33" s="280" t="s">
        <v>341</v>
      </c>
      <c r="AL33" s="280">
        <v>11.61</v>
      </c>
      <c r="AO33" s="324">
        <v>10</v>
      </c>
      <c r="AP33" s="325">
        <f t="shared" si="35"/>
        <v>0.11499999999999999</v>
      </c>
      <c r="AQ33" s="326" t="str">
        <f t="shared" si="0"/>
        <v>100.115</v>
      </c>
      <c r="AR33" s="327">
        <v>13.13</v>
      </c>
      <c r="AV33" s="36" t="str">
        <f t="shared" si="19"/>
        <v/>
      </c>
      <c r="AW33" s="37" t="e">
        <f t="shared" si="20"/>
        <v>#NUM!</v>
      </c>
      <c r="AX33" s="236" t="e">
        <f t="shared" si="21"/>
        <v>#NUM!</v>
      </c>
      <c r="AY33" s="237" t="e">
        <f t="shared" si="30"/>
        <v>#NUM!</v>
      </c>
      <c r="AZ33" s="238" t="e">
        <f t="shared" si="22"/>
        <v>#NUM!</v>
      </c>
      <c r="BA33" s="237" t="e">
        <f t="shared" si="23"/>
        <v>#NUM!</v>
      </c>
      <c r="BB33" s="238" t="e">
        <f t="shared" si="24"/>
        <v>#NUM!</v>
      </c>
      <c r="BC33" s="239">
        <f>IFERROR(IF(OR($E$11=Resumen!$N$6,$E$8=Resumen!$N$6),Amortización!AY33*0.16,0),"")</f>
        <v>0</v>
      </c>
      <c r="BD33" s="237">
        <f t="shared" si="25"/>
        <v>0</v>
      </c>
      <c r="BE33" s="240">
        <f t="shared" si="2"/>
        <v>0</v>
      </c>
      <c r="BF33" s="43" t="str">
        <f t="shared" si="3"/>
        <v/>
      </c>
      <c r="BH33" s="244" t="e">
        <f>IF(AW33="","",BH32)-IF(AX8&amp;AX9&amp;BR10&amp;AX14=BR8,0%,IF(AX8&amp;AX9&amp;BR10&amp;AX14=BR9,0%,0))+IF(AX10&amp;AX8=BL13,0%,0)</f>
        <v>#NUM!</v>
      </c>
      <c r="BI33" s="187"/>
      <c r="BJ33" s="187" t="str">
        <f t="shared" si="27"/>
        <v/>
      </c>
      <c r="BK33" s="42" t="e">
        <f t="shared" si="28"/>
        <v>#NUM!</v>
      </c>
      <c r="BL33" s="45"/>
      <c r="BM33" s="242"/>
    </row>
    <row r="34" spans="3:65" ht="15.5" thickTop="1" thickBot="1" x14ac:dyDescent="0.4">
      <c r="C34" s="36" t="str">
        <f t="shared" si="4"/>
        <v/>
      </c>
      <c r="D34" s="37" t="e">
        <f t="shared" si="29"/>
        <v>#NUM!</v>
      </c>
      <c r="E34" s="236">
        <f t="shared" si="31"/>
        <v>0</v>
      </c>
      <c r="F34" s="237" t="e">
        <f t="shared" si="32"/>
        <v>#NUM!</v>
      </c>
      <c r="G34" s="238" t="e">
        <f>IF(D34="","",L33*Resumen!$L$86/1000)</f>
        <v>#NUM!</v>
      </c>
      <c r="H34" s="237" t="e">
        <f t="shared" si="5"/>
        <v>#NUM!</v>
      </c>
      <c r="I34" s="238" t="e">
        <f>IF($E$16=$V$1,0,IF(D34="","",Amortización!$AE$14))</f>
        <v>#NUM!</v>
      </c>
      <c r="J34" s="239">
        <f>IFERROR(IF(OR($E$11=Resumen!$N$6,$E$8=Resumen!$N$6),Amortización!F34*0.16,0),"")</f>
        <v>0</v>
      </c>
      <c r="K34" s="237">
        <f t="shared" si="6"/>
        <v>0</v>
      </c>
      <c r="L34" s="240">
        <f t="shared" si="7"/>
        <v>0</v>
      </c>
      <c r="M34" s="43" t="str">
        <f t="shared" si="1"/>
        <v/>
      </c>
      <c r="N34" s="44" t="str">
        <f t="shared" si="8"/>
        <v/>
      </c>
      <c r="O34" s="44" t="str">
        <f t="shared" si="9"/>
        <v/>
      </c>
      <c r="P34" s="44" t="str">
        <f t="shared" si="10"/>
        <v/>
      </c>
      <c r="Q34" s="242" t="str">
        <f>IF(OR(L33=0,L33=""),"",IF(E34&gt;=D34,0,$E$17*10%))</f>
        <v/>
      </c>
      <c r="R34" s="243" t="e">
        <f t="shared" ref="R34:R44" si="36">IF(D34="","",R33)</f>
        <v>#NUM!</v>
      </c>
      <c r="S34" s="187"/>
      <c r="T34" s="187" t="str">
        <f t="shared" si="12"/>
        <v/>
      </c>
      <c r="U34" s="42" t="e">
        <f t="shared" si="13"/>
        <v>#NUM!</v>
      </c>
      <c r="V34" s="45">
        <f t="shared" si="14"/>
        <v>0</v>
      </c>
      <c r="W34" s="187"/>
      <c r="X34" s="272" t="b">
        <f>IF($E$16=$V$1,1,IF(OR(AND($E$8="Adquisicion",$E$9="Premier"),AND($E$8="Exclusiva",$E$9="Premier"),AND($E$8="Nomina Especial",$E$9="Premier")),X24*1.019,IF(OR(AND($E$8="Adquisicion",$E$9="No Premier"),AND($E$8="Exclusiva",$E$9="No Premier"),AND($E$8="Nomina Especial",$E$9="No Premier")),X24*1.019,IF($E$8="Pago de Hipoteca",X22*1.019))))</f>
        <v>0</v>
      </c>
      <c r="Y34" s="187">
        <v>0</v>
      </c>
      <c r="Z34" s="187"/>
      <c r="AB34" s="357" t="e">
        <f t="shared" si="15"/>
        <v>#N/A</v>
      </c>
      <c r="AG34" s="307">
        <f t="shared" si="16"/>
        <v>0</v>
      </c>
      <c r="AH34" s="283">
        <f t="shared" si="17"/>
        <v>0</v>
      </c>
      <c r="AI34" t="str">
        <f t="shared" si="18"/>
        <v/>
      </c>
      <c r="AK34" s="280" t="s">
        <v>342</v>
      </c>
      <c r="AL34" s="280">
        <v>11.709999999999999</v>
      </c>
      <c r="AO34" s="324">
        <v>10</v>
      </c>
      <c r="AP34" s="325">
        <f t="shared" si="35"/>
        <v>0.12</v>
      </c>
      <c r="AQ34" s="326" t="str">
        <f t="shared" si="0"/>
        <v>100.12</v>
      </c>
      <c r="AR34" s="327">
        <v>13.41</v>
      </c>
      <c r="AV34" s="36" t="str">
        <f t="shared" si="19"/>
        <v/>
      </c>
      <c r="AW34" s="37" t="e">
        <f t="shared" si="20"/>
        <v>#NUM!</v>
      </c>
      <c r="AX34" s="236" t="e">
        <f t="shared" si="21"/>
        <v>#NUM!</v>
      </c>
      <c r="AY34" s="237" t="e">
        <f t="shared" si="30"/>
        <v>#NUM!</v>
      </c>
      <c r="AZ34" s="238" t="e">
        <f t="shared" si="22"/>
        <v>#NUM!</v>
      </c>
      <c r="BA34" s="237" t="e">
        <f t="shared" si="23"/>
        <v>#NUM!</v>
      </c>
      <c r="BB34" s="238" t="e">
        <f t="shared" si="24"/>
        <v>#NUM!</v>
      </c>
      <c r="BC34" s="239">
        <f>IFERROR(IF(OR($E$11=Resumen!$N$6,$E$8=Resumen!$N$6),Amortización!AY34*0.16,0),"")</f>
        <v>0</v>
      </c>
      <c r="BD34" s="237">
        <f t="shared" si="25"/>
        <v>0</v>
      </c>
      <c r="BE34" s="240">
        <f t="shared" si="2"/>
        <v>0</v>
      </c>
      <c r="BF34" s="43" t="str">
        <f t="shared" si="3"/>
        <v/>
      </c>
      <c r="BH34" s="243" t="e">
        <f t="shared" ref="BH34:BH44" si="37">IF(AW34="","",BH33)</f>
        <v>#NUM!</v>
      </c>
      <c r="BI34" s="187"/>
      <c r="BJ34" s="187" t="str">
        <f t="shared" si="27"/>
        <v/>
      </c>
      <c r="BK34" s="42" t="e">
        <f t="shared" si="28"/>
        <v>#NUM!</v>
      </c>
      <c r="BL34" s="45"/>
      <c r="BM34" s="242"/>
    </row>
    <row r="35" spans="3:65" ht="15.5" thickTop="1" thickBot="1" x14ac:dyDescent="0.4">
      <c r="C35" s="36" t="str">
        <f t="shared" si="4"/>
        <v/>
      </c>
      <c r="D35" s="37" t="e">
        <f t="shared" si="29"/>
        <v>#NUM!</v>
      </c>
      <c r="E35" s="236">
        <f t="shared" si="31"/>
        <v>0</v>
      </c>
      <c r="F35" s="237" t="e">
        <f t="shared" si="32"/>
        <v>#NUM!</v>
      </c>
      <c r="G35" s="238" t="e">
        <f>IF(D35="","",L34*Resumen!$L$86/1000)</f>
        <v>#NUM!</v>
      </c>
      <c r="H35" s="237" t="e">
        <f t="shared" si="5"/>
        <v>#NUM!</v>
      </c>
      <c r="I35" s="238" t="e">
        <f>IF($E$16=$V$1,0,IF(D35="","",Amortización!$AE$14))</f>
        <v>#NUM!</v>
      </c>
      <c r="J35" s="239">
        <f>IFERROR(IF(OR($E$11=Resumen!$N$6,$E$8=Resumen!$N$6),Amortización!F35*0.16,0),"")</f>
        <v>0</v>
      </c>
      <c r="K35" s="237">
        <f t="shared" si="6"/>
        <v>0</v>
      </c>
      <c r="L35" s="240">
        <f t="shared" si="7"/>
        <v>0</v>
      </c>
      <c r="M35" s="43" t="str">
        <f t="shared" si="1"/>
        <v/>
      </c>
      <c r="N35" s="44" t="str">
        <f t="shared" si="8"/>
        <v/>
      </c>
      <c r="O35" s="44" t="str">
        <f t="shared" si="9"/>
        <v/>
      </c>
      <c r="P35" s="44" t="str">
        <f t="shared" si="10"/>
        <v/>
      </c>
      <c r="Q35" s="242"/>
      <c r="R35" s="243" t="e">
        <f t="shared" si="36"/>
        <v>#NUM!</v>
      </c>
      <c r="S35" s="187"/>
      <c r="T35" s="187" t="str">
        <f t="shared" si="12"/>
        <v/>
      </c>
      <c r="U35" s="42" t="e">
        <f t="shared" si="13"/>
        <v>#NUM!</v>
      </c>
      <c r="V35" s="45">
        <f t="shared" si="14"/>
        <v>0</v>
      </c>
      <c r="W35" s="187"/>
      <c r="X35" s="272" t="b">
        <f>IF($E$16=$V$1,1,IF(OR(AND($E$8="Adquisicion",$E$9="Premier"),AND($E$8="Exclusiva",$E$9="Premier"),AND($E$8="Nomina Especial",$E$9="Premier")),X25*1.019,IF(OR(AND($E$8="Adquisicion",$E$9="No Premier"),AND($E$8="Exclusiva",$E$9="No Premier"),AND($E$8="Nomina Especial",$E$9="No Premier")),X25*1.019,IF($E$8="Pago de Hipoteca",X23*1.019))))</f>
        <v>0</v>
      </c>
      <c r="Y35" s="187">
        <v>0</v>
      </c>
      <c r="Z35" s="187"/>
      <c r="AB35" s="357" t="e">
        <f t="shared" si="15"/>
        <v>#N/A</v>
      </c>
      <c r="AG35" s="307">
        <f t="shared" si="16"/>
        <v>0</v>
      </c>
      <c r="AH35" s="283">
        <f t="shared" si="17"/>
        <v>0</v>
      </c>
      <c r="AI35" t="str">
        <f t="shared" si="18"/>
        <v/>
      </c>
      <c r="AK35" s="280" t="s">
        <v>343</v>
      </c>
      <c r="AL35" s="280">
        <v>11.81</v>
      </c>
      <c r="AO35" s="324">
        <v>15</v>
      </c>
      <c r="AP35" s="325">
        <f>AP39</f>
        <v>0.111</v>
      </c>
      <c r="AQ35" s="326" t="str">
        <f t="shared" si="0"/>
        <v>150.111</v>
      </c>
      <c r="AR35" s="327">
        <v>10.37</v>
      </c>
      <c r="AV35" s="36" t="str">
        <f t="shared" si="19"/>
        <v/>
      </c>
      <c r="AW35" s="37" t="e">
        <f t="shared" si="20"/>
        <v>#NUM!</v>
      </c>
      <c r="AX35" s="236" t="e">
        <f t="shared" si="21"/>
        <v>#NUM!</v>
      </c>
      <c r="AY35" s="237" t="e">
        <f t="shared" si="30"/>
        <v>#NUM!</v>
      </c>
      <c r="AZ35" s="238" t="e">
        <f t="shared" si="22"/>
        <v>#NUM!</v>
      </c>
      <c r="BA35" s="237" t="e">
        <f t="shared" si="23"/>
        <v>#NUM!</v>
      </c>
      <c r="BB35" s="238" t="e">
        <f t="shared" si="24"/>
        <v>#NUM!</v>
      </c>
      <c r="BC35" s="239">
        <f>IFERROR(IF(OR($E$11=Resumen!$N$6,$E$8=Resumen!$N$6),Amortización!AY35*0.16,0),"")</f>
        <v>0</v>
      </c>
      <c r="BD35" s="237">
        <f t="shared" si="25"/>
        <v>0</v>
      </c>
      <c r="BE35" s="240">
        <f t="shared" si="2"/>
        <v>0</v>
      </c>
      <c r="BF35" s="43" t="str">
        <f t="shared" si="3"/>
        <v/>
      </c>
      <c r="BH35" s="243" t="e">
        <f t="shared" si="37"/>
        <v>#NUM!</v>
      </c>
      <c r="BI35" s="187"/>
      <c r="BJ35" s="187" t="str">
        <f t="shared" si="27"/>
        <v/>
      </c>
      <c r="BK35" s="42" t="e">
        <f t="shared" si="28"/>
        <v>#NUM!</v>
      </c>
      <c r="BL35" s="45"/>
      <c r="BM35" s="242"/>
    </row>
    <row r="36" spans="3:65" ht="15.5" thickTop="1" thickBot="1" x14ac:dyDescent="0.4">
      <c r="C36" s="36" t="str">
        <f t="shared" si="4"/>
        <v/>
      </c>
      <c r="D36" s="37" t="e">
        <f t="shared" si="29"/>
        <v>#NUM!</v>
      </c>
      <c r="E36" s="236">
        <f t="shared" si="31"/>
        <v>0</v>
      </c>
      <c r="F36" s="237" t="e">
        <f t="shared" si="32"/>
        <v>#NUM!</v>
      </c>
      <c r="G36" s="238" t="e">
        <f>IF(D36="","",L35*Resumen!$L$86/1000)</f>
        <v>#NUM!</v>
      </c>
      <c r="H36" s="237" t="e">
        <f t="shared" si="5"/>
        <v>#NUM!</v>
      </c>
      <c r="I36" s="238" t="e">
        <f>IF($E$16=$V$1,0,IF(D36="","",Amortización!$AE$14))</f>
        <v>#NUM!</v>
      </c>
      <c r="J36" s="239">
        <f>IFERROR(IF(OR($E$11=Resumen!$N$6,$E$8=Resumen!$N$6),Amortización!F36*0.16,0),"")</f>
        <v>0</v>
      </c>
      <c r="K36" s="237">
        <f t="shared" si="6"/>
        <v>0</v>
      </c>
      <c r="L36" s="240">
        <f t="shared" si="7"/>
        <v>0</v>
      </c>
      <c r="M36" s="43" t="str">
        <f t="shared" si="1"/>
        <v/>
      </c>
      <c r="N36" s="44" t="str">
        <f t="shared" si="8"/>
        <v/>
      </c>
      <c r="O36" s="44" t="str">
        <f t="shared" si="9"/>
        <v/>
      </c>
      <c r="P36" s="44" t="str">
        <f t="shared" si="10"/>
        <v/>
      </c>
      <c r="Q36" s="242" t="str">
        <f>IF(OR(L35=0,L35=""),"",IF(E36&gt;=D36,0,$E$17*10%))</f>
        <v/>
      </c>
      <c r="R36" s="243" t="e">
        <f t="shared" si="36"/>
        <v>#NUM!</v>
      </c>
      <c r="S36" s="187"/>
      <c r="T36" s="187" t="str">
        <f t="shared" si="12"/>
        <v/>
      </c>
      <c r="U36" s="42" t="e">
        <f t="shared" si="13"/>
        <v>#NUM!</v>
      </c>
      <c r="V36" s="45">
        <f t="shared" si="14"/>
        <v>0</v>
      </c>
      <c r="W36" s="187"/>
      <c r="X36" s="272" t="b">
        <f>IF(OR(AND($E$8="Adquisicion",$E$9="Premier"),AND($E$8="Exclusiva",$E$9="Premier"),AND($E$8="Nomina Especial",$E$9="Premier")),X24*1.019,IF(OR(AND($E$8="Adquisicion",$E$9="No Premier"),AND($E$8="Exclusiva",$E$9="No Premier"),AND($E$8="Nomina Especial",$E$9="No Premier")),X24*1.019,IF($E$8="Pago de Hipoteca",X24*1.019)))</f>
        <v>0</v>
      </c>
      <c r="Y36" s="187">
        <v>0</v>
      </c>
      <c r="Z36" s="187"/>
      <c r="AB36" s="357" t="e">
        <f t="shared" si="15"/>
        <v>#N/A</v>
      </c>
      <c r="AG36" s="307">
        <f t="shared" si="16"/>
        <v>0</v>
      </c>
      <c r="AH36" s="283">
        <f t="shared" si="17"/>
        <v>0</v>
      </c>
      <c r="AI36" t="str">
        <f t="shared" si="18"/>
        <v/>
      </c>
      <c r="AK36" s="280" t="s">
        <v>344</v>
      </c>
      <c r="AL36" s="280">
        <v>12</v>
      </c>
      <c r="AO36" s="324">
        <v>15</v>
      </c>
      <c r="AP36" s="325">
        <f t="shared" ref="AP36:AP38" si="38">AP40</f>
        <v>0.111</v>
      </c>
      <c r="AQ36" s="326" t="str">
        <f t="shared" si="0"/>
        <v>150.111</v>
      </c>
      <c r="AR36" s="327">
        <v>10.37</v>
      </c>
      <c r="AV36" s="36" t="str">
        <f t="shared" si="19"/>
        <v/>
      </c>
      <c r="AW36" s="37" t="e">
        <f t="shared" si="20"/>
        <v>#NUM!</v>
      </c>
      <c r="AX36" s="236" t="e">
        <f t="shared" si="21"/>
        <v>#NUM!</v>
      </c>
      <c r="AY36" s="237" t="e">
        <f t="shared" si="30"/>
        <v>#NUM!</v>
      </c>
      <c r="AZ36" s="238" t="e">
        <f t="shared" si="22"/>
        <v>#NUM!</v>
      </c>
      <c r="BA36" s="237" t="e">
        <f t="shared" si="23"/>
        <v>#NUM!</v>
      </c>
      <c r="BB36" s="238" t="e">
        <f t="shared" si="24"/>
        <v>#NUM!</v>
      </c>
      <c r="BC36" s="239">
        <f>IFERROR(IF(OR($E$11=Resumen!$N$6,$E$8=Resumen!$N$6),Amortización!AY36*0.16,0),"")</f>
        <v>0</v>
      </c>
      <c r="BD36" s="237">
        <f t="shared" si="25"/>
        <v>0</v>
      </c>
      <c r="BE36" s="240">
        <f t="shared" si="2"/>
        <v>0</v>
      </c>
      <c r="BF36" s="43" t="str">
        <f t="shared" si="3"/>
        <v/>
      </c>
      <c r="BH36" s="243" t="e">
        <f t="shared" si="37"/>
        <v>#NUM!</v>
      </c>
      <c r="BI36" s="187"/>
      <c r="BJ36" s="187" t="str">
        <f t="shared" si="27"/>
        <v/>
      </c>
      <c r="BK36" s="42" t="e">
        <f t="shared" si="28"/>
        <v>#NUM!</v>
      </c>
      <c r="BL36" s="45"/>
      <c r="BM36" s="242"/>
    </row>
    <row r="37" spans="3:65" ht="15.5" thickTop="1" thickBot="1" x14ac:dyDescent="0.4">
      <c r="C37" s="36" t="str">
        <f t="shared" si="4"/>
        <v/>
      </c>
      <c r="D37" s="37" t="e">
        <f t="shared" si="29"/>
        <v>#NUM!</v>
      </c>
      <c r="E37" s="236">
        <f t="shared" si="31"/>
        <v>0</v>
      </c>
      <c r="F37" s="237" t="e">
        <f t="shared" si="32"/>
        <v>#NUM!</v>
      </c>
      <c r="G37" s="238" t="e">
        <f>IF(D37="","",L36*Resumen!$L$86/1000)</f>
        <v>#NUM!</v>
      </c>
      <c r="H37" s="237" t="e">
        <f t="shared" si="5"/>
        <v>#NUM!</v>
      </c>
      <c r="I37" s="238" t="e">
        <f>IF($E$16=$V$1,0,IF(D37="","",Amortización!$AE$14))</f>
        <v>#NUM!</v>
      </c>
      <c r="J37" s="239">
        <f>IFERROR(IF(OR($E$11=Resumen!$N$6,$E$8=Resumen!$N$6),Amortización!F37*0.16,0),"")</f>
        <v>0</v>
      </c>
      <c r="K37" s="237">
        <f t="shared" si="6"/>
        <v>0</v>
      </c>
      <c r="L37" s="240">
        <f t="shared" si="7"/>
        <v>0</v>
      </c>
      <c r="M37" s="43" t="str">
        <f t="shared" si="1"/>
        <v/>
      </c>
      <c r="N37" s="44" t="str">
        <f t="shared" si="8"/>
        <v/>
      </c>
      <c r="O37" s="44" t="str">
        <f t="shared" si="9"/>
        <v/>
      </c>
      <c r="P37" s="44" t="str">
        <f t="shared" si="10"/>
        <v/>
      </c>
      <c r="Q37" s="242"/>
      <c r="R37" s="243" t="e">
        <f t="shared" si="36"/>
        <v>#NUM!</v>
      </c>
      <c r="S37" s="187"/>
      <c r="T37" s="187" t="str">
        <f t="shared" si="12"/>
        <v/>
      </c>
      <c r="U37" s="42" t="e">
        <f t="shared" si="13"/>
        <v>#NUM!</v>
      </c>
      <c r="V37" s="45">
        <f t="shared" si="14"/>
        <v>0</v>
      </c>
      <c r="W37" s="187"/>
      <c r="X37" s="272" t="b">
        <f t="shared" ref="X37:X100" si="39">IF(OR(AND($E$8="Adquisicion",$E$9="Premier"),AND($E$8="Exclusiva",$E$9="Premier"),AND($E$8="Nomina Especial",$E$9="Premier")),X25*1.019,IF(OR(AND($E$8="Adquisicion",$E$9="No Premier"),AND($E$8="Exclusiva",$E$9="No Premier"),AND($E$8="Nomina Especial",$E$9="No Premier")),X25*1.019,IF($E$8="Pago de Hipoteca",X25*1.019)))</f>
        <v>0</v>
      </c>
      <c r="Y37" s="187">
        <v>0</v>
      </c>
      <c r="Z37" s="187"/>
      <c r="AB37" s="357" t="e">
        <f t="shared" si="15"/>
        <v>#N/A</v>
      </c>
      <c r="AG37" s="307">
        <f t="shared" si="16"/>
        <v>0</v>
      </c>
      <c r="AH37" s="283">
        <f t="shared" si="17"/>
        <v>0</v>
      </c>
      <c r="AI37" t="str">
        <f t="shared" si="18"/>
        <v/>
      </c>
      <c r="AK37" s="280" t="s">
        <v>345</v>
      </c>
      <c r="AL37" s="280">
        <v>9.09</v>
      </c>
      <c r="AO37" s="324">
        <v>15</v>
      </c>
      <c r="AP37" s="325">
        <f t="shared" si="38"/>
        <v>0.11749999999999999</v>
      </c>
      <c r="AQ37" s="326" t="str">
        <f t="shared" si="0"/>
        <v>150.1175</v>
      </c>
      <c r="AR37" s="327">
        <v>10.77</v>
      </c>
      <c r="AV37" s="36" t="str">
        <f t="shared" si="19"/>
        <v/>
      </c>
      <c r="AW37" s="37" t="e">
        <f t="shared" si="20"/>
        <v>#NUM!</v>
      </c>
      <c r="AX37" s="236" t="e">
        <f t="shared" si="21"/>
        <v>#NUM!</v>
      </c>
      <c r="AY37" s="237" t="e">
        <f t="shared" si="30"/>
        <v>#NUM!</v>
      </c>
      <c r="AZ37" s="238" t="e">
        <f t="shared" si="22"/>
        <v>#NUM!</v>
      </c>
      <c r="BA37" s="237" t="e">
        <f t="shared" si="23"/>
        <v>#NUM!</v>
      </c>
      <c r="BB37" s="238" t="e">
        <f t="shared" si="24"/>
        <v>#NUM!</v>
      </c>
      <c r="BC37" s="239">
        <f>IFERROR(IF(OR($E$11=Resumen!$N$6,$E$8=Resumen!$N$6),Amortización!AY37*0.16,0),"")</f>
        <v>0</v>
      </c>
      <c r="BD37" s="237">
        <f t="shared" si="25"/>
        <v>0</v>
      </c>
      <c r="BE37" s="240">
        <f t="shared" si="2"/>
        <v>0</v>
      </c>
      <c r="BF37" s="43" t="str">
        <f t="shared" si="3"/>
        <v/>
      </c>
      <c r="BH37" s="243" t="e">
        <f t="shared" si="37"/>
        <v>#NUM!</v>
      </c>
      <c r="BI37" s="187"/>
      <c r="BJ37" s="187" t="str">
        <f t="shared" si="27"/>
        <v/>
      </c>
      <c r="BK37" s="42" t="e">
        <f t="shared" si="28"/>
        <v>#NUM!</v>
      </c>
      <c r="BL37" s="45"/>
      <c r="BM37" s="242"/>
    </row>
    <row r="38" spans="3:65" ht="15.5" thickTop="1" thickBot="1" x14ac:dyDescent="0.4">
      <c r="C38" s="36" t="str">
        <f t="shared" si="4"/>
        <v/>
      </c>
      <c r="D38" s="37" t="e">
        <f t="shared" si="29"/>
        <v>#NUM!</v>
      </c>
      <c r="E38" s="236">
        <f t="shared" si="31"/>
        <v>0</v>
      </c>
      <c r="F38" s="237" t="e">
        <f t="shared" si="32"/>
        <v>#NUM!</v>
      </c>
      <c r="G38" s="238" t="e">
        <f>IF(D38="","",L37*Resumen!$L$86/1000)</f>
        <v>#NUM!</v>
      </c>
      <c r="H38" s="237" t="e">
        <f t="shared" si="5"/>
        <v>#NUM!</v>
      </c>
      <c r="I38" s="238" t="e">
        <f>IF($E$16=$V$1,0,IF(D38="","",Amortización!$AE$14))</f>
        <v>#NUM!</v>
      </c>
      <c r="J38" s="239">
        <f>IFERROR(IF(OR($E$11=Resumen!$N$6,$E$8=Resumen!$N$6),Amortización!F38*0.16,0),"")</f>
        <v>0</v>
      </c>
      <c r="K38" s="237">
        <f t="shared" si="6"/>
        <v>0</v>
      </c>
      <c r="L38" s="240">
        <f t="shared" si="7"/>
        <v>0</v>
      </c>
      <c r="M38" s="43" t="str">
        <f t="shared" si="1"/>
        <v/>
      </c>
      <c r="N38" s="44" t="str">
        <f t="shared" si="8"/>
        <v/>
      </c>
      <c r="O38" s="44" t="str">
        <f t="shared" si="9"/>
        <v/>
      </c>
      <c r="P38" s="44" t="str">
        <f t="shared" si="10"/>
        <v/>
      </c>
      <c r="Q38" s="242" t="str">
        <f>IF(OR(L37=0,L37=""),"",IF(E38&gt;=D38,0,$E$17*10%))</f>
        <v/>
      </c>
      <c r="R38" s="243" t="e">
        <f t="shared" si="36"/>
        <v>#NUM!</v>
      </c>
      <c r="S38" s="187"/>
      <c r="T38" s="187" t="str">
        <f t="shared" si="12"/>
        <v/>
      </c>
      <c r="U38" s="42" t="e">
        <f t="shared" si="13"/>
        <v>#NUM!</v>
      </c>
      <c r="V38" s="45">
        <f t="shared" si="14"/>
        <v>0</v>
      </c>
      <c r="W38" s="187"/>
      <c r="X38" s="272" t="b">
        <f t="shared" si="39"/>
        <v>0</v>
      </c>
      <c r="Y38" s="187">
        <v>0</v>
      </c>
      <c r="Z38" s="187"/>
      <c r="AB38" s="357" t="e">
        <f t="shared" si="15"/>
        <v>#N/A</v>
      </c>
      <c r="AG38" s="307">
        <f t="shared" si="16"/>
        <v>0</v>
      </c>
      <c r="AH38" s="283">
        <f t="shared" si="17"/>
        <v>0</v>
      </c>
      <c r="AI38" t="str">
        <f t="shared" si="18"/>
        <v/>
      </c>
      <c r="AK38" s="280" t="s">
        <v>346</v>
      </c>
      <c r="AL38" s="280">
        <v>9.1999999999999993</v>
      </c>
      <c r="AO38" s="324">
        <v>15</v>
      </c>
      <c r="AP38" s="325">
        <f t="shared" si="38"/>
        <v>0.1225</v>
      </c>
      <c r="AQ38" s="326" t="str">
        <f t="shared" si="0"/>
        <v>150.1225</v>
      </c>
      <c r="AR38" s="327">
        <v>11.08</v>
      </c>
      <c r="AV38" s="36" t="str">
        <f t="shared" si="19"/>
        <v/>
      </c>
      <c r="AW38" s="37" t="e">
        <f t="shared" si="20"/>
        <v>#NUM!</v>
      </c>
      <c r="AX38" s="236" t="e">
        <f t="shared" si="21"/>
        <v>#NUM!</v>
      </c>
      <c r="AY38" s="237" t="e">
        <f t="shared" si="30"/>
        <v>#NUM!</v>
      </c>
      <c r="AZ38" s="238" t="e">
        <f t="shared" si="22"/>
        <v>#NUM!</v>
      </c>
      <c r="BA38" s="237" t="e">
        <f t="shared" si="23"/>
        <v>#NUM!</v>
      </c>
      <c r="BB38" s="238" t="e">
        <f t="shared" si="24"/>
        <v>#NUM!</v>
      </c>
      <c r="BC38" s="239">
        <f>IFERROR(IF(OR($E$11=Resumen!$N$6,$E$8=Resumen!$N$6),Amortización!AY38*0.16,0),"")</f>
        <v>0</v>
      </c>
      <c r="BD38" s="237">
        <f t="shared" si="25"/>
        <v>0</v>
      </c>
      <c r="BE38" s="240">
        <f t="shared" si="2"/>
        <v>0</v>
      </c>
      <c r="BF38" s="43" t="str">
        <f t="shared" si="3"/>
        <v/>
      </c>
      <c r="BH38" s="243" t="e">
        <f t="shared" si="37"/>
        <v>#NUM!</v>
      </c>
      <c r="BI38" s="187"/>
      <c r="BJ38" s="187" t="str">
        <f t="shared" si="27"/>
        <v/>
      </c>
      <c r="BK38" s="42" t="e">
        <f t="shared" si="28"/>
        <v>#NUM!</v>
      </c>
      <c r="BL38" s="45"/>
      <c r="BM38" s="242"/>
    </row>
    <row r="39" spans="3:65" ht="15.5" thickTop="1" thickBot="1" x14ac:dyDescent="0.4">
      <c r="C39" s="36" t="str">
        <f t="shared" si="4"/>
        <v/>
      </c>
      <c r="D39" s="37" t="e">
        <f t="shared" si="29"/>
        <v>#NUM!</v>
      </c>
      <c r="E39" s="236">
        <f t="shared" si="31"/>
        <v>0</v>
      </c>
      <c r="F39" s="237" t="e">
        <f t="shared" si="32"/>
        <v>#NUM!</v>
      </c>
      <c r="G39" s="238" t="e">
        <f>IF(D39="","",L38*Resumen!$L$86/1000)</f>
        <v>#NUM!</v>
      </c>
      <c r="H39" s="237" t="e">
        <f t="shared" si="5"/>
        <v>#NUM!</v>
      </c>
      <c r="I39" s="238" t="e">
        <f>IF($E$16=$V$1,0,IF(D39="","",Amortización!$AE$14))</f>
        <v>#NUM!</v>
      </c>
      <c r="J39" s="239">
        <f>IFERROR(IF(OR($E$11=Resumen!$N$6,$E$8=Resumen!$N$6),Amortización!F39*0.16,0),"")</f>
        <v>0</v>
      </c>
      <c r="K39" s="237">
        <f t="shared" si="6"/>
        <v>0</v>
      </c>
      <c r="L39" s="240">
        <f t="shared" si="7"/>
        <v>0</v>
      </c>
      <c r="M39" s="43" t="str">
        <f t="shared" si="1"/>
        <v/>
      </c>
      <c r="N39" s="44" t="str">
        <f t="shared" si="8"/>
        <v/>
      </c>
      <c r="O39" s="44" t="str">
        <f t="shared" si="9"/>
        <v/>
      </c>
      <c r="P39" s="44" t="str">
        <f t="shared" si="10"/>
        <v/>
      </c>
      <c r="Q39" s="242"/>
      <c r="R39" s="243" t="e">
        <f t="shared" si="36"/>
        <v>#NUM!</v>
      </c>
      <c r="S39" s="187"/>
      <c r="T39" s="187" t="str">
        <f t="shared" si="12"/>
        <v/>
      </c>
      <c r="U39" s="42" t="e">
        <f t="shared" si="13"/>
        <v>#NUM!</v>
      </c>
      <c r="V39" s="45">
        <f t="shared" si="14"/>
        <v>0</v>
      </c>
      <c r="W39" s="187"/>
      <c r="X39" s="272" t="b">
        <f t="shared" si="39"/>
        <v>0</v>
      </c>
      <c r="Y39" s="187">
        <v>0</v>
      </c>
      <c r="Z39" s="187"/>
      <c r="AB39" s="357" t="e">
        <f t="shared" si="15"/>
        <v>#N/A</v>
      </c>
      <c r="AG39" s="307">
        <f t="shared" si="16"/>
        <v>0</v>
      </c>
      <c r="AH39" s="283">
        <f t="shared" si="17"/>
        <v>0</v>
      </c>
      <c r="AI39" t="str">
        <f t="shared" si="18"/>
        <v/>
      </c>
      <c r="AK39" s="280" t="s">
        <v>347</v>
      </c>
      <c r="AL39" s="280">
        <v>9.31</v>
      </c>
      <c r="AO39" s="324">
        <v>20</v>
      </c>
      <c r="AP39" s="325">
        <v>0.111</v>
      </c>
      <c r="AQ39" s="326" t="str">
        <f t="shared" si="0"/>
        <v>200.111</v>
      </c>
      <c r="AR39" s="327">
        <v>9.31</v>
      </c>
      <c r="AV39" s="36" t="str">
        <f t="shared" si="19"/>
        <v/>
      </c>
      <c r="AW39" s="37" t="e">
        <f t="shared" si="20"/>
        <v>#NUM!</v>
      </c>
      <c r="AX39" s="236" t="e">
        <f t="shared" si="21"/>
        <v>#NUM!</v>
      </c>
      <c r="AY39" s="237" t="e">
        <f t="shared" si="30"/>
        <v>#NUM!</v>
      </c>
      <c r="AZ39" s="238" t="e">
        <f t="shared" si="22"/>
        <v>#NUM!</v>
      </c>
      <c r="BA39" s="237" t="e">
        <f t="shared" si="23"/>
        <v>#NUM!</v>
      </c>
      <c r="BB39" s="238" t="e">
        <f t="shared" si="24"/>
        <v>#NUM!</v>
      </c>
      <c r="BC39" s="239">
        <f>IFERROR(IF(OR($E$11=Resumen!$N$6,$E$8=Resumen!$N$6),Amortización!AY39*0.16,0),"")</f>
        <v>0</v>
      </c>
      <c r="BD39" s="237">
        <f t="shared" si="25"/>
        <v>0</v>
      </c>
      <c r="BE39" s="240">
        <f t="shared" si="2"/>
        <v>0</v>
      </c>
      <c r="BF39" s="43" t="str">
        <f t="shared" si="3"/>
        <v/>
      </c>
      <c r="BH39" s="243" t="e">
        <f t="shared" si="37"/>
        <v>#NUM!</v>
      </c>
      <c r="BI39" s="187"/>
      <c r="BJ39" s="187" t="str">
        <f t="shared" si="27"/>
        <v/>
      </c>
      <c r="BK39" s="42" t="e">
        <f t="shared" si="28"/>
        <v>#NUM!</v>
      </c>
      <c r="BL39" s="45"/>
      <c r="BM39" s="242"/>
    </row>
    <row r="40" spans="3:65" ht="15.5" thickTop="1" thickBot="1" x14ac:dyDescent="0.4">
      <c r="C40" s="36" t="str">
        <f t="shared" si="4"/>
        <v/>
      </c>
      <c r="D40" s="37" t="e">
        <f t="shared" si="29"/>
        <v>#NUM!</v>
      </c>
      <c r="E40" s="236">
        <f t="shared" si="31"/>
        <v>0</v>
      </c>
      <c r="F40" s="237" t="e">
        <f t="shared" si="32"/>
        <v>#NUM!</v>
      </c>
      <c r="G40" s="238" t="e">
        <f>IF(D40="","",L39*Resumen!$L$86/1000)</f>
        <v>#NUM!</v>
      </c>
      <c r="H40" s="237" t="e">
        <f t="shared" si="5"/>
        <v>#NUM!</v>
      </c>
      <c r="I40" s="238" t="e">
        <f>IF($E$16=$V$1,0,IF(D40="","",Amortización!$AE$14))</f>
        <v>#NUM!</v>
      </c>
      <c r="J40" s="239">
        <f>IFERROR(IF(OR($E$11=Resumen!$N$6,$E$8=Resumen!$N$6),Amortización!F40*0.16,0),"")</f>
        <v>0</v>
      </c>
      <c r="K40" s="237">
        <f t="shared" si="6"/>
        <v>0</v>
      </c>
      <c r="L40" s="240">
        <f t="shared" si="7"/>
        <v>0</v>
      </c>
      <c r="M40" s="43" t="str">
        <f t="shared" si="1"/>
        <v/>
      </c>
      <c r="N40" s="44" t="str">
        <f t="shared" si="8"/>
        <v/>
      </c>
      <c r="O40" s="44" t="str">
        <f t="shared" si="9"/>
        <v/>
      </c>
      <c r="P40" s="44" t="str">
        <f t="shared" si="10"/>
        <v/>
      </c>
      <c r="Q40" s="242" t="str">
        <f>IF(OR(L39=0,L39=""),"",IF(E40&gt;=D40,0,$E$17*10%))</f>
        <v/>
      </c>
      <c r="R40" s="243" t="e">
        <f t="shared" si="36"/>
        <v>#NUM!</v>
      </c>
      <c r="S40" s="187"/>
      <c r="T40" s="187" t="str">
        <f t="shared" si="12"/>
        <v/>
      </c>
      <c r="U40" s="42" t="e">
        <f t="shared" si="13"/>
        <v>#NUM!</v>
      </c>
      <c r="V40" s="45">
        <f t="shared" si="14"/>
        <v>0</v>
      </c>
      <c r="W40" s="187"/>
      <c r="X40" s="272" t="b">
        <f t="shared" si="39"/>
        <v>0</v>
      </c>
      <c r="Y40" s="187">
        <v>0</v>
      </c>
      <c r="Z40" s="187"/>
      <c r="AB40" s="357" t="e">
        <f t="shared" si="15"/>
        <v>#N/A</v>
      </c>
      <c r="AG40" s="307">
        <f t="shared" si="16"/>
        <v>0</v>
      </c>
      <c r="AH40" s="283">
        <f t="shared" si="17"/>
        <v>0</v>
      </c>
      <c r="AI40" t="str">
        <f t="shared" si="18"/>
        <v/>
      </c>
      <c r="AK40" s="280" t="s">
        <v>348</v>
      </c>
      <c r="AL40" s="280">
        <v>9.52</v>
      </c>
      <c r="AO40" s="324">
        <v>20</v>
      </c>
      <c r="AP40" s="325">
        <v>0.111</v>
      </c>
      <c r="AQ40" s="326" t="str">
        <f t="shared" si="0"/>
        <v>200.111</v>
      </c>
      <c r="AR40" s="327">
        <v>9.31</v>
      </c>
      <c r="AS40" s="248"/>
      <c r="AV40" s="36" t="str">
        <f t="shared" si="19"/>
        <v/>
      </c>
      <c r="AW40" s="37" t="e">
        <f t="shared" si="20"/>
        <v>#NUM!</v>
      </c>
      <c r="AX40" s="236" t="e">
        <f t="shared" si="21"/>
        <v>#NUM!</v>
      </c>
      <c r="AY40" s="237" t="e">
        <f t="shared" si="30"/>
        <v>#NUM!</v>
      </c>
      <c r="AZ40" s="238" t="e">
        <f t="shared" si="22"/>
        <v>#NUM!</v>
      </c>
      <c r="BA40" s="237" t="e">
        <f t="shared" si="23"/>
        <v>#NUM!</v>
      </c>
      <c r="BB40" s="238" t="e">
        <f t="shared" si="24"/>
        <v>#NUM!</v>
      </c>
      <c r="BC40" s="239">
        <f>IFERROR(IF(OR($E$11=Resumen!$N$6,$E$8=Resumen!$N$6),Amortización!AY40*0.16,0),"")</f>
        <v>0</v>
      </c>
      <c r="BD40" s="237">
        <f t="shared" si="25"/>
        <v>0</v>
      </c>
      <c r="BE40" s="240">
        <f t="shared" si="2"/>
        <v>0</v>
      </c>
      <c r="BF40" s="43" t="str">
        <f t="shared" si="3"/>
        <v/>
      </c>
      <c r="BH40" s="243" t="e">
        <f t="shared" si="37"/>
        <v>#NUM!</v>
      </c>
      <c r="BI40" s="187"/>
      <c r="BJ40" s="187" t="str">
        <f t="shared" si="27"/>
        <v/>
      </c>
      <c r="BK40" s="42" t="e">
        <f t="shared" si="28"/>
        <v>#NUM!</v>
      </c>
      <c r="BL40" s="45"/>
      <c r="BM40" s="242"/>
    </row>
    <row r="41" spans="3:65" ht="15.5" thickTop="1" thickBot="1" x14ac:dyDescent="0.4">
      <c r="C41" s="36" t="str">
        <f t="shared" si="4"/>
        <v/>
      </c>
      <c r="D41" s="37" t="e">
        <f t="shared" si="29"/>
        <v>#NUM!</v>
      </c>
      <c r="E41" s="236">
        <f t="shared" si="31"/>
        <v>0</v>
      </c>
      <c r="F41" s="237" t="e">
        <f t="shared" si="32"/>
        <v>#NUM!</v>
      </c>
      <c r="G41" s="238" t="e">
        <f>IF(D41="","",L40*Resumen!$L$86/1000)</f>
        <v>#NUM!</v>
      </c>
      <c r="H41" s="237" t="e">
        <f t="shared" si="5"/>
        <v>#NUM!</v>
      </c>
      <c r="I41" s="238" t="e">
        <f>IF($E$16=$V$1,0,IF(D41="","",Amortización!$AE$14))</f>
        <v>#NUM!</v>
      </c>
      <c r="J41" s="239">
        <f>IFERROR(IF(OR($E$11=Resumen!$N$6,$E$8=Resumen!$N$6),Amortización!F41*0.16,0),"")</f>
        <v>0</v>
      </c>
      <c r="K41" s="237">
        <f t="shared" si="6"/>
        <v>0</v>
      </c>
      <c r="L41" s="240">
        <f t="shared" si="7"/>
        <v>0</v>
      </c>
      <c r="M41" s="43" t="str">
        <f t="shared" si="1"/>
        <v/>
      </c>
      <c r="N41" s="44" t="str">
        <f t="shared" si="8"/>
        <v/>
      </c>
      <c r="O41" s="44" t="str">
        <f t="shared" si="9"/>
        <v/>
      </c>
      <c r="P41" s="44" t="str">
        <f t="shared" si="10"/>
        <v/>
      </c>
      <c r="Q41" s="242"/>
      <c r="R41" s="243" t="e">
        <f t="shared" si="36"/>
        <v>#NUM!</v>
      </c>
      <c r="S41" s="187"/>
      <c r="T41" s="187" t="str">
        <f t="shared" si="12"/>
        <v/>
      </c>
      <c r="U41" s="42" t="e">
        <f t="shared" si="13"/>
        <v>#NUM!</v>
      </c>
      <c r="V41" s="45">
        <f t="shared" si="14"/>
        <v>0</v>
      </c>
      <c r="W41" s="187"/>
      <c r="X41" s="272" t="b">
        <f t="shared" si="39"/>
        <v>0</v>
      </c>
      <c r="Y41" s="187">
        <v>0</v>
      </c>
      <c r="Z41" s="187"/>
      <c r="AB41" s="357" t="e">
        <f t="shared" si="15"/>
        <v>#N/A</v>
      </c>
      <c r="AG41" s="307">
        <f t="shared" si="16"/>
        <v>0</v>
      </c>
      <c r="AH41" s="283">
        <f t="shared" si="17"/>
        <v>0</v>
      </c>
      <c r="AI41" t="str">
        <f t="shared" si="18"/>
        <v/>
      </c>
      <c r="AK41" s="280" t="s">
        <v>349</v>
      </c>
      <c r="AL41" s="280">
        <v>7.84</v>
      </c>
      <c r="AO41" s="324">
        <v>20</v>
      </c>
      <c r="AP41" s="325">
        <v>0.11749999999999999</v>
      </c>
      <c r="AQ41" s="326" t="str">
        <f t="shared" si="0"/>
        <v>200.1175</v>
      </c>
      <c r="AR41" s="327">
        <v>9.85</v>
      </c>
      <c r="AV41" s="36" t="str">
        <f t="shared" si="19"/>
        <v/>
      </c>
      <c r="AW41" s="37" t="e">
        <f t="shared" si="20"/>
        <v>#NUM!</v>
      </c>
      <c r="AX41" s="236" t="e">
        <f t="shared" si="21"/>
        <v>#NUM!</v>
      </c>
      <c r="AY41" s="237" t="e">
        <f t="shared" si="30"/>
        <v>#NUM!</v>
      </c>
      <c r="AZ41" s="238" t="e">
        <f t="shared" si="22"/>
        <v>#NUM!</v>
      </c>
      <c r="BA41" s="237" t="e">
        <f t="shared" si="23"/>
        <v>#NUM!</v>
      </c>
      <c r="BB41" s="238" t="e">
        <f t="shared" si="24"/>
        <v>#NUM!</v>
      </c>
      <c r="BC41" s="239">
        <f>IFERROR(IF(OR($E$11=Resumen!$N$6,$E$8=Resumen!$N$6),Amortización!AY41*0.16,0),"")</f>
        <v>0</v>
      </c>
      <c r="BD41" s="237">
        <f t="shared" si="25"/>
        <v>0</v>
      </c>
      <c r="BE41" s="240">
        <f t="shared" si="2"/>
        <v>0</v>
      </c>
      <c r="BF41" s="43" t="str">
        <f t="shared" si="3"/>
        <v/>
      </c>
      <c r="BH41" s="243" t="e">
        <f t="shared" si="37"/>
        <v>#NUM!</v>
      </c>
      <c r="BI41" s="187"/>
      <c r="BJ41" s="187" t="str">
        <f t="shared" si="27"/>
        <v/>
      </c>
      <c r="BK41" s="42" t="e">
        <f t="shared" si="28"/>
        <v>#NUM!</v>
      </c>
      <c r="BL41" s="45"/>
      <c r="BM41" s="242"/>
    </row>
    <row r="42" spans="3:65" ht="15.5" thickTop="1" thickBot="1" x14ac:dyDescent="0.4">
      <c r="C42" s="36" t="str">
        <f t="shared" si="4"/>
        <v/>
      </c>
      <c r="D42" s="37" t="e">
        <f t="shared" si="29"/>
        <v>#NUM!</v>
      </c>
      <c r="E42" s="236">
        <f t="shared" si="31"/>
        <v>0</v>
      </c>
      <c r="F42" s="237" t="e">
        <f t="shared" si="32"/>
        <v>#NUM!</v>
      </c>
      <c r="G42" s="238" t="e">
        <f>IF(D42="","",L41*Resumen!$L$86/1000)</f>
        <v>#NUM!</v>
      </c>
      <c r="H42" s="237" t="e">
        <f t="shared" si="5"/>
        <v>#NUM!</v>
      </c>
      <c r="I42" s="238" t="e">
        <f>IF($E$16=$V$1,0,IF(D42="","",Amortización!$AE$14))</f>
        <v>#NUM!</v>
      </c>
      <c r="J42" s="239">
        <f>IFERROR(IF(OR($E$11=Resumen!$N$6,$E$8=Resumen!$N$6),Amortización!F42*0.16,0),"")</f>
        <v>0</v>
      </c>
      <c r="K42" s="237">
        <f t="shared" si="6"/>
        <v>0</v>
      </c>
      <c r="L42" s="240">
        <f t="shared" si="7"/>
        <v>0</v>
      </c>
      <c r="M42" s="43" t="str">
        <f t="shared" si="1"/>
        <v/>
      </c>
      <c r="N42" s="44" t="str">
        <f t="shared" si="8"/>
        <v/>
      </c>
      <c r="O42" s="44" t="str">
        <f t="shared" si="9"/>
        <v/>
      </c>
      <c r="P42" s="44" t="str">
        <f t="shared" si="10"/>
        <v/>
      </c>
      <c r="Q42" s="242" t="str">
        <f>IF(OR(L41=0,L41=""),"",IF(E42&gt;=D42,0,$E$17*10%))</f>
        <v/>
      </c>
      <c r="R42" s="243" t="e">
        <f t="shared" si="36"/>
        <v>#NUM!</v>
      </c>
      <c r="S42" s="187"/>
      <c r="T42" s="187" t="str">
        <f t="shared" si="12"/>
        <v/>
      </c>
      <c r="U42" s="42" t="e">
        <f t="shared" si="13"/>
        <v>#NUM!</v>
      </c>
      <c r="V42" s="45">
        <f t="shared" si="14"/>
        <v>0</v>
      </c>
      <c r="W42" s="187"/>
      <c r="X42" s="272" t="b">
        <f t="shared" si="39"/>
        <v>0</v>
      </c>
      <c r="Y42" s="187">
        <v>0</v>
      </c>
      <c r="Z42" s="187"/>
      <c r="AB42" s="357" t="e">
        <f t="shared" si="15"/>
        <v>#N/A</v>
      </c>
      <c r="AG42" s="307">
        <f t="shared" si="16"/>
        <v>0</v>
      </c>
      <c r="AH42" s="283">
        <f t="shared" si="17"/>
        <v>0</v>
      </c>
      <c r="AI42" t="str">
        <f t="shared" si="18"/>
        <v/>
      </c>
      <c r="AK42" s="280" t="s">
        <v>350</v>
      </c>
      <c r="AL42" s="280">
        <v>7.96</v>
      </c>
      <c r="AO42" s="324">
        <v>20</v>
      </c>
      <c r="AP42" s="352">
        <v>0.1225</v>
      </c>
      <c r="AQ42" s="326" t="str">
        <f t="shared" si="0"/>
        <v>200.1225</v>
      </c>
      <c r="AR42" s="327">
        <v>10.26</v>
      </c>
      <c r="AV42" s="36" t="str">
        <f t="shared" si="19"/>
        <v/>
      </c>
      <c r="AW42" s="37" t="e">
        <f t="shared" si="20"/>
        <v>#NUM!</v>
      </c>
      <c r="AX42" s="236" t="e">
        <f t="shared" si="21"/>
        <v>#NUM!</v>
      </c>
      <c r="AY42" s="237" t="e">
        <f t="shared" si="30"/>
        <v>#NUM!</v>
      </c>
      <c r="AZ42" s="238" t="e">
        <f t="shared" si="22"/>
        <v>#NUM!</v>
      </c>
      <c r="BA42" s="237" t="e">
        <f t="shared" si="23"/>
        <v>#NUM!</v>
      </c>
      <c r="BB42" s="238" t="e">
        <f t="shared" si="24"/>
        <v>#NUM!</v>
      </c>
      <c r="BC42" s="239">
        <f>IFERROR(IF(OR($E$11=Resumen!$N$6,$E$8=Resumen!$N$6),Amortización!AY42*0.16,0),"")</f>
        <v>0</v>
      </c>
      <c r="BD42" s="237">
        <f t="shared" si="25"/>
        <v>0</v>
      </c>
      <c r="BE42" s="240">
        <f t="shared" si="2"/>
        <v>0</v>
      </c>
      <c r="BF42" s="43" t="str">
        <f t="shared" si="3"/>
        <v/>
      </c>
      <c r="BH42" s="243" t="e">
        <f t="shared" si="37"/>
        <v>#NUM!</v>
      </c>
      <c r="BI42" s="187"/>
      <c r="BJ42" s="187" t="str">
        <f t="shared" si="27"/>
        <v/>
      </c>
      <c r="BK42" s="42" t="e">
        <f t="shared" si="28"/>
        <v>#NUM!</v>
      </c>
      <c r="BL42" s="45"/>
      <c r="BM42" s="242"/>
    </row>
    <row r="43" spans="3:65" ht="15.5" thickTop="1" thickBot="1" x14ac:dyDescent="0.4">
      <c r="C43" s="36" t="str">
        <f t="shared" si="4"/>
        <v/>
      </c>
      <c r="D43" s="37" t="e">
        <f t="shared" si="29"/>
        <v>#NUM!</v>
      </c>
      <c r="E43" s="236">
        <f t="shared" si="31"/>
        <v>0</v>
      </c>
      <c r="F43" s="237" t="e">
        <f t="shared" si="32"/>
        <v>#NUM!</v>
      </c>
      <c r="G43" s="238" t="e">
        <f>IF(D43="","",L42*Resumen!$L$86/1000)</f>
        <v>#NUM!</v>
      </c>
      <c r="H43" s="237" t="e">
        <f t="shared" si="5"/>
        <v>#NUM!</v>
      </c>
      <c r="I43" s="238" t="e">
        <f>IF($E$16=$V$1,0,IF(D43="","",Amortización!$AE$14))</f>
        <v>#NUM!</v>
      </c>
      <c r="J43" s="239">
        <f>IFERROR(IF(OR($E$11=Resumen!$N$6,$E$8=Resumen!$N$6),Amortización!F43*0.16,0),"")</f>
        <v>0</v>
      </c>
      <c r="K43" s="237">
        <f t="shared" si="6"/>
        <v>0</v>
      </c>
      <c r="L43" s="240">
        <f t="shared" si="7"/>
        <v>0</v>
      </c>
      <c r="M43" s="43" t="str">
        <f t="shared" si="1"/>
        <v/>
      </c>
      <c r="N43" s="44" t="str">
        <f t="shared" si="8"/>
        <v/>
      </c>
      <c r="O43" s="44" t="str">
        <f t="shared" si="9"/>
        <v/>
      </c>
      <c r="P43" s="44" t="str">
        <f t="shared" si="10"/>
        <v/>
      </c>
      <c r="Q43" s="242"/>
      <c r="R43" s="243" t="e">
        <f t="shared" si="36"/>
        <v>#NUM!</v>
      </c>
      <c r="S43" s="187"/>
      <c r="T43" s="187" t="str">
        <f t="shared" si="12"/>
        <v/>
      </c>
      <c r="U43" s="42" t="e">
        <f t="shared" si="13"/>
        <v>#NUM!</v>
      </c>
      <c r="V43" s="45">
        <f t="shared" si="14"/>
        <v>0</v>
      </c>
      <c r="W43" s="187"/>
      <c r="X43" s="272" t="b">
        <f t="shared" si="39"/>
        <v>0</v>
      </c>
      <c r="Y43" s="187">
        <v>0</v>
      </c>
      <c r="Z43" s="187"/>
      <c r="AB43" s="357" t="e">
        <f t="shared" si="15"/>
        <v>#N/A</v>
      </c>
      <c r="AG43" s="307">
        <f t="shared" si="16"/>
        <v>0</v>
      </c>
      <c r="AH43" s="283">
        <f t="shared" si="17"/>
        <v>0</v>
      </c>
      <c r="AI43" t="str">
        <f t="shared" si="18"/>
        <v/>
      </c>
      <c r="AK43" s="280" t="s">
        <v>351</v>
      </c>
      <c r="AL43" s="280">
        <v>8.08</v>
      </c>
      <c r="AO43" s="324">
        <v>25</v>
      </c>
      <c r="AP43" s="325">
        <f>AP39</f>
        <v>0.111</v>
      </c>
      <c r="AQ43" s="326" t="str">
        <f t="shared" si="0"/>
        <v>250.111</v>
      </c>
      <c r="AR43" s="327">
        <v>9.31</v>
      </c>
      <c r="AV43" s="36" t="str">
        <f t="shared" si="19"/>
        <v/>
      </c>
      <c r="AW43" s="37" t="e">
        <f t="shared" si="20"/>
        <v>#NUM!</v>
      </c>
      <c r="AX43" s="236" t="e">
        <f t="shared" si="21"/>
        <v>#NUM!</v>
      </c>
      <c r="AY43" s="237" t="e">
        <f t="shared" si="30"/>
        <v>#NUM!</v>
      </c>
      <c r="AZ43" s="238" t="e">
        <f t="shared" si="22"/>
        <v>#NUM!</v>
      </c>
      <c r="BA43" s="237" t="e">
        <f t="shared" si="23"/>
        <v>#NUM!</v>
      </c>
      <c r="BB43" s="238" t="e">
        <f t="shared" si="24"/>
        <v>#NUM!</v>
      </c>
      <c r="BC43" s="239">
        <f>IFERROR(IF(OR($E$11=Resumen!$N$6,$E$8=Resumen!$N$6),Amortización!AY43*0.16,0),"")</f>
        <v>0</v>
      </c>
      <c r="BD43" s="237">
        <f t="shared" si="25"/>
        <v>0</v>
      </c>
      <c r="BE43" s="240">
        <f t="shared" si="2"/>
        <v>0</v>
      </c>
      <c r="BF43" s="43" t="str">
        <f t="shared" si="3"/>
        <v/>
      </c>
      <c r="BH43" s="243" t="e">
        <f t="shared" si="37"/>
        <v>#NUM!</v>
      </c>
      <c r="BI43" s="187"/>
      <c r="BJ43" s="187" t="str">
        <f t="shared" si="27"/>
        <v/>
      </c>
      <c r="BK43" s="42" t="e">
        <f t="shared" si="28"/>
        <v>#NUM!</v>
      </c>
      <c r="BL43" s="45"/>
      <c r="BM43" s="242"/>
    </row>
    <row r="44" spans="3:65" ht="15.5" thickTop="1" thickBot="1" x14ac:dyDescent="0.4">
      <c r="C44" s="36" t="str">
        <f t="shared" si="4"/>
        <v/>
      </c>
      <c r="D44" s="37" t="e">
        <f t="shared" si="29"/>
        <v>#NUM!</v>
      </c>
      <c r="E44" s="236">
        <f t="shared" si="31"/>
        <v>0</v>
      </c>
      <c r="F44" s="237" t="e">
        <f t="shared" si="32"/>
        <v>#NUM!</v>
      </c>
      <c r="G44" s="238" t="e">
        <f>IF(D44="","",L43*Resumen!$L$86/1000)</f>
        <v>#NUM!</v>
      </c>
      <c r="H44" s="237" t="e">
        <f t="shared" si="5"/>
        <v>#NUM!</v>
      </c>
      <c r="I44" s="238" t="e">
        <f>IF($E$16=$V$1,0,IF(D44="","",Amortización!$AE$14))</f>
        <v>#NUM!</v>
      </c>
      <c r="J44" s="239">
        <f>IFERROR(IF(OR($E$11=Resumen!$N$6,$E$8=Resumen!$N$6),Amortización!F44*0.16,0),"")</f>
        <v>0</v>
      </c>
      <c r="K44" s="237">
        <f t="shared" si="6"/>
        <v>0</v>
      </c>
      <c r="L44" s="240">
        <f t="shared" si="7"/>
        <v>0</v>
      </c>
      <c r="M44" s="43" t="str">
        <f t="shared" si="1"/>
        <v/>
      </c>
      <c r="N44" s="44" t="str">
        <f t="shared" si="8"/>
        <v/>
      </c>
      <c r="O44" s="44" t="str">
        <f t="shared" si="9"/>
        <v/>
      </c>
      <c r="P44" s="44" t="str">
        <f t="shared" si="10"/>
        <v/>
      </c>
      <c r="Q44" s="242" t="str">
        <f>IF(OR(L43=0,L43=""),"",IF(E44&gt;=D44,0,$E$17*10%))</f>
        <v/>
      </c>
      <c r="R44" s="243" t="e">
        <f t="shared" si="36"/>
        <v>#NUM!</v>
      </c>
      <c r="S44" s="187"/>
      <c r="T44" s="187" t="str">
        <f t="shared" si="12"/>
        <v/>
      </c>
      <c r="U44" s="42" t="e">
        <f t="shared" si="13"/>
        <v>#NUM!</v>
      </c>
      <c r="V44" s="45">
        <f t="shared" si="14"/>
        <v>0</v>
      </c>
      <c r="W44" s="187"/>
      <c r="X44" s="272" t="b">
        <f t="shared" si="39"/>
        <v>0</v>
      </c>
      <c r="Y44" s="187">
        <v>0</v>
      </c>
      <c r="Z44" s="187"/>
      <c r="AB44" s="357" t="e">
        <f t="shared" si="15"/>
        <v>#N/A</v>
      </c>
      <c r="AG44" s="307">
        <f t="shared" si="16"/>
        <v>0</v>
      </c>
      <c r="AH44" s="283">
        <f t="shared" si="17"/>
        <v>0</v>
      </c>
      <c r="AI44" t="str">
        <f t="shared" si="18"/>
        <v/>
      </c>
      <c r="AK44" s="280" t="s">
        <v>352</v>
      </c>
      <c r="AL44" s="280">
        <v>8.2999999999999989</v>
      </c>
      <c r="AO44" s="324">
        <v>25</v>
      </c>
      <c r="AP44" s="325">
        <f t="shared" ref="AP44:AP46" si="40">AP40</f>
        <v>0.111</v>
      </c>
      <c r="AQ44" s="326" t="str">
        <f t="shared" si="0"/>
        <v>250.111</v>
      </c>
      <c r="AR44" s="327">
        <v>9.31</v>
      </c>
      <c r="AV44" s="36" t="str">
        <f t="shared" si="19"/>
        <v/>
      </c>
      <c r="AW44" s="37" t="e">
        <f t="shared" si="20"/>
        <v>#NUM!</v>
      </c>
      <c r="AX44" s="236" t="e">
        <f t="shared" si="21"/>
        <v>#NUM!</v>
      </c>
      <c r="AY44" s="237" t="e">
        <f t="shared" si="30"/>
        <v>#NUM!</v>
      </c>
      <c r="AZ44" s="238" t="e">
        <f t="shared" si="22"/>
        <v>#NUM!</v>
      </c>
      <c r="BA44" s="237" t="e">
        <f t="shared" si="23"/>
        <v>#NUM!</v>
      </c>
      <c r="BB44" s="238" t="e">
        <f t="shared" si="24"/>
        <v>#NUM!</v>
      </c>
      <c r="BC44" s="239">
        <f>IFERROR(IF(OR($E$11=Resumen!$N$6,$E$8=Resumen!$N$6),Amortización!AY44*0.16,0),"")</f>
        <v>0</v>
      </c>
      <c r="BD44" s="237">
        <f t="shared" si="25"/>
        <v>0</v>
      </c>
      <c r="BE44" s="240">
        <f t="shared" si="2"/>
        <v>0</v>
      </c>
      <c r="BF44" s="43" t="str">
        <f t="shared" si="3"/>
        <v/>
      </c>
      <c r="BH44" s="243" t="e">
        <f t="shared" si="37"/>
        <v>#NUM!</v>
      </c>
      <c r="BI44" s="187"/>
      <c r="BJ44" s="187" t="str">
        <f t="shared" si="27"/>
        <v/>
      </c>
      <c r="BK44" s="42" t="e">
        <f t="shared" si="28"/>
        <v>#NUM!</v>
      </c>
      <c r="BL44" s="45"/>
      <c r="BM44" s="242"/>
    </row>
    <row r="45" spans="3:65" ht="15.5" thickTop="1" thickBot="1" x14ac:dyDescent="0.4">
      <c r="C45" s="36" t="str">
        <f t="shared" si="4"/>
        <v/>
      </c>
      <c r="D45" s="37" t="e">
        <f t="shared" si="29"/>
        <v>#NUM!</v>
      </c>
      <c r="E45" s="236">
        <f t="shared" si="31"/>
        <v>0</v>
      </c>
      <c r="F45" s="237" t="e">
        <f t="shared" si="32"/>
        <v>#NUM!</v>
      </c>
      <c r="G45" s="238" t="e">
        <f>IF(D45="","",L44*Resumen!$L$86/1000)</f>
        <v>#NUM!</v>
      </c>
      <c r="H45" s="237" t="e">
        <f t="shared" si="5"/>
        <v>#NUM!</v>
      </c>
      <c r="I45" s="238" t="e">
        <f>IF($E$16=$V$1,0,IF(D45="","",Amortización!$AE$14))</f>
        <v>#NUM!</v>
      </c>
      <c r="J45" s="239">
        <f>IFERROR(IF(OR($E$11=Resumen!$N$6,$E$8=Resumen!$N$6),Amortización!F45*0.16,0),"")</f>
        <v>0</v>
      </c>
      <c r="K45" s="237">
        <f t="shared" si="6"/>
        <v>0</v>
      </c>
      <c r="L45" s="240">
        <f t="shared" si="7"/>
        <v>0</v>
      </c>
      <c r="M45" s="43" t="str">
        <f t="shared" si="1"/>
        <v/>
      </c>
      <c r="N45" s="44" t="str">
        <f t="shared" si="8"/>
        <v/>
      </c>
      <c r="O45" s="44" t="str">
        <f t="shared" si="9"/>
        <v/>
      </c>
      <c r="P45" s="44" t="str">
        <f t="shared" si="10"/>
        <v/>
      </c>
      <c r="Q45" s="242"/>
      <c r="R45" s="244" t="e">
        <f>IF(D45="","",R44)-IF(E20&amp;E21&amp;AB23&amp;E26=AB21,0%,IF(E20&amp;E21&amp;AB23&amp;E26=AB22,0%,0))+IF(E22&amp;E20=V25,0%,0)</f>
        <v>#NUM!</v>
      </c>
      <c r="S45" s="187"/>
      <c r="T45" s="187" t="str">
        <f t="shared" si="12"/>
        <v/>
      </c>
      <c r="U45" s="42" t="e">
        <f t="shared" si="13"/>
        <v>#NUM!</v>
      </c>
      <c r="V45" s="45">
        <f t="shared" si="14"/>
        <v>0</v>
      </c>
      <c r="W45" s="187"/>
      <c r="X45" s="272" t="b">
        <f t="shared" si="39"/>
        <v>0</v>
      </c>
      <c r="Y45" s="187">
        <v>0</v>
      </c>
      <c r="Z45" s="187"/>
      <c r="AB45" s="357" t="e">
        <f t="shared" si="15"/>
        <v>#N/A</v>
      </c>
      <c r="AG45" s="307">
        <f t="shared" si="16"/>
        <v>0</v>
      </c>
      <c r="AH45" s="283">
        <f t="shared" si="17"/>
        <v>0</v>
      </c>
      <c r="AI45" t="str">
        <f t="shared" si="18"/>
        <v/>
      </c>
      <c r="AK45" s="280" t="s">
        <v>353</v>
      </c>
      <c r="AL45" s="280">
        <v>19.700000000000003</v>
      </c>
      <c r="AO45" s="324">
        <v>25</v>
      </c>
      <c r="AP45" s="325">
        <f t="shared" si="40"/>
        <v>0.11749999999999999</v>
      </c>
      <c r="AQ45" s="326" t="str">
        <f t="shared" si="0"/>
        <v>250.1175</v>
      </c>
      <c r="AR45" s="327">
        <v>9.85</v>
      </c>
      <c r="AV45" s="36" t="str">
        <f t="shared" si="19"/>
        <v/>
      </c>
      <c r="AW45" s="37" t="e">
        <f t="shared" si="20"/>
        <v>#NUM!</v>
      </c>
      <c r="AX45" s="236" t="e">
        <f t="shared" si="21"/>
        <v>#NUM!</v>
      </c>
      <c r="AY45" s="237" t="e">
        <f t="shared" si="30"/>
        <v>#NUM!</v>
      </c>
      <c r="AZ45" s="238" t="e">
        <f t="shared" si="22"/>
        <v>#NUM!</v>
      </c>
      <c r="BA45" s="237" t="e">
        <f t="shared" si="23"/>
        <v>#NUM!</v>
      </c>
      <c r="BB45" s="238" t="e">
        <f t="shared" si="24"/>
        <v>#NUM!</v>
      </c>
      <c r="BC45" s="239">
        <f>IFERROR(IF(OR($E$11=Resumen!$N$6,$E$8=Resumen!$N$6),Amortización!AY45*0.16,0),"")</f>
        <v>0</v>
      </c>
      <c r="BD45" s="237">
        <f t="shared" si="25"/>
        <v>0</v>
      </c>
      <c r="BE45" s="240">
        <f t="shared" si="2"/>
        <v>0</v>
      </c>
      <c r="BF45" s="43" t="str">
        <f t="shared" si="3"/>
        <v/>
      </c>
      <c r="BH45" s="244" t="e">
        <f>IF(AW45="","",BH44)-IF(AX20&amp;AX21&amp;BR23&amp;AX26=BR21,0%,IF(AX20&amp;AX21&amp;BR23&amp;AX26=BR22,0%,0))+IF(AX22&amp;AX20=BL25,0%,0)</f>
        <v>#NUM!</v>
      </c>
      <c r="BI45" s="187"/>
      <c r="BJ45" s="187" t="str">
        <f t="shared" si="27"/>
        <v/>
      </c>
      <c r="BK45" s="42" t="e">
        <f t="shared" si="28"/>
        <v>#NUM!</v>
      </c>
      <c r="BL45" s="45"/>
      <c r="BM45" s="242"/>
    </row>
    <row r="46" spans="3:65" ht="15.5" thickTop="1" thickBot="1" x14ac:dyDescent="0.4">
      <c r="C46" s="36" t="str">
        <f t="shared" si="4"/>
        <v/>
      </c>
      <c r="D46" s="37" t="e">
        <f t="shared" si="29"/>
        <v>#NUM!</v>
      </c>
      <c r="E46" s="236">
        <f t="shared" si="31"/>
        <v>0</v>
      </c>
      <c r="F46" s="237" t="e">
        <f t="shared" si="32"/>
        <v>#NUM!</v>
      </c>
      <c r="G46" s="238" t="e">
        <f>IF(D46="","",L45*Resumen!$L$86/1000)</f>
        <v>#NUM!</v>
      </c>
      <c r="H46" s="237" t="e">
        <f t="shared" si="5"/>
        <v>#NUM!</v>
      </c>
      <c r="I46" s="238" t="e">
        <f>IF($E$16=$V$1,0,IF(D46="","",Amortización!$AE$14))</f>
        <v>#NUM!</v>
      </c>
      <c r="J46" s="239">
        <f>IFERROR(IF(OR($E$11=Resumen!$N$6,$E$8=Resumen!$N$6),Amortización!F46*0.16,0),"")</f>
        <v>0</v>
      </c>
      <c r="K46" s="237">
        <f t="shared" si="6"/>
        <v>0</v>
      </c>
      <c r="L46" s="240">
        <f t="shared" si="7"/>
        <v>0</v>
      </c>
      <c r="M46" s="43">
        <v>0</v>
      </c>
      <c r="N46" s="44">
        <f t="shared" si="8"/>
        <v>0</v>
      </c>
      <c r="O46" s="44">
        <f t="shared" si="9"/>
        <v>0</v>
      </c>
      <c r="P46" s="44">
        <f t="shared" si="10"/>
        <v>0</v>
      </c>
      <c r="Q46" s="242" t="str">
        <f>IF(OR(L45=0,L45=""),"",IF(E46&gt;=D46,0,$E$17*10%))</f>
        <v/>
      </c>
      <c r="R46" s="243" t="e">
        <f t="shared" ref="R46:R86" si="41">IF(D46="","",R45)</f>
        <v>#NUM!</v>
      </c>
      <c r="S46" s="187"/>
      <c r="T46" s="187" t="str">
        <f t="shared" si="12"/>
        <v/>
      </c>
      <c r="U46" s="42" t="e">
        <f t="shared" si="13"/>
        <v>#NUM!</v>
      </c>
      <c r="V46" s="45">
        <f t="shared" si="14"/>
        <v>0</v>
      </c>
      <c r="W46" s="187"/>
      <c r="X46" s="272" t="b">
        <f t="shared" si="39"/>
        <v>0</v>
      </c>
      <c r="Y46" s="187">
        <v>0</v>
      </c>
      <c r="Z46" s="187"/>
      <c r="AB46" s="357" t="e">
        <f t="shared" si="15"/>
        <v>#N/A</v>
      </c>
      <c r="AG46" s="307">
        <f t="shared" si="16"/>
        <v>0</v>
      </c>
      <c r="AH46" s="283">
        <f t="shared" si="17"/>
        <v>0</v>
      </c>
      <c r="AI46">
        <f t="shared" si="18"/>
        <v>0</v>
      </c>
      <c r="AK46" s="280" t="s">
        <v>354</v>
      </c>
      <c r="AL46" s="280">
        <v>11.53</v>
      </c>
      <c r="AO46" s="324">
        <v>25</v>
      </c>
      <c r="AP46" s="325">
        <f t="shared" si="40"/>
        <v>0.1225</v>
      </c>
      <c r="AQ46" s="326" t="str">
        <f t="shared" si="0"/>
        <v>250.1225</v>
      </c>
      <c r="AR46" s="327">
        <v>10.26</v>
      </c>
      <c r="AV46" s="36" t="str">
        <f t="shared" si="19"/>
        <v/>
      </c>
      <c r="AW46" s="37" t="e">
        <f t="shared" si="20"/>
        <v>#NUM!</v>
      </c>
      <c r="AX46" s="236" t="e">
        <f t="shared" si="21"/>
        <v>#NUM!</v>
      </c>
      <c r="AY46" s="237" t="e">
        <f t="shared" si="30"/>
        <v>#NUM!</v>
      </c>
      <c r="AZ46" s="238" t="e">
        <f t="shared" si="22"/>
        <v>#NUM!</v>
      </c>
      <c r="BA46" s="237" t="e">
        <f t="shared" si="23"/>
        <v>#NUM!</v>
      </c>
      <c r="BB46" s="238" t="e">
        <f t="shared" si="24"/>
        <v>#NUM!</v>
      </c>
      <c r="BC46" s="239">
        <f>IFERROR(IF(OR($E$11=Resumen!$N$6,$E$8=Resumen!$N$6),Amortización!AY46*0.16,0),"")</f>
        <v>0</v>
      </c>
      <c r="BD46" s="237">
        <f t="shared" si="25"/>
        <v>0</v>
      </c>
      <c r="BE46" s="240">
        <f t="shared" si="2"/>
        <v>0</v>
      </c>
      <c r="BF46" s="43" t="str">
        <f t="shared" si="3"/>
        <v/>
      </c>
      <c r="BH46" s="243" t="e">
        <f t="shared" ref="BH46:BH109" si="42">IF(AW46="","",BH45)</f>
        <v>#NUM!</v>
      </c>
      <c r="BI46" s="187"/>
      <c r="BJ46" s="187" t="str">
        <f t="shared" si="27"/>
        <v/>
      </c>
      <c r="BK46" s="42" t="e">
        <f t="shared" si="28"/>
        <v>#NUM!</v>
      </c>
      <c r="BL46" s="45"/>
      <c r="BM46" s="242"/>
    </row>
    <row r="47" spans="3:65" ht="15.5" thickTop="1" thickBot="1" x14ac:dyDescent="0.4">
      <c r="C47" s="36" t="str">
        <f t="shared" si="4"/>
        <v/>
      </c>
      <c r="D47" s="37" t="e">
        <f t="shared" si="29"/>
        <v>#NUM!</v>
      </c>
      <c r="E47" s="236">
        <f t="shared" si="31"/>
        <v>0</v>
      </c>
      <c r="F47" s="237" t="e">
        <f t="shared" si="32"/>
        <v>#NUM!</v>
      </c>
      <c r="G47" s="238" t="e">
        <f>IF(D47="","",L46*Resumen!$L$86/1000)</f>
        <v>#NUM!</v>
      </c>
      <c r="H47" s="237" t="e">
        <f t="shared" si="5"/>
        <v>#NUM!</v>
      </c>
      <c r="I47" s="238" t="e">
        <f>IF($E$16=$V$1,0,IF(D47="","",Amortización!$AE$14))</f>
        <v>#NUM!</v>
      </c>
      <c r="J47" s="239">
        <f>IFERROR(IF(OR($E$11=Resumen!$N$6,$E$8=Resumen!$N$6),Amortización!F47*0.16,0),"")</f>
        <v>0</v>
      </c>
      <c r="K47" s="237">
        <f t="shared" si="6"/>
        <v>0</v>
      </c>
      <c r="L47" s="240">
        <f t="shared" si="7"/>
        <v>0</v>
      </c>
      <c r="M47" s="43" t="str">
        <f t="shared" si="1"/>
        <v/>
      </c>
      <c r="N47" s="44" t="str">
        <f t="shared" si="8"/>
        <v/>
      </c>
      <c r="O47" s="44" t="str">
        <f t="shared" si="9"/>
        <v/>
      </c>
      <c r="P47" s="44" t="str">
        <f t="shared" si="10"/>
        <v/>
      </c>
      <c r="Q47" s="242"/>
      <c r="R47" s="243" t="e">
        <f t="shared" si="41"/>
        <v>#NUM!</v>
      </c>
      <c r="S47" s="187"/>
      <c r="T47" s="187" t="str">
        <f t="shared" si="12"/>
        <v/>
      </c>
      <c r="U47" s="42" t="e">
        <f t="shared" si="13"/>
        <v>#NUM!</v>
      </c>
      <c r="V47" s="45">
        <f t="shared" si="14"/>
        <v>0</v>
      </c>
      <c r="W47" s="187"/>
      <c r="X47" s="272" t="b">
        <f t="shared" si="39"/>
        <v>0</v>
      </c>
      <c r="Y47" s="187">
        <v>0</v>
      </c>
      <c r="Z47" s="187"/>
      <c r="AB47" s="357" t="e">
        <f t="shared" si="15"/>
        <v>#N/A</v>
      </c>
      <c r="AG47" s="307">
        <f t="shared" si="16"/>
        <v>0</v>
      </c>
      <c r="AH47" s="283">
        <f t="shared" si="17"/>
        <v>0</v>
      </c>
      <c r="AI47" t="str">
        <f t="shared" si="18"/>
        <v/>
      </c>
      <c r="AK47" s="280" t="s">
        <v>355</v>
      </c>
      <c r="AL47" s="280">
        <v>9</v>
      </c>
      <c r="AO47" s="328">
        <v>5</v>
      </c>
      <c r="AP47" s="329">
        <f t="shared" ref="AP47:AP49" si="43">AP48</f>
        <v>0.1075</v>
      </c>
      <c r="AQ47" s="330" t="str">
        <f t="shared" si="0"/>
        <v>50.1075</v>
      </c>
      <c r="AR47" s="331">
        <v>20.9</v>
      </c>
      <c r="AV47" s="36" t="str">
        <f t="shared" si="19"/>
        <v/>
      </c>
      <c r="AW47" s="37" t="e">
        <f t="shared" si="20"/>
        <v>#NUM!</v>
      </c>
      <c r="AX47" s="236" t="e">
        <f t="shared" si="21"/>
        <v>#NUM!</v>
      </c>
      <c r="AY47" s="237" t="e">
        <f t="shared" si="30"/>
        <v>#NUM!</v>
      </c>
      <c r="AZ47" s="238" t="e">
        <f t="shared" si="22"/>
        <v>#NUM!</v>
      </c>
      <c r="BA47" s="237" t="e">
        <f t="shared" si="23"/>
        <v>#NUM!</v>
      </c>
      <c r="BB47" s="238" t="e">
        <f t="shared" si="24"/>
        <v>#NUM!</v>
      </c>
      <c r="BC47" s="239">
        <f>IFERROR(IF(OR($E$11=Resumen!$N$6,$E$8=Resumen!$N$6),Amortización!AY47*0.16,0),"")</f>
        <v>0</v>
      </c>
      <c r="BD47" s="237">
        <f t="shared" si="25"/>
        <v>0</v>
      </c>
      <c r="BE47" s="240">
        <f t="shared" si="2"/>
        <v>0</v>
      </c>
      <c r="BF47" s="43" t="str">
        <f t="shared" si="3"/>
        <v/>
      </c>
      <c r="BH47" s="243" t="e">
        <f t="shared" si="42"/>
        <v>#NUM!</v>
      </c>
      <c r="BI47" s="187"/>
      <c r="BJ47" s="187" t="str">
        <f t="shared" si="27"/>
        <v/>
      </c>
      <c r="BK47" s="42" t="e">
        <f t="shared" si="28"/>
        <v>#NUM!</v>
      </c>
      <c r="BL47" s="45"/>
      <c r="BM47" s="242"/>
    </row>
    <row r="48" spans="3:65" ht="15.5" thickTop="1" thickBot="1" x14ac:dyDescent="0.4">
      <c r="C48" s="36" t="str">
        <f t="shared" si="4"/>
        <v/>
      </c>
      <c r="D48" s="37" t="e">
        <f t="shared" si="29"/>
        <v>#NUM!</v>
      </c>
      <c r="E48" s="236">
        <f t="shared" si="31"/>
        <v>0</v>
      </c>
      <c r="F48" s="237" t="e">
        <f t="shared" si="32"/>
        <v>#NUM!</v>
      </c>
      <c r="G48" s="238" t="e">
        <f>IF(D48="","",L47*Resumen!$L$86/1000)</f>
        <v>#NUM!</v>
      </c>
      <c r="H48" s="237" t="e">
        <f t="shared" si="5"/>
        <v>#NUM!</v>
      </c>
      <c r="I48" s="238" t="e">
        <f>IF($E$16=$V$1,0,IF(D48="","",Amortización!$AE$14))</f>
        <v>#NUM!</v>
      </c>
      <c r="J48" s="239">
        <f>IFERROR(IF(OR($E$11=Resumen!$N$6,$E$8=Resumen!$N$6),Amortización!F48*0.16,0),"")</f>
        <v>0</v>
      </c>
      <c r="K48" s="237">
        <f t="shared" si="6"/>
        <v>0</v>
      </c>
      <c r="L48" s="240">
        <f t="shared" si="7"/>
        <v>0</v>
      </c>
      <c r="M48" s="43" t="str">
        <f t="shared" si="1"/>
        <v/>
      </c>
      <c r="N48" s="44" t="str">
        <f t="shared" si="8"/>
        <v/>
      </c>
      <c r="O48" s="44" t="str">
        <f t="shared" si="9"/>
        <v/>
      </c>
      <c r="P48" s="44" t="str">
        <f t="shared" si="10"/>
        <v/>
      </c>
      <c r="Q48" s="242" t="str">
        <f>IF(OR(L47=0,L47=""),"",IF(E48&gt;=D48,0,$E$17*10%))</f>
        <v/>
      </c>
      <c r="R48" s="243" t="e">
        <f t="shared" si="41"/>
        <v>#NUM!</v>
      </c>
      <c r="S48" s="187"/>
      <c r="T48" s="187" t="str">
        <f t="shared" si="12"/>
        <v/>
      </c>
      <c r="U48" s="42" t="e">
        <f t="shared" si="13"/>
        <v>#NUM!</v>
      </c>
      <c r="V48" s="45">
        <f t="shared" si="14"/>
        <v>0</v>
      </c>
      <c r="W48" s="187"/>
      <c r="X48" s="272" t="b">
        <f t="shared" si="39"/>
        <v>0</v>
      </c>
      <c r="Y48" s="187">
        <v>0</v>
      </c>
      <c r="Z48" s="187"/>
      <c r="AB48" s="357" t="e">
        <f t="shared" si="15"/>
        <v>#N/A</v>
      </c>
      <c r="AG48" s="307">
        <f t="shared" si="16"/>
        <v>0</v>
      </c>
      <c r="AH48" s="283">
        <f t="shared" si="17"/>
        <v>0</v>
      </c>
      <c r="AI48" t="str">
        <f t="shared" si="18"/>
        <v/>
      </c>
      <c r="AK48" s="280" t="s">
        <v>356</v>
      </c>
      <c r="AL48" s="280">
        <v>7.75</v>
      </c>
      <c r="AO48" s="328">
        <v>6</v>
      </c>
      <c r="AP48" s="329">
        <f t="shared" si="43"/>
        <v>0.1075</v>
      </c>
      <c r="AQ48" s="330" t="str">
        <f t="shared" si="0"/>
        <v>60.1075</v>
      </c>
      <c r="AR48" s="331">
        <v>18.14</v>
      </c>
      <c r="AV48" s="36" t="str">
        <f t="shared" si="19"/>
        <v/>
      </c>
      <c r="AW48" s="37" t="e">
        <f t="shared" si="20"/>
        <v>#NUM!</v>
      </c>
      <c r="AX48" s="236" t="e">
        <f t="shared" si="21"/>
        <v>#NUM!</v>
      </c>
      <c r="AY48" s="237" t="e">
        <f t="shared" si="30"/>
        <v>#NUM!</v>
      </c>
      <c r="AZ48" s="238" t="e">
        <f t="shared" si="22"/>
        <v>#NUM!</v>
      </c>
      <c r="BA48" s="237" t="e">
        <f t="shared" si="23"/>
        <v>#NUM!</v>
      </c>
      <c r="BB48" s="238" t="e">
        <f t="shared" si="24"/>
        <v>#NUM!</v>
      </c>
      <c r="BC48" s="239">
        <f>IFERROR(IF(OR($E$11=Resumen!$N$6,$E$8=Resumen!$N$6),Amortización!AY48*0.16,0),"")</f>
        <v>0</v>
      </c>
      <c r="BD48" s="237">
        <f t="shared" si="25"/>
        <v>0</v>
      </c>
      <c r="BE48" s="240">
        <f t="shared" si="2"/>
        <v>0</v>
      </c>
      <c r="BF48" s="43" t="str">
        <f t="shared" si="3"/>
        <v/>
      </c>
      <c r="BH48" s="243" t="e">
        <f t="shared" si="42"/>
        <v>#NUM!</v>
      </c>
      <c r="BI48" s="187"/>
      <c r="BJ48" s="187" t="str">
        <f t="shared" si="27"/>
        <v/>
      </c>
      <c r="BK48" s="42" t="e">
        <f t="shared" si="28"/>
        <v>#NUM!</v>
      </c>
      <c r="BL48" s="45"/>
      <c r="BM48" s="242"/>
    </row>
    <row r="49" spans="3:65" ht="15.5" thickTop="1" thickBot="1" x14ac:dyDescent="0.4">
      <c r="C49" s="36" t="str">
        <f t="shared" si="4"/>
        <v/>
      </c>
      <c r="D49" s="37" t="e">
        <f t="shared" si="29"/>
        <v>#NUM!</v>
      </c>
      <c r="E49" s="236">
        <f t="shared" si="31"/>
        <v>0</v>
      </c>
      <c r="F49" s="237" t="e">
        <f t="shared" si="32"/>
        <v>#NUM!</v>
      </c>
      <c r="G49" s="238" t="e">
        <f>IF(D49="","",L48*Resumen!$L$86/1000)</f>
        <v>#NUM!</v>
      </c>
      <c r="H49" s="237" t="e">
        <f t="shared" si="5"/>
        <v>#NUM!</v>
      </c>
      <c r="I49" s="238" t="e">
        <f>IF($E$16=$V$1,0,IF(D49="","",Amortización!$AE$14))</f>
        <v>#NUM!</v>
      </c>
      <c r="J49" s="239">
        <f>IFERROR(IF(OR($E$11=Resumen!$N$6,$E$8=Resumen!$N$6),Amortización!F49*0.16,0),"")</f>
        <v>0</v>
      </c>
      <c r="K49" s="237">
        <f t="shared" si="6"/>
        <v>0</v>
      </c>
      <c r="L49" s="240">
        <f t="shared" si="7"/>
        <v>0</v>
      </c>
      <c r="M49" s="43" t="str">
        <f t="shared" si="1"/>
        <v/>
      </c>
      <c r="N49" s="44" t="str">
        <f t="shared" si="8"/>
        <v/>
      </c>
      <c r="O49" s="44" t="str">
        <f t="shared" si="9"/>
        <v/>
      </c>
      <c r="P49" s="44" t="str">
        <f t="shared" si="10"/>
        <v/>
      </c>
      <c r="Q49" s="242"/>
      <c r="R49" s="243" t="e">
        <f t="shared" si="41"/>
        <v>#NUM!</v>
      </c>
      <c r="S49" s="187"/>
      <c r="T49" s="187" t="str">
        <f t="shared" si="12"/>
        <v/>
      </c>
      <c r="U49" s="42" t="e">
        <f t="shared" si="13"/>
        <v>#NUM!</v>
      </c>
      <c r="V49" s="45">
        <f t="shared" si="14"/>
        <v>0</v>
      </c>
      <c r="W49" s="187"/>
      <c r="X49" s="272" t="b">
        <f t="shared" si="39"/>
        <v>0</v>
      </c>
      <c r="Y49" s="187">
        <v>0</v>
      </c>
      <c r="Z49" s="187"/>
      <c r="AB49" s="357" t="e">
        <f t="shared" si="15"/>
        <v>#N/A</v>
      </c>
      <c r="AG49" s="307">
        <f t="shared" si="16"/>
        <v>0</v>
      </c>
      <c r="AH49" s="283">
        <f t="shared" si="17"/>
        <v>0</v>
      </c>
      <c r="AI49" t="str">
        <f t="shared" si="18"/>
        <v/>
      </c>
      <c r="AK49" s="280" t="s">
        <v>357</v>
      </c>
      <c r="AL49" s="280">
        <v>19.610000000000003</v>
      </c>
      <c r="AO49" s="328">
        <v>7</v>
      </c>
      <c r="AP49" s="329">
        <f t="shared" si="43"/>
        <v>0.1075</v>
      </c>
      <c r="AQ49" s="330" t="str">
        <f t="shared" si="0"/>
        <v>70.1075</v>
      </c>
      <c r="AR49" s="331">
        <v>16.18</v>
      </c>
      <c r="AV49" s="36" t="str">
        <f t="shared" si="19"/>
        <v/>
      </c>
      <c r="AW49" s="37" t="e">
        <f t="shared" si="20"/>
        <v>#NUM!</v>
      </c>
      <c r="AX49" s="236" t="e">
        <f t="shared" si="21"/>
        <v>#NUM!</v>
      </c>
      <c r="AY49" s="237" t="e">
        <f t="shared" si="30"/>
        <v>#NUM!</v>
      </c>
      <c r="AZ49" s="238" t="e">
        <f t="shared" si="22"/>
        <v>#NUM!</v>
      </c>
      <c r="BA49" s="237" t="e">
        <f t="shared" si="23"/>
        <v>#NUM!</v>
      </c>
      <c r="BB49" s="238" t="e">
        <f t="shared" si="24"/>
        <v>#NUM!</v>
      </c>
      <c r="BC49" s="239">
        <f>IFERROR(IF(OR($E$11=Resumen!$N$6,$E$8=Resumen!$N$6),Amortización!AY49*0.16,0),"")</f>
        <v>0</v>
      </c>
      <c r="BD49" s="237">
        <f t="shared" si="25"/>
        <v>0</v>
      </c>
      <c r="BE49" s="240">
        <f t="shared" si="2"/>
        <v>0</v>
      </c>
      <c r="BF49" s="43" t="str">
        <f t="shared" si="3"/>
        <v/>
      </c>
      <c r="BH49" s="243" t="e">
        <f t="shared" si="42"/>
        <v>#NUM!</v>
      </c>
      <c r="BI49" s="187"/>
      <c r="BJ49" s="187" t="str">
        <f t="shared" si="27"/>
        <v/>
      </c>
      <c r="BK49" s="42" t="e">
        <f t="shared" si="28"/>
        <v>#NUM!</v>
      </c>
      <c r="BL49" s="45"/>
      <c r="BM49" s="242"/>
    </row>
    <row r="50" spans="3:65" ht="15.5" thickTop="1" thickBot="1" x14ac:dyDescent="0.4">
      <c r="C50" s="36" t="str">
        <f t="shared" si="4"/>
        <v/>
      </c>
      <c r="D50" s="37" t="e">
        <f t="shared" si="29"/>
        <v>#NUM!</v>
      </c>
      <c r="E50" s="236">
        <f t="shared" si="31"/>
        <v>0</v>
      </c>
      <c r="F50" s="237" t="e">
        <f t="shared" si="32"/>
        <v>#NUM!</v>
      </c>
      <c r="G50" s="238" t="e">
        <f>IF(D50="","",L49*Resumen!$L$86/1000)</f>
        <v>#NUM!</v>
      </c>
      <c r="H50" s="237" t="e">
        <f t="shared" si="5"/>
        <v>#NUM!</v>
      </c>
      <c r="I50" s="238" t="e">
        <f>IF($E$16=$V$1,0,IF(D50="","",Amortización!$AE$14))</f>
        <v>#NUM!</v>
      </c>
      <c r="J50" s="239">
        <f>IFERROR(IF(OR($E$11=Resumen!$N$6,$E$8=Resumen!$N$6),Amortización!F50*0.16,0),"")</f>
        <v>0</v>
      </c>
      <c r="K50" s="237">
        <f t="shared" si="6"/>
        <v>0</v>
      </c>
      <c r="L50" s="240">
        <f t="shared" si="7"/>
        <v>0</v>
      </c>
      <c r="M50" s="43">
        <v>0</v>
      </c>
      <c r="N50" s="44">
        <f t="shared" si="8"/>
        <v>0</v>
      </c>
      <c r="O50" s="44">
        <f t="shared" si="9"/>
        <v>0</v>
      </c>
      <c r="P50" s="44">
        <f t="shared" si="10"/>
        <v>0</v>
      </c>
      <c r="Q50" s="242" t="str">
        <f>IF(OR(L49=0,L49=""),"",IF(E50&gt;=D50,0,$E$17*10%))</f>
        <v/>
      </c>
      <c r="R50" s="243" t="e">
        <f t="shared" si="41"/>
        <v>#NUM!</v>
      </c>
      <c r="S50" s="187"/>
      <c r="T50" s="187" t="str">
        <f t="shared" si="12"/>
        <v/>
      </c>
      <c r="U50" s="42" t="e">
        <f t="shared" si="13"/>
        <v>#NUM!</v>
      </c>
      <c r="V50" s="45">
        <f t="shared" si="14"/>
        <v>0</v>
      </c>
      <c r="W50" s="187"/>
      <c r="X50" s="272" t="b">
        <f t="shared" si="39"/>
        <v>0</v>
      </c>
      <c r="Y50" s="187">
        <v>0</v>
      </c>
      <c r="Z50" s="187"/>
      <c r="AB50" s="357" t="e">
        <f t="shared" si="15"/>
        <v>#N/A</v>
      </c>
      <c r="AG50" s="307">
        <f t="shared" si="16"/>
        <v>0</v>
      </c>
      <c r="AH50" s="283">
        <f t="shared" si="17"/>
        <v>0</v>
      </c>
      <c r="AI50">
        <f t="shared" si="18"/>
        <v>0</v>
      </c>
      <c r="AK50" s="280" t="s">
        <v>358</v>
      </c>
      <c r="AL50" s="280">
        <v>11.43</v>
      </c>
      <c r="AO50" s="328">
        <v>8</v>
      </c>
      <c r="AP50" s="329">
        <f>AP51</f>
        <v>0.1075</v>
      </c>
      <c r="AQ50" s="330" t="str">
        <f t="shared" si="0"/>
        <v>80.1075</v>
      </c>
      <c r="AR50" s="331">
        <v>14.73</v>
      </c>
      <c r="AV50" s="36" t="str">
        <f t="shared" si="19"/>
        <v/>
      </c>
      <c r="AW50" s="37" t="e">
        <f t="shared" si="20"/>
        <v>#NUM!</v>
      </c>
      <c r="AX50" s="236" t="e">
        <f t="shared" si="21"/>
        <v>#NUM!</v>
      </c>
      <c r="AY50" s="237" t="e">
        <f t="shared" si="30"/>
        <v>#NUM!</v>
      </c>
      <c r="AZ50" s="238" t="e">
        <f t="shared" si="22"/>
        <v>#NUM!</v>
      </c>
      <c r="BA50" s="237" t="e">
        <f t="shared" si="23"/>
        <v>#NUM!</v>
      </c>
      <c r="BB50" s="238" t="e">
        <f t="shared" si="24"/>
        <v>#NUM!</v>
      </c>
      <c r="BC50" s="239">
        <f>IFERROR(IF(OR($E$11=Resumen!$N$6,$E$8=Resumen!$N$6),Amortización!AY50*0.16,0),"")</f>
        <v>0</v>
      </c>
      <c r="BD50" s="237">
        <f t="shared" si="25"/>
        <v>0</v>
      </c>
      <c r="BE50" s="240">
        <f t="shared" si="2"/>
        <v>0</v>
      </c>
      <c r="BF50" s="43" t="str">
        <f t="shared" si="3"/>
        <v/>
      </c>
      <c r="BH50" s="243" t="e">
        <f t="shared" si="42"/>
        <v>#NUM!</v>
      </c>
      <c r="BI50" s="187"/>
      <c r="BJ50" s="187" t="str">
        <f t="shared" si="27"/>
        <v/>
      </c>
      <c r="BK50" s="42" t="e">
        <f t="shared" si="28"/>
        <v>#NUM!</v>
      </c>
      <c r="BL50" s="45"/>
      <c r="BM50" s="242"/>
    </row>
    <row r="51" spans="3:65" ht="15.5" thickTop="1" thickBot="1" x14ac:dyDescent="0.4">
      <c r="C51" s="36" t="str">
        <f t="shared" si="4"/>
        <v/>
      </c>
      <c r="D51" s="37" t="e">
        <f t="shared" si="29"/>
        <v>#NUM!</v>
      </c>
      <c r="E51" s="236">
        <f t="shared" si="31"/>
        <v>0</v>
      </c>
      <c r="F51" s="237" t="e">
        <f t="shared" si="32"/>
        <v>#NUM!</v>
      </c>
      <c r="G51" s="238" t="e">
        <f>IF(D51="","",L50*Resumen!$L$86/1000)</f>
        <v>#NUM!</v>
      </c>
      <c r="H51" s="237" t="e">
        <f t="shared" si="5"/>
        <v>#NUM!</v>
      </c>
      <c r="I51" s="238" t="e">
        <f>IF($E$16=$V$1,0,IF(D51="","",Amortización!$AE$14))</f>
        <v>#NUM!</v>
      </c>
      <c r="J51" s="239">
        <f>IFERROR(IF(OR($E$11=Resumen!$N$6,$E$8=Resumen!$N$6),Amortización!F51*0.16,0),"")</f>
        <v>0</v>
      </c>
      <c r="K51" s="237">
        <f t="shared" si="6"/>
        <v>0</v>
      </c>
      <c r="L51" s="240">
        <f t="shared" si="7"/>
        <v>0</v>
      </c>
      <c r="M51" s="43" t="str">
        <f t="shared" si="1"/>
        <v/>
      </c>
      <c r="N51" s="44" t="str">
        <f t="shared" si="8"/>
        <v/>
      </c>
      <c r="O51" s="44" t="str">
        <f t="shared" si="9"/>
        <v/>
      </c>
      <c r="P51" s="44" t="str">
        <f t="shared" si="10"/>
        <v/>
      </c>
      <c r="Q51" s="242"/>
      <c r="R51" s="243" t="e">
        <f t="shared" si="41"/>
        <v>#NUM!</v>
      </c>
      <c r="S51" s="187"/>
      <c r="T51" s="187" t="str">
        <f t="shared" si="12"/>
        <v/>
      </c>
      <c r="U51" s="42" t="e">
        <f t="shared" si="13"/>
        <v>#NUM!</v>
      </c>
      <c r="V51" s="45">
        <f t="shared" si="14"/>
        <v>0</v>
      </c>
      <c r="W51" s="187"/>
      <c r="X51" s="272" t="b">
        <f t="shared" si="39"/>
        <v>0</v>
      </c>
      <c r="Y51" s="187">
        <v>0</v>
      </c>
      <c r="Z51" s="187"/>
      <c r="AB51" s="357" t="e">
        <f t="shared" si="15"/>
        <v>#N/A</v>
      </c>
      <c r="AG51" s="307">
        <f t="shared" si="16"/>
        <v>0</v>
      </c>
      <c r="AH51" s="283">
        <f t="shared" si="17"/>
        <v>0</v>
      </c>
      <c r="AI51" t="str">
        <f t="shared" si="18"/>
        <v/>
      </c>
      <c r="AK51" s="280" t="s">
        <v>359</v>
      </c>
      <c r="AL51" s="280">
        <v>8.89</v>
      </c>
      <c r="AO51" s="328">
        <v>9</v>
      </c>
      <c r="AP51" s="332">
        <f>AP52-0.25%</f>
        <v>0.1075</v>
      </c>
      <c r="AQ51" s="330" t="str">
        <f t="shared" si="0"/>
        <v>90.1075</v>
      </c>
      <c r="AR51" s="331">
        <v>13.61</v>
      </c>
      <c r="AV51" s="36" t="str">
        <f t="shared" si="19"/>
        <v/>
      </c>
      <c r="AW51" s="37" t="e">
        <f t="shared" si="20"/>
        <v>#NUM!</v>
      </c>
      <c r="AX51" s="236" t="e">
        <f t="shared" si="21"/>
        <v>#NUM!</v>
      </c>
      <c r="AY51" s="237" t="e">
        <f t="shared" si="30"/>
        <v>#NUM!</v>
      </c>
      <c r="AZ51" s="238" t="e">
        <f t="shared" si="22"/>
        <v>#NUM!</v>
      </c>
      <c r="BA51" s="237" t="e">
        <f t="shared" si="23"/>
        <v>#NUM!</v>
      </c>
      <c r="BB51" s="238" t="e">
        <f t="shared" si="24"/>
        <v>#NUM!</v>
      </c>
      <c r="BC51" s="239">
        <f>IFERROR(IF(OR($E$11=Resumen!$N$6,$E$8=Resumen!$N$6),Amortización!AY51*0.16,0),"")</f>
        <v>0</v>
      </c>
      <c r="BD51" s="237">
        <f t="shared" si="25"/>
        <v>0</v>
      </c>
      <c r="BE51" s="240">
        <f t="shared" si="2"/>
        <v>0</v>
      </c>
      <c r="BF51" s="43" t="str">
        <f t="shared" si="3"/>
        <v/>
      </c>
      <c r="BH51" s="243" t="e">
        <f t="shared" si="42"/>
        <v>#NUM!</v>
      </c>
      <c r="BI51" s="187"/>
      <c r="BJ51" s="187" t="str">
        <f t="shared" si="27"/>
        <v/>
      </c>
      <c r="BK51" s="42" t="e">
        <f t="shared" si="28"/>
        <v>#NUM!</v>
      </c>
      <c r="BL51" s="45"/>
      <c r="BM51" s="242"/>
    </row>
    <row r="52" spans="3:65" ht="15.5" thickTop="1" thickBot="1" x14ac:dyDescent="0.4">
      <c r="C52" s="36" t="str">
        <f t="shared" si="4"/>
        <v/>
      </c>
      <c r="D52" s="37" t="e">
        <f t="shared" si="29"/>
        <v>#NUM!</v>
      </c>
      <c r="E52" s="236">
        <f t="shared" si="31"/>
        <v>0</v>
      </c>
      <c r="F52" s="237" t="e">
        <f t="shared" si="32"/>
        <v>#NUM!</v>
      </c>
      <c r="G52" s="238" t="e">
        <f>IF(D52="","",L51*Resumen!$L$86/1000)</f>
        <v>#NUM!</v>
      </c>
      <c r="H52" s="237" t="e">
        <f t="shared" si="5"/>
        <v>#NUM!</v>
      </c>
      <c r="I52" s="238" t="e">
        <f>IF($E$16=$V$1,0,IF(D52="","",Amortización!$AE$14))</f>
        <v>#NUM!</v>
      </c>
      <c r="J52" s="239">
        <f>IFERROR(IF(OR($E$11=Resumen!$N$6,$E$8=Resumen!$N$6),Amortización!F52*0.16,0),"")</f>
        <v>0</v>
      </c>
      <c r="K52" s="237">
        <f t="shared" si="6"/>
        <v>0</v>
      </c>
      <c r="L52" s="240">
        <f t="shared" si="7"/>
        <v>0</v>
      </c>
      <c r="M52" s="43" t="str">
        <f t="shared" si="1"/>
        <v/>
      </c>
      <c r="N52" s="44" t="str">
        <f t="shared" si="8"/>
        <v/>
      </c>
      <c r="O52" s="44" t="str">
        <f t="shared" si="9"/>
        <v/>
      </c>
      <c r="P52" s="44" t="str">
        <f t="shared" si="10"/>
        <v/>
      </c>
      <c r="Q52" s="242" t="str">
        <f>IF(OR(L51=0,L51=""),"",IF(E52&gt;=D52,0,$E$17*10%))</f>
        <v/>
      </c>
      <c r="R52" s="243" t="e">
        <f t="shared" si="41"/>
        <v>#NUM!</v>
      </c>
      <c r="S52" s="187"/>
      <c r="T52" s="187" t="str">
        <f t="shared" si="12"/>
        <v/>
      </c>
      <c r="U52" s="42" t="e">
        <f t="shared" si="13"/>
        <v>#NUM!</v>
      </c>
      <c r="V52" s="45">
        <f t="shared" si="14"/>
        <v>0</v>
      </c>
      <c r="W52" s="187"/>
      <c r="X52" s="272" t="b">
        <f t="shared" si="39"/>
        <v>0</v>
      </c>
      <c r="Y52" s="187">
        <v>0</v>
      </c>
      <c r="Z52" s="187"/>
      <c r="AB52" s="357" t="e">
        <f t="shared" si="15"/>
        <v>#N/A</v>
      </c>
      <c r="AG52" s="307">
        <f t="shared" si="16"/>
        <v>0</v>
      </c>
      <c r="AH52" s="283">
        <f t="shared" si="17"/>
        <v>0</v>
      </c>
      <c r="AI52" t="str">
        <f t="shared" si="18"/>
        <v/>
      </c>
      <c r="AK52" s="280" t="s">
        <v>360</v>
      </c>
      <c r="AL52" s="280">
        <v>7.63</v>
      </c>
      <c r="AO52" s="328">
        <v>10</v>
      </c>
      <c r="AP52" s="329">
        <f t="shared" ref="AP52:AP54" si="44">AP53</f>
        <v>0.11</v>
      </c>
      <c r="AQ52" s="330" t="str">
        <f t="shared" si="0"/>
        <v>100.11</v>
      </c>
      <c r="AR52" s="331">
        <v>12.86</v>
      </c>
      <c r="AV52" s="36" t="str">
        <f t="shared" si="19"/>
        <v/>
      </c>
      <c r="AW52" s="37" t="e">
        <f t="shared" si="20"/>
        <v>#NUM!</v>
      </c>
      <c r="AX52" s="236" t="e">
        <f t="shared" si="21"/>
        <v>#NUM!</v>
      </c>
      <c r="AY52" s="237" t="e">
        <f t="shared" si="30"/>
        <v>#NUM!</v>
      </c>
      <c r="AZ52" s="238" t="e">
        <f t="shared" si="22"/>
        <v>#NUM!</v>
      </c>
      <c r="BA52" s="237" t="e">
        <f t="shared" si="23"/>
        <v>#NUM!</v>
      </c>
      <c r="BB52" s="238" t="e">
        <f t="shared" si="24"/>
        <v>#NUM!</v>
      </c>
      <c r="BC52" s="239">
        <f>IFERROR(IF(OR($E$11=Resumen!$N$6,$E$8=Resumen!$N$6),Amortización!AY52*0.16,0),"")</f>
        <v>0</v>
      </c>
      <c r="BD52" s="237">
        <f t="shared" si="25"/>
        <v>0</v>
      </c>
      <c r="BE52" s="240">
        <f t="shared" si="2"/>
        <v>0</v>
      </c>
      <c r="BF52" s="43" t="str">
        <f t="shared" si="3"/>
        <v/>
      </c>
      <c r="BH52" s="243" t="e">
        <f t="shared" si="42"/>
        <v>#NUM!</v>
      </c>
      <c r="BI52" s="187"/>
      <c r="BJ52" s="187" t="str">
        <f t="shared" si="27"/>
        <v/>
      </c>
      <c r="BK52" s="42" t="e">
        <f t="shared" si="28"/>
        <v>#NUM!</v>
      </c>
      <c r="BL52" s="45"/>
      <c r="BM52" s="242"/>
    </row>
    <row r="53" spans="3:65" ht="15.5" thickTop="1" thickBot="1" x14ac:dyDescent="0.4">
      <c r="C53" s="36" t="str">
        <f t="shared" si="4"/>
        <v/>
      </c>
      <c r="D53" s="37" t="e">
        <f t="shared" si="29"/>
        <v>#NUM!</v>
      </c>
      <c r="E53" s="236">
        <f t="shared" si="31"/>
        <v>0</v>
      </c>
      <c r="F53" s="237" t="e">
        <f t="shared" si="32"/>
        <v>#NUM!</v>
      </c>
      <c r="G53" s="238" t="e">
        <f>IF(D53="","",L52*Resumen!$L$86/1000)</f>
        <v>#NUM!</v>
      </c>
      <c r="H53" s="237" t="e">
        <f t="shared" si="5"/>
        <v>#NUM!</v>
      </c>
      <c r="I53" s="238" t="e">
        <f>IF($E$16=$V$1,0,IF(D53="","",Amortización!$AE$14))</f>
        <v>#NUM!</v>
      </c>
      <c r="J53" s="239">
        <f>IFERROR(IF(OR($E$11=Resumen!$N$6,$E$8=Resumen!$N$6),Amortización!F53*0.16,0),"")</f>
        <v>0</v>
      </c>
      <c r="K53" s="237">
        <f t="shared" si="6"/>
        <v>0</v>
      </c>
      <c r="L53" s="240">
        <f t="shared" si="7"/>
        <v>0</v>
      </c>
      <c r="M53" s="43" t="str">
        <f t="shared" si="1"/>
        <v/>
      </c>
      <c r="N53" s="44" t="str">
        <f t="shared" si="8"/>
        <v/>
      </c>
      <c r="O53" s="44" t="str">
        <f t="shared" si="9"/>
        <v/>
      </c>
      <c r="P53" s="44" t="str">
        <f t="shared" si="10"/>
        <v/>
      </c>
      <c r="Q53" s="242"/>
      <c r="R53" s="243" t="e">
        <f t="shared" si="41"/>
        <v>#NUM!</v>
      </c>
      <c r="S53" s="187"/>
      <c r="T53" s="187" t="str">
        <f t="shared" si="12"/>
        <v/>
      </c>
      <c r="U53" s="42" t="e">
        <f t="shared" si="13"/>
        <v>#NUM!</v>
      </c>
      <c r="V53" s="45">
        <f t="shared" si="14"/>
        <v>0</v>
      </c>
      <c r="W53" s="187"/>
      <c r="X53" s="272" t="b">
        <f t="shared" si="39"/>
        <v>0</v>
      </c>
      <c r="Y53" s="187">
        <v>0</v>
      </c>
      <c r="Z53" s="187"/>
      <c r="AB53" s="357" t="e">
        <f t="shared" si="15"/>
        <v>#N/A</v>
      </c>
      <c r="AG53" s="307">
        <f t="shared" si="16"/>
        <v>0</v>
      </c>
      <c r="AH53" s="283">
        <f t="shared" si="17"/>
        <v>0</v>
      </c>
      <c r="AI53" t="str">
        <f t="shared" si="18"/>
        <v/>
      </c>
      <c r="AK53" s="280" t="s">
        <v>373</v>
      </c>
      <c r="AL53" s="280">
        <v>19.700000000000003</v>
      </c>
      <c r="AO53" s="328">
        <v>11</v>
      </c>
      <c r="AP53" s="329">
        <f t="shared" si="44"/>
        <v>0.11</v>
      </c>
      <c r="AQ53" s="330" t="str">
        <f t="shared" si="0"/>
        <v>110.11</v>
      </c>
      <c r="AR53" s="331">
        <v>12.14</v>
      </c>
      <c r="AV53" s="36" t="str">
        <f t="shared" si="19"/>
        <v/>
      </c>
      <c r="AW53" s="37" t="e">
        <f t="shared" si="20"/>
        <v>#NUM!</v>
      </c>
      <c r="AX53" s="236" t="e">
        <f t="shared" si="21"/>
        <v>#NUM!</v>
      </c>
      <c r="AY53" s="237" t="e">
        <f t="shared" si="30"/>
        <v>#NUM!</v>
      </c>
      <c r="AZ53" s="238" t="e">
        <f t="shared" si="22"/>
        <v>#NUM!</v>
      </c>
      <c r="BA53" s="237" t="e">
        <f t="shared" si="23"/>
        <v>#NUM!</v>
      </c>
      <c r="BB53" s="238" t="e">
        <f t="shared" si="24"/>
        <v>#NUM!</v>
      </c>
      <c r="BC53" s="239">
        <f>IFERROR(IF(OR($E$11=Resumen!$N$6,$E$8=Resumen!$N$6),Amortización!AY53*0.16,0),"")</f>
        <v>0</v>
      </c>
      <c r="BD53" s="237">
        <f t="shared" si="25"/>
        <v>0</v>
      </c>
      <c r="BE53" s="240">
        <f t="shared" si="2"/>
        <v>0</v>
      </c>
      <c r="BF53" s="43" t="str">
        <f t="shared" si="3"/>
        <v/>
      </c>
      <c r="BH53" s="243" t="e">
        <f t="shared" si="42"/>
        <v>#NUM!</v>
      </c>
      <c r="BI53" s="187"/>
      <c r="BJ53" s="187" t="str">
        <f t="shared" si="27"/>
        <v/>
      </c>
      <c r="BK53" s="42" t="e">
        <f t="shared" si="28"/>
        <v>#NUM!</v>
      </c>
      <c r="BL53" s="45"/>
      <c r="BM53" s="242"/>
    </row>
    <row r="54" spans="3:65" ht="15.5" thickTop="1" thickBot="1" x14ac:dyDescent="0.4">
      <c r="C54" s="36" t="str">
        <f t="shared" ref="C54:C86" si="45">IF(OR(L53="",L53=0),"",IF(C53+1&gt;$K$11+$X$2,"",C53+1))</f>
        <v/>
      </c>
      <c r="D54" s="37" t="e">
        <f t="shared" si="29"/>
        <v>#NUM!</v>
      </c>
      <c r="E54" s="236">
        <f t="shared" si="31"/>
        <v>0</v>
      </c>
      <c r="F54" s="237" t="e">
        <f t="shared" si="32"/>
        <v>#NUM!</v>
      </c>
      <c r="G54" s="238" t="e">
        <f>IF(D54="","",L53*Resumen!$L$86/1000)</f>
        <v>#NUM!</v>
      </c>
      <c r="H54" s="237" t="e">
        <f t="shared" si="5"/>
        <v>#NUM!</v>
      </c>
      <c r="I54" s="238" t="e">
        <f>IF($E$16=$V$1,0,IF(D54="","",Amortización!$AE$14))</f>
        <v>#NUM!</v>
      </c>
      <c r="J54" s="239">
        <f>IFERROR(IF(OR($E$11=Resumen!$N$6,$E$8=Resumen!$N$6),Amortización!F54*0.16,0),"")</f>
        <v>0</v>
      </c>
      <c r="K54" s="237">
        <f t="shared" si="6"/>
        <v>0</v>
      </c>
      <c r="L54" s="240">
        <f t="shared" si="7"/>
        <v>0</v>
      </c>
      <c r="M54" s="43" t="str">
        <f t="shared" si="1"/>
        <v/>
      </c>
      <c r="N54" s="44" t="str">
        <f t="shared" si="8"/>
        <v/>
      </c>
      <c r="O54" s="44" t="str">
        <f t="shared" si="9"/>
        <v/>
      </c>
      <c r="P54" s="44" t="str">
        <f t="shared" si="10"/>
        <v/>
      </c>
      <c r="Q54" s="242" t="str">
        <f>IF(OR(L53=0,L53=""),"",IF(E54&gt;=D54,0,$E$17*10%))</f>
        <v/>
      </c>
      <c r="R54" s="243" t="e">
        <f t="shared" si="41"/>
        <v>#NUM!</v>
      </c>
      <c r="S54" s="187"/>
      <c r="T54" s="187" t="str">
        <f t="shared" ref="T54:T86" si="46">C54</f>
        <v/>
      </c>
      <c r="U54" s="42" t="e">
        <f t="shared" si="13"/>
        <v>#NUM!</v>
      </c>
      <c r="V54" s="45">
        <f t="shared" si="14"/>
        <v>0</v>
      </c>
      <c r="W54" s="187"/>
      <c r="X54" s="272" t="b">
        <f t="shared" si="39"/>
        <v>0</v>
      </c>
      <c r="Y54" s="187">
        <v>0</v>
      </c>
      <c r="Z54" s="187"/>
      <c r="AB54" s="357" t="e">
        <f t="shared" si="15"/>
        <v>#N/A</v>
      </c>
      <c r="AG54" s="307">
        <f t="shared" si="16"/>
        <v>0</v>
      </c>
      <c r="AH54" s="283">
        <f t="shared" si="17"/>
        <v>0</v>
      </c>
      <c r="AI54" t="str">
        <f t="shared" si="18"/>
        <v/>
      </c>
      <c r="AK54" s="280" t="s">
        <v>373</v>
      </c>
      <c r="AL54" s="280">
        <v>19.700000000000003</v>
      </c>
      <c r="AO54" s="328">
        <v>12</v>
      </c>
      <c r="AP54" s="329">
        <f t="shared" si="44"/>
        <v>0.11</v>
      </c>
      <c r="AQ54" s="330" t="str">
        <f t="shared" si="0"/>
        <v>120.11</v>
      </c>
      <c r="AR54" s="331">
        <v>11.56</v>
      </c>
      <c r="AV54" s="36" t="str">
        <f t="shared" si="19"/>
        <v/>
      </c>
      <c r="AW54" s="37" t="e">
        <f t="shared" si="20"/>
        <v>#NUM!</v>
      </c>
      <c r="AX54" s="236" t="e">
        <f t="shared" si="21"/>
        <v>#NUM!</v>
      </c>
      <c r="AY54" s="237" t="e">
        <f t="shared" si="30"/>
        <v>#NUM!</v>
      </c>
      <c r="AZ54" s="238" t="e">
        <f t="shared" si="22"/>
        <v>#NUM!</v>
      </c>
      <c r="BA54" s="237" t="e">
        <f t="shared" si="23"/>
        <v>#NUM!</v>
      </c>
      <c r="BB54" s="238" t="e">
        <f t="shared" si="24"/>
        <v>#NUM!</v>
      </c>
      <c r="BC54" s="239">
        <f>IFERROR(IF(OR($E$11=Resumen!$N$6,$E$8=Resumen!$N$6),Amortización!AY54*0.16,0),"")</f>
        <v>0</v>
      </c>
      <c r="BD54" s="237">
        <f t="shared" si="25"/>
        <v>0</v>
      </c>
      <c r="BE54" s="240">
        <f t="shared" si="2"/>
        <v>0</v>
      </c>
      <c r="BF54" s="43" t="str">
        <f t="shared" si="3"/>
        <v/>
      </c>
      <c r="BH54" s="243" t="e">
        <f t="shared" si="42"/>
        <v>#NUM!</v>
      </c>
      <c r="BI54" s="187"/>
      <c r="BJ54" s="187" t="str">
        <f t="shared" si="27"/>
        <v/>
      </c>
      <c r="BK54" s="42" t="e">
        <f t="shared" si="28"/>
        <v>#NUM!</v>
      </c>
      <c r="BL54" s="45"/>
      <c r="BM54" s="242"/>
    </row>
    <row r="55" spans="3:65" ht="15.5" thickTop="1" thickBot="1" x14ac:dyDescent="0.4">
      <c r="C55" s="36" t="str">
        <f t="shared" si="45"/>
        <v/>
      </c>
      <c r="D55" s="37" t="e">
        <f t="shared" si="29"/>
        <v>#NUM!</v>
      </c>
      <c r="E55" s="236">
        <f t="shared" si="31"/>
        <v>0</v>
      </c>
      <c r="F55" s="237" t="e">
        <f t="shared" si="32"/>
        <v>#NUM!</v>
      </c>
      <c r="G55" s="238" t="e">
        <f>IF(D55="","",L54*Resumen!$L$86/1000)</f>
        <v>#NUM!</v>
      </c>
      <c r="H55" s="237" t="e">
        <f t="shared" si="5"/>
        <v>#NUM!</v>
      </c>
      <c r="I55" s="238" t="e">
        <f>IF($E$16=$V$1,0,IF(D55="","",Amortización!$AE$14))</f>
        <v>#NUM!</v>
      </c>
      <c r="J55" s="239">
        <f>IFERROR(IF(OR($E$11=Resumen!$N$6,$E$8=Resumen!$N$6),Amortización!F55*0.16,0),"")</f>
        <v>0</v>
      </c>
      <c r="K55" s="237">
        <f t="shared" si="6"/>
        <v>0</v>
      </c>
      <c r="L55" s="240">
        <f t="shared" si="7"/>
        <v>0</v>
      </c>
      <c r="M55" s="43" t="str">
        <f t="shared" si="1"/>
        <v/>
      </c>
      <c r="N55" s="44" t="str">
        <f t="shared" si="8"/>
        <v/>
      </c>
      <c r="O55" s="44" t="str">
        <f t="shared" si="9"/>
        <v/>
      </c>
      <c r="P55" s="44" t="str">
        <f t="shared" si="10"/>
        <v/>
      </c>
      <c r="Q55" s="242"/>
      <c r="R55" s="243" t="e">
        <f t="shared" si="41"/>
        <v>#NUM!</v>
      </c>
      <c r="S55" s="187"/>
      <c r="T55" s="187" t="str">
        <f t="shared" si="46"/>
        <v/>
      </c>
      <c r="U55" s="42" t="e">
        <f t="shared" si="13"/>
        <v>#NUM!</v>
      </c>
      <c r="V55" s="45">
        <f t="shared" si="14"/>
        <v>0</v>
      </c>
      <c r="W55" s="187"/>
      <c r="X55" s="272" t="b">
        <f t="shared" si="39"/>
        <v>0</v>
      </c>
      <c r="Y55" s="187">
        <v>0</v>
      </c>
      <c r="Z55" s="187"/>
      <c r="AB55" s="357" t="e">
        <f t="shared" si="15"/>
        <v>#N/A</v>
      </c>
      <c r="AG55" s="307">
        <f t="shared" si="16"/>
        <v>0</v>
      </c>
      <c r="AH55" s="283">
        <f t="shared" si="17"/>
        <v>0</v>
      </c>
      <c r="AI55" t="str">
        <f t="shared" si="18"/>
        <v/>
      </c>
      <c r="AK55" s="280" t="s">
        <v>373</v>
      </c>
      <c r="AL55" s="280">
        <v>19.700000000000003</v>
      </c>
      <c r="AO55" s="328">
        <v>13</v>
      </c>
      <c r="AP55" s="329">
        <f>AP56</f>
        <v>0.11</v>
      </c>
      <c r="AQ55" s="330" t="str">
        <f t="shared" si="0"/>
        <v>130.11</v>
      </c>
      <c r="AR55" s="331">
        <v>11.07</v>
      </c>
      <c r="AV55" s="36" t="str">
        <f t="shared" si="19"/>
        <v/>
      </c>
      <c r="AW55" s="37" t="e">
        <f t="shared" si="20"/>
        <v>#NUM!</v>
      </c>
      <c r="AX55" s="236" t="e">
        <f t="shared" si="21"/>
        <v>#NUM!</v>
      </c>
      <c r="AY55" s="237" t="e">
        <f t="shared" si="30"/>
        <v>#NUM!</v>
      </c>
      <c r="AZ55" s="238" t="e">
        <f t="shared" si="22"/>
        <v>#NUM!</v>
      </c>
      <c r="BA55" s="237" t="e">
        <f t="shared" si="23"/>
        <v>#NUM!</v>
      </c>
      <c r="BB55" s="238" t="e">
        <f t="shared" si="24"/>
        <v>#NUM!</v>
      </c>
      <c r="BC55" s="239">
        <f>IFERROR(IF(OR($E$11=Resumen!$N$6,$E$8=Resumen!$N$6),Amortización!AY55*0.16,0),"")</f>
        <v>0</v>
      </c>
      <c r="BD55" s="237">
        <f t="shared" si="25"/>
        <v>0</v>
      </c>
      <c r="BE55" s="240">
        <f t="shared" si="2"/>
        <v>0</v>
      </c>
      <c r="BF55" s="43" t="str">
        <f t="shared" si="3"/>
        <v/>
      </c>
      <c r="BH55" s="243" t="e">
        <f t="shared" si="42"/>
        <v>#NUM!</v>
      </c>
      <c r="BI55" s="187"/>
      <c r="BJ55" s="187" t="str">
        <f t="shared" si="27"/>
        <v/>
      </c>
      <c r="BK55" s="42" t="e">
        <f t="shared" si="28"/>
        <v>#NUM!</v>
      </c>
      <c r="BL55" s="45"/>
      <c r="BM55" s="242"/>
    </row>
    <row r="56" spans="3:65" ht="15.5" thickTop="1" thickBot="1" x14ac:dyDescent="0.4">
      <c r="C56" s="36" t="str">
        <f t="shared" si="45"/>
        <v/>
      </c>
      <c r="D56" s="37" t="e">
        <f t="shared" si="29"/>
        <v>#NUM!</v>
      </c>
      <c r="E56" s="236">
        <f t="shared" si="31"/>
        <v>0</v>
      </c>
      <c r="F56" s="237" t="e">
        <f t="shared" ref="F56:F89" si="47">IF(D56="","",D56*(R56/12))</f>
        <v>#NUM!</v>
      </c>
      <c r="G56" s="238" t="e">
        <f>IF(D56="","",L55*Resumen!$L$86/1000)</f>
        <v>#NUM!</v>
      </c>
      <c r="H56" s="237" t="e">
        <f t="shared" si="5"/>
        <v>#NUM!</v>
      </c>
      <c r="I56" s="238" t="e">
        <f>IF($E$16=$V$1,0,IF(D56="","",Amortización!$AE$14))</f>
        <v>#NUM!</v>
      </c>
      <c r="J56" s="239">
        <f>IFERROR(IF(OR($E$11=Resumen!$N$6,$E$8=Resumen!$N$6),Amortización!F56*0.16,0),"")</f>
        <v>0</v>
      </c>
      <c r="K56" s="237">
        <f t="shared" si="6"/>
        <v>0</v>
      </c>
      <c r="L56" s="240">
        <f t="shared" si="7"/>
        <v>0</v>
      </c>
      <c r="M56" s="43" t="str">
        <f t="shared" si="1"/>
        <v/>
      </c>
      <c r="N56" s="44" t="str">
        <f t="shared" si="8"/>
        <v/>
      </c>
      <c r="O56" s="44" t="str">
        <f t="shared" si="9"/>
        <v/>
      </c>
      <c r="P56" s="44" t="str">
        <f t="shared" si="10"/>
        <v/>
      </c>
      <c r="Q56" s="242" t="str">
        <f>IF(OR(L55=0,L55=""),"",IF(E56&gt;=D56,0,$E$17*10%))</f>
        <v/>
      </c>
      <c r="R56" s="243" t="e">
        <f t="shared" si="41"/>
        <v>#NUM!</v>
      </c>
      <c r="S56" s="187"/>
      <c r="T56" s="187" t="str">
        <f t="shared" si="46"/>
        <v/>
      </c>
      <c r="U56" s="42" t="e">
        <f t="shared" si="13"/>
        <v>#NUM!</v>
      </c>
      <c r="V56" s="45">
        <f t="shared" si="14"/>
        <v>0</v>
      </c>
      <c r="W56" s="187"/>
      <c r="X56" s="272" t="b">
        <f t="shared" si="39"/>
        <v>0</v>
      </c>
      <c r="Y56" s="187">
        <v>0</v>
      </c>
      <c r="Z56" s="187"/>
      <c r="AB56" s="357" t="e">
        <f t="shared" si="15"/>
        <v>#N/A</v>
      </c>
      <c r="AG56" s="307">
        <f t="shared" si="16"/>
        <v>0</v>
      </c>
      <c r="AH56" s="283">
        <f t="shared" si="17"/>
        <v>0</v>
      </c>
      <c r="AI56" t="str">
        <f t="shared" si="18"/>
        <v/>
      </c>
      <c r="AK56" s="280" t="s">
        <v>374</v>
      </c>
      <c r="AL56" s="280">
        <v>11.53</v>
      </c>
      <c r="AO56" s="328">
        <v>14</v>
      </c>
      <c r="AP56" s="332">
        <f>AP57-0.25%</f>
        <v>0.11</v>
      </c>
      <c r="AQ56" s="330" t="str">
        <f t="shared" si="0"/>
        <v>140.11</v>
      </c>
      <c r="AR56" s="331">
        <v>10.66</v>
      </c>
      <c r="AV56" s="36" t="str">
        <f t="shared" si="19"/>
        <v/>
      </c>
      <c r="AW56" s="37" t="e">
        <f t="shared" si="20"/>
        <v>#NUM!</v>
      </c>
      <c r="AX56" s="236" t="e">
        <f t="shared" si="21"/>
        <v>#NUM!</v>
      </c>
      <c r="AY56" s="237" t="e">
        <f t="shared" si="30"/>
        <v>#NUM!</v>
      </c>
      <c r="AZ56" s="238" t="e">
        <f t="shared" si="22"/>
        <v>#NUM!</v>
      </c>
      <c r="BA56" s="237" t="e">
        <f t="shared" si="23"/>
        <v>#NUM!</v>
      </c>
      <c r="BB56" s="238" t="e">
        <f t="shared" si="24"/>
        <v>#NUM!</v>
      </c>
      <c r="BC56" s="239">
        <f>IFERROR(IF(OR($E$11=Resumen!$N$6,$E$8=Resumen!$N$6),Amortización!AY56*0.16,0),"")</f>
        <v>0</v>
      </c>
      <c r="BD56" s="237">
        <f t="shared" si="25"/>
        <v>0</v>
      </c>
      <c r="BE56" s="240">
        <f t="shared" si="2"/>
        <v>0</v>
      </c>
      <c r="BF56" s="43" t="str">
        <f t="shared" si="3"/>
        <v/>
      </c>
      <c r="BH56" s="243" t="e">
        <f t="shared" si="42"/>
        <v>#NUM!</v>
      </c>
      <c r="BI56" s="187"/>
      <c r="BJ56" s="187" t="str">
        <f t="shared" si="27"/>
        <v/>
      </c>
      <c r="BK56" s="42" t="e">
        <f t="shared" si="28"/>
        <v>#NUM!</v>
      </c>
      <c r="BL56" s="45"/>
      <c r="BM56" s="242"/>
    </row>
    <row r="57" spans="3:65" ht="15.5" thickTop="1" thickBot="1" x14ac:dyDescent="0.4">
      <c r="C57" s="36" t="str">
        <f t="shared" si="45"/>
        <v/>
      </c>
      <c r="D57" s="37" t="e">
        <f t="shared" si="29"/>
        <v>#NUM!</v>
      </c>
      <c r="E57" s="236">
        <f t="shared" si="31"/>
        <v>0</v>
      </c>
      <c r="F57" s="237" t="e">
        <f t="shared" si="47"/>
        <v>#NUM!</v>
      </c>
      <c r="G57" s="238" t="e">
        <f>IF(D57="","",L56*Resumen!$L$86/1000)</f>
        <v>#NUM!</v>
      </c>
      <c r="H57" s="237" t="e">
        <f t="shared" si="5"/>
        <v>#NUM!</v>
      </c>
      <c r="I57" s="238" t="e">
        <f>IF($E$16=$V$1,0,IF(D57="","",Amortización!$AE$14))</f>
        <v>#NUM!</v>
      </c>
      <c r="J57" s="239">
        <f>IFERROR(IF(OR($E$11=Resumen!$N$6,$E$8=Resumen!$N$6),Amortización!F57*0.16,0),"")</f>
        <v>0</v>
      </c>
      <c r="K57" s="237">
        <f t="shared" si="6"/>
        <v>0</v>
      </c>
      <c r="L57" s="240">
        <f t="shared" si="7"/>
        <v>0</v>
      </c>
      <c r="M57" s="43" t="str">
        <f t="shared" si="1"/>
        <v/>
      </c>
      <c r="N57" s="44" t="str">
        <f t="shared" si="8"/>
        <v/>
      </c>
      <c r="O57" s="44" t="str">
        <f t="shared" si="9"/>
        <v/>
      </c>
      <c r="P57" s="44" t="str">
        <f t="shared" si="10"/>
        <v/>
      </c>
      <c r="Q57" s="242"/>
      <c r="R57" s="243" t="e">
        <f t="shared" si="41"/>
        <v>#NUM!</v>
      </c>
      <c r="S57" s="187"/>
      <c r="T57" s="187" t="str">
        <f t="shared" si="46"/>
        <v/>
      </c>
      <c r="U57" s="42" t="e">
        <f t="shared" si="13"/>
        <v>#NUM!</v>
      </c>
      <c r="V57" s="45">
        <f t="shared" si="14"/>
        <v>0</v>
      </c>
      <c r="W57" s="187"/>
      <c r="X57" s="272" t="b">
        <f t="shared" si="39"/>
        <v>0</v>
      </c>
      <c r="Y57" s="187">
        <v>0</v>
      </c>
      <c r="Z57" s="187"/>
      <c r="AB57" s="357" t="e">
        <f t="shared" si="15"/>
        <v>#N/A</v>
      </c>
      <c r="AG57" s="307">
        <f t="shared" si="16"/>
        <v>0</v>
      </c>
      <c r="AH57" s="283">
        <f t="shared" si="17"/>
        <v>0</v>
      </c>
      <c r="AI57" t="str">
        <f t="shared" si="18"/>
        <v/>
      </c>
      <c r="AK57" s="280" t="s">
        <v>374</v>
      </c>
      <c r="AL57" s="280">
        <v>11.53</v>
      </c>
      <c r="AO57" s="328">
        <v>15</v>
      </c>
      <c r="AP57" s="329">
        <f t="shared" ref="AP57:AP60" si="48">AP58</f>
        <v>0.1125</v>
      </c>
      <c r="AQ57" s="330" t="str">
        <f t="shared" si="0"/>
        <v>150.1125</v>
      </c>
      <c r="AR57" s="331">
        <v>10.46</v>
      </c>
      <c r="AV57" s="36" t="str">
        <f t="shared" si="19"/>
        <v/>
      </c>
      <c r="AW57" s="37" t="e">
        <f t="shared" si="20"/>
        <v>#NUM!</v>
      </c>
      <c r="AX57" s="236" t="e">
        <f t="shared" si="21"/>
        <v>#NUM!</v>
      </c>
      <c r="AY57" s="237" t="e">
        <f t="shared" si="30"/>
        <v>#NUM!</v>
      </c>
      <c r="AZ57" s="238" t="e">
        <f t="shared" si="22"/>
        <v>#NUM!</v>
      </c>
      <c r="BA57" s="237" t="e">
        <f t="shared" si="23"/>
        <v>#NUM!</v>
      </c>
      <c r="BB57" s="238" t="e">
        <f t="shared" si="24"/>
        <v>#NUM!</v>
      </c>
      <c r="BC57" s="239">
        <f>IFERROR(IF(OR($E$11=Resumen!$N$6,$E$8=Resumen!$N$6),Amortización!AY57*0.16,0),"")</f>
        <v>0</v>
      </c>
      <c r="BD57" s="237">
        <f t="shared" si="25"/>
        <v>0</v>
      </c>
      <c r="BE57" s="240">
        <f t="shared" si="2"/>
        <v>0</v>
      </c>
      <c r="BF57" s="43" t="str">
        <f t="shared" si="3"/>
        <v/>
      </c>
      <c r="BH57" s="243" t="e">
        <f t="shared" si="42"/>
        <v>#NUM!</v>
      </c>
      <c r="BI57" s="187"/>
      <c r="BJ57" s="187" t="str">
        <f t="shared" si="27"/>
        <v/>
      </c>
      <c r="BK57" s="42" t="e">
        <f t="shared" si="28"/>
        <v>#NUM!</v>
      </c>
      <c r="BL57" s="45"/>
      <c r="BM57" s="242"/>
    </row>
    <row r="58" spans="3:65" ht="15.5" thickTop="1" thickBot="1" x14ac:dyDescent="0.4">
      <c r="C58" s="36" t="str">
        <f t="shared" si="45"/>
        <v/>
      </c>
      <c r="D58" s="37" t="e">
        <f t="shared" si="29"/>
        <v>#NUM!</v>
      </c>
      <c r="E58" s="236">
        <f t="shared" si="31"/>
        <v>0</v>
      </c>
      <c r="F58" s="237" t="e">
        <f t="shared" si="47"/>
        <v>#NUM!</v>
      </c>
      <c r="G58" s="238" t="e">
        <f>IF(D58="","",L57*Resumen!$L$86/1000)</f>
        <v>#NUM!</v>
      </c>
      <c r="H58" s="237" t="e">
        <f t="shared" si="5"/>
        <v>#NUM!</v>
      </c>
      <c r="I58" s="238" t="e">
        <f>IF($E$16=$V$1,0,IF(D58="","",Amortización!$AE$14))</f>
        <v>#NUM!</v>
      </c>
      <c r="J58" s="239">
        <f>IFERROR(IF(OR($E$11=Resumen!$N$6,$E$8=Resumen!$N$6),Amortización!F58*0.16,0),"")</f>
        <v>0</v>
      </c>
      <c r="K58" s="237">
        <f t="shared" si="6"/>
        <v>0</v>
      </c>
      <c r="L58" s="240">
        <f t="shared" si="7"/>
        <v>0</v>
      </c>
      <c r="M58" s="43" t="str">
        <f t="shared" si="1"/>
        <v/>
      </c>
      <c r="N58" s="44" t="str">
        <f t="shared" si="8"/>
        <v/>
      </c>
      <c r="O58" s="44" t="str">
        <f t="shared" si="9"/>
        <v/>
      </c>
      <c r="P58" s="44" t="str">
        <f t="shared" si="10"/>
        <v/>
      </c>
      <c r="Q58" s="242" t="str">
        <f>IF(OR(L57=0,L57=""),"",IF(E58&gt;=D58,0,$E$17*10%))</f>
        <v/>
      </c>
      <c r="R58" s="243" t="e">
        <f t="shared" si="41"/>
        <v>#NUM!</v>
      </c>
      <c r="S58" s="187"/>
      <c r="T58" s="187" t="str">
        <f t="shared" si="46"/>
        <v/>
      </c>
      <c r="U58" s="42" t="e">
        <f t="shared" si="13"/>
        <v>#NUM!</v>
      </c>
      <c r="V58" s="45">
        <f t="shared" si="14"/>
        <v>0</v>
      </c>
      <c r="W58" s="187"/>
      <c r="X58" s="272" t="b">
        <f t="shared" si="39"/>
        <v>0</v>
      </c>
      <c r="Y58" s="187">
        <v>0</v>
      </c>
      <c r="Z58" s="187"/>
      <c r="AB58" s="357" t="e">
        <f t="shared" si="15"/>
        <v>#N/A</v>
      </c>
      <c r="AG58" s="307">
        <f t="shared" si="16"/>
        <v>0</v>
      </c>
      <c r="AH58" s="283">
        <f t="shared" si="17"/>
        <v>0</v>
      </c>
      <c r="AI58" t="str">
        <f t="shared" si="18"/>
        <v/>
      </c>
      <c r="AK58" s="280" t="s">
        <v>374</v>
      </c>
      <c r="AL58" s="280">
        <v>11.53</v>
      </c>
      <c r="AO58" s="328">
        <v>16</v>
      </c>
      <c r="AP58" s="329">
        <f t="shared" si="48"/>
        <v>0.1125</v>
      </c>
      <c r="AQ58" s="330" t="str">
        <f t="shared" si="0"/>
        <v>160.1125</v>
      </c>
      <c r="AR58" s="331">
        <v>10.17</v>
      </c>
      <c r="AV58" s="36" t="str">
        <f t="shared" si="19"/>
        <v/>
      </c>
      <c r="AW58" s="37" t="e">
        <f t="shared" si="20"/>
        <v>#NUM!</v>
      </c>
      <c r="AX58" s="236" t="e">
        <f t="shared" si="21"/>
        <v>#NUM!</v>
      </c>
      <c r="AY58" s="237" t="e">
        <f t="shared" si="30"/>
        <v>#NUM!</v>
      </c>
      <c r="AZ58" s="238" t="e">
        <f t="shared" si="22"/>
        <v>#NUM!</v>
      </c>
      <c r="BA58" s="237" t="e">
        <f t="shared" si="23"/>
        <v>#NUM!</v>
      </c>
      <c r="BB58" s="238" t="e">
        <f t="shared" si="24"/>
        <v>#NUM!</v>
      </c>
      <c r="BC58" s="239">
        <f>IFERROR(IF(OR($E$11=Resumen!$N$6,$E$8=Resumen!$N$6),Amortización!AY58*0.16,0),"")</f>
        <v>0</v>
      </c>
      <c r="BD58" s="237">
        <f t="shared" si="25"/>
        <v>0</v>
      </c>
      <c r="BE58" s="240">
        <f t="shared" si="2"/>
        <v>0</v>
      </c>
      <c r="BF58" s="43" t="str">
        <f t="shared" si="3"/>
        <v/>
      </c>
      <c r="BH58" s="243" t="e">
        <f t="shared" si="42"/>
        <v>#NUM!</v>
      </c>
      <c r="BI58" s="187"/>
      <c r="BJ58" s="187" t="str">
        <f t="shared" si="27"/>
        <v/>
      </c>
      <c r="BK58" s="42" t="e">
        <f t="shared" si="28"/>
        <v>#NUM!</v>
      </c>
      <c r="BL58" s="45"/>
      <c r="BM58" s="242"/>
    </row>
    <row r="59" spans="3:65" ht="15.5" thickTop="1" thickBot="1" x14ac:dyDescent="0.4">
      <c r="C59" s="36" t="str">
        <f t="shared" si="45"/>
        <v/>
      </c>
      <c r="D59" s="37" t="e">
        <f t="shared" si="29"/>
        <v>#NUM!</v>
      </c>
      <c r="E59" s="236">
        <f t="shared" si="31"/>
        <v>0</v>
      </c>
      <c r="F59" s="237" t="e">
        <f t="shared" si="47"/>
        <v>#NUM!</v>
      </c>
      <c r="G59" s="238" t="e">
        <f>IF(D59="","",L58*Resumen!$L$86/1000)</f>
        <v>#NUM!</v>
      </c>
      <c r="H59" s="237" t="e">
        <f t="shared" si="5"/>
        <v>#NUM!</v>
      </c>
      <c r="I59" s="238" t="e">
        <f>IF($E$16=$V$1,0,IF(D59="","",Amortización!$AE$14))</f>
        <v>#NUM!</v>
      </c>
      <c r="J59" s="239">
        <f>IFERROR(IF(OR($E$11=Resumen!$N$6,$E$8=Resumen!$N$6),Amortización!F59*0.16,0),"")</f>
        <v>0</v>
      </c>
      <c r="K59" s="237">
        <f t="shared" si="6"/>
        <v>0</v>
      </c>
      <c r="L59" s="240">
        <f t="shared" si="7"/>
        <v>0</v>
      </c>
      <c r="M59" s="43" t="str">
        <f t="shared" si="1"/>
        <v/>
      </c>
      <c r="N59" s="44" t="str">
        <f t="shared" si="8"/>
        <v/>
      </c>
      <c r="O59" s="44" t="str">
        <f t="shared" si="9"/>
        <v/>
      </c>
      <c r="P59" s="44" t="str">
        <f t="shared" si="10"/>
        <v/>
      </c>
      <c r="Q59" s="242"/>
      <c r="R59" s="243" t="e">
        <f t="shared" si="41"/>
        <v>#NUM!</v>
      </c>
      <c r="S59" s="187"/>
      <c r="T59" s="187" t="str">
        <f t="shared" si="46"/>
        <v/>
      </c>
      <c r="U59" s="42" t="e">
        <f t="shared" si="13"/>
        <v>#NUM!</v>
      </c>
      <c r="V59" s="45">
        <f t="shared" si="14"/>
        <v>0</v>
      </c>
      <c r="W59" s="187"/>
      <c r="X59" s="272" t="b">
        <f t="shared" si="39"/>
        <v>0</v>
      </c>
      <c r="Y59" s="187">
        <v>0</v>
      </c>
      <c r="Z59" s="187"/>
      <c r="AB59" s="357" t="e">
        <f t="shared" si="15"/>
        <v>#N/A</v>
      </c>
      <c r="AG59" s="307">
        <f t="shared" si="16"/>
        <v>0</v>
      </c>
      <c r="AH59" s="283">
        <f t="shared" si="17"/>
        <v>0</v>
      </c>
      <c r="AI59" t="str">
        <f t="shared" si="18"/>
        <v/>
      </c>
      <c r="AK59" s="280" t="s">
        <v>375</v>
      </c>
      <c r="AL59" s="280">
        <v>9</v>
      </c>
      <c r="AO59" s="328">
        <v>17</v>
      </c>
      <c r="AP59" s="329">
        <f t="shared" si="48"/>
        <v>0.1125</v>
      </c>
      <c r="AQ59" s="330" t="str">
        <f t="shared" si="0"/>
        <v>170.1125</v>
      </c>
      <c r="AR59" s="331">
        <v>9.91</v>
      </c>
      <c r="AV59" s="36" t="str">
        <f t="shared" si="19"/>
        <v/>
      </c>
      <c r="AW59" s="37" t="e">
        <f t="shared" si="20"/>
        <v>#NUM!</v>
      </c>
      <c r="AX59" s="236" t="e">
        <f t="shared" si="21"/>
        <v>#NUM!</v>
      </c>
      <c r="AY59" s="237" t="e">
        <f t="shared" si="30"/>
        <v>#NUM!</v>
      </c>
      <c r="AZ59" s="238" t="e">
        <f t="shared" si="22"/>
        <v>#NUM!</v>
      </c>
      <c r="BA59" s="237" t="e">
        <f t="shared" si="23"/>
        <v>#NUM!</v>
      </c>
      <c r="BB59" s="238" t="e">
        <f t="shared" si="24"/>
        <v>#NUM!</v>
      </c>
      <c r="BC59" s="239">
        <f>IFERROR(IF(OR($E$11=Resumen!$N$6,$E$8=Resumen!$N$6),Amortización!AY59*0.16,0),"")</f>
        <v>0</v>
      </c>
      <c r="BD59" s="237">
        <f t="shared" si="25"/>
        <v>0</v>
      </c>
      <c r="BE59" s="240">
        <f t="shared" si="2"/>
        <v>0</v>
      </c>
      <c r="BF59" s="43" t="str">
        <f t="shared" si="3"/>
        <v/>
      </c>
      <c r="BH59" s="243" t="e">
        <f t="shared" si="42"/>
        <v>#NUM!</v>
      </c>
      <c r="BI59" s="187"/>
      <c r="BJ59" s="187" t="str">
        <f t="shared" si="27"/>
        <v/>
      </c>
      <c r="BK59" s="42" t="e">
        <f t="shared" si="28"/>
        <v>#NUM!</v>
      </c>
      <c r="BL59" s="45"/>
      <c r="BM59" s="242"/>
    </row>
    <row r="60" spans="3:65" ht="15.5" thickTop="1" thickBot="1" x14ac:dyDescent="0.4">
      <c r="C60" s="36" t="str">
        <f t="shared" si="45"/>
        <v/>
      </c>
      <c r="D60" s="37" t="e">
        <f t="shared" si="29"/>
        <v>#NUM!</v>
      </c>
      <c r="E60" s="236">
        <f t="shared" si="31"/>
        <v>0</v>
      </c>
      <c r="F60" s="237" t="e">
        <f t="shared" si="47"/>
        <v>#NUM!</v>
      </c>
      <c r="G60" s="238" t="e">
        <f>IF(D60="","",L59*Resumen!$L$86/1000)</f>
        <v>#NUM!</v>
      </c>
      <c r="H60" s="237" t="e">
        <f t="shared" si="5"/>
        <v>#NUM!</v>
      </c>
      <c r="I60" s="238" t="e">
        <f>IF($E$16=$V$1,0,IF(D60="","",Amortización!$AE$14))</f>
        <v>#NUM!</v>
      </c>
      <c r="J60" s="239">
        <f>IFERROR(IF(OR($E$11=Resumen!$N$6,$E$8=Resumen!$N$6),Amortización!F60*0.16,0),"")</f>
        <v>0</v>
      </c>
      <c r="K60" s="237">
        <f t="shared" si="6"/>
        <v>0</v>
      </c>
      <c r="L60" s="240">
        <f t="shared" si="7"/>
        <v>0</v>
      </c>
      <c r="M60" s="43" t="str">
        <f t="shared" si="1"/>
        <v/>
      </c>
      <c r="N60" s="44" t="str">
        <f t="shared" si="8"/>
        <v/>
      </c>
      <c r="O60" s="44" t="str">
        <f t="shared" si="9"/>
        <v/>
      </c>
      <c r="P60" s="44" t="str">
        <f t="shared" si="10"/>
        <v/>
      </c>
      <c r="Q60" s="242" t="str">
        <f>IF(OR(L59=0,L59=""),"",IF(E60&gt;=D60,0,$E$17*10%))</f>
        <v/>
      </c>
      <c r="R60" s="243" t="e">
        <f t="shared" si="41"/>
        <v>#NUM!</v>
      </c>
      <c r="S60" s="187"/>
      <c r="T60" s="187" t="str">
        <f t="shared" si="46"/>
        <v/>
      </c>
      <c r="U60" s="42" t="e">
        <f t="shared" si="13"/>
        <v>#NUM!</v>
      </c>
      <c r="V60" s="45">
        <f t="shared" si="14"/>
        <v>0</v>
      </c>
      <c r="W60" s="187"/>
      <c r="X60" s="272" t="b">
        <f t="shared" si="39"/>
        <v>0</v>
      </c>
      <c r="Y60" s="187">
        <v>0</v>
      </c>
      <c r="Z60" s="187"/>
      <c r="AB60" s="357" t="e">
        <f t="shared" si="15"/>
        <v>#N/A</v>
      </c>
      <c r="AG60" s="307">
        <f t="shared" si="16"/>
        <v>0</v>
      </c>
      <c r="AH60" s="283">
        <f t="shared" si="17"/>
        <v>0</v>
      </c>
      <c r="AI60" t="str">
        <f t="shared" si="18"/>
        <v/>
      </c>
      <c r="AK60" s="280" t="s">
        <v>375</v>
      </c>
      <c r="AL60" s="280">
        <v>9</v>
      </c>
      <c r="AO60" s="328">
        <v>18</v>
      </c>
      <c r="AP60" s="329">
        <f t="shared" si="48"/>
        <v>0.1125</v>
      </c>
      <c r="AQ60" s="330" t="str">
        <f t="shared" si="0"/>
        <v>180.1125</v>
      </c>
      <c r="AR60" s="331">
        <v>9.69</v>
      </c>
      <c r="AV60" s="36" t="str">
        <f t="shared" si="19"/>
        <v/>
      </c>
      <c r="AW60" s="37" t="e">
        <f t="shared" si="20"/>
        <v>#NUM!</v>
      </c>
      <c r="AX60" s="236" t="e">
        <f t="shared" si="21"/>
        <v>#NUM!</v>
      </c>
      <c r="AY60" s="237" t="e">
        <f t="shared" si="30"/>
        <v>#NUM!</v>
      </c>
      <c r="AZ60" s="238" t="e">
        <f t="shared" si="22"/>
        <v>#NUM!</v>
      </c>
      <c r="BA60" s="237" t="e">
        <f t="shared" si="23"/>
        <v>#NUM!</v>
      </c>
      <c r="BB60" s="238" t="e">
        <f t="shared" si="24"/>
        <v>#NUM!</v>
      </c>
      <c r="BC60" s="239">
        <f>IFERROR(IF(OR($E$11=Resumen!$N$6,$E$8=Resumen!$N$6),Amortización!AY60*0.16,0),"")</f>
        <v>0</v>
      </c>
      <c r="BD60" s="237">
        <f t="shared" si="25"/>
        <v>0</v>
      </c>
      <c r="BE60" s="240">
        <f t="shared" si="2"/>
        <v>0</v>
      </c>
      <c r="BF60" s="43" t="str">
        <f t="shared" si="3"/>
        <v/>
      </c>
      <c r="BH60" s="243" t="e">
        <f t="shared" si="42"/>
        <v>#NUM!</v>
      </c>
      <c r="BI60" s="187"/>
      <c r="BJ60" s="187" t="str">
        <f t="shared" si="27"/>
        <v/>
      </c>
      <c r="BK60" s="42" t="e">
        <f t="shared" si="28"/>
        <v>#NUM!</v>
      </c>
      <c r="BL60" s="45"/>
      <c r="BM60" s="242"/>
    </row>
    <row r="61" spans="3:65" ht="15.5" thickTop="1" thickBot="1" x14ac:dyDescent="0.4">
      <c r="C61" s="36" t="str">
        <f t="shared" si="45"/>
        <v/>
      </c>
      <c r="D61" s="37" t="e">
        <f t="shared" si="29"/>
        <v>#NUM!</v>
      </c>
      <c r="E61" s="236">
        <f t="shared" si="31"/>
        <v>0</v>
      </c>
      <c r="F61" s="237" t="e">
        <f t="shared" si="47"/>
        <v>#NUM!</v>
      </c>
      <c r="G61" s="238" t="e">
        <f>IF(D61="","",L60*Resumen!$L$86/1000)</f>
        <v>#NUM!</v>
      </c>
      <c r="H61" s="237" t="e">
        <f t="shared" si="5"/>
        <v>#NUM!</v>
      </c>
      <c r="I61" s="238" t="e">
        <f>IF($E$16=$V$1,0,IF(D61="","",Amortización!$AE$14))</f>
        <v>#NUM!</v>
      </c>
      <c r="J61" s="239">
        <f>IFERROR(IF(OR($E$11=Resumen!$N$6,$E$8=Resumen!$N$6),Amortización!F61*0.16,0),"")</f>
        <v>0</v>
      </c>
      <c r="K61" s="237">
        <f t="shared" si="6"/>
        <v>0</v>
      </c>
      <c r="L61" s="240">
        <f t="shared" si="7"/>
        <v>0</v>
      </c>
      <c r="M61" s="43" t="str">
        <f t="shared" si="1"/>
        <v/>
      </c>
      <c r="N61" s="44" t="str">
        <f t="shared" si="8"/>
        <v/>
      </c>
      <c r="O61" s="44" t="str">
        <f t="shared" si="9"/>
        <v/>
      </c>
      <c r="P61" s="44" t="str">
        <f t="shared" si="10"/>
        <v/>
      </c>
      <c r="Q61" s="242"/>
      <c r="R61" s="243" t="e">
        <f t="shared" si="41"/>
        <v>#NUM!</v>
      </c>
      <c r="S61" s="187"/>
      <c r="T61" s="187" t="str">
        <f t="shared" si="46"/>
        <v/>
      </c>
      <c r="U61" s="42" t="e">
        <f t="shared" si="13"/>
        <v>#NUM!</v>
      </c>
      <c r="V61" s="45">
        <f t="shared" si="14"/>
        <v>0</v>
      </c>
      <c r="W61" s="187"/>
      <c r="X61" s="272" t="b">
        <f t="shared" si="39"/>
        <v>0</v>
      </c>
      <c r="Y61" s="187">
        <v>0</v>
      </c>
      <c r="Z61" s="187"/>
      <c r="AB61" s="357" t="e">
        <f t="shared" si="15"/>
        <v>#N/A</v>
      </c>
      <c r="AG61" s="307">
        <f t="shared" si="16"/>
        <v>0</v>
      </c>
      <c r="AH61" s="283">
        <f t="shared" si="17"/>
        <v>0</v>
      </c>
      <c r="AI61" t="str">
        <f t="shared" si="18"/>
        <v/>
      </c>
      <c r="AK61" s="280" t="s">
        <v>375</v>
      </c>
      <c r="AL61" s="280">
        <v>9</v>
      </c>
      <c r="AO61" s="328">
        <v>19</v>
      </c>
      <c r="AP61" s="329">
        <f>AP62</f>
        <v>0.1125</v>
      </c>
      <c r="AQ61" s="330" t="str">
        <f t="shared" si="0"/>
        <v>190.1125</v>
      </c>
      <c r="AR61" s="331">
        <v>9.49</v>
      </c>
      <c r="AV61" s="36" t="str">
        <f t="shared" si="19"/>
        <v/>
      </c>
      <c r="AW61" s="37" t="e">
        <f t="shared" si="20"/>
        <v>#NUM!</v>
      </c>
      <c r="AX61" s="236" t="e">
        <f t="shared" si="21"/>
        <v>#NUM!</v>
      </c>
      <c r="AY61" s="237" t="e">
        <f t="shared" si="30"/>
        <v>#NUM!</v>
      </c>
      <c r="AZ61" s="238" t="e">
        <f t="shared" si="22"/>
        <v>#NUM!</v>
      </c>
      <c r="BA61" s="237" t="e">
        <f t="shared" si="23"/>
        <v>#NUM!</v>
      </c>
      <c r="BB61" s="238" t="e">
        <f t="shared" si="24"/>
        <v>#NUM!</v>
      </c>
      <c r="BC61" s="239">
        <f>IFERROR(IF(OR($E$11=Resumen!$N$6,$E$8=Resumen!$N$6),Amortización!AY61*0.16,0),"")</f>
        <v>0</v>
      </c>
      <c r="BD61" s="237">
        <f t="shared" si="25"/>
        <v>0</v>
      </c>
      <c r="BE61" s="240">
        <f t="shared" si="2"/>
        <v>0</v>
      </c>
      <c r="BF61" s="43" t="str">
        <f t="shared" si="3"/>
        <v/>
      </c>
      <c r="BH61" s="243" t="e">
        <f t="shared" si="42"/>
        <v>#NUM!</v>
      </c>
      <c r="BI61" s="187"/>
      <c r="BJ61" s="187" t="str">
        <f t="shared" si="27"/>
        <v/>
      </c>
      <c r="BK61" s="42" t="e">
        <f t="shared" si="28"/>
        <v>#NUM!</v>
      </c>
      <c r="BL61" s="45"/>
      <c r="BM61" s="242"/>
    </row>
    <row r="62" spans="3:65" ht="15.5" thickTop="1" thickBot="1" x14ac:dyDescent="0.4">
      <c r="C62" s="36" t="str">
        <f t="shared" si="45"/>
        <v/>
      </c>
      <c r="D62" s="37" t="e">
        <f t="shared" si="29"/>
        <v>#NUM!</v>
      </c>
      <c r="E62" s="236">
        <f t="shared" si="31"/>
        <v>0</v>
      </c>
      <c r="F62" s="237" t="e">
        <f t="shared" si="47"/>
        <v>#NUM!</v>
      </c>
      <c r="G62" s="238" t="e">
        <f>IF(D62="","",L61*Resumen!$L$86/1000)</f>
        <v>#NUM!</v>
      </c>
      <c r="H62" s="237" t="e">
        <f t="shared" si="5"/>
        <v>#NUM!</v>
      </c>
      <c r="I62" s="238" t="e">
        <f>IF($E$16=$V$1,0,IF(D62="","",Amortización!$AE$14))</f>
        <v>#NUM!</v>
      </c>
      <c r="J62" s="239">
        <f>IFERROR(IF(OR($E$11=Resumen!$N$6,$E$8=Resumen!$N$6),Amortización!F62*0.16,0),"")</f>
        <v>0</v>
      </c>
      <c r="K62" s="237">
        <f t="shared" si="6"/>
        <v>0</v>
      </c>
      <c r="L62" s="240">
        <f t="shared" si="7"/>
        <v>0</v>
      </c>
      <c r="M62" s="43">
        <v>0</v>
      </c>
      <c r="N62" s="44">
        <f t="shared" si="8"/>
        <v>0</v>
      </c>
      <c r="O62" s="44">
        <f t="shared" si="9"/>
        <v>0</v>
      </c>
      <c r="P62" s="44">
        <f t="shared" si="10"/>
        <v>0</v>
      </c>
      <c r="Q62" s="242" t="str">
        <f>IF(OR(L61=0,L61=""),"",IF(E62&gt;=D62,0,$E$17*10%))</f>
        <v/>
      </c>
      <c r="R62" s="243" t="e">
        <f t="shared" si="41"/>
        <v>#NUM!</v>
      </c>
      <c r="S62" s="187"/>
      <c r="T62" s="187" t="str">
        <f t="shared" si="46"/>
        <v/>
      </c>
      <c r="U62" s="42" t="e">
        <f t="shared" si="13"/>
        <v>#NUM!</v>
      </c>
      <c r="V62" s="45">
        <f t="shared" si="14"/>
        <v>0</v>
      </c>
      <c r="W62" s="187"/>
      <c r="X62" s="272" t="b">
        <f t="shared" si="39"/>
        <v>0</v>
      </c>
      <c r="Y62" s="187">
        <v>0</v>
      </c>
      <c r="Z62" s="187"/>
      <c r="AB62" s="357" t="e">
        <f t="shared" si="15"/>
        <v>#N/A</v>
      </c>
      <c r="AG62" s="307">
        <f t="shared" si="16"/>
        <v>0</v>
      </c>
      <c r="AH62" s="283">
        <f t="shared" si="17"/>
        <v>0</v>
      </c>
      <c r="AI62">
        <f t="shared" si="18"/>
        <v>0</v>
      </c>
      <c r="AK62" s="280" t="s">
        <v>376</v>
      </c>
      <c r="AL62" s="280">
        <v>7.75</v>
      </c>
      <c r="AO62" s="328">
        <v>20</v>
      </c>
      <c r="AP62" s="329">
        <v>0.1125</v>
      </c>
      <c r="AQ62" s="330" t="str">
        <f t="shared" si="0"/>
        <v>200.1125</v>
      </c>
      <c r="AR62" s="331">
        <v>9.43</v>
      </c>
      <c r="AV62" s="36" t="str">
        <f t="shared" si="19"/>
        <v/>
      </c>
      <c r="AW62" s="37" t="e">
        <f t="shared" si="20"/>
        <v>#NUM!</v>
      </c>
      <c r="AX62" s="236" t="e">
        <f t="shared" si="21"/>
        <v>#NUM!</v>
      </c>
      <c r="AY62" s="237" t="e">
        <f t="shared" si="30"/>
        <v>#NUM!</v>
      </c>
      <c r="AZ62" s="238" t="e">
        <f t="shared" si="22"/>
        <v>#NUM!</v>
      </c>
      <c r="BA62" s="237" t="e">
        <f t="shared" si="23"/>
        <v>#NUM!</v>
      </c>
      <c r="BB62" s="238" t="e">
        <f t="shared" si="24"/>
        <v>#NUM!</v>
      </c>
      <c r="BC62" s="239">
        <f>IFERROR(IF(OR($E$11=Resumen!$N$6,$E$8=Resumen!$N$6),Amortización!AY62*0.16,0),"")</f>
        <v>0</v>
      </c>
      <c r="BD62" s="237">
        <f t="shared" si="25"/>
        <v>0</v>
      </c>
      <c r="BE62" s="240">
        <f t="shared" si="2"/>
        <v>0</v>
      </c>
      <c r="BF62" s="43" t="str">
        <f t="shared" si="3"/>
        <v/>
      </c>
      <c r="BH62" s="243" t="e">
        <f t="shared" si="42"/>
        <v>#NUM!</v>
      </c>
      <c r="BI62" s="187"/>
      <c r="BJ62" s="187" t="str">
        <f t="shared" si="27"/>
        <v/>
      </c>
      <c r="BK62" s="42" t="e">
        <f t="shared" si="28"/>
        <v>#NUM!</v>
      </c>
      <c r="BL62" s="45"/>
      <c r="BM62" s="242"/>
    </row>
    <row r="63" spans="3:65" ht="15.5" thickTop="1" thickBot="1" x14ac:dyDescent="0.4">
      <c r="C63" s="36" t="str">
        <f t="shared" si="45"/>
        <v/>
      </c>
      <c r="D63" s="37" t="e">
        <f t="shared" si="29"/>
        <v>#NUM!</v>
      </c>
      <c r="E63" s="236">
        <f t="shared" si="31"/>
        <v>0</v>
      </c>
      <c r="F63" s="237" t="e">
        <f t="shared" si="47"/>
        <v>#NUM!</v>
      </c>
      <c r="G63" s="238" t="e">
        <f>IF(D63="","",L62*Resumen!$L$86/1000)</f>
        <v>#NUM!</v>
      </c>
      <c r="H63" s="237" t="e">
        <f t="shared" si="5"/>
        <v>#NUM!</v>
      </c>
      <c r="I63" s="238" t="e">
        <f>IF($E$16=$V$1,0,IF(D63="","",Amortización!$AE$14))</f>
        <v>#NUM!</v>
      </c>
      <c r="J63" s="239">
        <f>IFERROR(IF(OR($E$11=Resumen!$N$6,$E$8=Resumen!$N$6),Amortización!F63*0.16,0),"")</f>
        <v>0</v>
      </c>
      <c r="K63" s="237">
        <f t="shared" si="6"/>
        <v>0</v>
      </c>
      <c r="L63" s="240">
        <f t="shared" si="7"/>
        <v>0</v>
      </c>
      <c r="M63" s="43" t="str">
        <f t="shared" si="1"/>
        <v/>
      </c>
      <c r="N63" s="44" t="str">
        <f t="shared" si="8"/>
        <v/>
      </c>
      <c r="O63" s="44" t="str">
        <f t="shared" si="9"/>
        <v/>
      </c>
      <c r="P63" s="44" t="str">
        <f t="shared" si="10"/>
        <v/>
      </c>
      <c r="Q63" s="242"/>
      <c r="R63" s="243" t="e">
        <f t="shared" si="41"/>
        <v>#NUM!</v>
      </c>
      <c r="S63" s="187"/>
      <c r="T63" s="187" t="str">
        <f t="shared" si="46"/>
        <v/>
      </c>
      <c r="U63" s="42" t="e">
        <f t="shared" si="13"/>
        <v>#NUM!</v>
      </c>
      <c r="V63" s="45">
        <f t="shared" si="14"/>
        <v>0</v>
      </c>
      <c r="W63" s="187"/>
      <c r="X63" s="272" t="b">
        <f t="shared" si="39"/>
        <v>0</v>
      </c>
      <c r="Y63" s="187">
        <v>0</v>
      </c>
      <c r="Z63" s="187"/>
      <c r="AB63" s="357" t="e">
        <f t="shared" si="15"/>
        <v>#N/A</v>
      </c>
      <c r="AG63" s="307">
        <f t="shared" si="16"/>
        <v>0</v>
      </c>
      <c r="AH63" s="283">
        <f t="shared" si="17"/>
        <v>0</v>
      </c>
      <c r="AI63" t="str">
        <f t="shared" si="18"/>
        <v/>
      </c>
      <c r="AK63" s="280" t="s">
        <v>376</v>
      </c>
      <c r="AL63" s="280">
        <v>7.75</v>
      </c>
      <c r="AO63" s="328">
        <v>25</v>
      </c>
      <c r="AP63" s="329">
        <v>0.111</v>
      </c>
      <c r="AQ63" s="330" t="str">
        <f t="shared" si="0"/>
        <v>250.111</v>
      </c>
      <c r="AR63" s="331">
        <v>9.31</v>
      </c>
      <c r="AV63" s="36" t="str">
        <f t="shared" si="19"/>
        <v/>
      </c>
      <c r="AW63" s="37" t="e">
        <f t="shared" si="20"/>
        <v>#NUM!</v>
      </c>
      <c r="AX63" s="236" t="e">
        <f t="shared" si="21"/>
        <v>#NUM!</v>
      </c>
      <c r="AY63" s="237" t="e">
        <f t="shared" si="30"/>
        <v>#NUM!</v>
      </c>
      <c r="AZ63" s="238" t="e">
        <f t="shared" si="22"/>
        <v>#NUM!</v>
      </c>
      <c r="BA63" s="237" t="e">
        <f t="shared" si="23"/>
        <v>#NUM!</v>
      </c>
      <c r="BB63" s="238" t="e">
        <f t="shared" si="24"/>
        <v>#NUM!</v>
      </c>
      <c r="BC63" s="239">
        <f>IFERROR(IF(OR($E$11=Resumen!$N$6,$E$8=Resumen!$N$6),Amortización!AY63*0.16,0),"")</f>
        <v>0</v>
      </c>
      <c r="BD63" s="237">
        <f t="shared" si="25"/>
        <v>0</v>
      </c>
      <c r="BE63" s="240">
        <f t="shared" si="2"/>
        <v>0</v>
      </c>
      <c r="BF63" s="43" t="str">
        <f t="shared" si="3"/>
        <v/>
      </c>
      <c r="BH63" s="243" t="e">
        <f t="shared" si="42"/>
        <v>#NUM!</v>
      </c>
      <c r="BI63" s="187"/>
      <c r="BJ63" s="187" t="str">
        <f t="shared" si="27"/>
        <v/>
      </c>
      <c r="BK63" s="42" t="e">
        <f t="shared" si="28"/>
        <v>#NUM!</v>
      </c>
      <c r="BL63" s="45"/>
      <c r="BM63" s="242"/>
    </row>
    <row r="64" spans="3:65" ht="15.5" thickTop="1" thickBot="1" x14ac:dyDescent="0.4">
      <c r="C64" s="36" t="str">
        <f t="shared" si="45"/>
        <v/>
      </c>
      <c r="D64" s="37" t="e">
        <f t="shared" si="29"/>
        <v>#NUM!</v>
      </c>
      <c r="E64" s="236">
        <f t="shared" si="31"/>
        <v>0</v>
      </c>
      <c r="F64" s="237" t="e">
        <f t="shared" si="47"/>
        <v>#NUM!</v>
      </c>
      <c r="G64" s="238" t="e">
        <f>IF(D64="","",L63*Resumen!$L$86/1000)</f>
        <v>#NUM!</v>
      </c>
      <c r="H64" s="237" t="e">
        <f t="shared" si="5"/>
        <v>#NUM!</v>
      </c>
      <c r="I64" s="238" t="e">
        <f>IF($E$16=$V$1,0,IF(D64="","",Amortización!$AE$14))</f>
        <v>#NUM!</v>
      </c>
      <c r="J64" s="239">
        <f>IFERROR(IF(OR($E$11=Resumen!$N$6,$E$8=Resumen!$N$6),Amortización!F64*0.16,0),"")</f>
        <v>0</v>
      </c>
      <c r="K64" s="237">
        <f t="shared" si="6"/>
        <v>0</v>
      </c>
      <c r="L64" s="240">
        <f t="shared" si="7"/>
        <v>0</v>
      </c>
      <c r="M64" s="43" t="str">
        <f t="shared" si="1"/>
        <v/>
      </c>
      <c r="N64" s="44" t="str">
        <f t="shared" si="8"/>
        <v/>
      </c>
      <c r="O64" s="44" t="str">
        <f t="shared" si="9"/>
        <v/>
      </c>
      <c r="P64" s="44" t="str">
        <f t="shared" si="10"/>
        <v/>
      </c>
      <c r="Q64" s="242" t="str">
        <f>IF(OR(L63=0,L63=""),"",IF(E64&gt;=D64,0,$E$17*10%))</f>
        <v/>
      </c>
      <c r="R64" s="243" t="e">
        <f t="shared" si="41"/>
        <v>#NUM!</v>
      </c>
      <c r="S64" s="187"/>
      <c r="T64" s="187" t="str">
        <f t="shared" si="46"/>
        <v/>
      </c>
      <c r="U64" s="42" t="e">
        <f t="shared" si="13"/>
        <v>#NUM!</v>
      </c>
      <c r="V64" s="45">
        <f t="shared" si="14"/>
        <v>0</v>
      </c>
      <c r="W64" s="187"/>
      <c r="X64" s="272" t="b">
        <f t="shared" si="39"/>
        <v>0</v>
      </c>
      <c r="Y64" s="187">
        <v>0</v>
      </c>
      <c r="Z64" s="187"/>
      <c r="AB64" s="357" t="e">
        <f t="shared" si="15"/>
        <v>#N/A</v>
      </c>
      <c r="AG64" s="307">
        <f t="shared" si="16"/>
        <v>0</v>
      </c>
      <c r="AH64" s="283">
        <f t="shared" si="17"/>
        <v>0</v>
      </c>
      <c r="AI64" t="str">
        <f t="shared" si="18"/>
        <v/>
      </c>
      <c r="AK64" s="280" t="s">
        <v>376</v>
      </c>
      <c r="AL64" s="280">
        <v>7.75</v>
      </c>
      <c r="AO64" s="324">
        <v>20</v>
      </c>
      <c r="AP64" s="333">
        <v>0.111</v>
      </c>
      <c r="AQ64" s="330" t="str">
        <f t="shared" si="0"/>
        <v>200.111</v>
      </c>
      <c r="AR64" s="327">
        <v>9.31</v>
      </c>
      <c r="AV64" s="36" t="str">
        <f t="shared" si="19"/>
        <v/>
      </c>
      <c r="AW64" s="37" t="e">
        <f t="shared" si="20"/>
        <v>#NUM!</v>
      </c>
      <c r="AX64" s="236" t="e">
        <f t="shared" si="21"/>
        <v>#NUM!</v>
      </c>
      <c r="AY64" s="237" t="e">
        <f t="shared" si="30"/>
        <v>#NUM!</v>
      </c>
      <c r="AZ64" s="238" t="e">
        <f t="shared" si="22"/>
        <v>#NUM!</v>
      </c>
      <c r="BA64" s="237" t="e">
        <f t="shared" si="23"/>
        <v>#NUM!</v>
      </c>
      <c r="BB64" s="238" t="e">
        <f t="shared" si="24"/>
        <v>#NUM!</v>
      </c>
      <c r="BC64" s="239">
        <f>IFERROR(IF(OR($E$11=Resumen!$N$6,$E$8=Resumen!$N$6),Amortización!AY64*0.16,0),"")</f>
        <v>0</v>
      </c>
      <c r="BD64" s="237">
        <f t="shared" si="25"/>
        <v>0</v>
      </c>
      <c r="BE64" s="240">
        <f t="shared" si="2"/>
        <v>0</v>
      </c>
      <c r="BF64" s="43" t="str">
        <f t="shared" si="3"/>
        <v/>
      </c>
      <c r="BH64" s="243" t="e">
        <f t="shared" si="42"/>
        <v>#NUM!</v>
      </c>
      <c r="BI64" s="187"/>
      <c r="BJ64" s="187" t="str">
        <f t="shared" si="27"/>
        <v/>
      </c>
      <c r="BK64" s="42" t="e">
        <f t="shared" si="28"/>
        <v>#NUM!</v>
      </c>
      <c r="BL64" s="45"/>
      <c r="BM64" s="242"/>
    </row>
    <row r="65" spans="3:65" ht="15.5" thickTop="1" thickBot="1" x14ac:dyDescent="0.4">
      <c r="C65" s="36" t="str">
        <f t="shared" si="45"/>
        <v/>
      </c>
      <c r="D65" s="37" t="e">
        <f t="shared" si="29"/>
        <v>#NUM!</v>
      </c>
      <c r="E65" s="236">
        <f t="shared" si="31"/>
        <v>0</v>
      </c>
      <c r="F65" s="237" t="e">
        <f t="shared" si="47"/>
        <v>#NUM!</v>
      </c>
      <c r="G65" s="238" t="e">
        <f>IF(D65="","",L64*Resumen!$L$86/1000)</f>
        <v>#NUM!</v>
      </c>
      <c r="H65" s="237" t="e">
        <f t="shared" si="5"/>
        <v>#NUM!</v>
      </c>
      <c r="I65" s="238" t="e">
        <f>IF($E$16=$V$1,0,IF(D65="","",Amortización!$AE$14))</f>
        <v>#NUM!</v>
      </c>
      <c r="J65" s="239">
        <f>IFERROR(IF(OR($E$11=Resumen!$N$6,$E$8=Resumen!$N$6),Amortización!F65*0.16,0),"")</f>
        <v>0</v>
      </c>
      <c r="K65" s="237">
        <f t="shared" si="6"/>
        <v>0</v>
      </c>
      <c r="L65" s="240">
        <f t="shared" si="7"/>
        <v>0</v>
      </c>
      <c r="M65" s="43" t="str">
        <f t="shared" si="1"/>
        <v/>
      </c>
      <c r="N65" s="44" t="str">
        <f t="shared" si="8"/>
        <v/>
      </c>
      <c r="O65" s="44" t="str">
        <f t="shared" si="9"/>
        <v/>
      </c>
      <c r="P65" s="44" t="str">
        <f t="shared" si="10"/>
        <v/>
      </c>
      <c r="Q65" s="242"/>
      <c r="R65" s="243" t="e">
        <f t="shared" si="41"/>
        <v>#NUM!</v>
      </c>
      <c r="S65" s="187"/>
      <c r="T65" s="187" t="str">
        <f t="shared" si="46"/>
        <v/>
      </c>
      <c r="U65" s="42" t="e">
        <f t="shared" si="13"/>
        <v>#NUM!</v>
      </c>
      <c r="V65" s="45">
        <f t="shared" si="14"/>
        <v>0</v>
      </c>
      <c r="W65" s="187"/>
      <c r="X65" s="272" t="b">
        <f t="shared" si="39"/>
        <v>0</v>
      </c>
      <c r="Y65" s="187">
        <v>0</v>
      </c>
      <c r="Z65" s="187"/>
      <c r="AB65" s="357" t="e">
        <f t="shared" si="15"/>
        <v>#N/A</v>
      </c>
      <c r="AG65" s="307">
        <f t="shared" si="16"/>
        <v>0</v>
      </c>
      <c r="AH65" s="283">
        <f t="shared" si="17"/>
        <v>0</v>
      </c>
      <c r="AI65" t="str">
        <f t="shared" si="18"/>
        <v/>
      </c>
      <c r="AK65" s="280" t="s">
        <v>361</v>
      </c>
      <c r="AL65" s="280">
        <v>19.610000000000003</v>
      </c>
      <c r="AO65" s="324">
        <v>15</v>
      </c>
      <c r="AP65" s="333">
        <f>AP64</f>
        <v>0.111</v>
      </c>
      <c r="AQ65" s="326" t="str">
        <f t="shared" si="0"/>
        <v>150.111</v>
      </c>
      <c r="AR65" s="327">
        <v>10.37</v>
      </c>
      <c r="AV65" s="36" t="str">
        <f t="shared" si="19"/>
        <v/>
      </c>
      <c r="AW65" s="37" t="e">
        <f t="shared" si="20"/>
        <v>#NUM!</v>
      </c>
      <c r="AX65" s="236" t="e">
        <f t="shared" si="21"/>
        <v>#NUM!</v>
      </c>
      <c r="AY65" s="237" t="e">
        <f t="shared" si="30"/>
        <v>#NUM!</v>
      </c>
      <c r="AZ65" s="238" t="e">
        <f t="shared" si="22"/>
        <v>#NUM!</v>
      </c>
      <c r="BA65" s="237" t="e">
        <f t="shared" si="23"/>
        <v>#NUM!</v>
      </c>
      <c r="BB65" s="238" t="e">
        <f t="shared" si="24"/>
        <v>#NUM!</v>
      </c>
      <c r="BC65" s="239">
        <f>IFERROR(IF(OR($E$11=Resumen!$N$6,$E$8=Resumen!$N$6),Amortización!AY65*0.16,0),"")</f>
        <v>0</v>
      </c>
      <c r="BD65" s="237">
        <f t="shared" si="25"/>
        <v>0</v>
      </c>
      <c r="BE65" s="240">
        <f t="shared" si="2"/>
        <v>0</v>
      </c>
      <c r="BF65" s="43" t="str">
        <f t="shared" si="3"/>
        <v/>
      </c>
      <c r="BH65" s="243" t="e">
        <f t="shared" si="42"/>
        <v>#NUM!</v>
      </c>
      <c r="BI65" s="187"/>
      <c r="BJ65" s="187" t="str">
        <f t="shared" si="27"/>
        <v/>
      </c>
      <c r="BK65" s="42" t="e">
        <f t="shared" si="28"/>
        <v>#NUM!</v>
      </c>
      <c r="BL65" s="45"/>
      <c r="BM65" s="242"/>
    </row>
    <row r="66" spans="3:65" ht="15.5" thickTop="1" thickBot="1" x14ac:dyDescent="0.4">
      <c r="C66" s="36" t="str">
        <f t="shared" si="45"/>
        <v/>
      </c>
      <c r="D66" s="37" t="e">
        <f t="shared" si="29"/>
        <v>#NUM!</v>
      </c>
      <c r="E66" s="236">
        <f t="shared" si="31"/>
        <v>0</v>
      </c>
      <c r="F66" s="237" t="e">
        <f t="shared" si="47"/>
        <v>#NUM!</v>
      </c>
      <c r="G66" s="238" t="e">
        <f>IF(D66="","",L65*Resumen!$L$86/1000)</f>
        <v>#NUM!</v>
      </c>
      <c r="H66" s="237" t="e">
        <f t="shared" si="5"/>
        <v>#NUM!</v>
      </c>
      <c r="I66" s="238" t="e">
        <f>IF($E$16=$V$1,0,IF(D66="","",Amortización!$AE$14))</f>
        <v>#NUM!</v>
      </c>
      <c r="J66" s="239">
        <f>IFERROR(IF(OR($E$11=Resumen!$N$6,$E$8=Resumen!$N$6),Amortización!F66*0.16,0),"")</f>
        <v>0</v>
      </c>
      <c r="K66" s="237">
        <f t="shared" si="6"/>
        <v>0</v>
      </c>
      <c r="L66" s="240">
        <f t="shared" si="7"/>
        <v>0</v>
      </c>
      <c r="M66" s="43" t="str">
        <f t="shared" si="1"/>
        <v/>
      </c>
      <c r="N66" s="44" t="str">
        <f t="shared" si="8"/>
        <v/>
      </c>
      <c r="O66" s="44" t="str">
        <f t="shared" si="9"/>
        <v/>
      </c>
      <c r="P66" s="44" t="str">
        <f t="shared" si="10"/>
        <v/>
      </c>
      <c r="Q66" s="242" t="str">
        <f>IF(OR(L65=0,L65=""),"",IF(E66&gt;=D66,0,$E$17*10%))</f>
        <v/>
      </c>
      <c r="R66" s="243" t="e">
        <f t="shared" si="41"/>
        <v>#NUM!</v>
      </c>
      <c r="S66" s="187"/>
      <c r="T66" s="187" t="str">
        <f t="shared" si="46"/>
        <v/>
      </c>
      <c r="U66" s="42" t="e">
        <f t="shared" si="13"/>
        <v>#NUM!</v>
      </c>
      <c r="V66" s="45">
        <f t="shared" si="14"/>
        <v>0</v>
      </c>
      <c r="W66" s="187"/>
      <c r="X66" s="272" t="b">
        <f t="shared" si="39"/>
        <v>0</v>
      </c>
      <c r="Y66" s="187">
        <v>0</v>
      </c>
      <c r="Z66" s="187"/>
      <c r="AB66" s="357" t="e">
        <f t="shared" si="15"/>
        <v>#N/A</v>
      </c>
      <c r="AG66" s="307">
        <f t="shared" si="16"/>
        <v>0</v>
      </c>
      <c r="AH66" s="283">
        <f t="shared" si="17"/>
        <v>0</v>
      </c>
      <c r="AI66" t="str">
        <f t="shared" si="18"/>
        <v/>
      </c>
      <c r="AK66" s="280" t="s">
        <v>362</v>
      </c>
      <c r="AL66" s="280">
        <v>11.43</v>
      </c>
      <c r="AO66" s="324">
        <v>10</v>
      </c>
      <c r="AP66" s="334">
        <f>AP65-0.25%</f>
        <v>0.1085</v>
      </c>
      <c r="AQ66" s="326" t="str">
        <f t="shared" si="0"/>
        <v>100.1085</v>
      </c>
      <c r="AR66" s="327">
        <v>12.77</v>
      </c>
      <c r="AV66" s="36" t="str">
        <f t="shared" si="19"/>
        <v/>
      </c>
      <c r="AW66" s="37" t="e">
        <f t="shared" si="20"/>
        <v>#NUM!</v>
      </c>
      <c r="AX66" s="236" t="e">
        <f t="shared" si="21"/>
        <v>#NUM!</v>
      </c>
      <c r="AY66" s="237" t="e">
        <f t="shared" si="30"/>
        <v>#NUM!</v>
      </c>
      <c r="AZ66" s="238" t="e">
        <f t="shared" si="22"/>
        <v>#NUM!</v>
      </c>
      <c r="BA66" s="237" t="e">
        <f t="shared" si="23"/>
        <v>#NUM!</v>
      </c>
      <c r="BB66" s="238" t="e">
        <f t="shared" si="24"/>
        <v>#NUM!</v>
      </c>
      <c r="BC66" s="239">
        <f>IFERROR(IF(OR($E$11=Resumen!$N$6,$E$8=Resumen!$N$6),Amortización!AY66*0.16,0),"")</f>
        <v>0</v>
      </c>
      <c r="BD66" s="237">
        <f t="shared" si="25"/>
        <v>0</v>
      </c>
      <c r="BE66" s="240">
        <f t="shared" si="2"/>
        <v>0</v>
      </c>
      <c r="BF66" s="43" t="str">
        <f t="shared" si="3"/>
        <v/>
      </c>
      <c r="BH66" s="243" t="e">
        <f t="shared" si="42"/>
        <v>#NUM!</v>
      </c>
      <c r="BI66" s="187"/>
      <c r="BJ66" s="187" t="str">
        <f t="shared" si="27"/>
        <v/>
      </c>
      <c r="BK66" s="42" t="e">
        <f t="shared" si="28"/>
        <v>#NUM!</v>
      </c>
      <c r="BL66" s="45"/>
      <c r="BM66" s="242"/>
    </row>
    <row r="67" spans="3:65" ht="15.5" thickTop="1" thickBot="1" x14ac:dyDescent="0.4">
      <c r="C67" s="36" t="str">
        <f t="shared" si="45"/>
        <v/>
      </c>
      <c r="D67" s="37" t="e">
        <f t="shared" si="29"/>
        <v>#NUM!</v>
      </c>
      <c r="E67" s="236">
        <f t="shared" si="31"/>
        <v>0</v>
      </c>
      <c r="F67" s="237" t="e">
        <f t="shared" si="47"/>
        <v>#NUM!</v>
      </c>
      <c r="G67" s="238" t="e">
        <f>IF(D67="","",L66*Resumen!$L$86/1000)</f>
        <v>#NUM!</v>
      </c>
      <c r="H67" s="237" t="e">
        <f t="shared" si="5"/>
        <v>#NUM!</v>
      </c>
      <c r="I67" s="238" t="e">
        <f>IF($E$16=$V$1,0,IF(D67="","",Amortización!$AE$14))</f>
        <v>#NUM!</v>
      </c>
      <c r="J67" s="239">
        <f>IFERROR(IF(OR($E$11=Resumen!$N$6,$E$8=Resumen!$N$6),Amortización!F67*0.16,0),"")</f>
        <v>0</v>
      </c>
      <c r="K67" s="237">
        <f t="shared" si="6"/>
        <v>0</v>
      </c>
      <c r="L67" s="240">
        <f t="shared" si="7"/>
        <v>0</v>
      </c>
      <c r="M67" s="43" t="str">
        <f t="shared" si="1"/>
        <v/>
      </c>
      <c r="N67" s="44" t="str">
        <f t="shared" si="8"/>
        <v/>
      </c>
      <c r="O67" s="44" t="str">
        <f t="shared" si="9"/>
        <v/>
      </c>
      <c r="P67" s="44" t="str">
        <f t="shared" si="10"/>
        <v/>
      </c>
      <c r="Q67" s="242"/>
      <c r="R67" s="243" t="e">
        <f t="shared" si="41"/>
        <v>#NUM!</v>
      </c>
      <c r="S67" s="187"/>
      <c r="T67" s="187" t="str">
        <f t="shared" si="46"/>
        <v/>
      </c>
      <c r="U67" s="42" t="e">
        <f t="shared" si="13"/>
        <v>#NUM!</v>
      </c>
      <c r="V67" s="45">
        <f t="shared" si="14"/>
        <v>0</v>
      </c>
      <c r="W67" s="187"/>
      <c r="X67" s="272" t="b">
        <f t="shared" si="39"/>
        <v>0</v>
      </c>
      <c r="Y67" s="187">
        <v>0</v>
      </c>
      <c r="Z67" s="187"/>
      <c r="AB67" s="357" t="e">
        <f t="shared" si="15"/>
        <v>#N/A</v>
      </c>
      <c r="AG67" s="307">
        <f t="shared" si="16"/>
        <v>0</v>
      </c>
      <c r="AH67" s="283">
        <f t="shared" si="17"/>
        <v>0</v>
      </c>
      <c r="AI67" t="str">
        <f t="shared" si="18"/>
        <v/>
      </c>
      <c r="AK67" s="280" t="s">
        <v>363</v>
      </c>
      <c r="AL67" s="280">
        <v>8.89</v>
      </c>
      <c r="AO67" s="324">
        <v>5</v>
      </c>
      <c r="AP67" s="334">
        <f>AP66-0.25%</f>
        <v>0.106</v>
      </c>
      <c r="AQ67" s="326" t="str">
        <f t="shared" si="0"/>
        <v>50.106</v>
      </c>
      <c r="AR67" s="327">
        <v>20.83</v>
      </c>
      <c r="AV67" s="36" t="str">
        <f t="shared" si="19"/>
        <v/>
      </c>
      <c r="AW67" s="37" t="e">
        <f t="shared" si="20"/>
        <v>#NUM!</v>
      </c>
      <c r="AX67" s="236" t="e">
        <f t="shared" si="21"/>
        <v>#NUM!</v>
      </c>
      <c r="AY67" s="237" t="e">
        <f t="shared" si="30"/>
        <v>#NUM!</v>
      </c>
      <c r="AZ67" s="238" t="e">
        <f t="shared" si="22"/>
        <v>#NUM!</v>
      </c>
      <c r="BA67" s="237" t="e">
        <f t="shared" si="23"/>
        <v>#NUM!</v>
      </c>
      <c r="BB67" s="238" t="e">
        <f t="shared" si="24"/>
        <v>#NUM!</v>
      </c>
      <c r="BC67" s="239">
        <f>IFERROR(IF(OR($E$11=Resumen!$N$6,$E$8=Resumen!$N$6),Amortización!AY67*0.16,0),"")</f>
        <v>0</v>
      </c>
      <c r="BD67" s="237">
        <f t="shared" si="25"/>
        <v>0</v>
      </c>
      <c r="BE67" s="240">
        <f t="shared" si="2"/>
        <v>0</v>
      </c>
      <c r="BF67" s="43" t="str">
        <f t="shared" si="3"/>
        <v/>
      </c>
      <c r="BH67" s="243" t="e">
        <f t="shared" si="42"/>
        <v>#NUM!</v>
      </c>
      <c r="BI67" s="187"/>
      <c r="BJ67" s="187" t="str">
        <f t="shared" si="27"/>
        <v/>
      </c>
      <c r="BK67" s="42" t="e">
        <f t="shared" si="28"/>
        <v>#NUM!</v>
      </c>
      <c r="BL67" s="45"/>
      <c r="BM67" s="242"/>
    </row>
    <row r="68" spans="3:65" ht="15.5" thickTop="1" thickBot="1" x14ac:dyDescent="0.4">
      <c r="C68" s="36" t="str">
        <f t="shared" si="45"/>
        <v/>
      </c>
      <c r="D68" s="37" t="e">
        <f t="shared" si="29"/>
        <v>#NUM!</v>
      </c>
      <c r="E68" s="236">
        <f t="shared" si="31"/>
        <v>0</v>
      </c>
      <c r="F68" s="237" t="e">
        <f t="shared" si="47"/>
        <v>#NUM!</v>
      </c>
      <c r="G68" s="238" t="e">
        <f>IF(D68="","",L67*Resumen!$L$86/1000)</f>
        <v>#NUM!</v>
      </c>
      <c r="H68" s="237" t="e">
        <f t="shared" si="5"/>
        <v>#NUM!</v>
      </c>
      <c r="I68" s="238" t="e">
        <f>IF($E$16=$V$1,0,IF(D68="","",Amortización!$AE$14))</f>
        <v>#NUM!</v>
      </c>
      <c r="J68" s="239">
        <f>IFERROR(IF(OR($E$11=Resumen!$N$6,$E$8=Resumen!$N$6),Amortización!F68*0.16,0),"")</f>
        <v>0</v>
      </c>
      <c r="K68" s="237">
        <f t="shared" si="6"/>
        <v>0</v>
      </c>
      <c r="L68" s="240">
        <f t="shared" si="7"/>
        <v>0</v>
      </c>
      <c r="M68" s="43" t="str">
        <f t="shared" si="1"/>
        <v/>
      </c>
      <c r="N68" s="44" t="str">
        <f t="shared" si="8"/>
        <v/>
      </c>
      <c r="O68" s="44" t="str">
        <f t="shared" si="9"/>
        <v/>
      </c>
      <c r="P68" s="44" t="str">
        <f t="shared" si="10"/>
        <v/>
      </c>
      <c r="Q68" s="242" t="str">
        <f>IF(OR(L67=0,L67=""),"",IF(E68&gt;=D68,0,$E$17*10%))</f>
        <v/>
      </c>
      <c r="R68" s="243" t="e">
        <f t="shared" si="41"/>
        <v>#NUM!</v>
      </c>
      <c r="S68" s="187"/>
      <c r="T68" s="187" t="str">
        <f t="shared" si="46"/>
        <v/>
      </c>
      <c r="U68" s="42" t="e">
        <f t="shared" si="13"/>
        <v>#NUM!</v>
      </c>
      <c r="V68" s="45">
        <f t="shared" si="14"/>
        <v>0</v>
      </c>
      <c r="W68" s="187"/>
      <c r="X68" s="272" t="b">
        <f t="shared" si="39"/>
        <v>0</v>
      </c>
      <c r="Y68" s="187">
        <v>0</v>
      </c>
      <c r="Z68" s="187"/>
      <c r="AB68" s="357" t="e">
        <f t="shared" si="15"/>
        <v>#N/A</v>
      </c>
      <c r="AG68" s="307">
        <f t="shared" si="16"/>
        <v>0</v>
      </c>
      <c r="AH68" s="283">
        <f t="shared" si="17"/>
        <v>0</v>
      </c>
      <c r="AI68" t="str">
        <f t="shared" si="18"/>
        <v/>
      </c>
      <c r="AK68" s="280" t="s">
        <v>364</v>
      </c>
      <c r="AL68" s="280">
        <v>7.63</v>
      </c>
      <c r="AO68" s="324">
        <v>25</v>
      </c>
      <c r="AP68" s="334">
        <v>9.7500000000000003E-2</v>
      </c>
      <c r="AQ68" s="326" t="str">
        <f t="shared" si="0"/>
        <v>250.0975</v>
      </c>
      <c r="AR68" s="327">
        <v>8.18</v>
      </c>
      <c r="AV68" s="36" t="str">
        <f t="shared" si="19"/>
        <v/>
      </c>
      <c r="AW68" s="37" t="e">
        <f t="shared" si="20"/>
        <v>#NUM!</v>
      </c>
      <c r="AX68" s="236" t="e">
        <f t="shared" si="21"/>
        <v>#NUM!</v>
      </c>
      <c r="AY68" s="237" t="e">
        <f t="shared" si="30"/>
        <v>#NUM!</v>
      </c>
      <c r="AZ68" s="238" t="e">
        <f t="shared" si="22"/>
        <v>#NUM!</v>
      </c>
      <c r="BA68" s="237" t="e">
        <f t="shared" si="23"/>
        <v>#NUM!</v>
      </c>
      <c r="BB68" s="238" t="e">
        <f t="shared" si="24"/>
        <v>#NUM!</v>
      </c>
      <c r="BC68" s="239">
        <f>IFERROR(IF(OR($E$11=Resumen!$N$6,$E$8=Resumen!$N$6),Amortización!AY68*0.16,0),"")</f>
        <v>0</v>
      </c>
      <c r="BD68" s="237">
        <f t="shared" si="25"/>
        <v>0</v>
      </c>
      <c r="BE68" s="240">
        <f t="shared" si="2"/>
        <v>0</v>
      </c>
      <c r="BF68" s="43" t="str">
        <f t="shared" si="3"/>
        <v/>
      </c>
      <c r="BH68" s="243" t="e">
        <f t="shared" si="42"/>
        <v>#NUM!</v>
      </c>
      <c r="BI68" s="187"/>
      <c r="BJ68" s="187" t="str">
        <f t="shared" si="27"/>
        <v/>
      </c>
      <c r="BK68" s="42" t="e">
        <f t="shared" si="28"/>
        <v>#NUM!</v>
      </c>
      <c r="BL68" s="45"/>
      <c r="BM68" s="242"/>
    </row>
    <row r="69" spans="3:65" ht="15.5" thickTop="1" thickBot="1" x14ac:dyDescent="0.4">
      <c r="C69" s="36" t="str">
        <f t="shared" si="45"/>
        <v/>
      </c>
      <c r="D69" s="37" t="e">
        <f t="shared" si="29"/>
        <v>#NUM!</v>
      </c>
      <c r="E69" s="236">
        <f t="shared" si="31"/>
        <v>0</v>
      </c>
      <c r="F69" s="237" t="e">
        <f t="shared" si="47"/>
        <v>#NUM!</v>
      </c>
      <c r="G69" s="238" t="e">
        <f>IF(D69="","",L68*Resumen!$L$86/1000)</f>
        <v>#NUM!</v>
      </c>
      <c r="H69" s="237" t="e">
        <f t="shared" si="5"/>
        <v>#NUM!</v>
      </c>
      <c r="I69" s="238" t="e">
        <f>IF($E$16=$V$1,0,IF(D69="","",Amortización!$AE$14))</f>
        <v>#NUM!</v>
      </c>
      <c r="J69" s="239">
        <f>IFERROR(IF(OR($E$11=Resumen!$N$6,$E$8=Resumen!$N$6),Amortización!F69*0.16,0),"")</f>
        <v>0</v>
      </c>
      <c r="K69" s="237">
        <f t="shared" si="6"/>
        <v>0</v>
      </c>
      <c r="L69" s="240">
        <f t="shared" si="7"/>
        <v>0</v>
      </c>
      <c r="M69" s="43">
        <v>0</v>
      </c>
      <c r="N69" s="44">
        <f t="shared" si="8"/>
        <v>0</v>
      </c>
      <c r="O69" s="44">
        <f t="shared" si="9"/>
        <v>0</v>
      </c>
      <c r="P69" s="44">
        <f t="shared" si="10"/>
        <v>0</v>
      </c>
      <c r="Q69" s="242"/>
      <c r="R69" s="243" t="e">
        <f t="shared" si="41"/>
        <v>#NUM!</v>
      </c>
      <c r="S69" s="187"/>
      <c r="T69" s="187" t="str">
        <f t="shared" si="46"/>
        <v/>
      </c>
      <c r="U69" s="42" t="e">
        <f t="shared" si="13"/>
        <v>#NUM!</v>
      </c>
      <c r="V69" s="45">
        <f t="shared" si="14"/>
        <v>0</v>
      </c>
      <c r="W69" s="187"/>
      <c r="X69" s="272" t="b">
        <f t="shared" si="39"/>
        <v>0</v>
      </c>
      <c r="Y69" s="187">
        <v>0</v>
      </c>
      <c r="Z69" s="187"/>
      <c r="AB69" s="357" t="e">
        <f t="shared" si="15"/>
        <v>#N/A</v>
      </c>
      <c r="AG69" s="307">
        <f t="shared" si="16"/>
        <v>0</v>
      </c>
      <c r="AH69" s="283">
        <f t="shared" si="17"/>
        <v>0</v>
      </c>
      <c r="AI69">
        <f t="shared" si="18"/>
        <v>0</v>
      </c>
      <c r="AK69" s="280" t="s">
        <v>365</v>
      </c>
      <c r="AL69" s="280">
        <v>19.610000000000003</v>
      </c>
      <c r="AO69" s="324">
        <v>20</v>
      </c>
      <c r="AP69" s="333">
        <v>9.7500000000000003E-2</v>
      </c>
      <c r="AQ69" s="330" t="str">
        <f t="shared" ref="AQ69:AQ77" si="49">AO69&amp;AP69</f>
        <v>200.0975</v>
      </c>
      <c r="AR69" s="327">
        <v>8.36</v>
      </c>
      <c r="AV69" s="36" t="str">
        <f t="shared" si="19"/>
        <v/>
      </c>
      <c r="AW69" s="37" t="e">
        <f t="shared" si="20"/>
        <v>#NUM!</v>
      </c>
      <c r="AX69" s="236" t="e">
        <f t="shared" si="21"/>
        <v>#NUM!</v>
      </c>
      <c r="AY69" s="237" t="e">
        <f t="shared" si="30"/>
        <v>#NUM!</v>
      </c>
      <c r="AZ69" s="238" t="e">
        <f t="shared" si="22"/>
        <v>#NUM!</v>
      </c>
      <c r="BA69" s="237" t="e">
        <f t="shared" si="23"/>
        <v>#NUM!</v>
      </c>
      <c r="BB69" s="238" t="e">
        <f t="shared" si="24"/>
        <v>#NUM!</v>
      </c>
      <c r="BC69" s="239">
        <f>IFERROR(IF(OR($E$11=Resumen!$N$6,$E$8=Resumen!$N$6),Amortización!AY69*0.16,0),"")</f>
        <v>0</v>
      </c>
      <c r="BD69" s="237">
        <f t="shared" si="25"/>
        <v>0</v>
      </c>
      <c r="BE69" s="240">
        <f t="shared" si="2"/>
        <v>0</v>
      </c>
      <c r="BF69" s="43" t="str">
        <f t="shared" si="3"/>
        <v/>
      </c>
      <c r="BH69" s="243" t="e">
        <f t="shared" si="42"/>
        <v>#NUM!</v>
      </c>
      <c r="BI69" s="187"/>
      <c r="BJ69" s="187" t="str">
        <f t="shared" si="27"/>
        <v/>
      </c>
      <c r="BK69" s="42" t="e">
        <f t="shared" si="28"/>
        <v>#NUM!</v>
      </c>
      <c r="BL69" s="45"/>
      <c r="BM69" s="242"/>
    </row>
    <row r="70" spans="3:65" ht="15.5" thickTop="1" thickBot="1" x14ac:dyDescent="0.4">
      <c r="C70" s="36" t="str">
        <f t="shared" si="45"/>
        <v/>
      </c>
      <c r="D70" s="37" t="e">
        <f t="shared" si="29"/>
        <v>#NUM!</v>
      </c>
      <c r="E70" s="236">
        <f t="shared" si="31"/>
        <v>0</v>
      </c>
      <c r="F70" s="237" t="e">
        <f t="shared" si="47"/>
        <v>#NUM!</v>
      </c>
      <c r="G70" s="238" t="e">
        <f>IF(D70="","",L69*Resumen!$L$86/1000)</f>
        <v>#NUM!</v>
      </c>
      <c r="H70" s="237" t="e">
        <f t="shared" si="5"/>
        <v>#NUM!</v>
      </c>
      <c r="I70" s="238" t="e">
        <f>IF($E$16=$V$1,0,IF(D70="","",Amortización!$AE$14))</f>
        <v>#NUM!</v>
      </c>
      <c r="J70" s="239">
        <f>IFERROR(IF(OR($E$11=Resumen!$N$6,$E$8=Resumen!$N$6),Amortización!F70*0.16,0),"")</f>
        <v>0</v>
      </c>
      <c r="K70" s="237">
        <f t="shared" si="6"/>
        <v>0</v>
      </c>
      <c r="L70" s="240">
        <f t="shared" si="7"/>
        <v>0</v>
      </c>
      <c r="M70" s="43" t="str">
        <f t="shared" si="1"/>
        <v/>
      </c>
      <c r="N70" s="44" t="str">
        <f t="shared" si="8"/>
        <v/>
      </c>
      <c r="O70" s="44" t="str">
        <f t="shared" si="9"/>
        <v/>
      </c>
      <c r="P70" s="44" t="str">
        <f t="shared" si="10"/>
        <v/>
      </c>
      <c r="Q70" s="242" t="str">
        <f>IF(OR(L69=0,L69=""),"",IF(E70&gt;=D70,0,$E$17*10%))</f>
        <v/>
      </c>
      <c r="R70" s="243" t="e">
        <f t="shared" si="41"/>
        <v>#NUM!</v>
      </c>
      <c r="S70" s="187"/>
      <c r="T70" s="187" t="str">
        <f t="shared" si="46"/>
        <v/>
      </c>
      <c r="U70" s="42" t="e">
        <f t="shared" si="13"/>
        <v>#NUM!</v>
      </c>
      <c r="V70" s="45">
        <f t="shared" si="14"/>
        <v>0</v>
      </c>
      <c r="W70" s="187"/>
      <c r="X70" s="272" t="b">
        <f t="shared" si="39"/>
        <v>0</v>
      </c>
      <c r="Y70" s="187">
        <v>0</v>
      </c>
      <c r="Z70" s="187"/>
      <c r="AB70" s="357" t="e">
        <f t="shared" si="15"/>
        <v>#N/A</v>
      </c>
      <c r="AG70" s="307">
        <f t="shared" si="16"/>
        <v>0</v>
      </c>
      <c r="AH70" s="283">
        <f t="shared" si="17"/>
        <v>0</v>
      </c>
      <c r="AI70" t="str">
        <f t="shared" si="18"/>
        <v/>
      </c>
      <c r="AK70" s="280" t="s">
        <v>366</v>
      </c>
      <c r="AL70" s="280">
        <v>11.43</v>
      </c>
      <c r="AO70" s="324">
        <v>15</v>
      </c>
      <c r="AP70" s="333">
        <f>AP69</f>
        <v>9.7500000000000003E-2</v>
      </c>
      <c r="AQ70" s="326" t="str">
        <f t="shared" si="49"/>
        <v>150.0975</v>
      </c>
      <c r="AR70" s="327">
        <v>9.57</v>
      </c>
      <c r="AV70" s="36" t="str">
        <f t="shared" si="19"/>
        <v/>
      </c>
      <c r="AW70" s="37" t="e">
        <f t="shared" si="20"/>
        <v>#NUM!</v>
      </c>
      <c r="AX70" s="236" t="e">
        <f t="shared" si="21"/>
        <v>#NUM!</v>
      </c>
      <c r="AY70" s="237" t="e">
        <f t="shared" si="30"/>
        <v>#NUM!</v>
      </c>
      <c r="AZ70" s="238" t="e">
        <f t="shared" si="22"/>
        <v>#NUM!</v>
      </c>
      <c r="BA70" s="237" t="e">
        <f t="shared" si="23"/>
        <v>#NUM!</v>
      </c>
      <c r="BB70" s="238" t="e">
        <f t="shared" si="24"/>
        <v>#NUM!</v>
      </c>
      <c r="BC70" s="239">
        <f>IFERROR(IF(OR($E$11=Resumen!$N$6,$E$8=Resumen!$N$6),Amortización!AY70*0.16,0),"")</f>
        <v>0</v>
      </c>
      <c r="BD70" s="237">
        <f t="shared" si="25"/>
        <v>0</v>
      </c>
      <c r="BE70" s="240">
        <f t="shared" si="2"/>
        <v>0</v>
      </c>
      <c r="BF70" s="43" t="str">
        <f t="shared" si="3"/>
        <v/>
      </c>
      <c r="BH70" s="243" t="e">
        <f t="shared" si="42"/>
        <v>#NUM!</v>
      </c>
      <c r="BI70" s="187"/>
      <c r="BJ70" s="187" t="str">
        <f t="shared" si="27"/>
        <v/>
      </c>
      <c r="BK70" s="42" t="e">
        <f t="shared" si="28"/>
        <v>#NUM!</v>
      </c>
      <c r="BL70" s="45"/>
      <c r="BM70" s="242"/>
    </row>
    <row r="71" spans="3:65" ht="15.5" thickTop="1" thickBot="1" x14ac:dyDescent="0.4">
      <c r="C71" s="36" t="str">
        <f t="shared" si="45"/>
        <v/>
      </c>
      <c r="D71" s="37" t="e">
        <f t="shared" si="29"/>
        <v>#NUM!</v>
      </c>
      <c r="E71" s="236">
        <f t="shared" si="31"/>
        <v>0</v>
      </c>
      <c r="F71" s="237" t="e">
        <f t="shared" si="47"/>
        <v>#NUM!</v>
      </c>
      <c r="G71" s="238" t="e">
        <f>IF(D71="","",L70*Resumen!$L$86/1000)</f>
        <v>#NUM!</v>
      </c>
      <c r="H71" s="237" t="e">
        <f t="shared" si="5"/>
        <v>#NUM!</v>
      </c>
      <c r="I71" s="238" t="e">
        <f>IF($E$16=$V$1,0,IF(D71="","",Amortización!$AE$14))</f>
        <v>#NUM!</v>
      </c>
      <c r="J71" s="239">
        <f>IFERROR(IF(OR($E$11=Resumen!$N$6,$E$8=Resumen!$N$6),Amortización!F71*0.16,0),"")</f>
        <v>0</v>
      </c>
      <c r="K71" s="237">
        <f t="shared" si="6"/>
        <v>0</v>
      </c>
      <c r="L71" s="240">
        <f t="shared" si="7"/>
        <v>0</v>
      </c>
      <c r="M71" s="43" t="str">
        <f t="shared" si="1"/>
        <v/>
      </c>
      <c r="N71" s="44" t="str">
        <f t="shared" si="8"/>
        <v/>
      </c>
      <c r="O71" s="44" t="str">
        <f t="shared" si="9"/>
        <v/>
      </c>
      <c r="P71" s="44" t="str">
        <f t="shared" si="10"/>
        <v/>
      </c>
      <c r="Q71" s="242"/>
      <c r="R71" s="243" t="e">
        <f t="shared" si="41"/>
        <v>#NUM!</v>
      </c>
      <c r="S71" s="187"/>
      <c r="T71" s="187" t="str">
        <f t="shared" si="46"/>
        <v/>
      </c>
      <c r="U71" s="42" t="e">
        <f t="shared" si="13"/>
        <v>#NUM!</v>
      </c>
      <c r="V71" s="45">
        <f t="shared" si="14"/>
        <v>0</v>
      </c>
      <c r="W71" s="187"/>
      <c r="X71" s="272" t="b">
        <f t="shared" si="39"/>
        <v>0</v>
      </c>
      <c r="Y71" s="187">
        <v>0</v>
      </c>
      <c r="Z71" s="187"/>
      <c r="AB71" s="357" t="e">
        <f t="shared" si="15"/>
        <v>#N/A</v>
      </c>
      <c r="AG71" s="307">
        <f t="shared" si="16"/>
        <v>0</v>
      </c>
      <c r="AH71" s="283">
        <f t="shared" si="17"/>
        <v>0</v>
      </c>
      <c r="AI71" t="str">
        <f t="shared" si="18"/>
        <v/>
      </c>
      <c r="AK71" s="280" t="s">
        <v>367</v>
      </c>
      <c r="AL71" s="280">
        <v>8.89</v>
      </c>
      <c r="AO71" s="324">
        <v>10</v>
      </c>
      <c r="AP71" s="334">
        <f>AP70-0.25%</f>
        <v>9.5000000000000001E-2</v>
      </c>
      <c r="AQ71" s="326" t="str">
        <f t="shared" si="49"/>
        <v>100.095</v>
      </c>
      <c r="AR71" s="327">
        <v>12.05</v>
      </c>
      <c r="AV71" s="36" t="str">
        <f t="shared" si="19"/>
        <v/>
      </c>
      <c r="AW71" s="37" t="e">
        <f t="shared" si="20"/>
        <v>#NUM!</v>
      </c>
      <c r="AX71" s="236" t="e">
        <f t="shared" si="21"/>
        <v>#NUM!</v>
      </c>
      <c r="AY71" s="237" t="e">
        <f t="shared" si="30"/>
        <v>#NUM!</v>
      </c>
      <c r="AZ71" s="238" t="e">
        <f t="shared" si="22"/>
        <v>#NUM!</v>
      </c>
      <c r="BA71" s="237" t="e">
        <f t="shared" si="23"/>
        <v>#NUM!</v>
      </c>
      <c r="BB71" s="238" t="e">
        <f t="shared" si="24"/>
        <v>#NUM!</v>
      </c>
      <c r="BC71" s="239">
        <f>IFERROR(IF(OR($E$11=Resumen!$N$6,$E$8=Resumen!$N$6),Amortización!AY71*0.16,0),"")</f>
        <v>0</v>
      </c>
      <c r="BD71" s="237">
        <f t="shared" si="25"/>
        <v>0</v>
      </c>
      <c r="BE71" s="240">
        <f t="shared" si="2"/>
        <v>0</v>
      </c>
      <c r="BF71" s="43" t="str">
        <f t="shared" si="3"/>
        <v/>
      </c>
      <c r="BH71" s="243" t="e">
        <f t="shared" si="42"/>
        <v>#NUM!</v>
      </c>
      <c r="BI71" s="187"/>
      <c r="BJ71" s="187" t="str">
        <f t="shared" si="27"/>
        <v/>
      </c>
      <c r="BK71" s="42" t="e">
        <f t="shared" si="28"/>
        <v>#NUM!</v>
      </c>
      <c r="BL71" s="45"/>
      <c r="BM71" s="242"/>
    </row>
    <row r="72" spans="3:65" ht="15.5" thickTop="1" thickBot="1" x14ac:dyDescent="0.4">
      <c r="C72" s="36" t="str">
        <f t="shared" si="45"/>
        <v/>
      </c>
      <c r="D72" s="37" t="e">
        <f t="shared" si="29"/>
        <v>#NUM!</v>
      </c>
      <c r="E72" s="236">
        <f t="shared" si="31"/>
        <v>0</v>
      </c>
      <c r="F72" s="237" t="e">
        <f t="shared" si="47"/>
        <v>#NUM!</v>
      </c>
      <c r="G72" s="238" t="e">
        <f>IF(D72="","",L71*Resumen!$L$86/1000)</f>
        <v>#NUM!</v>
      </c>
      <c r="H72" s="237" t="e">
        <f t="shared" si="5"/>
        <v>#NUM!</v>
      </c>
      <c r="I72" s="238" t="e">
        <f>IF($E$16=$V$1,0,IF(D72="","",Amortización!$AE$14))</f>
        <v>#NUM!</v>
      </c>
      <c r="J72" s="239">
        <f>IFERROR(IF(OR($E$11=Resumen!$N$6,$E$8=Resumen!$N$6),Amortización!F72*0.16,0),"")</f>
        <v>0</v>
      </c>
      <c r="K72" s="237">
        <f t="shared" si="6"/>
        <v>0</v>
      </c>
      <c r="L72" s="240">
        <f t="shared" si="7"/>
        <v>0</v>
      </c>
      <c r="M72" s="43" t="str">
        <f t="shared" si="1"/>
        <v/>
      </c>
      <c r="N72" s="44" t="str">
        <f t="shared" si="8"/>
        <v/>
      </c>
      <c r="O72" s="44" t="str">
        <f t="shared" si="9"/>
        <v/>
      </c>
      <c r="P72" s="44" t="str">
        <f t="shared" si="10"/>
        <v/>
      </c>
      <c r="Q72" s="242" t="str">
        <f>IF(OR(L71=0,L71=""),"",IF(E72&gt;=D72,0,$E$17*10%))</f>
        <v/>
      </c>
      <c r="R72" s="243" t="e">
        <f t="shared" si="41"/>
        <v>#NUM!</v>
      </c>
      <c r="S72" s="187"/>
      <c r="T72" s="187" t="str">
        <f t="shared" si="46"/>
        <v/>
      </c>
      <c r="U72" s="42" t="e">
        <f t="shared" si="13"/>
        <v>#NUM!</v>
      </c>
      <c r="V72" s="45">
        <f t="shared" si="14"/>
        <v>0</v>
      </c>
      <c r="W72" s="187"/>
      <c r="X72" s="272" t="b">
        <f t="shared" si="39"/>
        <v>0</v>
      </c>
      <c r="Y72" s="187">
        <v>0</v>
      </c>
      <c r="Z72" s="187"/>
      <c r="AB72" s="357" t="e">
        <f t="shared" si="15"/>
        <v>#N/A</v>
      </c>
      <c r="AG72" s="307">
        <f t="shared" si="16"/>
        <v>0</v>
      </c>
      <c r="AH72" s="283">
        <f t="shared" si="17"/>
        <v>0</v>
      </c>
      <c r="AI72" t="str">
        <f t="shared" si="18"/>
        <v/>
      </c>
      <c r="AK72" s="280" t="s">
        <v>368</v>
      </c>
      <c r="AL72" s="280">
        <v>7.63</v>
      </c>
      <c r="AO72" s="324">
        <v>5</v>
      </c>
      <c r="AP72" s="334">
        <f>AP71-0.25%</f>
        <v>9.2499999999999999E-2</v>
      </c>
      <c r="AQ72" s="326" t="str">
        <f t="shared" si="49"/>
        <v>50.0925</v>
      </c>
      <c r="AR72" s="327">
        <v>20.18</v>
      </c>
      <c r="AV72" s="36" t="str">
        <f t="shared" si="19"/>
        <v/>
      </c>
      <c r="AW72" s="37" t="e">
        <f t="shared" si="20"/>
        <v>#NUM!</v>
      </c>
      <c r="AX72" s="236" t="e">
        <f t="shared" si="21"/>
        <v>#NUM!</v>
      </c>
      <c r="AY72" s="237" t="e">
        <f t="shared" si="30"/>
        <v>#NUM!</v>
      </c>
      <c r="AZ72" s="238" t="e">
        <f t="shared" si="22"/>
        <v>#NUM!</v>
      </c>
      <c r="BA72" s="237" t="e">
        <f t="shared" si="23"/>
        <v>#NUM!</v>
      </c>
      <c r="BB72" s="238" t="e">
        <f t="shared" si="24"/>
        <v>#NUM!</v>
      </c>
      <c r="BC72" s="239">
        <f>IFERROR(IF(OR($E$11=Resumen!$N$6,$E$8=Resumen!$N$6),Amortización!AY72*0.16,0),"")</f>
        <v>0</v>
      </c>
      <c r="BD72" s="237">
        <f t="shared" si="25"/>
        <v>0</v>
      </c>
      <c r="BE72" s="240">
        <f t="shared" si="2"/>
        <v>0</v>
      </c>
      <c r="BF72" s="43" t="str">
        <f t="shared" si="3"/>
        <v/>
      </c>
      <c r="BH72" s="243" t="e">
        <f t="shared" si="42"/>
        <v>#NUM!</v>
      </c>
      <c r="BI72" s="187"/>
      <c r="BJ72" s="187" t="str">
        <f t="shared" si="27"/>
        <v/>
      </c>
      <c r="BK72" s="42" t="e">
        <f t="shared" si="28"/>
        <v>#NUM!</v>
      </c>
      <c r="BL72" s="45"/>
      <c r="BM72" s="242"/>
    </row>
    <row r="73" spans="3:65" ht="15.5" thickTop="1" thickBot="1" x14ac:dyDescent="0.4">
      <c r="C73" s="36" t="str">
        <f t="shared" si="45"/>
        <v/>
      </c>
      <c r="D73" s="37" t="e">
        <f t="shared" si="29"/>
        <v>#NUM!</v>
      </c>
      <c r="E73" s="236">
        <f t="shared" si="31"/>
        <v>0</v>
      </c>
      <c r="F73" s="237" t="e">
        <f t="shared" si="47"/>
        <v>#NUM!</v>
      </c>
      <c r="G73" s="238" t="e">
        <f>IF(D73="","",L72*Resumen!$L$86/1000)</f>
        <v>#NUM!</v>
      </c>
      <c r="H73" s="237" t="e">
        <f t="shared" si="5"/>
        <v>#NUM!</v>
      </c>
      <c r="I73" s="238" t="e">
        <f>IF($E$16=$V$1,0,IF(D73="","",Amortización!$AE$14))</f>
        <v>#NUM!</v>
      </c>
      <c r="J73" s="239">
        <f>IFERROR(IF(OR($E$11=Resumen!$N$6,$E$8=Resumen!$N$6),Amortización!F73*0.16,0),"")</f>
        <v>0</v>
      </c>
      <c r="K73" s="237">
        <f t="shared" si="6"/>
        <v>0</v>
      </c>
      <c r="L73" s="240">
        <f t="shared" si="7"/>
        <v>0</v>
      </c>
      <c r="M73" s="43">
        <v>0</v>
      </c>
      <c r="N73" s="44">
        <f t="shared" si="8"/>
        <v>0</v>
      </c>
      <c r="O73" s="44">
        <f t="shared" si="9"/>
        <v>0</v>
      </c>
      <c r="P73" s="44">
        <f t="shared" si="10"/>
        <v>0</v>
      </c>
      <c r="Q73" s="242"/>
      <c r="R73" s="243" t="e">
        <f t="shared" si="41"/>
        <v>#NUM!</v>
      </c>
      <c r="S73" s="187"/>
      <c r="T73" s="187" t="str">
        <f t="shared" si="46"/>
        <v/>
      </c>
      <c r="U73" s="42" t="e">
        <f t="shared" si="13"/>
        <v>#NUM!</v>
      </c>
      <c r="V73" s="45">
        <f t="shared" si="14"/>
        <v>0</v>
      </c>
      <c r="W73" s="187"/>
      <c r="X73" s="272" t="b">
        <f t="shared" si="39"/>
        <v>0</v>
      </c>
      <c r="Y73" s="187">
        <v>0</v>
      </c>
      <c r="Z73" s="187"/>
      <c r="AB73" s="357" t="e">
        <f t="shared" si="15"/>
        <v>#N/A</v>
      </c>
      <c r="AG73" s="307">
        <f t="shared" si="16"/>
        <v>0</v>
      </c>
      <c r="AH73" s="283">
        <f t="shared" si="17"/>
        <v>0</v>
      </c>
      <c r="AI73">
        <f t="shared" si="18"/>
        <v>0</v>
      </c>
      <c r="AK73" s="280" t="s">
        <v>369</v>
      </c>
      <c r="AL73" s="280">
        <v>19.330000000000002</v>
      </c>
      <c r="AO73" s="324">
        <v>25</v>
      </c>
      <c r="AP73" s="334">
        <v>9.8000000000000004E-2</v>
      </c>
      <c r="AQ73" s="326" t="str">
        <f t="shared" si="49"/>
        <v>250.098</v>
      </c>
      <c r="AR73" s="327">
        <v>8.24</v>
      </c>
      <c r="AV73" s="36" t="str">
        <f t="shared" si="19"/>
        <v/>
      </c>
      <c r="AW73" s="37" t="e">
        <f t="shared" si="20"/>
        <v>#NUM!</v>
      </c>
      <c r="AX73" s="236" t="e">
        <f t="shared" si="21"/>
        <v>#NUM!</v>
      </c>
      <c r="AY73" s="237" t="e">
        <f t="shared" si="30"/>
        <v>#NUM!</v>
      </c>
      <c r="AZ73" s="238" t="e">
        <f t="shared" si="22"/>
        <v>#NUM!</v>
      </c>
      <c r="BA73" s="237" t="e">
        <f t="shared" si="23"/>
        <v>#NUM!</v>
      </c>
      <c r="BB73" s="238" t="e">
        <f t="shared" si="24"/>
        <v>#NUM!</v>
      </c>
      <c r="BC73" s="239">
        <f>IFERROR(IF(OR($E$11=Resumen!$N$6,$E$8=Resumen!$N$6),Amortización!AY73*0.16,0),"")</f>
        <v>0</v>
      </c>
      <c r="BD73" s="237">
        <f t="shared" si="25"/>
        <v>0</v>
      </c>
      <c r="BE73" s="240">
        <f t="shared" si="2"/>
        <v>0</v>
      </c>
      <c r="BF73" s="43" t="str">
        <f t="shared" si="3"/>
        <v/>
      </c>
      <c r="BH73" s="243" t="e">
        <f t="shared" si="42"/>
        <v>#NUM!</v>
      </c>
      <c r="BI73" s="187"/>
      <c r="BJ73" s="187" t="str">
        <f t="shared" si="27"/>
        <v/>
      </c>
      <c r="BK73" s="42" t="e">
        <f t="shared" si="28"/>
        <v>#NUM!</v>
      </c>
      <c r="BL73" s="45"/>
      <c r="BM73" s="242"/>
    </row>
    <row r="74" spans="3:65" ht="15.5" thickTop="1" thickBot="1" x14ac:dyDescent="0.4">
      <c r="C74" s="36" t="str">
        <f t="shared" si="45"/>
        <v/>
      </c>
      <c r="D74" s="37" t="e">
        <f t="shared" si="29"/>
        <v>#NUM!</v>
      </c>
      <c r="E74" s="236">
        <f t="shared" si="31"/>
        <v>0</v>
      </c>
      <c r="F74" s="237" t="e">
        <f t="shared" si="47"/>
        <v>#NUM!</v>
      </c>
      <c r="G74" s="238" t="e">
        <f>IF(D74="","",L73*Resumen!$L$86/1000)</f>
        <v>#NUM!</v>
      </c>
      <c r="H74" s="237" t="e">
        <f t="shared" si="5"/>
        <v>#NUM!</v>
      </c>
      <c r="I74" s="238" t="e">
        <f>IF($E$16=$V$1,0,IF(D74="","",Amortización!$AE$14))</f>
        <v>#NUM!</v>
      </c>
      <c r="J74" s="239">
        <f>IFERROR(IF(OR($E$11=Resumen!$N$6,$E$8=Resumen!$N$6),Amortización!F74*0.16,0),"")</f>
        <v>0</v>
      </c>
      <c r="K74" s="237">
        <f t="shared" si="6"/>
        <v>0</v>
      </c>
      <c r="L74" s="240">
        <f t="shared" si="7"/>
        <v>0</v>
      </c>
      <c r="M74" s="43" t="str">
        <f t="shared" si="1"/>
        <v/>
      </c>
      <c r="N74" s="44" t="str">
        <f t="shared" si="8"/>
        <v/>
      </c>
      <c r="O74" s="44" t="str">
        <f t="shared" si="9"/>
        <v/>
      </c>
      <c r="P74" s="44" t="str">
        <f t="shared" si="10"/>
        <v/>
      </c>
      <c r="Q74" s="242" t="str">
        <f>IF(OR(L73=0,L73=""),"",IF(E74&gt;=D74,0,$E$17*10%))</f>
        <v/>
      </c>
      <c r="R74" s="243" t="e">
        <f t="shared" si="41"/>
        <v>#NUM!</v>
      </c>
      <c r="S74" s="187"/>
      <c r="T74" s="187" t="str">
        <f t="shared" si="46"/>
        <v/>
      </c>
      <c r="U74" s="42" t="e">
        <f t="shared" si="13"/>
        <v>#NUM!</v>
      </c>
      <c r="V74" s="45">
        <f t="shared" si="14"/>
        <v>0</v>
      </c>
      <c r="W74" s="187"/>
      <c r="X74" s="272" t="b">
        <f t="shared" si="39"/>
        <v>0</v>
      </c>
      <c r="Y74" s="187">
        <v>0</v>
      </c>
      <c r="Z74" s="187"/>
      <c r="AB74" s="357" t="e">
        <f t="shared" si="15"/>
        <v>#N/A</v>
      </c>
      <c r="AG74" s="307">
        <f t="shared" si="16"/>
        <v>0</v>
      </c>
      <c r="AH74" s="283">
        <f t="shared" si="17"/>
        <v>0</v>
      </c>
      <c r="AI74" t="str">
        <f t="shared" si="18"/>
        <v/>
      </c>
      <c r="AK74" t="s">
        <v>370</v>
      </c>
      <c r="AL74" s="280">
        <v>11.12</v>
      </c>
      <c r="AO74" s="324">
        <v>20</v>
      </c>
      <c r="AP74" s="334">
        <v>9.8000000000000004E-2</v>
      </c>
      <c r="AQ74" s="326" t="str">
        <f t="shared" si="49"/>
        <v>200.098</v>
      </c>
      <c r="AR74" s="327">
        <v>8.4</v>
      </c>
      <c r="AV74" s="36" t="str">
        <f t="shared" si="19"/>
        <v/>
      </c>
      <c r="AW74" s="37" t="e">
        <f t="shared" si="20"/>
        <v>#NUM!</v>
      </c>
      <c r="AX74" s="236" t="e">
        <f t="shared" si="21"/>
        <v>#NUM!</v>
      </c>
      <c r="AY74" s="237" t="e">
        <f t="shared" si="30"/>
        <v>#NUM!</v>
      </c>
      <c r="AZ74" s="238" t="e">
        <f t="shared" si="22"/>
        <v>#NUM!</v>
      </c>
      <c r="BA74" s="237" t="e">
        <f t="shared" si="23"/>
        <v>#NUM!</v>
      </c>
      <c r="BB74" s="238" t="e">
        <f t="shared" si="24"/>
        <v>#NUM!</v>
      </c>
      <c r="BC74" s="239">
        <f>IFERROR(IF(OR($E$11=Resumen!$N$6,$E$8=Resumen!$N$6),Amortización!AY74*0.16,0),"")</f>
        <v>0</v>
      </c>
      <c r="BD74" s="237">
        <f t="shared" si="25"/>
        <v>0</v>
      </c>
      <c r="BE74" s="240">
        <f t="shared" si="2"/>
        <v>0</v>
      </c>
      <c r="BF74" s="43" t="str">
        <f t="shared" si="3"/>
        <v/>
      </c>
      <c r="BH74" s="243" t="e">
        <f t="shared" si="42"/>
        <v>#NUM!</v>
      </c>
      <c r="BI74" s="187"/>
      <c r="BJ74" s="187" t="str">
        <f t="shared" si="27"/>
        <v/>
      </c>
      <c r="BK74" s="42" t="e">
        <f t="shared" si="28"/>
        <v>#NUM!</v>
      </c>
      <c r="BL74" s="45"/>
      <c r="BM74" s="242"/>
    </row>
    <row r="75" spans="3:65" ht="15.5" thickTop="1" thickBot="1" x14ac:dyDescent="0.4">
      <c r="C75" s="36" t="str">
        <f t="shared" si="45"/>
        <v/>
      </c>
      <c r="D75" s="37" t="e">
        <f t="shared" si="29"/>
        <v>#NUM!</v>
      </c>
      <c r="E75" s="236">
        <f t="shared" si="31"/>
        <v>0</v>
      </c>
      <c r="F75" s="237" t="e">
        <f t="shared" si="47"/>
        <v>#NUM!</v>
      </c>
      <c r="G75" s="238" t="e">
        <f>IF(D75="","",L74*Resumen!$L$86/1000)</f>
        <v>#NUM!</v>
      </c>
      <c r="H75" s="237" t="e">
        <f t="shared" si="5"/>
        <v>#NUM!</v>
      </c>
      <c r="I75" s="238" t="e">
        <f>IF($E$16=$V$1,0,IF(D75="","",Amortización!$AE$14))</f>
        <v>#NUM!</v>
      </c>
      <c r="J75" s="239">
        <f>IFERROR(IF(OR($E$11=Resumen!$N$6,$E$8=Resumen!$N$6),Amortización!F75*0.16,0),"")</f>
        <v>0</v>
      </c>
      <c r="K75" s="237">
        <f t="shared" si="6"/>
        <v>0</v>
      </c>
      <c r="L75" s="240">
        <f t="shared" si="7"/>
        <v>0</v>
      </c>
      <c r="M75" s="43" t="str">
        <f t="shared" si="1"/>
        <v/>
      </c>
      <c r="N75" s="44" t="str">
        <f t="shared" si="8"/>
        <v/>
      </c>
      <c r="O75" s="44" t="str">
        <f t="shared" si="9"/>
        <v/>
      </c>
      <c r="P75" s="44" t="str">
        <f t="shared" si="10"/>
        <v/>
      </c>
      <c r="Q75" s="242"/>
      <c r="R75" s="243" t="e">
        <f t="shared" si="41"/>
        <v>#NUM!</v>
      </c>
      <c r="S75" s="187"/>
      <c r="T75" s="187" t="str">
        <f t="shared" si="46"/>
        <v/>
      </c>
      <c r="U75" s="42" t="e">
        <f t="shared" si="13"/>
        <v>#NUM!</v>
      </c>
      <c r="V75" s="45">
        <f t="shared" si="14"/>
        <v>0</v>
      </c>
      <c r="W75" s="187"/>
      <c r="X75" s="272" t="b">
        <f t="shared" si="39"/>
        <v>0</v>
      </c>
      <c r="Y75" s="187">
        <v>0</v>
      </c>
      <c r="Z75" s="187"/>
      <c r="AB75" s="357" t="e">
        <f t="shared" si="15"/>
        <v>#N/A</v>
      </c>
      <c r="AG75" s="307">
        <f t="shared" si="16"/>
        <v>0</v>
      </c>
      <c r="AH75" s="283">
        <f t="shared" si="17"/>
        <v>0</v>
      </c>
      <c r="AI75" t="str">
        <f t="shared" si="18"/>
        <v/>
      </c>
      <c r="AK75" t="s">
        <v>371</v>
      </c>
      <c r="AL75" s="280">
        <v>8.56</v>
      </c>
      <c r="AO75" s="324">
        <v>15</v>
      </c>
      <c r="AP75" s="334">
        <v>9.8000000000000004E-2</v>
      </c>
      <c r="AQ75" s="326" t="str">
        <f t="shared" si="49"/>
        <v>150.098</v>
      </c>
      <c r="AR75" s="327">
        <v>9.6199999999999992</v>
      </c>
      <c r="AV75" s="36" t="str">
        <f t="shared" si="19"/>
        <v/>
      </c>
      <c r="AW75" s="37" t="e">
        <f t="shared" si="20"/>
        <v>#NUM!</v>
      </c>
      <c r="AX75" s="236" t="e">
        <f t="shared" si="21"/>
        <v>#NUM!</v>
      </c>
      <c r="AY75" s="237" t="e">
        <f t="shared" si="30"/>
        <v>#NUM!</v>
      </c>
      <c r="AZ75" s="238" t="e">
        <f t="shared" si="22"/>
        <v>#NUM!</v>
      </c>
      <c r="BA75" s="237" t="e">
        <f t="shared" si="23"/>
        <v>#NUM!</v>
      </c>
      <c r="BB75" s="238" t="e">
        <f t="shared" si="24"/>
        <v>#NUM!</v>
      </c>
      <c r="BC75" s="239">
        <f>IFERROR(IF(OR($E$11=Resumen!$N$6,$E$8=Resumen!$N$6),Amortización!AY75*0.16,0),"")</f>
        <v>0</v>
      </c>
      <c r="BD75" s="237">
        <f t="shared" si="25"/>
        <v>0</v>
      </c>
      <c r="BE75" s="240">
        <f t="shared" si="2"/>
        <v>0</v>
      </c>
      <c r="BF75" s="43" t="str">
        <f t="shared" si="3"/>
        <v/>
      </c>
      <c r="BH75" s="243" t="e">
        <f t="shared" si="42"/>
        <v>#NUM!</v>
      </c>
      <c r="BI75" s="187"/>
      <c r="BJ75" s="187" t="str">
        <f t="shared" si="27"/>
        <v/>
      </c>
      <c r="BK75" s="42" t="e">
        <f t="shared" si="28"/>
        <v>#NUM!</v>
      </c>
      <c r="BL75" s="45"/>
      <c r="BM75" s="242"/>
    </row>
    <row r="76" spans="3:65" ht="15.5" thickTop="1" thickBot="1" x14ac:dyDescent="0.4">
      <c r="C76" s="36" t="str">
        <f t="shared" si="45"/>
        <v/>
      </c>
      <c r="D76" s="37" t="e">
        <f t="shared" si="29"/>
        <v>#NUM!</v>
      </c>
      <c r="E76" s="236">
        <f t="shared" si="31"/>
        <v>0</v>
      </c>
      <c r="F76" s="237" t="e">
        <f t="shared" si="47"/>
        <v>#NUM!</v>
      </c>
      <c r="G76" s="238" t="e">
        <f>IF(D76="","",L75*Resumen!$L$86/1000)</f>
        <v>#NUM!</v>
      </c>
      <c r="H76" s="237" t="e">
        <f t="shared" si="5"/>
        <v>#NUM!</v>
      </c>
      <c r="I76" s="238" t="e">
        <f>IF($E$16=$V$1,0,IF(D76="","",Amortización!$AE$14))</f>
        <v>#NUM!</v>
      </c>
      <c r="J76" s="239">
        <f>IFERROR(IF(OR($E$11=Resumen!$N$6,$E$8=Resumen!$N$6),Amortización!F76*0.16,0),"")</f>
        <v>0</v>
      </c>
      <c r="K76" s="237">
        <f t="shared" si="6"/>
        <v>0</v>
      </c>
      <c r="L76" s="240">
        <f t="shared" si="7"/>
        <v>0</v>
      </c>
      <c r="M76" s="43" t="str">
        <f t="shared" si="1"/>
        <v/>
      </c>
      <c r="N76" s="44" t="str">
        <f t="shared" si="8"/>
        <v/>
      </c>
      <c r="O76" s="44" t="str">
        <f t="shared" si="9"/>
        <v/>
      </c>
      <c r="P76" s="44" t="str">
        <f t="shared" si="10"/>
        <v/>
      </c>
      <c r="Q76" s="242" t="str">
        <f>IF(OR(L75=0,L75=""),"",IF(E76&gt;=D76,0,$E$17*10%))</f>
        <v/>
      </c>
      <c r="R76" s="243" t="e">
        <f t="shared" si="41"/>
        <v>#NUM!</v>
      </c>
      <c r="S76" s="187"/>
      <c r="T76" s="187" t="str">
        <f t="shared" si="46"/>
        <v/>
      </c>
      <c r="U76" s="42" t="e">
        <f t="shared" si="13"/>
        <v>#NUM!</v>
      </c>
      <c r="V76" s="45">
        <f t="shared" si="14"/>
        <v>0</v>
      </c>
      <c r="W76" s="187"/>
      <c r="X76" s="272" t="b">
        <f t="shared" si="39"/>
        <v>0</v>
      </c>
      <c r="Y76" s="187">
        <v>0</v>
      </c>
      <c r="Z76" s="187"/>
      <c r="AB76" s="357" t="e">
        <f t="shared" si="15"/>
        <v>#N/A</v>
      </c>
      <c r="AG76" s="307">
        <f t="shared" si="16"/>
        <v>0</v>
      </c>
      <c r="AH76" s="283">
        <f t="shared" si="17"/>
        <v>0</v>
      </c>
      <c r="AI76" t="str">
        <f t="shared" si="18"/>
        <v/>
      </c>
      <c r="AK76" t="s">
        <v>372</v>
      </c>
      <c r="AL76" s="280">
        <v>7.2799999999999994</v>
      </c>
      <c r="AO76" s="324">
        <v>10</v>
      </c>
      <c r="AP76" s="334">
        <v>9.8000000000000004E-2</v>
      </c>
      <c r="AQ76" s="326" t="str">
        <f t="shared" si="49"/>
        <v>100.098</v>
      </c>
      <c r="AR76" s="327">
        <v>12.21</v>
      </c>
      <c r="AV76" s="36" t="str">
        <f t="shared" si="19"/>
        <v/>
      </c>
      <c r="AW76" s="37" t="e">
        <f t="shared" si="20"/>
        <v>#NUM!</v>
      </c>
      <c r="AX76" s="236" t="e">
        <f t="shared" si="21"/>
        <v>#NUM!</v>
      </c>
      <c r="AY76" s="237" t="e">
        <f t="shared" si="30"/>
        <v>#NUM!</v>
      </c>
      <c r="AZ76" s="238" t="e">
        <f t="shared" si="22"/>
        <v>#NUM!</v>
      </c>
      <c r="BA76" s="237" t="e">
        <f t="shared" si="23"/>
        <v>#NUM!</v>
      </c>
      <c r="BB76" s="238" t="e">
        <f t="shared" si="24"/>
        <v>#NUM!</v>
      </c>
      <c r="BC76" s="239">
        <f>IFERROR(IF(OR($E$11=Resumen!$N$6,$E$8=Resumen!$N$6),Amortización!AY76*0.16,0),"")</f>
        <v>0</v>
      </c>
      <c r="BD76" s="237">
        <f t="shared" si="25"/>
        <v>0</v>
      </c>
      <c r="BE76" s="240">
        <f t="shared" si="2"/>
        <v>0</v>
      </c>
      <c r="BF76" s="43" t="str">
        <f t="shared" si="3"/>
        <v/>
      </c>
      <c r="BH76" s="243" t="e">
        <f t="shared" si="42"/>
        <v>#NUM!</v>
      </c>
      <c r="BI76" s="187"/>
      <c r="BJ76" s="187" t="str">
        <f t="shared" si="27"/>
        <v/>
      </c>
      <c r="BK76" s="42" t="e">
        <f t="shared" si="28"/>
        <v>#NUM!</v>
      </c>
      <c r="BL76" s="45"/>
      <c r="BM76" s="242"/>
    </row>
    <row r="77" spans="3:65" ht="15.5" thickTop="1" thickBot="1" x14ac:dyDescent="0.4">
      <c r="C77" s="36" t="str">
        <f t="shared" si="45"/>
        <v/>
      </c>
      <c r="D77" s="37" t="e">
        <f t="shared" si="29"/>
        <v>#NUM!</v>
      </c>
      <c r="E77" s="236">
        <f t="shared" si="31"/>
        <v>0</v>
      </c>
      <c r="F77" s="237" t="e">
        <f t="shared" si="47"/>
        <v>#NUM!</v>
      </c>
      <c r="G77" s="238" t="e">
        <f>IF(D77="","",L76*Resumen!$L$86/1000)</f>
        <v>#NUM!</v>
      </c>
      <c r="H77" s="237" t="e">
        <f t="shared" si="5"/>
        <v>#NUM!</v>
      </c>
      <c r="I77" s="238" t="e">
        <f>IF($E$16=$V$1,0,IF(D77="","",Amortización!$AE$14))</f>
        <v>#NUM!</v>
      </c>
      <c r="J77" s="239">
        <f>IFERROR(IF(OR($E$11=Resumen!$N$6,$E$8=Resumen!$N$6),Amortización!F77*0.16,0),"")</f>
        <v>0</v>
      </c>
      <c r="K77" s="237">
        <f t="shared" si="6"/>
        <v>0</v>
      </c>
      <c r="L77" s="240">
        <f t="shared" si="7"/>
        <v>0</v>
      </c>
      <c r="M77" s="43" t="str">
        <f t="shared" si="1"/>
        <v/>
      </c>
      <c r="N77" s="44" t="str">
        <f t="shared" si="8"/>
        <v/>
      </c>
      <c r="O77" s="44" t="str">
        <f t="shared" si="9"/>
        <v/>
      </c>
      <c r="P77" s="44" t="str">
        <f t="shared" si="10"/>
        <v/>
      </c>
      <c r="Q77" s="242"/>
      <c r="R77" s="243" t="e">
        <f t="shared" si="41"/>
        <v>#NUM!</v>
      </c>
      <c r="S77" s="187"/>
      <c r="T77" s="187" t="str">
        <f t="shared" si="46"/>
        <v/>
      </c>
      <c r="U77" s="42" t="e">
        <f t="shared" si="13"/>
        <v>#NUM!</v>
      </c>
      <c r="V77" s="45">
        <f t="shared" si="14"/>
        <v>0</v>
      </c>
      <c r="W77" s="187"/>
      <c r="X77" s="272" t="b">
        <f t="shared" si="39"/>
        <v>0</v>
      </c>
      <c r="Y77" s="187">
        <v>0</v>
      </c>
      <c r="Z77" s="187"/>
      <c r="AB77" s="357" t="e">
        <f t="shared" si="15"/>
        <v>#N/A</v>
      </c>
      <c r="AG77" s="307">
        <f t="shared" si="16"/>
        <v>0</v>
      </c>
      <c r="AH77" s="283">
        <f t="shared" si="17"/>
        <v>0</v>
      </c>
      <c r="AI77" t="str">
        <f t="shared" si="18"/>
        <v/>
      </c>
      <c r="AK77" s="280" t="s">
        <v>379</v>
      </c>
      <c r="AL77" s="281">
        <v>19.330000000000002</v>
      </c>
      <c r="AO77" s="335">
        <v>5</v>
      </c>
      <c r="AP77" s="336">
        <v>9.8000000000000004E-2</v>
      </c>
      <c r="AQ77" s="337" t="str">
        <f t="shared" si="49"/>
        <v>50.098</v>
      </c>
      <c r="AR77" s="338">
        <v>20.48</v>
      </c>
      <c r="AV77" s="36" t="str">
        <f t="shared" si="19"/>
        <v/>
      </c>
      <c r="AW77" s="37" t="e">
        <f t="shared" si="20"/>
        <v>#NUM!</v>
      </c>
      <c r="AX77" s="236" t="e">
        <f t="shared" si="21"/>
        <v>#NUM!</v>
      </c>
      <c r="AY77" s="237" t="e">
        <f t="shared" si="30"/>
        <v>#NUM!</v>
      </c>
      <c r="AZ77" s="238" t="e">
        <f t="shared" si="22"/>
        <v>#NUM!</v>
      </c>
      <c r="BA77" s="237" t="e">
        <f t="shared" si="23"/>
        <v>#NUM!</v>
      </c>
      <c r="BB77" s="238" t="e">
        <f t="shared" si="24"/>
        <v>#NUM!</v>
      </c>
      <c r="BC77" s="239">
        <f>IFERROR(IF(OR($E$11=Resumen!$N$6,$E$8=Resumen!$N$6),Amortización!AY77*0.16,0),"")</f>
        <v>0</v>
      </c>
      <c r="BD77" s="237">
        <f t="shared" si="25"/>
        <v>0</v>
      </c>
      <c r="BE77" s="240">
        <f t="shared" si="2"/>
        <v>0</v>
      </c>
      <c r="BF77" s="43" t="str">
        <f t="shared" si="3"/>
        <v/>
      </c>
      <c r="BH77" s="243" t="e">
        <f t="shared" si="42"/>
        <v>#NUM!</v>
      </c>
      <c r="BI77" s="187"/>
      <c r="BJ77" s="187" t="str">
        <f t="shared" si="27"/>
        <v/>
      </c>
      <c r="BK77" s="42" t="e">
        <f t="shared" si="28"/>
        <v>#NUM!</v>
      </c>
      <c r="BL77" s="45"/>
      <c r="BM77" s="242"/>
    </row>
    <row r="78" spans="3:65" ht="15.5" thickTop="1" thickBot="1" x14ac:dyDescent="0.4">
      <c r="C78" s="36" t="str">
        <f t="shared" si="45"/>
        <v/>
      </c>
      <c r="D78" s="37" t="e">
        <f t="shared" si="29"/>
        <v>#NUM!</v>
      </c>
      <c r="E78" s="236">
        <f t="shared" si="31"/>
        <v>0</v>
      </c>
      <c r="F78" s="237" t="e">
        <f t="shared" si="47"/>
        <v>#NUM!</v>
      </c>
      <c r="G78" s="238" t="e">
        <f>IF(D78="","",L77*Resumen!$L$86/1000)</f>
        <v>#NUM!</v>
      </c>
      <c r="H78" s="237" t="e">
        <f t="shared" si="5"/>
        <v>#NUM!</v>
      </c>
      <c r="I78" s="238" t="e">
        <f>IF($E$16=$V$1,0,IF(D78="","",Amortización!$AE$14))</f>
        <v>#NUM!</v>
      </c>
      <c r="J78" s="239">
        <f>IFERROR(IF(OR($E$11=Resumen!$N$6,$E$8=Resumen!$N$6),Amortización!F78*0.16,0),"")</f>
        <v>0</v>
      </c>
      <c r="K78" s="237">
        <f t="shared" si="6"/>
        <v>0</v>
      </c>
      <c r="L78" s="240">
        <f t="shared" si="7"/>
        <v>0</v>
      </c>
      <c r="M78" s="43" t="str">
        <f t="shared" si="1"/>
        <v/>
      </c>
      <c r="N78" s="44" t="str">
        <f t="shared" si="8"/>
        <v/>
      </c>
      <c r="O78" s="44" t="str">
        <f t="shared" si="9"/>
        <v/>
      </c>
      <c r="P78" s="44" t="str">
        <f t="shared" si="10"/>
        <v/>
      </c>
      <c r="Q78" s="242" t="str">
        <f>IF(OR(L77=0,L77=""),"",IF(E78&gt;=D78,0,$E$17*10%))</f>
        <v/>
      </c>
      <c r="R78" s="243" t="e">
        <f t="shared" si="41"/>
        <v>#NUM!</v>
      </c>
      <c r="S78" s="187"/>
      <c r="T78" s="187" t="str">
        <f t="shared" si="46"/>
        <v/>
      </c>
      <c r="U78" s="42" t="e">
        <f t="shared" si="13"/>
        <v>#NUM!</v>
      </c>
      <c r="V78" s="45">
        <f t="shared" si="14"/>
        <v>0</v>
      </c>
      <c r="W78" s="187"/>
      <c r="X78" s="272" t="b">
        <f t="shared" si="39"/>
        <v>0</v>
      </c>
      <c r="Y78" s="187">
        <v>0</v>
      </c>
      <c r="Z78" s="187"/>
      <c r="AB78" s="357" t="e">
        <f t="shared" si="15"/>
        <v>#N/A</v>
      </c>
      <c r="AG78" s="307">
        <f t="shared" si="16"/>
        <v>0</v>
      </c>
      <c r="AH78" s="283">
        <f t="shared" si="17"/>
        <v>0</v>
      </c>
      <c r="AI78" t="str">
        <f t="shared" si="18"/>
        <v/>
      </c>
      <c r="AK78" s="280" t="s">
        <v>380</v>
      </c>
      <c r="AL78" s="281">
        <v>11.12</v>
      </c>
      <c r="AV78" s="36" t="str">
        <f t="shared" si="19"/>
        <v/>
      </c>
      <c r="AW78" s="37" t="e">
        <f t="shared" si="20"/>
        <v>#NUM!</v>
      </c>
      <c r="AX78" s="236" t="e">
        <f t="shared" si="21"/>
        <v>#NUM!</v>
      </c>
      <c r="AY78" s="237" t="e">
        <f t="shared" si="30"/>
        <v>#NUM!</v>
      </c>
      <c r="AZ78" s="238" t="e">
        <f t="shared" si="22"/>
        <v>#NUM!</v>
      </c>
      <c r="BA78" s="237" t="e">
        <f t="shared" si="23"/>
        <v>#NUM!</v>
      </c>
      <c r="BB78" s="238" t="e">
        <f t="shared" si="24"/>
        <v>#NUM!</v>
      </c>
      <c r="BC78" s="239">
        <f>IFERROR(IF(OR($E$11=Resumen!$N$6,$E$8=Resumen!$N$6),Amortización!AY78*0.16,0),"")</f>
        <v>0</v>
      </c>
      <c r="BD78" s="237">
        <f t="shared" si="25"/>
        <v>0</v>
      </c>
      <c r="BE78" s="240">
        <f t="shared" si="2"/>
        <v>0</v>
      </c>
      <c r="BF78" s="43" t="str">
        <f t="shared" si="3"/>
        <v/>
      </c>
      <c r="BH78" s="243" t="e">
        <f t="shared" si="42"/>
        <v>#NUM!</v>
      </c>
      <c r="BI78" s="187"/>
      <c r="BJ78" s="187" t="str">
        <f t="shared" si="27"/>
        <v/>
      </c>
      <c r="BK78" s="42" t="e">
        <f t="shared" si="28"/>
        <v>#NUM!</v>
      </c>
      <c r="BL78" s="45"/>
      <c r="BM78" s="242"/>
    </row>
    <row r="79" spans="3:65" ht="15.5" thickTop="1" thickBot="1" x14ac:dyDescent="0.4">
      <c r="C79" s="36" t="str">
        <f t="shared" si="45"/>
        <v/>
      </c>
      <c r="D79" s="37" t="e">
        <f t="shared" si="29"/>
        <v>#NUM!</v>
      </c>
      <c r="E79" s="236">
        <f t="shared" si="31"/>
        <v>0</v>
      </c>
      <c r="F79" s="237" t="e">
        <f t="shared" si="47"/>
        <v>#NUM!</v>
      </c>
      <c r="G79" s="238" t="e">
        <f>IF(D79="","",L78*Resumen!$L$86/1000)</f>
        <v>#NUM!</v>
      </c>
      <c r="H79" s="237" t="e">
        <f t="shared" si="5"/>
        <v>#NUM!</v>
      </c>
      <c r="I79" s="238" t="e">
        <f>IF($E$16=$V$1,0,IF(D79="","",Amortización!$AE$14))</f>
        <v>#NUM!</v>
      </c>
      <c r="J79" s="239">
        <f>IFERROR(IF(OR($E$11=Resumen!$N$6,$E$8=Resumen!$N$6),Amortización!F79*0.16,0),"")</f>
        <v>0</v>
      </c>
      <c r="K79" s="237">
        <f t="shared" si="6"/>
        <v>0</v>
      </c>
      <c r="L79" s="240">
        <f t="shared" si="7"/>
        <v>0</v>
      </c>
      <c r="M79" s="43">
        <v>0</v>
      </c>
      <c r="N79" s="44">
        <f t="shared" si="8"/>
        <v>0</v>
      </c>
      <c r="O79" s="44">
        <f t="shared" si="9"/>
        <v>0</v>
      </c>
      <c r="P79" s="44">
        <f t="shared" si="10"/>
        <v>0</v>
      </c>
      <c r="Q79" s="242"/>
      <c r="R79" s="243" t="e">
        <f t="shared" si="41"/>
        <v>#NUM!</v>
      </c>
      <c r="S79" s="187"/>
      <c r="T79" s="187" t="str">
        <f t="shared" si="46"/>
        <v/>
      </c>
      <c r="U79" s="42" t="e">
        <f t="shared" si="13"/>
        <v>#NUM!</v>
      </c>
      <c r="V79" s="45">
        <f t="shared" si="14"/>
        <v>0</v>
      </c>
      <c r="W79" s="187"/>
      <c r="X79" s="272" t="b">
        <f t="shared" si="39"/>
        <v>0</v>
      </c>
      <c r="Y79" s="187">
        <v>0</v>
      </c>
      <c r="Z79" s="187"/>
      <c r="AB79" s="357" t="e">
        <f t="shared" si="15"/>
        <v>#N/A</v>
      </c>
      <c r="AG79" s="307">
        <f t="shared" si="16"/>
        <v>0</v>
      </c>
      <c r="AH79" s="283">
        <f t="shared" si="17"/>
        <v>0</v>
      </c>
      <c r="AI79">
        <f t="shared" si="18"/>
        <v>0</v>
      </c>
      <c r="AK79" s="280" t="s">
        <v>381</v>
      </c>
      <c r="AL79" s="281">
        <v>8.56</v>
      </c>
      <c r="AV79" s="36" t="str">
        <f t="shared" si="19"/>
        <v/>
      </c>
      <c r="AW79" s="37" t="e">
        <f t="shared" si="20"/>
        <v>#NUM!</v>
      </c>
      <c r="AX79" s="236" t="e">
        <f t="shared" si="21"/>
        <v>#NUM!</v>
      </c>
      <c r="AY79" s="237" t="e">
        <f t="shared" si="30"/>
        <v>#NUM!</v>
      </c>
      <c r="AZ79" s="238" t="e">
        <f t="shared" si="22"/>
        <v>#NUM!</v>
      </c>
      <c r="BA79" s="237" t="e">
        <f t="shared" si="23"/>
        <v>#NUM!</v>
      </c>
      <c r="BB79" s="238" t="e">
        <f t="shared" si="24"/>
        <v>#NUM!</v>
      </c>
      <c r="BC79" s="239">
        <f>IFERROR(IF(OR($E$11=Resumen!$N$6,$E$8=Resumen!$N$6),Amortización!AY79*0.16,0),"")</f>
        <v>0</v>
      </c>
      <c r="BD79" s="237">
        <f t="shared" si="25"/>
        <v>0</v>
      </c>
      <c r="BE79" s="240">
        <f t="shared" si="2"/>
        <v>0</v>
      </c>
      <c r="BF79" s="43" t="str">
        <f t="shared" si="3"/>
        <v/>
      </c>
      <c r="BH79" s="243" t="e">
        <f t="shared" si="42"/>
        <v>#NUM!</v>
      </c>
      <c r="BI79" s="187"/>
      <c r="BJ79" s="187" t="str">
        <f t="shared" si="27"/>
        <v/>
      </c>
      <c r="BK79" s="42" t="e">
        <f t="shared" si="28"/>
        <v>#NUM!</v>
      </c>
      <c r="BL79" s="45"/>
      <c r="BM79" s="242"/>
    </row>
    <row r="80" spans="3:65" ht="15.5" thickTop="1" thickBot="1" x14ac:dyDescent="0.4">
      <c r="C80" s="36" t="str">
        <f t="shared" si="45"/>
        <v/>
      </c>
      <c r="D80" s="37" t="e">
        <f t="shared" si="29"/>
        <v>#NUM!</v>
      </c>
      <c r="E80" s="236">
        <f t="shared" si="31"/>
        <v>0</v>
      </c>
      <c r="F80" s="237" t="e">
        <f t="shared" si="47"/>
        <v>#NUM!</v>
      </c>
      <c r="G80" s="238" t="e">
        <f>IF(D80="","",L79*Resumen!$L$86/1000)</f>
        <v>#NUM!</v>
      </c>
      <c r="H80" s="237" t="e">
        <f t="shared" si="5"/>
        <v>#NUM!</v>
      </c>
      <c r="I80" s="238" t="e">
        <f>IF($E$16=$V$1,0,IF(D80="","",Amortización!$AE$14))</f>
        <v>#NUM!</v>
      </c>
      <c r="J80" s="239">
        <f>IFERROR(IF(OR($E$11=Resumen!$N$6,$E$8=Resumen!$N$6),Amortización!F80*0.16,0),"")</f>
        <v>0</v>
      </c>
      <c r="K80" s="237">
        <f t="shared" si="6"/>
        <v>0</v>
      </c>
      <c r="L80" s="240">
        <f t="shared" si="7"/>
        <v>0</v>
      </c>
      <c r="M80" s="43" t="str">
        <f t="shared" si="1"/>
        <v/>
      </c>
      <c r="N80" s="44" t="str">
        <f t="shared" si="8"/>
        <v/>
      </c>
      <c r="O80" s="44" t="str">
        <f t="shared" si="9"/>
        <v/>
      </c>
      <c r="P80" s="44" t="str">
        <f t="shared" si="10"/>
        <v/>
      </c>
      <c r="Q80" s="242" t="str">
        <f>IF(OR(L79=0,L79=""),"",IF(E80&gt;=D80,0,$E$17*10%))</f>
        <v/>
      </c>
      <c r="R80" s="243" t="e">
        <f t="shared" si="41"/>
        <v>#NUM!</v>
      </c>
      <c r="S80" s="187"/>
      <c r="T80" s="187" t="str">
        <f t="shared" si="46"/>
        <v/>
      </c>
      <c r="U80" s="42" t="e">
        <f t="shared" si="13"/>
        <v>#NUM!</v>
      </c>
      <c r="V80" s="45">
        <f t="shared" si="14"/>
        <v>0</v>
      </c>
      <c r="W80" s="187"/>
      <c r="X80" s="272" t="b">
        <f t="shared" si="39"/>
        <v>0</v>
      </c>
      <c r="Y80" s="187">
        <v>0</v>
      </c>
      <c r="Z80" s="187"/>
      <c r="AB80" s="357" t="e">
        <f t="shared" si="15"/>
        <v>#N/A</v>
      </c>
      <c r="AG80" s="307">
        <f t="shared" si="16"/>
        <v>0</v>
      </c>
      <c r="AH80" s="283">
        <f t="shared" si="17"/>
        <v>0</v>
      </c>
      <c r="AI80" t="str">
        <f t="shared" si="18"/>
        <v/>
      </c>
      <c r="AK80" s="280" t="s">
        <v>382</v>
      </c>
      <c r="AL80" s="281">
        <v>7.2799999999999994</v>
      </c>
      <c r="AV80" s="36" t="str">
        <f t="shared" si="19"/>
        <v/>
      </c>
      <c r="AW80" s="37" t="e">
        <f t="shared" si="20"/>
        <v>#NUM!</v>
      </c>
      <c r="AX80" s="236" t="e">
        <f t="shared" si="21"/>
        <v>#NUM!</v>
      </c>
      <c r="AY80" s="237" t="e">
        <f t="shared" si="30"/>
        <v>#NUM!</v>
      </c>
      <c r="AZ80" s="238" t="e">
        <f t="shared" si="22"/>
        <v>#NUM!</v>
      </c>
      <c r="BA80" s="237" t="e">
        <f t="shared" si="23"/>
        <v>#NUM!</v>
      </c>
      <c r="BB80" s="238" t="e">
        <f t="shared" si="24"/>
        <v>#NUM!</v>
      </c>
      <c r="BC80" s="239">
        <f>IFERROR(IF(OR($E$11=Resumen!$N$6,$E$8=Resumen!$N$6),Amortización!AY80*0.16,0),"")</f>
        <v>0</v>
      </c>
      <c r="BD80" s="237">
        <f t="shared" si="25"/>
        <v>0</v>
      </c>
      <c r="BE80" s="240">
        <f t="shared" si="2"/>
        <v>0</v>
      </c>
      <c r="BF80" s="43" t="str">
        <f t="shared" si="3"/>
        <v/>
      </c>
      <c r="BH80" s="243" t="e">
        <f t="shared" si="42"/>
        <v>#NUM!</v>
      </c>
      <c r="BI80" s="187"/>
      <c r="BJ80" s="187" t="str">
        <f t="shared" si="27"/>
        <v/>
      </c>
      <c r="BK80" s="42" t="e">
        <f t="shared" si="28"/>
        <v>#NUM!</v>
      </c>
      <c r="BL80" s="45"/>
      <c r="BM80" s="242"/>
    </row>
    <row r="81" spans="3:65" ht="15.5" thickTop="1" thickBot="1" x14ac:dyDescent="0.4">
      <c r="C81" s="36" t="str">
        <f t="shared" si="45"/>
        <v/>
      </c>
      <c r="D81" s="37" t="e">
        <f t="shared" si="29"/>
        <v>#NUM!</v>
      </c>
      <c r="E81" s="236">
        <f t="shared" si="31"/>
        <v>0</v>
      </c>
      <c r="F81" s="237" t="e">
        <f t="shared" si="47"/>
        <v>#NUM!</v>
      </c>
      <c r="G81" s="238" t="e">
        <f>IF(D81="","",L80*Resumen!$L$86/1000)</f>
        <v>#NUM!</v>
      </c>
      <c r="H81" s="237" t="e">
        <f t="shared" si="5"/>
        <v>#NUM!</v>
      </c>
      <c r="I81" s="238" t="e">
        <f>IF($E$16=$V$1,0,IF(D81="","",Amortización!$AE$14))</f>
        <v>#NUM!</v>
      </c>
      <c r="J81" s="239">
        <f>IFERROR(IF(OR($E$11=Resumen!$N$6,$E$8=Resumen!$N$6),Amortización!F81*0.16,0),"")</f>
        <v>0</v>
      </c>
      <c r="K81" s="237">
        <f t="shared" si="6"/>
        <v>0</v>
      </c>
      <c r="L81" s="240">
        <f t="shared" si="7"/>
        <v>0</v>
      </c>
      <c r="M81" s="43" t="str">
        <f t="shared" si="1"/>
        <v/>
      </c>
      <c r="N81" s="44" t="str">
        <f t="shared" si="8"/>
        <v/>
      </c>
      <c r="O81" s="44" t="str">
        <f t="shared" si="9"/>
        <v/>
      </c>
      <c r="P81" s="44" t="str">
        <f t="shared" si="10"/>
        <v/>
      </c>
      <c r="Q81" s="242"/>
      <c r="R81" s="243" t="e">
        <f t="shared" si="41"/>
        <v>#NUM!</v>
      </c>
      <c r="S81" s="187"/>
      <c r="T81" s="187" t="str">
        <f t="shared" si="46"/>
        <v/>
      </c>
      <c r="U81" s="42" t="e">
        <f t="shared" si="13"/>
        <v>#NUM!</v>
      </c>
      <c r="V81" s="45">
        <f t="shared" si="14"/>
        <v>0</v>
      </c>
      <c r="W81" s="187"/>
      <c r="X81" s="272" t="b">
        <f t="shared" si="39"/>
        <v>0</v>
      </c>
      <c r="Y81" s="187">
        <v>0</v>
      </c>
      <c r="Z81" s="187"/>
      <c r="AB81" s="357" t="e">
        <f t="shared" si="15"/>
        <v>#N/A</v>
      </c>
      <c r="AG81" s="307">
        <f t="shared" si="16"/>
        <v>0</v>
      </c>
      <c r="AH81" s="283">
        <f t="shared" si="17"/>
        <v>0</v>
      </c>
      <c r="AI81" t="str">
        <f t="shared" si="18"/>
        <v/>
      </c>
      <c r="AL81" s="281"/>
      <c r="AV81" s="36" t="str">
        <f t="shared" si="19"/>
        <v/>
      </c>
      <c r="AW81" s="37" t="e">
        <f t="shared" si="20"/>
        <v>#NUM!</v>
      </c>
      <c r="AX81" s="236" t="e">
        <f t="shared" si="21"/>
        <v>#NUM!</v>
      </c>
      <c r="AY81" s="237" t="e">
        <f t="shared" si="30"/>
        <v>#NUM!</v>
      </c>
      <c r="AZ81" s="238" t="e">
        <f t="shared" si="22"/>
        <v>#NUM!</v>
      </c>
      <c r="BA81" s="237" t="e">
        <f t="shared" si="23"/>
        <v>#NUM!</v>
      </c>
      <c r="BB81" s="238" t="e">
        <f t="shared" si="24"/>
        <v>#NUM!</v>
      </c>
      <c r="BC81" s="239">
        <f>IFERROR(IF(OR($E$11=Resumen!$N$6,$E$8=Resumen!$N$6),Amortización!AY81*0.16,0),"")</f>
        <v>0</v>
      </c>
      <c r="BD81" s="237">
        <f t="shared" si="25"/>
        <v>0</v>
      </c>
      <c r="BE81" s="240">
        <f t="shared" si="2"/>
        <v>0</v>
      </c>
      <c r="BF81" s="43" t="str">
        <f t="shared" si="3"/>
        <v/>
      </c>
      <c r="BH81" s="243" t="e">
        <f t="shared" si="42"/>
        <v>#NUM!</v>
      </c>
      <c r="BI81" s="187"/>
      <c r="BJ81" s="187" t="str">
        <f t="shared" si="27"/>
        <v/>
      </c>
      <c r="BK81" s="42" t="e">
        <f t="shared" si="28"/>
        <v>#NUM!</v>
      </c>
      <c r="BL81" s="45"/>
      <c r="BM81" s="242"/>
    </row>
    <row r="82" spans="3:65" ht="15.5" thickTop="1" thickBot="1" x14ac:dyDescent="0.4">
      <c r="C82" s="36" t="str">
        <f t="shared" si="45"/>
        <v/>
      </c>
      <c r="D82" s="37" t="e">
        <f t="shared" si="29"/>
        <v>#NUM!</v>
      </c>
      <c r="E82" s="236">
        <f t="shared" si="31"/>
        <v>0</v>
      </c>
      <c r="F82" s="237" t="e">
        <f t="shared" si="47"/>
        <v>#NUM!</v>
      </c>
      <c r="G82" s="238" t="e">
        <f>IF(D82="","",L81*Resumen!$L$86/1000)</f>
        <v>#NUM!</v>
      </c>
      <c r="H82" s="237" t="e">
        <f t="shared" si="5"/>
        <v>#NUM!</v>
      </c>
      <c r="I82" s="238" t="e">
        <f>IF($E$16=$V$1,0,IF(D82="","",Amortización!$AE$14))</f>
        <v>#NUM!</v>
      </c>
      <c r="J82" s="239">
        <f>IFERROR(IF(OR($E$11=Resumen!$N$6,$E$8=Resumen!$N$6),Amortización!F82*0.16,0),"")</f>
        <v>0</v>
      </c>
      <c r="K82" s="237">
        <f t="shared" si="6"/>
        <v>0</v>
      </c>
      <c r="L82" s="240">
        <f t="shared" si="7"/>
        <v>0</v>
      </c>
      <c r="M82" s="43" t="str">
        <f t="shared" si="1"/>
        <v/>
      </c>
      <c r="N82" s="44" t="str">
        <f t="shared" si="8"/>
        <v/>
      </c>
      <c r="O82" s="44" t="str">
        <f t="shared" si="9"/>
        <v/>
      </c>
      <c r="P82" s="44" t="str">
        <f t="shared" si="10"/>
        <v/>
      </c>
      <c r="Q82" s="242" t="str">
        <f>IF(OR(L81=0,L81=""),"",IF(E82&gt;=D82,0,$E$17*10%))</f>
        <v/>
      </c>
      <c r="R82" s="243" t="e">
        <f t="shared" si="41"/>
        <v>#NUM!</v>
      </c>
      <c r="S82" s="187"/>
      <c r="T82" s="187" t="str">
        <f t="shared" si="46"/>
        <v/>
      </c>
      <c r="U82" s="42" t="e">
        <f t="shared" si="13"/>
        <v>#NUM!</v>
      </c>
      <c r="V82" s="45">
        <f t="shared" si="14"/>
        <v>0</v>
      </c>
      <c r="W82" s="187"/>
      <c r="X82" s="272" t="b">
        <f t="shared" si="39"/>
        <v>0</v>
      </c>
      <c r="Y82" s="187">
        <v>0</v>
      </c>
      <c r="Z82" s="187"/>
      <c r="AB82" s="357" t="e">
        <f t="shared" si="15"/>
        <v>#N/A</v>
      </c>
      <c r="AG82" s="307">
        <f t="shared" si="16"/>
        <v>0</v>
      </c>
      <c r="AH82" s="283">
        <f t="shared" si="17"/>
        <v>0</v>
      </c>
      <c r="AI82" t="str">
        <f t="shared" si="18"/>
        <v/>
      </c>
      <c r="AL82" s="280"/>
      <c r="AV82" s="36" t="str">
        <f t="shared" si="19"/>
        <v/>
      </c>
      <c r="AW82" s="37" t="e">
        <f t="shared" si="20"/>
        <v>#NUM!</v>
      </c>
      <c r="AX82" s="236" t="e">
        <f t="shared" si="21"/>
        <v>#NUM!</v>
      </c>
      <c r="AY82" s="237" t="e">
        <f t="shared" si="30"/>
        <v>#NUM!</v>
      </c>
      <c r="AZ82" s="238" t="e">
        <f t="shared" si="22"/>
        <v>#NUM!</v>
      </c>
      <c r="BA82" s="237" t="e">
        <f t="shared" si="23"/>
        <v>#NUM!</v>
      </c>
      <c r="BB82" s="238" t="e">
        <f t="shared" si="24"/>
        <v>#NUM!</v>
      </c>
      <c r="BC82" s="239">
        <f>IFERROR(IF(OR($E$11=Resumen!$N$6,$E$8=Resumen!$N$6),Amortización!AY82*0.16,0),"")</f>
        <v>0</v>
      </c>
      <c r="BD82" s="237">
        <f t="shared" si="25"/>
        <v>0</v>
      </c>
      <c r="BE82" s="240">
        <f t="shared" si="2"/>
        <v>0</v>
      </c>
      <c r="BF82" s="43" t="str">
        <f t="shared" si="3"/>
        <v/>
      </c>
      <c r="BH82" s="243" t="e">
        <f t="shared" si="42"/>
        <v>#NUM!</v>
      </c>
      <c r="BI82" s="187"/>
      <c r="BJ82" s="187" t="str">
        <f t="shared" si="27"/>
        <v/>
      </c>
      <c r="BK82" s="42" t="e">
        <f t="shared" si="28"/>
        <v>#NUM!</v>
      </c>
      <c r="BL82" s="45"/>
      <c r="BM82" s="242"/>
    </row>
    <row r="83" spans="3:65" ht="15.5" thickTop="1" thickBot="1" x14ac:dyDescent="0.4">
      <c r="C83" s="36" t="str">
        <f t="shared" si="45"/>
        <v/>
      </c>
      <c r="D83" s="37" t="e">
        <f t="shared" si="29"/>
        <v>#NUM!</v>
      </c>
      <c r="E83" s="236">
        <f t="shared" si="31"/>
        <v>0</v>
      </c>
      <c r="F83" s="237" t="e">
        <f t="shared" si="47"/>
        <v>#NUM!</v>
      </c>
      <c r="G83" s="238" t="e">
        <f>IF(D83="","",L82*Resumen!$L$86/1000)</f>
        <v>#NUM!</v>
      </c>
      <c r="H83" s="237" t="e">
        <f t="shared" si="5"/>
        <v>#NUM!</v>
      </c>
      <c r="I83" s="238" t="e">
        <f>IF($E$16=$V$1,0,IF(D83="","",Amortización!$AE$14))</f>
        <v>#NUM!</v>
      </c>
      <c r="J83" s="239">
        <f>IFERROR(IF(OR($E$11=Resumen!$N$6,$E$8=Resumen!$N$6),Amortización!F83*0.16,0),"")</f>
        <v>0</v>
      </c>
      <c r="K83" s="237">
        <f t="shared" si="6"/>
        <v>0</v>
      </c>
      <c r="L83" s="240">
        <f t="shared" si="7"/>
        <v>0</v>
      </c>
      <c r="M83" s="43" t="str">
        <f t="shared" si="1"/>
        <v/>
      </c>
      <c r="N83" s="44" t="str">
        <f t="shared" si="8"/>
        <v/>
      </c>
      <c r="O83" s="44" t="str">
        <f t="shared" si="9"/>
        <v/>
      </c>
      <c r="P83" s="44" t="str">
        <f t="shared" si="10"/>
        <v/>
      </c>
      <c r="Q83" s="242"/>
      <c r="R83" s="243" t="e">
        <f t="shared" si="41"/>
        <v>#NUM!</v>
      </c>
      <c r="S83" s="187"/>
      <c r="T83" s="187" t="str">
        <f t="shared" si="46"/>
        <v/>
      </c>
      <c r="U83" s="42" t="e">
        <f t="shared" si="13"/>
        <v>#NUM!</v>
      </c>
      <c r="V83" s="45">
        <f t="shared" si="14"/>
        <v>0</v>
      </c>
      <c r="W83" s="187"/>
      <c r="X83" s="272" t="b">
        <f t="shared" si="39"/>
        <v>0</v>
      </c>
      <c r="Y83" s="187">
        <v>0</v>
      </c>
      <c r="Z83" s="187"/>
      <c r="AB83" s="357" t="e">
        <f t="shared" si="15"/>
        <v>#N/A</v>
      </c>
      <c r="AG83" s="307">
        <f t="shared" si="16"/>
        <v>0</v>
      </c>
      <c r="AH83" s="283">
        <f t="shared" si="17"/>
        <v>0</v>
      </c>
      <c r="AI83" t="str">
        <f t="shared" si="18"/>
        <v/>
      </c>
      <c r="AL83" s="280"/>
      <c r="AV83" s="36" t="str">
        <f t="shared" si="19"/>
        <v/>
      </c>
      <c r="AW83" s="37" t="e">
        <f t="shared" si="20"/>
        <v>#NUM!</v>
      </c>
      <c r="AX83" s="236" t="e">
        <f t="shared" si="21"/>
        <v>#NUM!</v>
      </c>
      <c r="AY83" s="237" t="e">
        <f t="shared" si="30"/>
        <v>#NUM!</v>
      </c>
      <c r="AZ83" s="238" t="e">
        <f t="shared" si="22"/>
        <v>#NUM!</v>
      </c>
      <c r="BA83" s="237" t="e">
        <f t="shared" si="23"/>
        <v>#NUM!</v>
      </c>
      <c r="BB83" s="238" t="e">
        <f t="shared" si="24"/>
        <v>#NUM!</v>
      </c>
      <c r="BC83" s="239">
        <f>IFERROR(IF(OR($E$11=Resumen!$N$6,$E$8=Resumen!$N$6),Amortización!AY83*0.16,0),"")</f>
        <v>0</v>
      </c>
      <c r="BD83" s="237">
        <f t="shared" si="25"/>
        <v>0</v>
      </c>
      <c r="BE83" s="240">
        <f t="shared" si="2"/>
        <v>0</v>
      </c>
      <c r="BF83" s="43" t="str">
        <f t="shared" si="3"/>
        <v/>
      </c>
      <c r="BH83" s="243" t="e">
        <f t="shared" si="42"/>
        <v>#NUM!</v>
      </c>
      <c r="BI83" s="187"/>
      <c r="BJ83" s="187" t="str">
        <f t="shared" si="27"/>
        <v/>
      </c>
      <c r="BK83" s="42" t="e">
        <f t="shared" si="28"/>
        <v>#NUM!</v>
      </c>
      <c r="BL83" s="45"/>
      <c r="BM83" s="242"/>
    </row>
    <row r="84" spans="3:65" ht="15.5" thickTop="1" thickBot="1" x14ac:dyDescent="0.4">
      <c r="C84" s="36" t="str">
        <f t="shared" si="45"/>
        <v/>
      </c>
      <c r="D84" s="37" t="e">
        <f t="shared" si="29"/>
        <v>#NUM!</v>
      </c>
      <c r="E84" s="236">
        <f t="shared" si="31"/>
        <v>0</v>
      </c>
      <c r="F84" s="237" t="e">
        <f t="shared" si="47"/>
        <v>#NUM!</v>
      </c>
      <c r="G84" s="238" t="e">
        <f>IF(D84="","",L83*Resumen!$L$86/1000)</f>
        <v>#NUM!</v>
      </c>
      <c r="H84" s="237" t="e">
        <f t="shared" si="5"/>
        <v>#NUM!</v>
      </c>
      <c r="I84" s="238" t="e">
        <f>IF($E$16=$V$1,0,IF(D84="","",Amortización!$AE$14))</f>
        <v>#NUM!</v>
      </c>
      <c r="J84" s="239">
        <f>IFERROR(IF(OR($E$11=Resumen!$N$6,$E$8=Resumen!$N$6),Amortización!F84*0.16,0),"")</f>
        <v>0</v>
      </c>
      <c r="K84" s="237">
        <f t="shared" si="6"/>
        <v>0</v>
      </c>
      <c r="L84" s="240">
        <f t="shared" si="7"/>
        <v>0</v>
      </c>
      <c r="M84" s="43" t="str">
        <f t="shared" si="1"/>
        <v/>
      </c>
      <c r="N84" s="44" t="str">
        <f t="shared" si="8"/>
        <v/>
      </c>
      <c r="O84" s="44" t="str">
        <f t="shared" si="9"/>
        <v/>
      </c>
      <c r="P84" s="44" t="str">
        <f t="shared" si="10"/>
        <v/>
      </c>
      <c r="Q84" s="242" t="str">
        <f>IF(OR(L83=0,L83=""),"",IF(E84&gt;=D84,0,$E$17*10%))</f>
        <v/>
      </c>
      <c r="R84" s="243" t="e">
        <f t="shared" si="41"/>
        <v>#NUM!</v>
      </c>
      <c r="S84" s="187"/>
      <c r="T84" s="187" t="str">
        <f t="shared" si="46"/>
        <v/>
      </c>
      <c r="U84" s="42" t="e">
        <f t="shared" si="13"/>
        <v>#NUM!</v>
      </c>
      <c r="V84" s="45">
        <f t="shared" si="14"/>
        <v>0</v>
      </c>
      <c r="W84" s="187"/>
      <c r="X84" s="272" t="b">
        <f t="shared" si="39"/>
        <v>0</v>
      </c>
      <c r="Y84" s="187">
        <v>0</v>
      </c>
      <c r="Z84" s="187"/>
      <c r="AB84" s="357" t="e">
        <f t="shared" si="15"/>
        <v>#N/A</v>
      </c>
      <c r="AG84" s="307">
        <f t="shared" si="16"/>
        <v>0</v>
      </c>
      <c r="AH84" s="283">
        <f t="shared" si="17"/>
        <v>0</v>
      </c>
      <c r="AI84" t="str">
        <f t="shared" si="18"/>
        <v/>
      </c>
      <c r="AL84" s="280"/>
      <c r="AV84" s="36" t="str">
        <f t="shared" si="19"/>
        <v/>
      </c>
      <c r="AW84" s="37" t="e">
        <f t="shared" si="20"/>
        <v>#NUM!</v>
      </c>
      <c r="AX84" s="236" t="e">
        <f t="shared" si="21"/>
        <v>#NUM!</v>
      </c>
      <c r="AY84" s="237" t="e">
        <f t="shared" si="30"/>
        <v>#NUM!</v>
      </c>
      <c r="AZ84" s="238" t="e">
        <f t="shared" si="22"/>
        <v>#NUM!</v>
      </c>
      <c r="BA84" s="237" t="e">
        <f t="shared" si="23"/>
        <v>#NUM!</v>
      </c>
      <c r="BB84" s="238" t="e">
        <f t="shared" si="24"/>
        <v>#NUM!</v>
      </c>
      <c r="BC84" s="239">
        <f>IFERROR(IF(OR($E$11=Resumen!$N$6,$E$8=Resumen!$N$6),Amortización!AY84*0.16,0),"")</f>
        <v>0</v>
      </c>
      <c r="BD84" s="237">
        <f t="shared" si="25"/>
        <v>0</v>
      </c>
      <c r="BE84" s="240">
        <f t="shared" si="2"/>
        <v>0</v>
      </c>
      <c r="BF84" s="43" t="str">
        <f t="shared" si="3"/>
        <v/>
      </c>
      <c r="BH84" s="243" t="e">
        <f t="shared" si="42"/>
        <v>#NUM!</v>
      </c>
      <c r="BI84" s="187"/>
      <c r="BJ84" s="187" t="str">
        <f t="shared" si="27"/>
        <v/>
      </c>
      <c r="BK84" s="42" t="e">
        <f t="shared" si="28"/>
        <v>#NUM!</v>
      </c>
      <c r="BL84" s="45"/>
      <c r="BM84" s="242"/>
    </row>
    <row r="85" spans="3:65" ht="15.5" thickTop="1" thickBot="1" x14ac:dyDescent="0.4">
      <c r="C85" s="36" t="str">
        <f t="shared" si="45"/>
        <v/>
      </c>
      <c r="D85" s="37" t="e">
        <f t="shared" si="29"/>
        <v>#NUM!</v>
      </c>
      <c r="E85" s="236">
        <f t="shared" si="31"/>
        <v>0</v>
      </c>
      <c r="F85" s="237" t="e">
        <f t="shared" si="47"/>
        <v>#NUM!</v>
      </c>
      <c r="G85" s="238" t="e">
        <f>IF(D85="","",L84*Resumen!$L$86/1000)</f>
        <v>#NUM!</v>
      </c>
      <c r="H85" s="237" t="e">
        <f t="shared" si="5"/>
        <v>#NUM!</v>
      </c>
      <c r="I85" s="238" t="e">
        <f>IF($E$16=$V$1,0,IF(D85="","",Amortización!$AE$14))</f>
        <v>#NUM!</v>
      </c>
      <c r="J85" s="239">
        <f>IFERROR(IF(OR($E$11=Resumen!$N$6,$E$8=Resumen!$N$6),Amortización!F85*0.16,0),"")</f>
        <v>0</v>
      </c>
      <c r="K85" s="237">
        <f t="shared" si="6"/>
        <v>0</v>
      </c>
      <c r="L85" s="240">
        <f t="shared" si="7"/>
        <v>0</v>
      </c>
      <c r="M85" s="43" t="str">
        <f t="shared" ref="M85:M148" si="50">IF(OR(L84=0,L84=""),"",0)</f>
        <v/>
      </c>
      <c r="N85" s="44" t="str">
        <f t="shared" si="8"/>
        <v/>
      </c>
      <c r="O85" s="44" t="str">
        <f t="shared" si="9"/>
        <v/>
      </c>
      <c r="P85" s="44" t="str">
        <f t="shared" si="10"/>
        <v/>
      </c>
      <c r="Q85" s="242"/>
      <c r="R85" s="243" t="e">
        <f t="shared" si="41"/>
        <v>#NUM!</v>
      </c>
      <c r="S85" s="187"/>
      <c r="T85" s="187" t="str">
        <f t="shared" si="46"/>
        <v/>
      </c>
      <c r="U85" s="42" t="e">
        <f t="shared" si="13"/>
        <v>#NUM!</v>
      </c>
      <c r="V85" s="45">
        <f t="shared" si="14"/>
        <v>0</v>
      </c>
      <c r="W85" s="187"/>
      <c r="X85" s="272" t="b">
        <f t="shared" si="39"/>
        <v>0</v>
      </c>
      <c r="Y85" s="187">
        <v>0</v>
      </c>
      <c r="Z85" s="187"/>
      <c r="AB85" s="357" t="e">
        <f t="shared" si="15"/>
        <v>#N/A</v>
      </c>
      <c r="AG85" s="307">
        <f t="shared" si="16"/>
        <v>0</v>
      </c>
      <c r="AH85" s="283">
        <f t="shared" si="17"/>
        <v>0</v>
      </c>
      <c r="AI85" t="str">
        <f t="shared" si="18"/>
        <v/>
      </c>
      <c r="AL85" s="280"/>
      <c r="AV85" s="36" t="str">
        <f t="shared" si="19"/>
        <v/>
      </c>
      <c r="AW85" s="37" t="e">
        <f t="shared" si="20"/>
        <v>#NUM!</v>
      </c>
      <c r="AX85" s="236" t="e">
        <f t="shared" si="21"/>
        <v>#NUM!</v>
      </c>
      <c r="AY85" s="237" t="e">
        <f t="shared" si="30"/>
        <v>#NUM!</v>
      </c>
      <c r="AZ85" s="238" t="e">
        <f t="shared" si="22"/>
        <v>#NUM!</v>
      </c>
      <c r="BA85" s="237" t="e">
        <f t="shared" si="23"/>
        <v>#NUM!</v>
      </c>
      <c r="BB85" s="238" t="e">
        <f t="shared" si="24"/>
        <v>#NUM!</v>
      </c>
      <c r="BC85" s="239">
        <f>IFERROR(IF(OR($E$11=Resumen!$N$6,$E$8=Resumen!$N$6),Amortización!AY85*0.16,0),"")</f>
        <v>0</v>
      </c>
      <c r="BD85" s="237">
        <f t="shared" si="25"/>
        <v>0</v>
      </c>
      <c r="BE85" s="240">
        <f t="shared" ref="BE85:BE148" si="51">IFERROR(IF(AW85="","",IF((AW85-AX85-BY85)&lt;1,0,AW85-AX85-BY85)),0)</f>
        <v>0</v>
      </c>
      <c r="BF85" s="43" t="str">
        <f t="shared" ref="BF85:BF148" si="52">IF(OR(BE84=0,BE84=""),"",0)</f>
        <v/>
      </c>
      <c r="BH85" s="243" t="e">
        <f t="shared" si="42"/>
        <v>#NUM!</v>
      </c>
      <c r="BI85" s="187"/>
      <c r="BJ85" s="187" t="str">
        <f t="shared" si="27"/>
        <v/>
      </c>
      <c r="BK85" s="42" t="e">
        <f t="shared" si="28"/>
        <v>#NUM!</v>
      </c>
      <c r="BL85" s="45"/>
      <c r="BM85" s="242"/>
    </row>
    <row r="86" spans="3:65" ht="15.5" thickTop="1" thickBot="1" x14ac:dyDescent="0.4">
      <c r="C86" s="36" t="str">
        <f t="shared" si="45"/>
        <v/>
      </c>
      <c r="D86" s="37" t="e">
        <f t="shared" si="29"/>
        <v>#NUM!</v>
      </c>
      <c r="E86" s="236">
        <f t="shared" si="31"/>
        <v>0</v>
      </c>
      <c r="F86" s="237" t="e">
        <f t="shared" si="47"/>
        <v>#NUM!</v>
      </c>
      <c r="G86" s="238" t="e">
        <f>IF(D86="","",L85*Resumen!$L$86/1000)</f>
        <v>#NUM!</v>
      </c>
      <c r="H86" s="237" t="e">
        <f t="shared" ref="H86:H149" si="53">IF($E$16=$V$1,0,IF(D86="","",IF($E$11="Liquidez","0",AB86)))</f>
        <v>#NUM!</v>
      </c>
      <c r="I86" s="238" t="e">
        <f>IF($E$16=$V$1,0,IF(D86="","",Amortización!$AE$14))</f>
        <v>#NUM!</v>
      </c>
      <c r="J86" s="239">
        <f>IFERROR(IF(OR($E$11=Resumen!$N$6,$E$8=Resumen!$N$6),Amortización!F86*0.16,0),"")</f>
        <v>0</v>
      </c>
      <c r="K86" s="237">
        <f t="shared" ref="K86:K149" si="54">IFERROR(IF(D86="","",E86+F86+G86+H86+I86+Y86+J86),0)</f>
        <v>0</v>
      </c>
      <c r="L86" s="240">
        <f t="shared" ref="L86:L149" si="55">IFERROR(IF(D86="","",IF((D86-E86-AI86-Q86)&lt;1,0,D86-E86-AI86-Q86)),0)</f>
        <v>0</v>
      </c>
      <c r="M86" s="43" t="str">
        <f t="shared" si="50"/>
        <v/>
      </c>
      <c r="N86" s="44" t="str">
        <f t="shared" ref="N86:N149" si="56">IF(OR(O86="",O86=0),M86,M86-O86-P86)</f>
        <v/>
      </c>
      <c r="O86" s="44" t="str">
        <f t="shared" ref="O86:O149" si="57">IF(M86="","",IF(AND($H$12="Comisión pago anticipado",C86&lt;37),M86-(M86/(1+$K$12)),0))</f>
        <v/>
      </c>
      <c r="P86" s="44" t="str">
        <f t="shared" ref="P86:P149" si="58">IF(O86="","",IF(O86=0,0,O86*0.16))</f>
        <v/>
      </c>
      <c r="Q86" s="242" t="str">
        <f>IF(OR(L85=0,L85=""),"",IF(E86&gt;=D86,0,$E$17*10%))</f>
        <v/>
      </c>
      <c r="R86" s="243" t="e">
        <f t="shared" si="41"/>
        <v>#NUM!</v>
      </c>
      <c r="S86" s="187"/>
      <c r="T86" s="187" t="str">
        <f t="shared" si="46"/>
        <v/>
      </c>
      <c r="U86" s="42" t="e">
        <f t="shared" ref="U86:U149" si="59">IF(D86="","",E86+F86+G86+H86/1.16+I86+Q86)</f>
        <v>#NUM!</v>
      </c>
      <c r="V86" s="45">
        <f t="shared" ref="V86:V149" si="60">IF($E$16=$V$1,AI86,IF(ISNUMBER(T86),IF($E$14="Pago Fijo",PMT(R86/12,$K$11,-$K$9),X86*$K$15*$K$9/1000)+G86+AI86+Q86+H86/1.16+$AE$14,0))</f>
        <v>0</v>
      </c>
      <c r="W86" s="187"/>
      <c r="X86" s="272" t="b">
        <f t="shared" si="39"/>
        <v>0</v>
      </c>
      <c r="Y86" s="187">
        <v>0</v>
      </c>
      <c r="Z86" s="187"/>
      <c r="AB86" s="357" t="e">
        <f t="shared" ref="AB86:AB149" si="61">IF((($K$8*0.7)*($AE$13))&gt;L85*($AE$13),($K$8*0.7)*($AE$13),($AE$13)*L85)</f>
        <v>#N/A</v>
      </c>
      <c r="AG86" s="307">
        <f t="shared" ref="AG86:AG149" si="62">IF($AH$20=0,0,IF(N86&gt;AH85,MAX(0,N86-AH85),N86))</f>
        <v>0</v>
      </c>
      <c r="AH86" s="283">
        <f t="shared" ref="AH86:AH149" si="63">IFERROR(MAX(0,AH85-N86),0)</f>
        <v>0</v>
      </c>
      <c r="AI86" t="str">
        <f t="shared" ref="AI86:AI149" si="64">IF($E$16="no",N86,IF(AH86&gt;0,0,AG86))</f>
        <v/>
      </c>
      <c r="AL86" s="280"/>
      <c r="AV86" s="36" t="str">
        <f t="shared" ref="AV86:AV149" si="65">IF(OR(BE85="",BE85=0),"",IF(AV85+1&gt;$K$11+$X$2,"",AV85+1))</f>
        <v/>
      </c>
      <c r="AW86" s="37" t="e">
        <f t="shared" ref="AW86:AW149" si="66">IF(IF(AW85="","",AW85-AX85-BM85-BY85)&lt;0.01,"",IF(AW85="","",BE85))</f>
        <v>#NUM!</v>
      </c>
      <c r="AX86" s="236" t="e">
        <f t="shared" ref="AX86:AX149" si="67">IF($E$16=$V$1,0,IF(AW86="","",PMT($AY$10/12,$AY$11,-$AW$21)-AY86))</f>
        <v>#NUM!</v>
      </c>
      <c r="AY86" s="237" t="e">
        <f t="shared" si="30"/>
        <v>#NUM!</v>
      </c>
      <c r="AZ86" s="238" t="e">
        <f t="shared" ref="AZ86:AZ149" si="68">IF($E$16=$V$1,0,IF(AW86="","",BE85*0/1000))</f>
        <v>#NUM!</v>
      </c>
      <c r="BA86" s="237" t="e">
        <f t="shared" ref="BA86:BA149" si="69">IF($E$16=$V$1,0,IF(AW86="","",IF($E$11="Liquidez","0",0)))</f>
        <v>#NUM!</v>
      </c>
      <c r="BB86" s="238" t="e">
        <f t="shared" ref="BB86:BB149" si="70">IF($E$16=$V$1,0,IF(AW86="","",AW86*$AY$13/12))</f>
        <v>#NUM!</v>
      </c>
      <c r="BC86" s="239">
        <f>IFERROR(IF(OR($E$11=Resumen!$N$6,$E$8=Resumen!$N$6),Amortización!AY86*0.16,0),"")</f>
        <v>0</v>
      </c>
      <c r="BD86" s="237">
        <f t="shared" ref="BD86:BD149" si="71">IFERROR(IF(AW86="","",AX86+AY86+AZ86+BA86+BB86+BC86),0)</f>
        <v>0</v>
      </c>
      <c r="BE86" s="240">
        <f t="shared" si="51"/>
        <v>0</v>
      </c>
      <c r="BF86" s="43" t="str">
        <f t="shared" si="52"/>
        <v/>
      </c>
      <c r="BH86" s="243" t="e">
        <f t="shared" si="42"/>
        <v>#NUM!</v>
      </c>
      <c r="BI86" s="187"/>
      <c r="BJ86" s="187" t="str">
        <f t="shared" ref="BJ86:BJ149" si="72">AV86</f>
        <v/>
      </c>
      <c r="BK86" s="42" t="e">
        <f t="shared" ref="BK86:BK149" si="73">IF(AW86="","",AX86+AY86+AZ86+BA86/1.16+BB86/1.16)</f>
        <v>#NUM!</v>
      </c>
      <c r="BL86" s="45"/>
      <c r="BM86" s="242"/>
    </row>
    <row r="87" spans="3:65" ht="15.5" thickTop="1" thickBot="1" x14ac:dyDescent="0.4">
      <c r="C87" s="36" t="str">
        <f t="shared" ref="C87:C150" si="74">IF(OR(L86="",L86=0),"",IF(C86+1&gt;$K$11+$X$2,"",C86+1))</f>
        <v/>
      </c>
      <c r="D87" s="37" t="e">
        <f t="shared" ref="D87:D150" si="75">IF(IF(D86="","",D86-E86-Q86-AI86)&lt;0.01,"",IF(D86="","",L86))</f>
        <v>#NUM!</v>
      </c>
      <c r="E87" s="236">
        <f t="shared" si="31"/>
        <v>0</v>
      </c>
      <c r="F87" s="237" t="e">
        <f t="shared" si="47"/>
        <v>#NUM!</v>
      </c>
      <c r="G87" s="238" t="e">
        <f>IF(D87="","",L86*Resumen!$L$86/1000)</f>
        <v>#NUM!</v>
      </c>
      <c r="H87" s="237" t="e">
        <f t="shared" si="53"/>
        <v>#NUM!</v>
      </c>
      <c r="I87" s="238" t="e">
        <f>IF($E$16=$V$1,0,IF(D87="","",Amortización!$AE$14))</f>
        <v>#NUM!</v>
      </c>
      <c r="J87" s="239">
        <f>IFERROR(IF(OR($E$11=Resumen!$N$6,$E$8=Resumen!$N$6),Amortización!F87*0.16,0),"")</f>
        <v>0</v>
      </c>
      <c r="K87" s="237">
        <f t="shared" si="54"/>
        <v>0</v>
      </c>
      <c r="L87" s="240">
        <f t="shared" si="55"/>
        <v>0</v>
      </c>
      <c r="M87" s="43" t="str">
        <f t="shared" si="50"/>
        <v/>
      </c>
      <c r="N87" s="44" t="str">
        <f t="shared" si="56"/>
        <v/>
      </c>
      <c r="O87" s="44" t="str">
        <f t="shared" si="57"/>
        <v/>
      </c>
      <c r="P87" s="44" t="str">
        <f t="shared" si="58"/>
        <v/>
      </c>
      <c r="Q87" s="242"/>
      <c r="R87" s="243" t="e">
        <f t="shared" ref="R87:R150" si="76">IF(D87="","",R86)</f>
        <v>#NUM!</v>
      </c>
      <c r="S87" s="187"/>
      <c r="T87" s="187" t="str">
        <f t="shared" ref="T87:T150" si="77">C87</f>
        <v/>
      </c>
      <c r="U87" s="42" t="e">
        <f t="shared" si="59"/>
        <v>#NUM!</v>
      </c>
      <c r="V87" s="45">
        <f t="shared" si="60"/>
        <v>0</v>
      </c>
      <c r="W87" s="187"/>
      <c r="X87" s="272" t="b">
        <f t="shared" si="39"/>
        <v>0</v>
      </c>
      <c r="Y87" s="187">
        <v>0</v>
      </c>
      <c r="Z87" s="187"/>
      <c r="AB87" s="357" t="e">
        <f t="shared" si="61"/>
        <v>#N/A</v>
      </c>
      <c r="AG87" s="307">
        <f t="shared" si="62"/>
        <v>0</v>
      </c>
      <c r="AH87" s="283">
        <f t="shared" si="63"/>
        <v>0</v>
      </c>
      <c r="AI87" t="str">
        <f t="shared" si="64"/>
        <v/>
      </c>
      <c r="AV87" s="36" t="str">
        <f t="shared" si="65"/>
        <v/>
      </c>
      <c r="AW87" s="37" t="e">
        <f t="shared" si="66"/>
        <v>#NUM!</v>
      </c>
      <c r="AX87" s="236" t="e">
        <f t="shared" si="67"/>
        <v>#NUM!</v>
      </c>
      <c r="AY87" s="237" t="e">
        <f t="shared" si="30"/>
        <v>#NUM!</v>
      </c>
      <c r="AZ87" s="238" t="e">
        <f t="shared" si="68"/>
        <v>#NUM!</v>
      </c>
      <c r="BA87" s="237" t="e">
        <f t="shared" si="69"/>
        <v>#NUM!</v>
      </c>
      <c r="BB87" s="238" t="e">
        <f t="shared" si="70"/>
        <v>#NUM!</v>
      </c>
      <c r="BC87" s="239">
        <f>IFERROR(IF(OR($E$11=Resumen!$N$6,$E$8=Resumen!$N$6),Amortización!AY87*0.16,0),"")</f>
        <v>0</v>
      </c>
      <c r="BD87" s="237">
        <f t="shared" si="71"/>
        <v>0</v>
      </c>
      <c r="BE87" s="240">
        <f t="shared" si="51"/>
        <v>0</v>
      </c>
      <c r="BF87" s="43" t="str">
        <f t="shared" si="52"/>
        <v/>
      </c>
      <c r="BH87" s="243" t="e">
        <f t="shared" si="42"/>
        <v>#NUM!</v>
      </c>
      <c r="BI87" s="187"/>
      <c r="BJ87" s="187" t="str">
        <f t="shared" si="72"/>
        <v/>
      </c>
      <c r="BK87" s="42" t="e">
        <f t="shared" si="73"/>
        <v>#NUM!</v>
      </c>
      <c r="BL87" s="45"/>
      <c r="BM87" s="242"/>
    </row>
    <row r="88" spans="3:65" ht="15.5" thickTop="1" thickBot="1" x14ac:dyDescent="0.4">
      <c r="C88" s="36" t="str">
        <f t="shared" si="74"/>
        <v/>
      </c>
      <c r="D88" s="37" t="e">
        <f t="shared" si="75"/>
        <v>#NUM!</v>
      </c>
      <c r="E88" s="236">
        <f t="shared" si="31"/>
        <v>0</v>
      </c>
      <c r="F88" s="237" t="e">
        <f t="shared" si="47"/>
        <v>#NUM!</v>
      </c>
      <c r="G88" s="238" t="e">
        <f>IF(D88="","",L87*Resumen!$L$86/1000)</f>
        <v>#NUM!</v>
      </c>
      <c r="H88" s="237" t="e">
        <f t="shared" si="53"/>
        <v>#NUM!</v>
      </c>
      <c r="I88" s="238" t="e">
        <f>IF($E$16=$V$1,0,IF(D88="","",Amortización!$AE$14))</f>
        <v>#NUM!</v>
      </c>
      <c r="J88" s="239">
        <f>IFERROR(IF(OR($E$11=Resumen!$N$6,$E$8=Resumen!$N$6),Amortización!F88*0.16,0),"")</f>
        <v>0</v>
      </c>
      <c r="K88" s="237">
        <f t="shared" si="54"/>
        <v>0</v>
      </c>
      <c r="L88" s="240">
        <f t="shared" si="55"/>
        <v>0</v>
      </c>
      <c r="M88" s="43" t="str">
        <f t="shared" si="50"/>
        <v/>
      </c>
      <c r="N88" s="44" t="str">
        <f t="shared" si="56"/>
        <v/>
      </c>
      <c r="O88" s="44" t="str">
        <f t="shared" si="57"/>
        <v/>
      </c>
      <c r="P88" s="44" t="str">
        <f t="shared" si="58"/>
        <v/>
      </c>
      <c r="Q88" s="242" t="str">
        <f>IF(OR(L87=0,L87=""),"",IF(E88&gt;=D88,0,$E$17*10%))</f>
        <v/>
      </c>
      <c r="R88" s="243" t="e">
        <f t="shared" si="76"/>
        <v>#NUM!</v>
      </c>
      <c r="S88" s="187"/>
      <c r="T88" s="187" t="str">
        <f t="shared" si="77"/>
        <v/>
      </c>
      <c r="U88" s="42" t="e">
        <f t="shared" si="59"/>
        <v>#NUM!</v>
      </c>
      <c r="V88" s="45">
        <f t="shared" si="60"/>
        <v>0</v>
      </c>
      <c r="W88" s="187"/>
      <c r="X88" s="272" t="b">
        <f t="shared" si="39"/>
        <v>0</v>
      </c>
      <c r="Y88" s="187">
        <v>0</v>
      </c>
      <c r="Z88" s="187"/>
      <c r="AB88" s="357" t="e">
        <f t="shared" si="61"/>
        <v>#N/A</v>
      </c>
      <c r="AG88" s="307">
        <f t="shared" si="62"/>
        <v>0</v>
      </c>
      <c r="AH88" s="283">
        <f t="shared" si="63"/>
        <v>0</v>
      </c>
      <c r="AI88" t="str">
        <f t="shared" si="64"/>
        <v/>
      </c>
      <c r="AV88" s="36" t="str">
        <f t="shared" si="65"/>
        <v/>
      </c>
      <c r="AW88" s="37" t="e">
        <f t="shared" si="66"/>
        <v>#NUM!</v>
      </c>
      <c r="AX88" s="236" t="e">
        <f t="shared" si="67"/>
        <v>#NUM!</v>
      </c>
      <c r="AY88" s="237" t="e">
        <f t="shared" ref="AY88:AY151" si="78">IF(AW88="","",AW88*(BH88/12))</f>
        <v>#NUM!</v>
      </c>
      <c r="AZ88" s="238" t="e">
        <f t="shared" si="68"/>
        <v>#NUM!</v>
      </c>
      <c r="BA88" s="237" t="e">
        <f t="shared" si="69"/>
        <v>#NUM!</v>
      </c>
      <c r="BB88" s="238" t="e">
        <f t="shared" si="70"/>
        <v>#NUM!</v>
      </c>
      <c r="BC88" s="239">
        <f>IFERROR(IF(OR($E$11=Resumen!$N$6,$E$8=Resumen!$N$6),Amortización!AY88*0.16,0),"")</f>
        <v>0</v>
      </c>
      <c r="BD88" s="237">
        <f t="shared" si="71"/>
        <v>0</v>
      </c>
      <c r="BE88" s="240">
        <f t="shared" si="51"/>
        <v>0</v>
      </c>
      <c r="BF88" s="43" t="str">
        <f t="shared" si="52"/>
        <v/>
      </c>
      <c r="BH88" s="243" t="e">
        <f t="shared" si="42"/>
        <v>#NUM!</v>
      </c>
      <c r="BI88" s="187"/>
      <c r="BJ88" s="187" t="str">
        <f t="shared" si="72"/>
        <v/>
      </c>
      <c r="BK88" s="42" t="e">
        <f t="shared" si="73"/>
        <v>#NUM!</v>
      </c>
      <c r="BL88" s="45"/>
      <c r="BM88" s="242"/>
    </row>
    <row r="89" spans="3:65" ht="15.5" thickTop="1" thickBot="1" x14ac:dyDescent="0.4">
      <c r="C89" s="36" t="str">
        <f t="shared" si="74"/>
        <v/>
      </c>
      <c r="D89" s="37" t="e">
        <f t="shared" si="75"/>
        <v>#NUM!</v>
      </c>
      <c r="E89" s="236">
        <f t="shared" ref="E89:E152" si="79">IFERROR(IF($E$14&amp;$E$16=$X$4,PMT(R89/12,$K$11,-$K$9)-F89,IF(D89="","",IF($E$14="Pago Fijo",MIN(IF($E$15="Mensualidad",-PMT(R89/12,$K$11-C88,D89)-F89,-PMT(R89/12,$K$11,$K$9)-F89),D89),MIN(X89*$K$9*$K$15/1000-F89,D89)))),0)</f>
        <v>0</v>
      </c>
      <c r="F89" s="237" t="e">
        <f t="shared" si="47"/>
        <v>#NUM!</v>
      </c>
      <c r="G89" s="238" t="e">
        <f>IF(D89="","",L88*Resumen!$L$86/1000)</f>
        <v>#NUM!</v>
      </c>
      <c r="H89" s="237" t="e">
        <f t="shared" si="53"/>
        <v>#NUM!</v>
      </c>
      <c r="I89" s="238" t="e">
        <f>IF($E$16=$V$1,0,IF(D89="","",Amortización!$AE$14))</f>
        <v>#NUM!</v>
      </c>
      <c r="J89" s="239">
        <f>IFERROR(IF(OR($E$11=Resumen!$N$6,$E$8=Resumen!$N$6),Amortización!F89*0.16,0),"")</f>
        <v>0</v>
      </c>
      <c r="K89" s="237">
        <f t="shared" si="54"/>
        <v>0</v>
      </c>
      <c r="L89" s="240">
        <f t="shared" si="55"/>
        <v>0</v>
      </c>
      <c r="M89" s="43" t="str">
        <f t="shared" si="50"/>
        <v/>
      </c>
      <c r="N89" s="44" t="str">
        <f t="shared" si="56"/>
        <v/>
      </c>
      <c r="O89" s="44" t="str">
        <f t="shared" si="57"/>
        <v/>
      </c>
      <c r="P89" s="44" t="str">
        <f t="shared" si="58"/>
        <v/>
      </c>
      <c r="Q89" s="242"/>
      <c r="R89" s="243" t="e">
        <f t="shared" si="76"/>
        <v>#NUM!</v>
      </c>
      <c r="S89" s="187"/>
      <c r="T89" s="187" t="str">
        <f t="shared" si="77"/>
        <v/>
      </c>
      <c r="U89" s="42" t="e">
        <f t="shared" si="59"/>
        <v>#NUM!</v>
      </c>
      <c r="V89" s="45">
        <f t="shared" si="60"/>
        <v>0</v>
      </c>
      <c r="W89" s="187"/>
      <c r="X89" s="272" t="b">
        <f t="shared" si="39"/>
        <v>0</v>
      </c>
      <c r="Y89" s="187">
        <v>0</v>
      </c>
      <c r="Z89" s="187"/>
      <c r="AB89" s="357" t="e">
        <f t="shared" si="61"/>
        <v>#N/A</v>
      </c>
      <c r="AG89" s="307">
        <f t="shared" si="62"/>
        <v>0</v>
      </c>
      <c r="AH89" s="283">
        <f t="shared" si="63"/>
        <v>0</v>
      </c>
      <c r="AI89" t="str">
        <f t="shared" si="64"/>
        <v/>
      </c>
      <c r="AV89" s="36" t="str">
        <f t="shared" si="65"/>
        <v/>
      </c>
      <c r="AW89" s="37" t="e">
        <f t="shared" si="66"/>
        <v>#NUM!</v>
      </c>
      <c r="AX89" s="236" t="e">
        <f t="shared" si="67"/>
        <v>#NUM!</v>
      </c>
      <c r="AY89" s="237" t="e">
        <f t="shared" si="78"/>
        <v>#NUM!</v>
      </c>
      <c r="AZ89" s="238" t="e">
        <f t="shared" si="68"/>
        <v>#NUM!</v>
      </c>
      <c r="BA89" s="237" t="e">
        <f t="shared" si="69"/>
        <v>#NUM!</v>
      </c>
      <c r="BB89" s="238" t="e">
        <f t="shared" si="70"/>
        <v>#NUM!</v>
      </c>
      <c r="BC89" s="239">
        <f>IFERROR(IF(OR($E$11=Resumen!$N$6,$E$8=Resumen!$N$6),Amortización!AY89*0.16,0),"")</f>
        <v>0</v>
      </c>
      <c r="BD89" s="237">
        <f t="shared" si="71"/>
        <v>0</v>
      </c>
      <c r="BE89" s="240">
        <f t="shared" si="51"/>
        <v>0</v>
      </c>
      <c r="BF89" s="43" t="str">
        <f t="shared" si="52"/>
        <v/>
      </c>
      <c r="BH89" s="243" t="e">
        <f t="shared" si="42"/>
        <v>#NUM!</v>
      </c>
      <c r="BI89" s="187"/>
      <c r="BJ89" s="187" t="str">
        <f t="shared" si="72"/>
        <v/>
      </c>
      <c r="BK89" s="42" t="e">
        <f t="shared" si="73"/>
        <v>#NUM!</v>
      </c>
      <c r="BL89" s="45"/>
      <c r="BM89" s="242"/>
    </row>
    <row r="90" spans="3:65" ht="15.5" thickTop="1" thickBot="1" x14ac:dyDescent="0.4">
      <c r="C90" s="36" t="str">
        <f t="shared" si="74"/>
        <v/>
      </c>
      <c r="D90" s="37" t="e">
        <f t="shared" si="75"/>
        <v>#NUM!</v>
      </c>
      <c r="E90" s="236">
        <f t="shared" si="79"/>
        <v>0</v>
      </c>
      <c r="F90" s="237" t="e">
        <f t="shared" ref="F90:F153" si="80">IF(D90="","",D90*(R90/12))</f>
        <v>#NUM!</v>
      </c>
      <c r="G90" s="238" t="e">
        <f>IF(D90="","",L89*Resumen!$L$86/1000)</f>
        <v>#NUM!</v>
      </c>
      <c r="H90" s="237" t="e">
        <f t="shared" si="53"/>
        <v>#NUM!</v>
      </c>
      <c r="I90" s="238" t="e">
        <f>IF($E$16=$V$1,0,IF(D90="","",Amortización!$AE$14))</f>
        <v>#NUM!</v>
      </c>
      <c r="J90" s="239">
        <f>IFERROR(IF(OR($E$11=Resumen!$N$6,$E$8=Resumen!$N$6),Amortización!F90*0.16,0),"")</f>
        <v>0</v>
      </c>
      <c r="K90" s="237">
        <f t="shared" si="54"/>
        <v>0</v>
      </c>
      <c r="L90" s="240">
        <f t="shared" si="55"/>
        <v>0</v>
      </c>
      <c r="M90" s="43">
        <v>0</v>
      </c>
      <c r="N90" s="44">
        <f t="shared" si="56"/>
        <v>0</v>
      </c>
      <c r="O90" s="44">
        <f t="shared" si="57"/>
        <v>0</v>
      </c>
      <c r="P90" s="44">
        <f t="shared" si="58"/>
        <v>0</v>
      </c>
      <c r="Q90" s="242" t="str">
        <f>IF(OR(L89=0,L89=""),"",IF(E90&gt;=D90,0,$E$17*10%))</f>
        <v/>
      </c>
      <c r="R90" s="243" t="e">
        <f t="shared" si="76"/>
        <v>#NUM!</v>
      </c>
      <c r="S90" s="187"/>
      <c r="T90" s="187" t="str">
        <f t="shared" si="77"/>
        <v/>
      </c>
      <c r="U90" s="42" t="e">
        <f t="shared" si="59"/>
        <v>#NUM!</v>
      </c>
      <c r="V90" s="45">
        <f t="shared" si="60"/>
        <v>0</v>
      </c>
      <c r="W90" s="187"/>
      <c r="X90" s="272" t="b">
        <f t="shared" si="39"/>
        <v>0</v>
      </c>
      <c r="Y90" s="187">
        <v>0</v>
      </c>
      <c r="Z90" s="187"/>
      <c r="AB90" s="357" t="e">
        <f t="shared" si="61"/>
        <v>#N/A</v>
      </c>
      <c r="AG90" s="307">
        <f t="shared" si="62"/>
        <v>0</v>
      </c>
      <c r="AH90" s="283">
        <f t="shared" si="63"/>
        <v>0</v>
      </c>
      <c r="AI90">
        <f t="shared" si="64"/>
        <v>0</v>
      </c>
      <c r="AV90" s="36" t="str">
        <f t="shared" si="65"/>
        <v/>
      </c>
      <c r="AW90" s="37" t="e">
        <f t="shared" si="66"/>
        <v>#NUM!</v>
      </c>
      <c r="AX90" s="236" t="e">
        <f t="shared" si="67"/>
        <v>#NUM!</v>
      </c>
      <c r="AY90" s="237" t="e">
        <f t="shared" si="78"/>
        <v>#NUM!</v>
      </c>
      <c r="AZ90" s="238" t="e">
        <f t="shared" si="68"/>
        <v>#NUM!</v>
      </c>
      <c r="BA90" s="237" t="e">
        <f t="shared" si="69"/>
        <v>#NUM!</v>
      </c>
      <c r="BB90" s="238" t="e">
        <f t="shared" si="70"/>
        <v>#NUM!</v>
      </c>
      <c r="BC90" s="239">
        <f>IFERROR(IF(OR($E$11=Resumen!$N$6,$E$8=Resumen!$N$6),Amortización!AY90*0.16,0),"")</f>
        <v>0</v>
      </c>
      <c r="BD90" s="237">
        <f t="shared" si="71"/>
        <v>0</v>
      </c>
      <c r="BE90" s="240">
        <f t="shared" si="51"/>
        <v>0</v>
      </c>
      <c r="BF90" s="43" t="str">
        <f t="shared" si="52"/>
        <v/>
      </c>
      <c r="BH90" s="243" t="e">
        <f t="shared" si="42"/>
        <v>#NUM!</v>
      </c>
      <c r="BI90" s="187"/>
      <c r="BJ90" s="187" t="str">
        <f t="shared" si="72"/>
        <v/>
      </c>
      <c r="BK90" s="42" t="e">
        <f t="shared" si="73"/>
        <v>#NUM!</v>
      </c>
      <c r="BL90" s="45"/>
      <c r="BM90" s="242"/>
    </row>
    <row r="91" spans="3:65" ht="15.5" thickTop="1" thickBot="1" x14ac:dyDescent="0.4">
      <c r="C91" s="36" t="str">
        <f t="shared" si="74"/>
        <v/>
      </c>
      <c r="D91" s="37" t="e">
        <f t="shared" si="75"/>
        <v>#NUM!</v>
      </c>
      <c r="E91" s="236">
        <f t="shared" si="79"/>
        <v>0</v>
      </c>
      <c r="F91" s="237" t="e">
        <f t="shared" si="80"/>
        <v>#NUM!</v>
      </c>
      <c r="G91" s="238" t="e">
        <f>IF(D91="","",L90*Resumen!$L$86/1000)</f>
        <v>#NUM!</v>
      </c>
      <c r="H91" s="237" t="e">
        <f t="shared" si="53"/>
        <v>#NUM!</v>
      </c>
      <c r="I91" s="238" t="e">
        <f>IF($E$16=$V$1,0,IF(D91="","",Amortización!$AE$14))</f>
        <v>#NUM!</v>
      </c>
      <c r="J91" s="239">
        <f>IFERROR(IF(OR($E$11=Resumen!$N$6,$E$8=Resumen!$N$6),Amortización!F91*0.16,0),"")</f>
        <v>0</v>
      </c>
      <c r="K91" s="237">
        <f t="shared" si="54"/>
        <v>0</v>
      </c>
      <c r="L91" s="240">
        <f t="shared" si="55"/>
        <v>0</v>
      </c>
      <c r="M91" s="43" t="str">
        <f t="shared" si="50"/>
        <v/>
      </c>
      <c r="N91" s="44" t="str">
        <f t="shared" si="56"/>
        <v/>
      </c>
      <c r="O91" s="44" t="str">
        <f t="shared" si="57"/>
        <v/>
      </c>
      <c r="P91" s="44" t="str">
        <f t="shared" si="58"/>
        <v/>
      </c>
      <c r="Q91" s="242"/>
      <c r="R91" s="243" t="e">
        <f t="shared" si="76"/>
        <v>#NUM!</v>
      </c>
      <c r="S91" s="187"/>
      <c r="T91" s="187" t="str">
        <f t="shared" si="77"/>
        <v/>
      </c>
      <c r="U91" s="42" t="e">
        <f t="shared" si="59"/>
        <v>#NUM!</v>
      </c>
      <c r="V91" s="45">
        <f t="shared" si="60"/>
        <v>0</v>
      </c>
      <c r="W91" s="187"/>
      <c r="X91" s="272" t="b">
        <f t="shared" si="39"/>
        <v>0</v>
      </c>
      <c r="Y91" s="187">
        <v>0</v>
      </c>
      <c r="Z91" s="187"/>
      <c r="AB91" s="357" t="e">
        <f t="shared" si="61"/>
        <v>#N/A</v>
      </c>
      <c r="AG91" s="307">
        <f t="shared" si="62"/>
        <v>0</v>
      </c>
      <c r="AH91" s="283">
        <f t="shared" si="63"/>
        <v>0</v>
      </c>
      <c r="AI91" t="str">
        <f t="shared" si="64"/>
        <v/>
      </c>
      <c r="AV91" s="36" t="str">
        <f t="shared" si="65"/>
        <v/>
      </c>
      <c r="AW91" s="37" t="e">
        <f t="shared" si="66"/>
        <v>#NUM!</v>
      </c>
      <c r="AX91" s="236" t="e">
        <f t="shared" si="67"/>
        <v>#NUM!</v>
      </c>
      <c r="AY91" s="237" t="e">
        <f t="shared" si="78"/>
        <v>#NUM!</v>
      </c>
      <c r="AZ91" s="238" t="e">
        <f t="shared" si="68"/>
        <v>#NUM!</v>
      </c>
      <c r="BA91" s="237" t="e">
        <f t="shared" si="69"/>
        <v>#NUM!</v>
      </c>
      <c r="BB91" s="238" t="e">
        <f t="shared" si="70"/>
        <v>#NUM!</v>
      </c>
      <c r="BC91" s="239">
        <f>IFERROR(IF(OR($E$11=Resumen!$N$6,$E$8=Resumen!$N$6),Amortización!AY91*0.16,0),"")</f>
        <v>0</v>
      </c>
      <c r="BD91" s="237">
        <f t="shared" si="71"/>
        <v>0</v>
      </c>
      <c r="BE91" s="240">
        <f t="shared" si="51"/>
        <v>0</v>
      </c>
      <c r="BF91" s="43" t="str">
        <f t="shared" si="52"/>
        <v/>
      </c>
      <c r="BH91" s="243" t="e">
        <f t="shared" si="42"/>
        <v>#NUM!</v>
      </c>
      <c r="BI91" s="187"/>
      <c r="BJ91" s="187" t="str">
        <f t="shared" si="72"/>
        <v/>
      </c>
      <c r="BK91" s="42" t="e">
        <f t="shared" si="73"/>
        <v>#NUM!</v>
      </c>
      <c r="BL91" s="45"/>
      <c r="BM91" s="242"/>
    </row>
    <row r="92" spans="3:65" ht="15.5" thickTop="1" thickBot="1" x14ac:dyDescent="0.4">
      <c r="C92" s="36" t="str">
        <f t="shared" si="74"/>
        <v/>
      </c>
      <c r="D92" s="37" t="e">
        <f t="shared" si="75"/>
        <v>#NUM!</v>
      </c>
      <c r="E92" s="236">
        <f t="shared" si="79"/>
        <v>0</v>
      </c>
      <c r="F92" s="237" t="e">
        <f t="shared" si="80"/>
        <v>#NUM!</v>
      </c>
      <c r="G92" s="238" t="e">
        <f>IF(D92="","",L91*Resumen!$L$86/1000)</f>
        <v>#NUM!</v>
      </c>
      <c r="H92" s="237" t="e">
        <f t="shared" si="53"/>
        <v>#NUM!</v>
      </c>
      <c r="I92" s="238" t="e">
        <f>IF($E$16=$V$1,0,IF(D92="","",Amortización!$AE$14))</f>
        <v>#NUM!</v>
      </c>
      <c r="J92" s="239">
        <f>IFERROR(IF(OR($E$11=Resumen!$N$6,$E$8=Resumen!$N$6),Amortización!F92*0.16,0),"")</f>
        <v>0</v>
      </c>
      <c r="K92" s="237">
        <f t="shared" si="54"/>
        <v>0</v>
      </c>
      <c r="L92" s="240">
        <f t="shared" si="55"/>
        <v>0</v>
      </c>
      <c r="M92" s="43" t="str">
        <f t="shared" si="50"/>
        <v/>
      </c>
      <c r="N92" s="44" t="str">
        <f t="shared" si="56"/>
        <v/>
      </c>
      <c r="O92" s="44" t="str">
        <f t="shared" si="57"/>
        <v/>
      </c>
      <c r="P92" s="44" t="str">
        <f t="shared" si="58"/>
        <v/>
      </c>
      <c r="Q92" s="242" t="str">
        <f>IF(OR(L91=0,L91=""),"",IF(E92&gt;=D92,0,$E$17*10%))</f>
        <v/>
      </c>
      <c r="R92" s="243" t="e">
        <f t="shared" si="76"/>
        <v>#NUM!</v>
      </c>
      <c r="S92" s="187"/>
      <c r="T92" s="187" t="str">
        <f t="shared" si="77"/>
        <v/>
      </c>
      <c r="U92" s="42" t="e">
        <f t="shared" si="59"/>
        <v>#NUM!</v>
      </c>
      <c r="V92" s="45">
        <f t="shared" si="60"/>
        <v>0</v>
      </c>
      <c r="W92" s="187"/>
      <c r="X92" s="272" t="b">
        <f t="shared" si="39"/>
        <v>0</v>
      </c>
      <c r="Y92" s="187">
        <v>0</v>
      </c>
      <c r="Z92" s="187"/>
      <c r="AB92" s="357" t="e">
        <f t="shared" si="61"/>
        <v>#N/A</v>
      </c>
      <c r="AG92" s="307">
        <f t="shared" si="62"/>
        <v>0</v>
      </c>
      <c r="AH92" s="283">
        <f t="shared" si="63"/>
        <v>0</v>
      </c>
      <c r="AI92" t="str">
        <f t="shared" si="64"/>
        <v/>
      </c>
      <c r="AV92" s="36" t="str">
        <f t="shared" si="65"/>
        <v/>
      </c>
      <c r="AW92" s="37" t="e">
        <f t="shared" si="66"/>
        <v>#NUM!</v>
      </c>
      <c r="AX92" s="236" t="e">
        <f t="shared" si="67"/>
        <v>#NUM!</v>
      </c>
      <c r="AY92" s="237" t="e">
        <f t="shared" si="78"/>
        <v>#NUM!</v>
      </c>
      <c r="AZ92" s="238" t="e">
        <f t="shared" si="68"/>
        <v>#NUM!</v>
      </c>
      <c r="BA92" s="237" t="e">
        <f t="shared" si="69"/>
        <v>#NUM!</v>
      </c>
      <c r="BB92" s="238" t="e">
        <f t="shared" si="70"/>
        <v>#NUM!</v>
      </c>
      <c r="BC92" s="239">
        <f>IFERROR(IF(OR($E$11=Resumen!$N$6,$E$8=Resumen!$N$6),Amortización!AY92*0.16,0),"")</f>
        <v>0</v>
      </c>
      <c r="BD92" s="237">
        <f t="shared" si="71"/>
        <v>0</v>
      </c>
      <c r="BE92" s="240">
        <f t="shared" si="51"/>
        <v>0</v>
      </c>
      <c r="BF92" s="43" t="str">
        <f t="shared" si="52"/>
        <v/>
      </c>
      <c r="BH92" s="243" t="e">
        <f t="shared" si="42"/>
        <v>#NUM!</v>
      </c>
      <c r="BI92" s="187"/>
      <c r="BJ92" s="187" t="str">
        <f t="shared" si="72"/>
        <v/>
      </c>
      <c r="BK92" s="42" t="e">
        <f t="shared" si="73"/>
        <v>#NUM!</v>
      </c>
      <c r="BL92" s="45"/>
      <c r="BM92" s="242"/>
    </row>
    <row r="93" spans="3:65" ht="15.5" thickTop="1" thickBot="1" x14ac:dyDescent="0.4">
      <c r="C93" s="36" t="str">
        <f t="shared" si="74"/>
        <v/>
      </c>
      <c r="D93" s="37" t="e">
        <f t="shared" si="75"/>
        <v>#NUM!</v>
      </c>
      <c r="E93" s="236">
        <f t="shared" si="79"/>
        <v>0</v>
      </c>
      <c r="F93" s="237" t="e">
        <f t="shared" si="80"/>
        <v>#NUM!</v>
      </c>
      <c r="G93" s="238" t="e">
        <f>IF(D93="","",L92*Resumen!$L$86/1000)</f>
        <v>#NUM!</v>
      </c>
      <c r="H93" s="237" t="e">
        <f t="shared" si="53"/>
        <v>#NUM!</v>
      </c>
      <c r="I93" s="238" t="e">
        <f>IF($E$16=$V$1,0,IF(D93="","",Amortización!$AE$14))</f>
        <v>#NUM!</v>
      </c>
      <c r="J93" s="239">
        <f>IFERROR(IF(OR($E$11=Resumen!$N$6,$E$8=Resumen!$N$6),Amortización!F93*0.16,0),"")</f>
        <v>0</v>
      </c>
      <c r="K93" s="237">
        <f t="shared" si="54"/>
        <v>0</v>
      </c>
      <c r="L93" s="240">
        <f t="shared" si="55"/>
        <v>0</v>
      </c>
      <c r="M93" s="43" t="str">
        <f t="shared" si="50"/>
        <v/>
      </c>
      <c r="N93" s="44" t="str">
        <f t="shared" si="56"/>
        <v/>
      </c>
      <c r="O93" s="44" t="str">
        <f t="shared" si="57"/>
        <v/>
      </c>
      <c r="P93" s="44" t="str">
        <f t="shared" si="58"/>
        <v/>
      </c>
      <c r="Q93" s="242"/>
      <c r="R93" s="243" t="e">
        <f t="shared" si="76"/>
        <v>#NUM!</v>
      </c>
      <c r="S93" s="187"/>
      <c r="T93" s="187" t="str">
        <f t="shared" si="77"/>
        <v/>
      </c>
      <c r="U93" s="42" t="e">
        <f t="shared" si="59"/>
        <v>#NUM!</v>
      </c>
      <c r="V93" s="45">
        <f t="shared" si="60"/>
        <v>0</v>
      </c>
      <c r="W93" s="187"/>
      <c r="X93" s="272" t="b">
        <f t="shared" si="39"/>
        <v>0</v>
      </c>
      <c r="Y93" s="187">
        <v>0</v>
      </c>
      <c r="Z93" s="187"/>
      <c r="AB93" s="357" t="e">
        <f t="shared" si="61"/>
        <v>#N/A</v>
      </c>
      <c r="AG93" s="307">
        <f t="shared" si="62"/>
        <v>0</v>
      </c>
      <c r="AH93" s="283">
        <f t="shared" si="63"/>
        <v>0</v>
      </c>
      <c r="AI93" t="str">
        <f t="shared" si="64"/>
        <v/>
      </c>
      <c r="AV93" s="36" t="str">
        <f t="shared" si="65"/>
        <v/>
      </c>
      <c r="AW93" s="37" t="e">
        <f t="shared" si="66"/>
        <v>#NUM!</v>
      </c>
      <c r="AX93" s="236" t="e">
        <f t="shared" si="67"/>
        <v>#NUM!</v>
      </c>
      <c r="AY93" s="237" t="e">
        <f t="shared" si="78"/>
        <v>#NUM!</v>
      </c>
      <c r="AZ93" s="238" t="e">
        <f t="shared" si="68"/>
        <v>#NUM!</v>
      </c>
      <c r="BA93" s="237" t="e">
        <f t="shared" si="69"/>
        <v>#NUM!</v>
      </c>
      <c r="BB93" s="238" t="e">
        <f t="shared" si="70"/>
        <v>#NUM!</v>
      </c>
      <c r="BC93" s="239">
        <f>IFERROR(IF(OR($E$11=Resumen!$N$6,$E$8=Resumen!$N$6),Amortización!AY93*0.16,0),"")</f>
        <v>0</v>
      </c>
      <c r="BD93" s="237">
        <f t="shared" si="71"/>
        <v>0</v>
      </c>
      <c r="BE93" s="240">
        <f t="shared" si="51"/>
        <v>0</v>
      </c>
      <c r="BF93" s="43" t="str">
        <f t="shared" si="52"/>
        <v/>
      </c>
      <c r="BH93" s="243" t="e">
        <f t="shared" si="42"/>
        <v>#NUM!</v>
      </c>
      <c r="BI93" s="187"/>
      <c r="BJ93" s="187" t="str">
        <f t="shared" si="72"/>
        <v/>
      </c>
      <c r="BK93" s="42" t="e">
        <f t="shared" si="73"/>
        <v>#NUM!</v>
      </c>
      <c r="BL93" s="45"/>
      <c r="BM93" s="242"/>
    </row>
    <row r="94" spans="3:65" ht="15.5" thickTop="1" thickBot="1" x14ac:dyDescent="0.4">
      <c r="C94" s="36" t="str">
        <f t="shared" si="74"/>
        <v/>
      </c>
      <c r="D94" s="37" t="e">
        <f t="shared" si="75"/>
        <v>#NUM!</v>
      </c>
      <c r="E94" s="236">
        <f t="shared" si="79"/>
        <v>0</v>
      </c>
      <c r="F94" s="237" t="e">
        <f t="shared" si="80"/>
        <v>#NUM!</v>
      </c>
      <c r="G94" s="238" t="e">
        <f>IF(D94="","",L93*Resumen!$L$86/1000)</f>
        <v>#NUM!</v>
      </c>
      <c r="H94" s="237" t="e">
        <f t="shared" si="53"/>
        <v>#NUM!</v>
      </c>
      <c r="I94" s="238" t="e">
        <f>IF($E$16=$V$1,0,IF(D94="","",Amortización!$AE$14))</f>
        <v>#NUM!</v>
      </c>
      <c r="J94" s="239">
        <f>IFERROR(IF(OR($E$11=Resumen!$N$6,$E$8=Resumen!$N$6),Amortización!F94*0.16,0),"")</f>
        <v>0</v>
      </c>
      <c r="K94" s="237">
        <f t="shared" si="54"/>
        <v>0</v>
      </c>
      <c r="L94" s="240">
        <f t="shared" si="55"/>
        <v>0</v>
      </c>
      <c r="M94" s="43" t="str">
        <f t="shared" si="50"/>
        <v/>
      </c>
      <c r="N94" s="44" t="str">
        <f t="shared" si="56"/>
        <v/>
      </c>
      <c r="O94" s="44" t="str">
        <f t="shared" si="57"/>
        <v/>
      </c>
      <c r="P94" s="44" t="str">
        <f t="shared" si="58"/>
        <v/>
      </c>
      <c r="Q94" s="242" t="str">
        <f>IF(OR(L93=0,L93=""),"",IF(E94&gt;=D94,0,$E$17*10%))</f>
        <v/>
      </c>
      <c r="R94" s="243" t="e">
        <f t="shared" si="76"/>
        <v>#NUM!</v>
      </c>
      <c r="S94" s="187"/>
      <c r="T94" s="187" t="str">
        <f t="shared" si="77"/>
        <v/>
      </c>
      <c r="U94" s="42" t="e">
        <f t="shared" si="59"/>
        <v>#NUM!</v>
      </c>
      <c r="V94" s="45">
        <f t="shared" si="60"/>
        <v>0</v>
      </c>
      <c r="W94" s="187"/>
      <c r="X94" s="272" t="b">
        <f t="shared" si="39"/>
        <v>0</v>
      </c>
      <c r="Y94" s="187">
        <v>0</v>
      </c>
      <c r="Z94" s="187"/>
      <c r="AB94" s="357" t="e">
        <f t="shared" si="61"/>
        <v>#N/A</v>
      </c>
      <c r="AG94" s="307">
        <f t="shared" si="62"/>
        <v>0</v>
      </c>
      <c r="AH94" s="283">
        <f t="shared" si="63"/>
        <v>0</v>
      </c>
      <c r="AI94" t="str">
        <f t="shared" si="64"/>
        <v/>
      </c>
      <c r="AV94" s="36" t="str">
        <f t="shared" si="65"/>
        <v/>
      </c>
      <c r="AW94" s="37" t="e">
        <f t="shared" si="66"/>
        <v>#NUM!</v>
      </c>
      <c r="AX94" s="236" t="e">
        <f t="shared" si="67"/>
        <v>#NUM!</v>
      </c>
      <c r="AY94" s="237" t="e">
        <f t="shared" si="78"/>
        <v>#NUM!</v>
      </c>
      <c r="AZ94" s="238" t="e">
        <f t="shared" si="68"/>
        <v>#NUM!</v>
      </c>
      <c r="BA94" s="237" t="e">
        <f t="shared" si="69"/>
        <v>#NUM!</v>
      </c>
      <c r="BB94" s="238" t="e">
        <f t="shared" si="70"/>
        <v>#NUM!</v>
      </c>
      <c r="BC94" s="239">
        <f>IFERROR(IF(OR($E$11=Resumen!$N$6,$E$8=Resumen!$N$6),Amortización!AY94*0.16,0),"")</f>
        <v>0</v>
      </c>
      <c r="BD94" s="237">
        <f t="shared" si="71"/>
        <v>0</v>
      </c>
      <c r="BE94" s="240">
        <f t="shared" si="51"/>
        <v>0</v>
      </c>
      <c r="BF94" s="43" t="str">
        <f t="shared" si="52"/>
        <v/>
      </c>
      <c r="BH94" s="243" t="e">
        <f t="shared" si="42"/>
        <v>#NUM!</v>
      </c>
      <c r="BI94" s="187"/>
      <c r="BJ94" s="187" t="str">
        <f t="shared" si="72"/>
        <v/>
      </c>
      <c r="BK94" s="42" t="e">
        <f t="shared" si="73"/>
        <v>#NUM!</v>
      </c>
      <c r="BL94" s="45"/>
      <c r="BM94" s="242"/>
    </row>
    <row r="95" spans="3:65" ht="15.5" thickTop="1" thickBot="1" x14ac:dyDescent="0.4">
      <c r="C95" s="36" t="str">
        <f t="shared" si="74"/>
        <v/>
      </c>
      <c r="D95" s="37" t="e">
        <f t="shared" si="75"/>
        <v>#NUM!</v>
      </c>
      <c r="E95" s="236">
        <f t="shared" si="79"/>
        <v>0</v>
      </c>
      <c r="F95" s="237" t="e">
        <f t="shared" si="80"/>
        <v>#NUM!</v>
      </c>
      <c r="G95" s="238" t="e">
        <f>IF(D95="","",L94*Resumen!$L$86/1000)</f>
        <v>#NUM!</v>
      </c>
      <c r="H95" s="237" t="e">
        <f t="shared" si="53"/>
        <v>#NUM!</v>
      </c>
      <c r="I95" s="238" t="e">
        <f>IF($E$16=$V$1,0,IF(D95="","",Amortización!$AE$14))</f>
        <v>#NUM!</v>
      </c>
      <c r="J95" s="239">
        <f>IFERROR(IF(OR($E$11=Resumen!$N$6,$E$8=Resumen!$N$6),Amortización!F95*0.16,0),"")</f>
        <v>0</v>
      </c>
      <c r="K95" s="237">
        <f t="shared" si="54"/>
        <v>0</v>
      </c>
      <c r="L95" s="240">
        <f t="shared" si="55"/>
        <v>0</v>
      </c>
      <c r="M95" s="43" t="str">
        <f t="shared" si="50"/>
        <v/>
      </c>
      <c r="N95" s="44" t="str">
        <f t="shared" si="56"/>
        <v/>
      </c>
      <c r="O95" s="44" t="str">
        <f t="shared" si="57"/>
        <v/>
      </c>
      <c r="P95" s="44" t="str">
        <f t="shared" si="58"/>
        <v/>
      </c>
      <c r="Q95" s="242"/>
      <c r="R95" s="243" t="e">
        <f t="shared" si="76"/>
        <v>#NUM!</v>
      </c>
      <c r="S95" s="187"/>
      <c r="T95" s="187" t="str">
        <f t="shared" si="77"/>
        <v/>
      </c>
      <c r="U95" s="42" t="e">
        <f t="shared" si="59"/>
        <v>#NUM!</v>
      </c>
      <c r="V95" s="45">
        <f t="shared" si="60"/>
        <v>0</v>
      </c>
      <c r="W95" s="187"/>
      <c r="X95" s="272" t="b">
        <f t="shared" si="39"/>
        <v>0</v>
      </c>
      <c r="Y95" s="187">
        <v>0</v>
      </c>
      <c r="Z95" s="187"/>
      <c r="AB95" s="357" t="e">
        <f t="shared" si="61"/>
        <v>#N/A</v>
      </c>
      <c r="AG95" s="307">
        <f t="shared" si="62"/>
        <v>0</v>
      </c>
      <c r="AH95" s="283">
        <f t="shared" si="63"/>
        <v>0</v>
      </c>
      <c r="AI95" t="str">
        <f t="shared" si="64"/>
        <v/>
      </c>
      <c r="AV95" s="36" t="str">
        <f t="shared" si="65"/>
        <v/>
      </c>
      <c r="AW95" s="37" t="e">
        <f t="shared" si="66"/>
        <v>#NUM!</v>
      </c>
      <c r="AX95" s="236" t="e">
        <f t="shared" si="67"/>
        <v>#NUM!</v>
      </c>
      <c r="AY95" s="237" t="e">
        <f t="shared" si="78"/>
        <v>#NUM!</v>
      </c>
      <c r="AZ95" s="238" t="e">
        <f t="shared" si="68"/>
        <v>#NUM!</v>
      </c>
      <c r="BA95" s="237" t="e">
        <f t="shared" si="69"/>
        <v>#NUM!</v>
      </c>
      <c r="BB95" s="238" t="e">
        <f t="shared" si="70"/>
        <v>#NUM!</v>
      </c>
      <c r="BC95" s="239">
        <f>IFERROR(IF(OR($E$11=Resumen!$N$6,$E$8=Resumen!$N$6),Amortización!AY95*0.16,0),"")</f>
        <v>0</v>
      </c>
      <c r="BD95" s="237">
        <f t="shared" si="71"/>
        <v>0</v>
      </c>
      <c r="BE95" s="240">
        <f t="shared" si="51"/>
        <v>0</v>
      </c>
      <c r="BF95" s="43" t="str">
        <f t="shared" si="52"/>
        <v/>
      </c>
      <c r="BH95" s="243" t="e">
        <f t="shared" si="42"/>
        <v>#NUM!</v>
      </c>
      <c r="BI95" s="187"/>
      <c r="BJ95" s="187" t="str">
        <f t="shared" si="72"/>
        <v/>
      </c>
      <c r="BK95" s="42" t="e">
        <f t="shared" si="73"/>
        <v>#NUM!</v>
      </c>
      <c r="BL95" s="45"/>
      <c r="BM95" s="242"/>
    </row>
    <row r="96" spans="3:65" ht="15.5" thickTop="1" thickBot="1" x14ac:dyDescent="0.4">
      <c r="C96" s="36" t="str">
        <f t="shared" si="74"/>
        <v/>
      </c>
      <c r="D96" s="37" t="e">
        <f t="shared" si="75"/>
        <v>#NUM!</v>
      </c>
      <c r="E96" s="236">
        <f t="shared" si="79"/>
        <v>0</v>
      </c>
      <c r="F96" s="237" t="e">
        <f t="shared" si="80"/>
        <v>#NUM!</v>
      </c>
      <c r="G96" s="238" t="e">
        <f>IF(D96="","",L95*Resumen!$L$86/1000)</f>
        <v>#NUM!</v>
      </c>
      <c r="H96" s="237" t="e">
        <f t="shared" si="53"/>
        <v>#NUM!</v>
      </c>
      <c r="I96" s="238" t="e">
        <f>IF($E$16=$V$1,0,IF(D96="","",Amortización!$AE$14))</f>
        <v>#NUM!</v>
      </c>
      <c r="J96" s="239">
        <f>IFERROR(IF(OR($E$11=Resumen!$N$6,$E$8=Resumen!$N$6),Amortización!F96*0.16,0),"")</f>
        <v>0</v>
      </c>
      <c r="K96" s="237">
        <f t="shared" si="54"/>
        <v>0</v>
      </c>
      <c r="L96" s="240">
        <f t="shared" si="55"/>
        <v>0</v>
      </c>
      <c r="M96" s="43" t="str">
        <f t="shared" si="50"/>
        <v/>
      </c>
      <c r="N96" s="44" t="str">
        <f t="shared" si="56"/>
        <v/>
      </c>
      <c r="O96" s="44" t="str">
        <f t="shared" si="57"/>
        <v/>
      </c>
      <c r="P96" s="44" t="str">
        <f t="shared" si="58"/>
        <v/>
      </c>
      <c r="Q96" s="242" t="str">
        <f>IF(OR(L95=0,L95=""),"",IF(E96&gt;=D96,0,$E$17*10%))</f>
        <v/>
      </c>
      <c r="R96" s="243" t="e">
        <f t="shared" si="76"/>
        <v>#NUM!</v>
      </c>
      <c r="S96" s="187"/>
      <c r="T96" s="187" t="str">
        <f t="shared" si="77"/>
        <v/>
      </c>
      <c r="U96" s="42" t="e">
        <f t="shared" si="59"/>
        <v>#NUM!</v>
      </c>
      <c r="V96" s="45">
        <f t="shared" si="60"/>
        <v>0</v>
      </c>
      <c r="W96" s="187"/>
      <c r="X96" s="272" t="b">
        <f t="shared" si="39"/>
        <v>0</v>
      </c>
      <c r="Y96" s="187">
        <v>0</v>
      </c>
      <c r="Z96" s="187"/>
      <c r="AB96" s="357" t="e">
        <f t="shared" si="61"/>
        <v>#N/A</v>
      </c>
      <c r="AG96" s="307">
        <f t="shared" si="62"/>
        <v>0</v>
      </c>
      <c r="AH96" s="283">
        <f t="shared" si="63"/>
        <v>0</v>
      </c>
      <c r="AI96" t="str">
        <f t="shared" si="64"/>
        <v/>
      </c>
      <c r="AV96" s="36" t="str">
        <f t="shared" si="65"/>
        <v/>
      </c>
      <c r="AW96" s="37" t="e">
        <f t="shared" si="66"/>
        <v>#NUM!</v>
      </c>
      <c r="AX96" s="236" t="e">
        <f t="shared" si="67"/>
        <v>#NUM!</v>
      </c>
      <c r="AY96" s="237" t="e">
        <f t="shared" si="78"/>
        <v>#NUM!</v>
      </c>
      <c r="AZ96" s="238" t="e">
        <f t="shared" si="68"/>
        <v>#NUM!</v>
      </c>
      <c r="BA96" s="237" t="e">
        <f t="shared" si="69"/>
        <v>#NUM!</v>
      </c>
      <c r="BB96" s="238" t="e">
        <f t="shared" si="70"/>
        <v>#NUM!</v>
      </c>
      <c r="BC96" s="239">
        <f>IFERROR(IF(OR($E$11=Resumen!$N$6,$E$8=Resumen!$N$6),Amortización!AY96*0.16,0),"")</f>
        <v>0</v>
      </c>
      <c r="BD96" s="237">
        <f t="shared" si="71"/>
        <v>0</v>
      </c>
      <c r="BE96" s="240">
        <f t="shared" si="51"/>
        <v>0</v>
      </c>
      <c r="BF96" s="43" t="str">
        <f t="shared" si="52"/>
        <v/>
      </c>
      <c r="BH96" s="243" t="e">
        <f t="shared" si="42"/>
        <v>#NUM!</v>
      </c>
      <c r="BI96" s="187"/>
      <c r="BJ96" s="187" t="str">
        <f t="shared" si="72"/>
        <v/>
      </c>
      <c r="BK96" s="42" t="e">
        <f t="shared" si="73"/>
        <v>#NUM!</v>
      </c>
      <c r="BL96" s="45"/>
      <c r="BM96" s="242"/>
    </row>
    <row r="97" spans="3:65" ht="15.5" thickTop="1" thickBot="1" x14ac:dyDescent="0.4">
      <c r="C97" s="36" t="str">
        <f t="shared" si="74"/>
        <v/>
      </c>
      <c r="D97" s="37" t="e">
        <f t="shared" si="75"/>
        <v>#NUM!</v>
      </c>
      <c r="E97" s="236">
        <f t="shared" si="79"/>
        <v>0</v>
      </c>
      <c r="F97" s="237" t="e">
        <f t="shared" si="80"/>
        <v>#NUM!</v>
      </c>
      <c r="G97" s="238" t="e">
        <f>IF(D97="","",L96*Resumen!$L$86/1000)</f>
        <v>#NUM!</v>
      </c>
      <c r="H97" s="237" t="e">
        <f t="shared" si="53"/>
        <v>#NUM!</v>
      </c>
      <c r="I97" s="238" t="e">
        <f>IF($E$16=$V$1,0,IF(D97="","",Amortización!$AE$14))</f>
        <v>#NUM!</v>
      </c>
      <c r="J97" s="239">
        <f>IFERROR(IF(OR($E$11=Resumen!$N$6,$E$8=Resumen!$N$6),Amortización!F97*0.16,0),"")</f>
        <v>0</v>
      </c>
      <c r="K97" s="237">
        <f t="shared" si="54"/>
        <v>0</v>
      </c>
      <c r="L97" s="240">
        <f t="shared" si="55"/>
        <v>0</v>
      </c>
      <c r="M97" s="43" t="str">
        <f t="shared" si="50"/>
        <v/>
      </c>
      <c r="N97" s="44" t="str">
        <f t="shared" si="56"/>
        <v/>
      </c>
      <c r="O97" s="44" t="str">
        <f t="shared" si="57"/>
        <v/>
      </c>
      <c r="P97" s="44" t="str">
        <f t="shared" si="58"/>
        <v/>
      </c>
      <c r="Q97" s="242"/>
      <c r="R97" s="243" t="e">
        <f t="shared" si="76"/>
        <v>#NUM!</v>
      </c>
      <c r="S97" s="187"/>
      <c r="T97" s="187" t="str">
        <f t="shared" si="77"/>
        <v/>
      </c>
      <c r="U97" s="42" t="e">
        <f t="shared" si="59"/>
        <v>#NUM!</v>
      </c>
      <c r="V97" s="45">
        <f t="shared" si="60"/>
        <v>0</v>
      </c>
      <c r="W97" s="187"/>
      <c r="X97" s="272" t="b">
        <f t="shared" si="39"/>
        <v>0</v>
      </c>
      <c r="Y97" s="187">
        <v>0</v>
      </c>
      <c r="Z97" s="187"/>
      <c r="AB97" s="357" t="e">
        <f t="shared" si="61"/>
        <v>#N/A</v>
      </c>
      <c r="AG97" s="307">
        <f t="shared" si="62"/>
        <v>0</v>
      </c>
      <c r="AH97" s="283">
        <f t="shared" si="63"/>
        <v>0</v>
      </c>
      <c r="AI97" t="str">
        <f t="shared" si="64"/>
        <v/>
      </c>
      <c r="AV97" s="36" t="str">
        <f t="shared" si="65"/>
        <v/>
      </c>
      <c r="AW97" s="37" t="e">
        <f t="shared" si="66"/>
        <v>#NUM!</v>
      </c>
      <c r="AX97" s="236" t="e">
        <f t="shared" si="67"/>
        <v>#NUM!</v>
      </c>
      <c r="AY97" s="237" t="e">
        <f t="shared" si="78"/>
        <v>#NUM!</v>
      </c>
      <c r="AZ97" s="238" t="e">
        <f t="shared" si="68"/>
        <v>#NUM!</v>
      </c>
      <c r="BA97" s="237" t="e">
        <f t="shared" si="69"/>
        <v>#NUM!</v>
      </c>
      <c r="BB97" s="238" t="e">
        <f t="shared" si="70"/>
        <v>#NUM!</v>
      </c>
      <c r="BC97" s="239">
        <f>IFERROR(IF(OR($E$11=Resumen!$N$6,$E$8=Resumen!$N$6),Amortización!AY97*0.16,0),"")</f>
        <v>0</v>
      </c>
      <c r="BD97" s="237">
        <f t="shared" si="71"/>
        <v>0</v>
      </c>
      <c r="BE97" s="240">
        <f t="shared" si="51"/>
        <v>0</v>
      </c>
      <c r="BF97" s="43" t="str">
        <f t="shared" si="52"/>
        <v/>
      </c>
      <c r="BH97" s="243" t="e">
        <f t="shared" si="42"/>
        <v>#NUM!</v>
      </c>
      <c r="BI97" s="187"/>
      <c r="BJ97" s="187" t="str">
        <f t="shared" si="72"/>
        <v/>
      </c>
      <c r="BK97" s="42" t="e">
        <f t="shared" si="73"/>
        <v>#NUM!</v>
      </c>
      <c r="BL97" s="45"/>
      <c r="BM97" s="242"/>
    </row>
    <row r="98" spans="3:65" ht="15.5" thickTop="1" thickBot="1" x14ac:dyDescent="0.4">
      <c r="C98" s="36" t="str">
        <f t="shared" si="74"/>
        <v/>
      </c>
      <c r="D98" s="37" t="e">
        <f t="shared" si="75"/>
        <v>#NUM!</v>
      </c>
      <c r="E98" s="236">
        <f t="shared" si="79"/>
        <v>0</v>
      </c>
      <c r="F98" s="237" t="e">
        <f t="shared" si="80"/>
        <v>#NUM!</v>
      </c>
      <c r="G98" s="238" t="e">
        <f>IF(D98="","",L97*Resumen!$L$86/1000)</f>
        <v>#NUM!</v>
      </c>
      <c r="H98" s="237" t="e">
        <f t="shared" si="53"/>
        <v>#NUM!</v>
      </c>
      <c r="I98" s="238" t="e">
        <f>IF($E$16=$V$1,0,IF(D98="","",Amortización!$AE$14))</f>
        <v>#NUM!</v>
      </c>
      <c r="J98" s="239">
        <f>IFERROR(IF(OR($E$11=Resumen!$N$6,$E$8=Resumen!$N$6),Amortización!F98*0.16,0),"")</f>
        <v>0</v>
      </c>
      <c r="K98" s="237">
        <f t="shared" si="54"/>
        <v>0</v>
      </c>
      <c r="L98" s="240">
        <f t="shared" si="55"/>
        <v>0</v>
      </c>
      <c r="M98" s="43" t="str">
        <f t="shared" si="50"/>
        <v/>
      </c>
      <c r="N98" s="44" t="str">
        <f t="shared" si="56"/>
        <v/>
      </c>
      <c r="O98" s="44" t="str">
        <f t="shared" si="57"/>
        <v/>
      </c>
      <c r="P98" s="44" t="str">
        <f t="shared" si="58"/>
        <v/>
      </c>
      <c r="Q98" s="242" t="str">
        <f>IF(OR(L97=0,L97=""),"",IF(E98&gt;=D98,0,$E$17*10%))</f>
        <v/>
      </c>
      <c r="R98" s="243" t="e">
        <f t="shared" si="76"/>
        <v>#NUM!</v>
      </c>
      <c r="S98" s="187"/>
      <c r="T98" s="187" t="str">
        <f t="shared" si="77"/>
        <v/>
      </c>
      <c r="U98" s="42" t="e">
        <f t="shared" si="59"/>
        <v>#NUM!</v>
      </c>
      <c r="V98" s="45">
        <f t="shared" si="60"/>
        <v>0</v>
      </c>
      <c r="W98" s="187"/>
      <c r="X98" s="272" t="b">
        <f t="shared" si="39"/>
        <v>0</v>
      </c>
      <c r="Y98" s="187">
        <v>0</v>
      </c>
      <c r="Z98" s="187"/>
      <c r="AB98" s="357" t="e">
        <f t="shared" si="61"/>
        <v>#N/A</v>
      </c>
      <c r="AG98" s="307">
        <f t="shared" si="62"/>
        <v>0</v>
      </c>
      <c r="AH98" s="283">
        <f t="shared" si="63"/>
        <v>0</v>
      </c>
      <c r="AI98" t="str">
        <f t="shared" si="64"/>
        <v/>
      </c>
      <c r="AV98" s="36" t="str">
        <f t="shared" si="65"/>
        <v/>
      </c>
      <c r="AW98" s="37" t="e">
        <f t="shared" si="66"/>
        <v>#NUM!</v>
      </c>
      <c r="AX98" s="236" t="e">
        <f t="shared" si="67"/>
        <v>#NUM!</v>
      </c>
      <c r="AY98" s="237" t="e">
        <f t="shared" si="78"/>
        <v>#NUM!</v>
      </c>
      <c r="AZ98" s="238" t="e">
        <f t="shared" si="68"/>
        <v>#NUM!</v>
      </c>
      <c r="BA98" s="237" t="e">
        <f t="shared" si="69"/>
        <v>#NUM!</v>
      </c>
      <c r="BB98" s="238" t="e">
        <f t="shared" si="70"/>
        <v>#NUM!</v>
      </c>
      <c r="BC98" s="239">
        <f>IFERROR(IF(OR($E$11=Resumen!$N$6,$E$8=Resumen!$N$6),Amortización!AY98*0.16,0),"")</f>
        <v>0</v>
      </c>
      <c r="BD98" s="237">
        <f t="shared" si="71"/>
        <v>0</v>
      </c>
      <c r="BE98" s="240">
        <f t="shared" si="51"/>
        <v>0</v>
      </c>
      <c r="BF98" s="43" t="str">
        <f t="shared" si="52"/>
        <v/>
      </c>
      <c r="BH98" s="243" t="e">
        <f t="shared" si="42"/>
        <v>#NUM!</v>
      </c>
      <c r="BI98" s="187"/>
      <c r="BJ98" s="187" t="str">
        <f t="shared" si="72"/>
        <v/>
      </c>
      <c r="BK98" s="42" t="e">
        <f t="shared" si="73"/>
        <v>#NUM!</v>
      </c>
      <c r="BL98" s="45"/>
      <c r="BM98" s="242"/>
    </row>
    <row r="99" spans="3:65" ht="15.5" thickTop="1" thickBot="1" x14ac:dyDescent="0.4">
      <c r="C99" s="36" t="str">
        <f t="shared" si="74"/>
        <v/>
      </c>
      <c r="D99" s="37" t="e">
        <f t="shared" si="75"/>
        <v>#NUM!</v>
      </c>
      <c r="E99" s="236">
        <f t="shared" si="79"/>
        <v>0</v>
      </c>
      <c r="F99" s="237" t="e">
        <f t="shared" si="80"/>
        <v>#NUM!</v>
      </c>
      <c r="G99" s="238" t="e">
        <f>IF(D99="","",L98*Resumen!$L$86/1000)</f>
        <v>#NUM!</v>
      </c>
      <c r="H99" s="237" t="e">
        <f t="shared" si="53"/>
        <v>#NUM!</v>
      </c>
      <c r="I99" s="238" t="e">
        <f>IF($E$16=$V$1,0,IF(D99="","",Amortización!$AE$14))</f>
        <v>#NUM!</v>
      </c>
      <c r="J99" s="239">
        <f>IFERROR(IF(OR($E$11=Resumen!$N$6,$E$8=Resumen!$N$6),Amortización!F99*0.16,0),"")</f>
        <v>0</v>
      </c>
      <c r="K99" s="237">
        <f t="shared" si="54"/>
        <v>0</v>
      </c>
      <c r="L99" s="240">
        <f t="shared" si="55"/>
        <v>0</v>
      </c>
      <c r="M99" s="43" t="str">
        <f t="shared" si="50"/>
        <v/>
      </c>
      <c r="N99" s="44" t="str">
        <f t="shared" si="56"/>
        <v/>
      </c>
      <c r="O99" s="44" t="str">
        <f t="shared" si="57"/>
        <v/>
      </c>
      <c r="P99" s="44" t="str">
        <f t="shared" si="58"/>
        <v/>
      </c>
      <c r="Q99" s="242"/>
      <c r="R99" s="243" t="e">
        <f t="shared" si="76"/>
        <v>#NUM!</v>
      </c>
      <c r="S99" s="187"/>
      <c r="T99" s="187" t="str">
        <f t="shared" si="77"/>
        <v/>
      </c>
      <c r="U99" s="42" t="e">
        <f t="shared" si="59"/>
        <v>#NUM!</v>
      </c>
      <c r="V99" s="45">
        <f t="shared" si="60"/>
        <v>0</v>
      </c>
      <c r="W99" s="187"/>
      <c r="X99" s="272" t="b">
        <f t="shared" si="39"/>
        <v>0</v>
      </c>
      <c r="Y99" s="187">
        <v>0</v>
      </c>
      <c r="Z99" s="187"/>
      <c r="AB99" s="357" t="e">
        <f t="shared" si="61"/>
        <v>#N/A</v>
      </c>
      <c r="AG99" s="307">
        <f t="shared" si="62"/>
        <v>0</v>
      </c>
      <c r="AH99" s="283">
        <f t="shared" si="63"/>
        <v>0</v>
      </c>
      <c r="AI99" t="str">
        <f t="shared" si="64"/>
        <v/>
      </c>
      <c r="AV99" s="36" t="str">
        <f t="shared" si="65"/>
        <v/>
      </c>
      <c r="AW99" s="37" t="e">
        <f t="shared" si="66"/>
        <v>#NUM!</v>
      </c>
      <c r="AX99" s="236" t="e">
        <f t="shared" si="67"/>
        <v>#NUM!</v>
      </c>
      <c r="AY99" s="237" t="e">
        <f t="shared" si="78"/>
        <v>#NUM!</v>
      </c>
      <c r="AZ99" s="238" t="e">
        <f t="shared" si="68"/>
        <v>#NUM!</v>
      </c>
      <c r="BA99" s="237" t="e">
        <f t="shared" si="69"/>
        <v>#NUM!</v>
      </c>
      <c r="BB99" s="238" t="e">
        <f t="shared" si="70"/>
        <v>#NUM!</v>
      </c>
      <c r="BC99" s="239">
        <f>IFERROR(IF(OR($E$11=Resumen!$N$6,$E$8=Resumen!$N$6),Amortización!AY99*0.16,0),"")</f>
        <v>0</v>
      </c>
      <c r="BD99" s="237">
        <f t="shared" si="71"/>
        <v>0</v>
      </c>
      <c r="BE99" s="240">
        <f t="shared" si="51"/>
        <v>0</v>
      </c>
      <c r="BF99" s="43" t="str">
        <f t="shared" si="52"/>
        <v/>
      </c>
      <c r="BH99" s="243" t="e">
        <f t="shared" si="42"/>
        <v>#NUM!</v>
      </c>
      <c r="BI99" s="187"/>
      <c r="BJ99" s="187" t="str">
        <f t="shared" si="72"/>
        <v/>
      </c>
      <c r="BK99" s="42" t="e">
        <f t="shared" si="73"/>
        <v>#NUM!</v>
      </c>
      <c r="BL99" s="45"/>
      <c r="BM99" s="242"/>
    </row>
    <row r="100" spans="3:65" ht="15.5" thickTop="1" thickBot="1" x14ac:dyDescent="0.4">
      <c r="C100" s="36" t="str">
        <f t="shared" si="74"/>
        <v/>
      </c>
      <c r="D100" s="37" t="e">
        <f t="shared" si="75"/>
        <v>#NUM!</v>
      </c>
      <c r="E100" s="236">
        <f t="shared" si="79"/>
        <v>0</v>
      </c>
      <c r="F100" s="237" t="e">
        <f t="shared" si="80"/>
        <v>#NUM!</v>
      </c>
      <c r="G100" s="238" t="e">
        <f>IF(D100="","",L99*Resumen!$L$86/1000)</f>
        <v>#NUM!</v>
      </c>
      <c r="H100" s="237" t="e">
        <f t="shared" si="53"/>
        <v>#NUM!</v>
      </c>
      <c r="I100" s="238" t="e">
        <f>IF($E$16=$V$1,0,IF(D100="","",Amortización!$AE$14))</f>
        <v>#NUM!</v>
      </c>
      <c r="J100" s="239">
        <f>IFERROR(IF(OR($E$11=Resumen!$N$6,$E$8=Resumen!$N$6),Amortización!F100*0.16,0),"")</f>
        <v>0</v>
      </c>
      <c r="K100" s="237">
        <f t="shared" si="54"/>
        <v>0</v>
      </c>
      <c r="L100" s="240">
        <f t="shared" si="55"/>
        <v>0</v>
      </c>
      <c r="M100" s="43" t="str">
        <f t="shared" si="50"/>
        <v/>
      </c>
      <c r="N100" s="44" t="str">
        <f t="shared" si="56"/>
        <v/>
      </c>
      <c r="O100" s="44" t="str">
        <f t="shared" si="57"/>
        <v/>
      </c>
      <c r="P100" s="44" t="str">
        <f t="shared" si="58"/>
        <v/>
      </c>
      <c r="Q100" s="242" t="str">
        <f>IF(OR(L99=0,L99=""),"",IF(E100&gt;=D100,0,$E$17*10%))</f>
        <v/>
      </c>
      <c r="R100" s="243" t="e">
        <f t="shared" si="76"/>
        <v>#NUM!</v>
      </c>
      <c r="S100" s="187"/>
      <c r="T100" s="187" t="str">
        <f t="shared" si="77"/>
        <v/>
      </c>
      <c r="U100" s="42" t="e">
        <f t="shared" si="59"/>
        <v>#NUM!</v>
      </c>
      <c r="V100" s="45">
        <f t="shared" si="60"/>
        <v>0</v>
      </c>
      <c r="W100" s="187"/>
      <c r="X100" s="272" t="b">
        <f t="shared" si="39"/>
        <v>0</v>
      </c>
      <c r="Y100" s="187">
        <v>0</v>
      </c>
      <c r="Z100" s="187"/>
      <c r="AB100" s="357" t="e">
        <f t="shared" si="61"/>
        <v>#N/A</v>
      </c>
      <c r="AG100" s="307">
        <f t="shared" si="62"/>
        <v>0</v>
      </c>
      <c r="AH100" s="283">
        <f t="shared" si="63"/>
        <v>0</v>
      </c>
      <c r="AI100" t="str">
        <f t="shared" si="64"/>
        <v/>
      </c>
      <c r="AV100" s="36" t="str">
        <f t="shared" si="65"/>
        <v/>
      </c>
      <c r="AW100" s="37" t="e">
        <f t="shared" si="66"/>
        <v>#NUM!</v>
      </c>
      <c r="AX100" s="236" t="e">
        <f t="shared" si="67"/>
        <v>#NUM!</v>
      </c>
      <c r="AY100" s="237" t="e">
        <f t="shared" si="78"/>
        <v>#NUM!</v>
      </c>
      <c r="AZ100" s="238" t="e">
        <f t="shared" si="68"/>
        <v>#NUM!</v>
      </c>
      <c r="BA100" s="237" t="e">
        <f t="shared" si="69"/>
        <v>#NUM!</v>
      </c>
      <c r="BB100" s="238" t="e">
        <f t="shared" si="70"/>
        <v>#NUM!</v>
      </c>
      <c r="BC100" s="239">
        <f>IFERROR(IF(OR($E$11=Resumen!$N$6,$E$8=Resumen!$N$6),Amortización!AY100*0.16,0),"")</f>
        <v>0</v>
      </c>
      <c r="BD100" s="237">
        <f t="shared" si="71"/>
        <v>0</v>
      </c>
      <c r="BE100" s="240">
        <f t="shared" si="51"/>
        <v>0</v>
      </c>
      <c r="BF100" s="43" t="str">
        <f t="shared" si="52"/>
        <v/>
      </c>
      <c r="BH100" s="243" t="e">
        <f t="shared" si="42"/>
        <v>#NUM!</v>
      </c>
      <c r="BI100" s="187"/>
      <c r="BJ100" s="187" t="str">
        <f t="shared" si="72"/>
        <v/>
      </c>
      <c r="BK100" s="42" t="e">
        <f t="shared" si="73"/>
        <v>#NUM!</v>
      </c>
      <c r="BL100" s="45"/>
      <c r="BM100" s="242"/>
    </row>
    <row r="101" spans="3:65" ht="15.5" thickTop="1" thickBot="1" x14ac:dyDescent="0.4">
      <c r="C101" s="36" t="str">
        <f t="shared" si="74"/>
        <v/>
      </c>
      <c r="D101" s="37" t="e">
        <f t="shared" si="75"/>
        <v>#NUM!</v>
      </c>
      <c r="E101" s="236">
        <f t="shared" si="79"/>
        <v>0</v>
      </c>
      <c r="F101" s="237" t="e">
        <f t="shared" si="80"/>
        <v>#NUM!</v>
      </c>
      <c r="G101" s="238" t="e">
        <f>IF(D101="","",L100*Resumen!$L$86/1000)</f>
        <v>#NUM!</v>
      </c>
      <c r="H101" s="237" t="e">
        <f t="shared" si="53"/>
        <v>#NUM!</v>
      </c>
      <c r="I101" s="238" t="e">
        <f>IF($E$16=$V$1,0,IF(D101="","",Amortización!$AE$14))</f>
        <v>#NUM!</v>
      </c>
      <c r="J101" s="239">
        <f>IFERROR(IF(OR($E$11=Resumen!$N$6,$E$8=Resumen!$N$6),Amortización!F101*0.16,0),"")</f>
        <v>0</v>
      </c>
      <c r="K101" s="237">
        <f t="shared" si="54"/>
        <v>0</v>
      </c>
      <c r="L101" s="240">
        <f t="shared" si="55"/>
        <v>0</v>
      </c>
      <c r="M101" s="43" t="str">
        <f t="shared" si="50"/>
        <v/>
      </c>
      <c r="N101" s="44" t="str">
        <f t="shared" si="56"/>
        <v/>
      </c>
      <c r="O101" s="44" t="str">
        <f t="shared" si="57"/>
        <v/>
      </c>
      <c r="P101" s="44" t="str">
        <f t="shared" si="58"/>
        <v/>
      </c>
      <c r="Q101" s="242"/>
      <c r="R101" s="243" t="e">
        <f t="shared" si="76"/>
        <v>#NUM!</v>
      </c>
      <c r="S101" s="187"/>
      <c r="T101" s="187" t="str">
        <f t="shared" si="77"/>
        <v/>
      </c>
      <c r="U101" s="42" t="e">
        <f t="shared" si="59"/>
        <v>#NUM!</v>
      </c>
      <c r="V101" s="45">
        <f t="shared" si="60"/>
        <v>0</v>
      </c>
      <c r="W101" s="187"/>
      <c r="X101" s="272" t="b">
        <f t="shared" ref="X101:X164" si="81">IF(OR(AND($E$8="Adquisicion",$E$9="Premier"),AND($E$8="Exclusiva",$E$9="Premier"),AND($E$8="Nomina Especial",$E$9="Premier")),X89*1.019,IF(OR(AND($E$8="Adquisicion",$E$9="No Premier"),AND($E$8="Exclusiva",$E$9="No Premier"),AND($E$8="Nomina Especial",$E$9="No Premier")),X89*1.019,IF($E$8="Pago de Hipoteca",X89*1.019)))</f>
        <v>0</v>
      </c>
      <c r="Y101" s="187">
        <v>0</v>
      </c>
      <c r="Z101" s="187"/>
      <c r="AB101" s="357" t="e">
        <f t="shared" si="61"/>
        <v>#N/A</v>
      </c>
      <c r="AG101" s="307">
        <f t="shared" si="62"/>
        <v>0</v>
      </c>
      <c r="AH101" s="283">
        <f t="shared" si="63"/>
        <v>0</v>
      </c>
      <c r="AI101" t="str">
        <f t="shared" si="64"/>
        <v/>
      </c>
      <c r="AV101" s="36" t="str">
        <f t="shared" si="65"/>
        <v/>
      </c>
      <c r="AW101" s="37" t="e">
        <f t="shared" si="66"/>
        <v>#NUM!</v>
      </c>
      <c r="AX101" s="236" t="e">
        <f t="shared" si="67"/>
        <v>#NUM!</v>
      </c>
      <c r="AY101" s="237" t="e">
        <f t="shared" si="78"/>
        <v>#NUM!</v>
      </c>
      <c r="AZ101" s="238" t="e">
        <f t="shared" si="68"/>
        <v>#NUM!</v>
      </c>
      <c r="BA101" s="237" t="e">
        <f t="shared" si="69"/>
        <v>#NUM!</v>
      </c>
      <c r="BB101" s="238" t="e">
        <f t="shared" si="70"/>
        <v>#NUM!</v>
      </c>
      <c r="BC101" s="239">
        <f>IFERROR(IF(OR($E$11=Resumen!$N$6,$E$8=Resumen!$N$6),Amortización!AY101*0.16,0),"")</f>
        <v>0</v>
      </c>
      <c r="BD101" s="237">
        <f t="shared" si="71"/>
        <v>0</v>
      </c>
      <c r="BE101" s="240">
        <f t="shared" si="51"/>
        <v>0</v>
      </c>
      <c r="BF101" s="43" t="str">
        <f t="shared" si="52"/>
        <v/>
      </c>
      <c r="BH101" s="243" t="e">
        <f t="shared" si="42"/>
        <v>#NUM!</v>
      </c>
      <c r="BI101" s="187"/>
      <c r="BJ101" s="187" t="str">
        <f t="shared" si="72"/>
        <v/>
      </c>
      <c r="BK101" s="42" t="e">
        <f t="shared" si="73"/>
        <v>#NUM!</v>
      </c>
      <c r="BL101" s="45"/>
      <c r="BM101" s="242"/>
    </row>
    <row r="102" spans="3:65" ht="15.5" thickTop="1" thickBot="1" x14ac:dyDescent="0.4">
      <c r="C102" s="36" t="str">
        <f t="shared" si="74"/>
        <v/>
      </c>
      <c r="D102" s="37" t="e">
        <f t="shared" si="75"/>
        <v>#NUM!</v>
      </c>
      <c r="E102" s="236">
        <f t="shared" si="79"/>
        <v>0</v>
      </c>
      <c r="F102" s="237" t="e">
        <f t="shared" si="80"/>
        <v>#NUM!</v>
      </c>
      <c r="G102" s="238" t="e">
        <f>IF(D102="","",L101*Resumen!$L$86/1000)</f>
        <v>#NUM!</v>
      </c>
      <c r="H102" s="237" t="e">
        <f t="shared" si="53"/>
        <v>#NUM!</v>
      </c>
      <c r="I102" s="238" t="e">
        <f>IF($E$16=$V$1,0,IF(D102="","",Amortización!$AE$14))</f>
        <v>#NUM!</v>
      </c>
      <c r="J102" s="239">
        <f>IFERROR(IF(OR($E$11=Resumen!$N$6,$E$8=Resumen!$N$6),Amortización!F102*0.16,0),"")</f>
        <v>0</v>
      </c>
      <c r="K102" s="237">
        <f t="shared" si="54"/>
        <v>0</v>
      </c>
      <c r="L102" s="240">
        <f t="shared" si="55"/>
        <v>0</v>
      </c>
      <c r="M102" s="43" t="str">
        <f t="shared" si="50"/>
        <v/>
      </c>
      <c r="N102" s="44" t="str">
        <f t="shared" si="56"/>
        <v/>
      </c>
      <c r="O102" s="44" t="str">
        <f t="shared" si="57"/>
        <v/>
      </c>
      <c r="P102" s="44" t="str">
        <f t="shared" si="58"/>
        <v/>
      </c>
      <c r="Q102" s="242" t="str">
        <f>IF(OR(L101=0,L101=""),"",IF(E102&gt;=D102,0,$E$17*10%))</f>
        <v/>
      </c>
      <c r="R102" s="243" t="e">
        <f t="shared" si="76"/>
        <v>#NUM!</v>
      </c>
      <c r="S102" s="187"/>
      <c r="T102" s="187" t="str">
        <f t="shared" si="77"/>
        <v/>
      </c>
      <c r="U102" s="42" t="e">
        <f t="shared" si="59"/>
        <v>#NUM!</v>
      </c>
      <c r="V102" s="45">
        <f t="shared" si="60"/>
        <v>0</v>
      </c>
      <c r="W102" s="187"/>
      <c r="X102" s="272" t="b">
        <f t="shared" si="81"/>
        <v>0</v>
      </c>
      <c r="Y102" s="187">
        <v>0</v>
      </c>
      <c r="Z102" s="187"/>
      <c r="AB102" s="357" t="e">
        <f t="shared" si="61"/>
        <v>#N/A</v>
      </c>
      <c r="AG102" s="307">
        <f t="shared" si="62"/>
        <v>0</v>
      </c>
      <c r="AH102" s="283">
        <f t="shared" si="63"/>
        <v>0</v>
      </c>
      <c r="AI102" t="str">
        <f t="shared" si="64"/>
        <v/>
      </c>
      <c r="AV102" s="36" t="str">
        <f t="shared" si="65"/>
        <v/>
      </c>
      <c r="AW102" s="37" t="e">
        <f t="shared" si="66"/>
        <v>#NUM!</v>
      </c>
      <c r="AX102" s="236" t="e">
        <f t="shared" si="67"/>
        <v>#NUM!</v>
      </c>
      <c r="AY102" s="237" t="e">
        <f t="shared" si="78"/>
        <v>#NUM!</v>
      </c>
      <c r="AZ102" s="238" t="e">
        <f t="shared" si="68"/>
        <v>#NUM!</v>
      </c>
      <c r="BA102" s="237" t="e">
        <f t="shared" si="69"/>
        <v>#NUM!</v>
      </c>
      <c r="BB102" s="238" t="e">
        <f t="shared" si="70"/>
        <v>#NUM!</v>
      </c>
      <c r="BC102" s="239">
        <f>IFERROR(IF(OR($E$11=Resumen!$N$6,$E$8=Resumen!$N$6),Amortización!AY102*0.16,0),"")</f>
        <v>0</v>
      </c>
      <c r="BD102" s="237">
        <f t="shared" si="71"/>
        <v>0</v>
      </c>
      <c r="BE102" s="240">
        <f t="shared" si="51"/>
        <v>0</v>
      </c>
      <c r="BF102" s="43" t="str">
        <f t="shared" si="52"/>
        <v/>
      </c>
      <c r="BH102" s="243" t="e">
        <f t="shared" si="42"/>
        <v>#NUM!</v>
      </c>
      <c r="BI102" s="187"/>
      <c r="BJ102" s="187" t="str">
        <f t="shared" si="72"/>
        <v/>
      </c>
      <c r="BK102" s="42" t="e">
        <f t="shared" si="73"/>
        <v>#NUM!</v>
      </c>
      <c r="BL102" s="45"/>
      <c r="BM102" s="242"/>
    </row>
    <row r="103" spans="3:65" ht="15.5" thickTop="1" thickBot="1" x14ac:dyDescent="0.4">
      <c r="C103" s="36" t="str">
        <f t="shared" si="74"/>
        <v/>
      </c>
      <c r="D103" s="37" t="e">
        <f t="shared" si="75"/>
        <v>#NUM!</v>
      </c>
      <c r="E103" s="236">
        <f t="shared" si="79"/>
        <v>0</v>
      </c>
      <c r="F103" s="237" t="e">
        <f t="shared" si="80"/>
        <v>#NUM!</v>
      </c>
      <c r="G103" s="238" t="e">
        <f>IF(D103="","",L102*Resumen!$L$86/1000)</f>
        <v>#NUM!</v>
      </c>
      <c r="H103" s="237" t="e">
        <f t="shared" si="53"/>
        <v>#NUM!</v>
      </c>
      <c r="I103" s="238" t="e">
        <f>IF($E$16=$V$1,0,IF(D103="","",Amortización!$AE$14))</f>
        <v>#NUM!</v>
      </c>
      <c r="J103" s="239">
        <f>IFERROR(IF(OR($E$11=Resumen!$N$6,$E$8=Resumen!$N$6),Amortización!F103*0.16,0),"")</f>
        <v>0</v>
      </c>
      <c r="K103" s="237">
        <f t="shared" si="54"/>
        <v>0</v>
      </c>
      <c r="L103" s="240">
        <f t="shared" si="55"/>
        <v>0</v>
      </c>
      <c r="M103" s="43" t="str">
        <f t="shared" si="50"/>
        <v/>
      </c>
      <c r="N103" s="44" t="str">
        <f t="shared" si="56"/>
        <v/>
      </c>
      <c r="O103" s="44" t="str">
        <f t="shared" si="57"/>
        <v/>
      </c>
      <c r="P103" s="44" t="str">
        <f t="shared" si="58"/>
        <v/>
      </c>
      <c r="Q103" s="242"/>
      <c r="R103" s="243" t="e">
        <f t="shared" si="76"/>
        <v>#NUM!</v>
      </c>
      <c r="S103" s="187"/>
      <c r="T103" s="187" t="str">
        <f t="shared" si="77"/>
        <v/>
      </c>
      <c r="U103" s="42" t="e">
        <f t="shared" si="59"/>
        <v>#NUM!</v>
      </c>
      <c r="V103" s="45">
        <f t="shared" si="60"/>
        <v>0</v>
      </c>
      <c r="W103" s="187"/>
      <c r="X103" s="272" t="b">
        <f t="shared" si="81"/>
        <v>0</v>
      </c>
      <c r="Y103" s="187">
        <v>0</v>
      </c>
      <c r="Z103" s="187"/>
      <c r="AB103" s="357" t="e">
        <f t="shared" si="61"/>
        <v>#N/A</v>
      </c>
      <c r="AG103" s="307">
        <f t="shared" si="62"/>
        <v>0</v>
      </c>
      <c r="AH103" s="283">
        <f t="shared" si="63"/>
        <v>0</v>
      </c>
      <c r="AI103" t="str">
        <f t="shared" si="64"/>
        <v/>
      </c>
      <c r="AV103" s="36" t="str">
        <f t="shared" si="65"/>
        <v/>
      </c>
      <c r="AW103" s="37" t="e">
        <f t="shared" si="66"/>
        <v>#NUM!</v>
      </c>
      <c r="AX103" s="236" t="e">
        <f t="shared" si="67"/>
        <v>#NUM!</v>
      </c>
      <c r="AY103" s="237" t="e">
        <f t="shared" si="78"/>
        <v>#NUM!</v>
      </c>
      <c r="AZ103" s="238" t="e">
        <f t="shared" si="68"/>
        <v>#NUM!</v>
      </c>
      <c r="BA103" s="237" t="e">
        <f t="shared" si="69"/>
        <v>#NUM!</v>
      </c>
      <c r="BB103" s="238" t="e">
        <f t="shared" si="70"/>
        <v>#NUM!</v>
      </c>
      <c r="BC103" s="239">
        <f>IFERROR(IF(OR($E$11=Resumen!$N$6,$E$8=Resumen!$N$6),Amortización!AY103*0.16,0),"")</f>
        <v>0</v>
      </c>
      <c r="BD103" s="237">
        <f t="shared" si="71"/>
        <v>0</v>
      </c>
      <c r="BE103" s="240">
        <f t="shared" si="51"/>
        <v>0</v>
      </c>
      <c r="BF103" s="43" t="str">
        <f t="shared" si="52"/>
        <v/>
      </c>
      <c r="BH103" s="243" t="e">
        <f t="shared" si="42"/>
        <v>#NUM!</v>
      </c>
      <c r="BI103" s="187"/>
      <c r="BJ103" s="187" t="str">
        <f t="shared" si="72"/>
        <v/>
      </c>
      <c r="BK103" s="42" t="e">
        <f t="shared" si="73"/>
        <v>#NUM!</v>
      </c>
      <c r="BL103" s="45"/>
      <c r="BM103" s="242"/>
    </row>
    <row r="104" spans="3:65" ht="15.5" thickTop="1" thickBot="1" x14ac:dyDescent="0.4">
      <c r="C104" s="36" t="str">
        <f t="shared" si="74"/>
        <v/>
      </c>
      <c r="D104" s="37" t="e">
        <f t="shared" si="75"/>
        <v>#NUM!</v>
      </c>
      <c r="E104" s="236">
        <f t="shared" si="79"/>
        <v>0</v>
      </c>
      <c r="F104" s="237" t="e">
        <f t="shared" si="80"/>
        <v>#NUM!</v>
      </c>
      <c r="G104" s="238" t="e">
        <f>IF(D104="","",L103*Resumen!$L$86/1000)</f>
        <v>#NUM!</v>
      </c>
      <c r="H104" s="237" t="e">
        <f t="shared" si="53"/>
        <v>#NUM!</v>
      </c>
      <c r="I104" s="238" t="e">
        <f>IF($E$16=$V$1,0,IF(D104="","",Amortización!$AE$14))</f>
        <v>#NUM!</v>
      </c>
      <c r="J104" s="239">
        <f>IFERROR(IF(OR($E$11=Resumen!$N$6,$E$8=Resumen!$N$6),Amortización!F104*0.16,0),"")</f>
        <v>0</v>
      </c>
      <c r="K104" s="237">
        <f t="shared" si="54"/>
        <v>0</v>
      </c>
      <c r="L104" s="240">
        <f t="shared" si="55"/>
        <v>0</v>
      </c>
      <c r="M104" s="43" t="str">
        <f t="shared" si="50"/>
        <v/>
      </c>
      <c r="N104" s="44" t="str">
        <f t="shared" si="56"/>
        <v/>
      </c>
      <c r="O104" s="44" t="str">
        <f t="shared" si="57"/>
        <v/>
      </c>
      <c r="P104" s="44" t="str">
        <f t="shared" si="58"/>
        <v/>
      </c>
      <c r="Q104" s="242" t="str">
        <f>IF(OR(L103=0,L103=""),"",IF(E104&gt;=D104,0,$E$17*10%))</f>
        <v/>
      </c>
      <c r="R104" s="243" t="e">
        <f t="shared" si="76"/>
        <v>#NUM!</v>
      </c>
      <c r="S104" s="187"/>
      <c r="T104" s="187" t="str">
        <f t="shared" si="77"/>
        <v/>
      </c>
      <c r="U104" s="42" t="e">
        <f t="shared" si="59"/>
        <v>#NUM!</v>
      </c>
      <c r="V104" s="45">
        <f t="shared" si="60"/>
        <v>0</v>
      </c>
      <c r="W104" s="187"/>
      <c r="X104" s="272" t="b">
        <f t="shared" si="81"/>
        <v>0</v>
      </c>
      <c r="Y104" s="187">
        <v>0</v>
      </c>
      <c r="Z104" s="187"/>
      <c r="AB104" s="357" t="e">
        <f t="shared" si="61"/>
        <v>#N/A</v>
      </c>
      <c r="AG104" s="307">
        <f t="shared" si="62"/>
        <v>0</v>
      </c>
      <c r="AH104" s="283">
        <f t="shared" si="63"/>
        <v>0</v>
      </c>
      <c r="AI104" t="str">
        <f t="shared" si="64"/>
        <v/>
      </c>
      <c r="AV104" s="36" t="str">
        <f t="shared" si="65"/>
        <v/>
      </c>
      <c r="AW104" s="37" t="e">
        <f t="shared" si="66"/>
        <v>#NUM!</v>
      </c>
      <c r="AX104" s="236" t="e">
        <f t="shared" si="67"/>
        <v>#NUM!</v>
      </c>
      <c r="AY104" s="237" t="e">
        <f t="shared" si="78"/>
        <v>#NUM!</v>
      </c>
      <c r="AZ104" s="238" t="e">
        <f t="shared" si="68"/>
        <v>#NUM!</v>
      </c>
      <c r="BA104" s="237" t="e">
        <f t="shared" si="69"/>
        <v>#NUM!</v>
      </c>
      <c r="BB104" s="238" t="e">
        <f t="shared" si="70"/>
        <v>#NUM!</v>
      </c>
      <c r="BC104" s="239">
        <f>IFERROR(IF(OR($E$11=Resumen!$N$6,$E$8=Resumen!$N$6),Amortización!AY104*0.16,0),"")</f>
        <v>0</v>
      </c>
      <c r="BD104" s="237">
        <f t="shared" si="71"/>
        <v>0</v>
      </c>
      <c r="BE104" s="240">
        <f t="shared" si="51"/>
        <v>0</v>
      </c>
      <c r="BF104" s="43" t="str">
        <f t="shared" si="52"/>
        <v/>
      </c>
      <c r="BH104" s="243" t="e">
        <f t="shared" si="42"/>
        <v>#NUM!</v>
      </c>
      <c r="BI104" s="187"/>
      <c r="BJ104" s="187" t="str">
        <f t="shared" si="72"/>
        <v/>
      </c>
      <c r="BK104" s="42" t="e">
        <f t="shared" si="73"/>
        <v>#NUM!</v>
      </c>
      <c r="BL104" s="45"/>
      <c r="BM104" s="242"/>
    </row>
    <row r="105" spans="3:65" ht="15.5" thickTop="1" thickBot="1" x14ac:dyDescent="0.4">
      <c r="C105" s="36" t="str">
        <f t="shared" si="74"/>
        <v/>
      </c>
      <c r="D105" s="37" t="e">
        <f t="shared" si="75"/>
        <v>#NUM!</v>
      </c>
      <c r="E105" s="236">
        <f t="shared" si="79"/>
        <v>0</v>
      </c>
      <c r="F105" s="237" t="e">
        <f t="shared" si="80"/>
        <v>#NUM!</v>
      </c>
      <c r="G105" s="238" t="e">
        <f>IF(D105="","",L104*Resumen!$L$86/1000)</f>
        <v>#NUM!</v>
      </c>
      <c r="H105" s="237" t="e">
        <f t="shared" si="53"/>
        <v>#NUM!</v>
      </c>
      <c r="I105" s="238" t="e">
        <f>IF($E$16=$V$1,0,IF(D105="","",Amortización!$AE$14))</f>
        <v>#NUM!</v>
      </c>
      <c r="J105" s="239">
        <f>IFERROR(IF(OR($E$11=Resumen!$N$6,$E$8=Resumen!$N$6),Amortización!F105*0.16,0),"")</f>
        <v>0</v>
      </c>
      <c r="K105" s="237">
        <f t="shared" si="54"/>
        <v>0</v>
      </c>
      <c r="L105" s="240">
        <f t="shared" si="55"/>
        <v>0</v>
      </c>
      <c r="M105" s="43" t="str">
        <f t="shared" si="50"/>
        <v/>
      </c>
      <c r="N105" s="44" t="str">
        <f t="shared" si="56"/>
        <v/>
      </c>
      <c r="O105" s="44" t="str">
        <f t="shared" si="57"/>
        <v/>
      </c>
      <c r="P105" s="44" t="str">
        <f t="shared" si="58"/>
        <v/>
      </c>
      <c r="Q105" s="242"/>
      <c r="R105" s="243" t="e">
        <f t="shared" si="76"/>
        <v>#NUM!</v>
      </c>
      <c r="S105" s="187"/>
      <c r="T105" s="187" t="str">
        <f t="shared" si="77"/>
        <v/>
      </c>
      <c r="U105" s="42" t="e">
        <f t="shared" si="59"/>
        <v>#NUM!</v>
      </c>
      <c r="V105" s="45">
        <f t="shared" si="60"/>
        <v>0</v>
      </c>
      <c r="W105" s="187"/>
      <c r="X105" s="272" t="b">
        <f t="shared" si="81"/>
        <v>0</v>
      </c>
      <c r="Y105" s="187">
        <v>0</v>
      </c>
      <c r="Z105" s="187"/>
      <c r="AB105" s="357" t="e">
        <f t="shared" si="61"/>
        <v>#N/A</v>
      </c>
      <c r="AG105" s="307">
        <f t="shared" si="62"/>
        <v>0</v>
      </c>
      <c r="AH105" s="283">
        <f t="shared" si="63"/>
        <v>0</v>
      </c>
      <c r="AI105" t="str">
        <f t="shared" si="64"/>
        <v/>
      </c>
      <c r="AV105" s="36" t="str">
        <f t="shared" si="65"/>
        <v/>
      </c>
      <c r="AW105" s="37" t="e">
        <f t="shared" si="66"/>
        <v>#NUM!</v>
      </c>
      <c r="AX105" s="236" t="e">
        <f t="shared" si="67"/>
        <v>#NUM!</v>
      </c>
      <c r="AY105" s="237" t="e">
        <f t="shared" si="78"/>
        <v>#NUM!</v>
      </c>
      <c r="AZ105" s="238" t="e">
        <f t="shared" si="68"/>
        <v>#NUM!</v>
      </c>
      <c r="BA105" s="237" t="e">
        <f t="shared" si="69"/>
        <v>#NUM!</v>
      </c>
      <c r="BB105" s="238" t="e">
        <f t="shared" si="70"/>
        <v>#NUM!</v>
      </c>
      <c r="BC105" s="239">
        <f>IFERROR(IF(OR($E$11=Resumen!$N$6,$E$8=Resumen!$N$6),Amortización!AY105*0.16,0),"")</f>
        <v>0</v>
      </c>
      <c r="BD105" s="237">
        <f t="shared" si="71"/>
        <v>0</v>
      </c>
      <c r="BE105" s="240">
        <f t="shared" si="51"/>
        <v>0</v>
      </c>
      <c r="BF105" s="43" t="str">
        <f t="shared" si="52"/>
        <v/>
      </c>
      <c r="BH105" s="243" t="e">
        <f t="shared" si="42"/>
        <v>#NUM!</v>
      </c>
      <c r="BI105" s="187"/>
      <c r="BJ105" s="187" t="str">
        <f t="shared" si="72"/>
        <v/>
      </c>
      <c r="BK105" s="42" t="e">
        <f t="shared" si="73"/>
        <v>#NUM!</v>
      </c>
      <c r="BL105" s="45"/>
      <c r="BM105" s="242"/>
    </row>
    <row r="106" spans="3:65" ht="15.5" thickTop="1" thickBot="1" x14ac:dyDescent="0.4">
      <c r="C106" s="36" t="str">
        <f t="shared" si="74"/>
        <v/>
      </c>
      <c r="D106" s="37" t="e">
        <f t="shared" si="75"/>
        <v>#NUM!</v>
      </c>
      <c r="E106" s="236">
        <f t="shared" si="79"/>
        <v>0</v>
      </c>
      <c r="F106" s="237" t="e">
        <f t="shared" si="80"/>
        <v>#NUM!</v>
      </c>
      <c r="G106" s="238" t="e">
        <f>IF(D106="","",L105*Resumen!$L$86/1000)</f>
        <v>#NUM!</v>
      </c>
      <c r="H106" s="237" t="e">
        <f t="shared" si="53"/>
        <v>#NUM!</v>
      </c>
      <c r="I106" s="238" t="e">
        <f>IF($E$16=$V$1,0,IF(D106="","",Amortización!$AE$14))</f>
        <v>#NUM!</v>
      </c>
      <c r="J106" s="239">
        <f>IFERROR(IF(OR($E$11=Resumen!$N$6,$E$8=Resumen!$N$6),Amortización!F106*0.16,0),"")</f>
        <v>0</v>
      </c>
      <c r="K106" s="237">
        <f t="shared" si="54"/>
        <v>0</v>
      </c>
      <c r="L106" s="240">
        <f t="shared" si="55"/>
        <v>0</v>
      </c>
      <c r="M106" s="43" t="str">
        <f t="shared" si="50"/>
        <v/>
      </c>
      <c r="N106" s="44" t="str">
        <f t="shared" si="56"/>
        <v/>
      </c>
      <c r="O106" s="44" t="str">
        <f t="shared" si="57"/>
        <v/>
      </c>
      <c r="P106" s="44" t="str">
        <f t="shared" si="58"/>
        <v/>
      </c>
      <c r="Q106" s="242" t="str">
        <f>IF(OR(L105=0,L105=""),"",IF(E106&gt;=D106,0,$E$17*10%))</f>
        <v/>
      </c>
      <c r="R106" s="243" t="e">
        <f t="shared" si="76"/>
        <v>#NUM!</v>
      </c>
      <c r="S106" s="187"/>
      <c r="T106" s="187" t="str">
        <f t="shared" si="77"/>
        <v/>
      </c>
      <c r="U106" s="42" t="e">
        <f t="shared" si="59"/>
        <v>#NUM!</v>
      </c>
      <c r="V106" s="45">
        <f t="shared" si="60"/>
        <v>0</v>
      </c>
      <c r="W106" s="187"/>
      <c r="X106" s="272" t="b">
        <f t="shared" si="81"/>
        <v>0</v>
      </c>
      <c r="Y106" s="187">
        <v>0</v>
      </c>
      <c r="Z106" s="187"/>
      <c r="AB106" s="357" t="e">
        <f t="shared" si="61"/>
        <v>#N/A</v>
      </c>
      <c r="AG106" s="307">
        <f t="shared" si="62"/>
        <v>0</v>
      </c>
      <c r="AH106" s="283">
        <f t="shared" si="63"/>
        <v>0</v>
      </c>
      <c r="AI106" t="str">
        <f t="shared" si="64"/>
        <v/>
      </c>
      <c r="AV106" s="36" t="str">
        <f t="shared" si="65"/>
        <v/>
      </c>
      <c r="AW106" s="37" t="e">
        <f t="shared" si="66"/>
        <v>#NUM!</v>
      </c>
      <c r="AX106" s="236" t="e">
        <f t="shared" si="67"/>
        <v>#NUM!</v>
      </c>
      <c r="AY106" s="237" t="e">
        <f t="shared" si="78"/>
        <v>#NUM!</v>
      </c>
      <c r="AZ106" s="238" t="e">
        <f t="shared" si="68"/>
        <v>#NUM!</v>
      </c>
      <c r="BA106" s="237" t="e">
        <f t="shared" si="69"/>
        <v>#NUM!</v>
      </c>
      <c r="BB106" s="238" t="e">
        <f t="shared" si="70"/>
        <v>#NUM!</v>
      </c>
      <c r="BC106" s="239">
        <f>IFERROR(IF(OR($E$11=Resumen!$N$6,$E$8=Resumen!$N$6),Amortización!AY106*0.16,0),"")</f>
        <v>0</v>
      </c>
      <c r="BD106" s="237">
        <f t="shared" si="71"/>
        <v>0</v>
      </c>
      <c r="BE106" s="240">
        <f t="shared" si="51"/>
        <v>0</v>
      </c>
      <c r="BF106" s="43" t="str">
        <f t="shared" si="52"/>
        <v/>
      </c>
      <c r="BH106" s="243" t="e">
        <f t="shared" si="42"/>
        <v>#NUM!</v>
      </c>
      <c r="BI106" s="187"/>
      <c r="BJ106" s="187" t="str">
        <f t="shared" si="72"/>
        <v/>
      </c>
      <c r="BK106" s="42" t="e">
        <f t="shared" si="73"/>
        <v>#NUM!</v>
      </c>
      <c r="BL106" s="45"/>
      <c r="BM106" s="242"/>
    </row>
    <row r="107" spans="3:65" ht="15.5" thickTop="1" thickBot="1" x14ac:dyDescent="0.4">
      <c r="C107" s="36" t="str">
        <f t="shared" si="74"/>
        <v/>
      </c>
      <c r="D107" s="37" t="e">
        <f t="shared" si="75"/>
        <v>#NUM!</v>
      </c>
      <c r="E107" s="236">
        <f t="shared" si="79"/>
        <v>0</v>
      </c>
      <c r="F107" s="237" t="e">
        <f t="shared" si="80"/>
        <v>#NUM!</v>
      </c>
      <c r="G107" s="238" t="e">
        <f>IF(D107="","",L106*Resumen!$L$86/1000)</f>
        <v>#NUM!</v>
      </c>
      <c r="H107" s="237" t="e">
        <f t="shared" si="53"/>
        <v>#NUM!</v>
      </c>
      <c r="I107" s="238" t="e">
        <f>IF($E$16=$V$1,0,IF(D107="","",Amortización!$AE$14))</f>
        <v>#NUM!</v>
      </c>
      <c r="J107" s="239">
        <f>IFERROR(IF(OR($E$11=Resumen!$N$6,$E$8=Resumen!$N$6),Amortización!F107*0.16,0),"")</f>
        <v>0</v>
      </c>
      <c r="K107" s="237">
        <f t="shared" si="54"/>
        <v>0</v>
      </c>
      <c r="L107" s="240">
        <f t="shared" si="55"/>
        <v>0</v>
      </c>
      <c r="M107" s="43" t="str">
        <f t="shared" si="50"/>
        <v/>
      </c>
      <c r="N107" s="44" t="str">
        <f t="shared" si="56"/>
        <v/>
      </c>
      <c r="O107" s="44" t="str">
        <f t="shared" si="57"/>
        <v/>
      </c>
      <c r="P107" s="44" t="str">
        <f t="shared" si="58"/>
        <v/>
      </c>
      <c r="Q107" s="242"/>
      <c r="R107" s="243" t="e">
        <f t="shared" si="76"/>
        <v>#NUM!</v>
      </c>
      <c r="S107" s="187"/>
      <c r="T107" s="187" t="str">
        <f t="shared" si="77"/>
        <v/>
      </c>
      <c r="U107" s="42" t="e">
        <f t="shared" si="59"/>
        <v>#NUM!</v>
      </c>
      <c r="V107" s="45">
        <f t="shared" si="60"/>
        <v>0</v>
      </c>
      <c r="W107" s="187"/>
      <c r="X107" s="272" t="b">
        <f t="shared" si="81"/>
        <v>0</v>
      </c>
      <c r="Y107" s="187">
        <v>0</v>
      </c>
      <c r="Z107" s="187"/>
      <c r="AB107" s="357" t="e">
        <f t="shared" si="61"/>
        <v>#N/A</v>
      </c>
      <c r="AG107" s="307">
        <f t="shared" si="62"/>
        <v>0</v>
      </c>
      <c r="AH107" s="283">
        <f t="shared" si="63"/>
        <v>0</v>
      </c>
      <c r="AI107" t="str">
        <f t="shared" si="64"/>
        <v/>
      </c>
      <c r="AV107" s="36" t="str">
        <f t="shared" si="65"/>
        <v/>
      </c>
      <c r="AW107" s="37" t="e">
        <f t="shared" si="66"/>
        <v>#NUM!</v>
      </c>
      <c r="AX107" s="236" t="e">
        <f t="shared" si="67"/>
        <v>#NUM!</v>
      </c>
      <c r="AY107" s="237" t="e">
        <f t="shared" si="78"/>
        <v>#NUM!</v>
      </c>
      <c r="AZ107" s="238" t="e">
        <f t="shared" si="68"/>
        <v>#NUM!</v>
      </c>
      <c r="BA107" s="237" t="e">
        <f t="shared" si="69"/>
        <v>#NUM!</v>
      </c>
      <c r="BB107" s="238" t="e">
        <f t="shared" si="70"/>
        <v>#NUM!</v>
      </c>
      <c r="BC107" s="239">
        <f>IFERROR(IF(OR($E$11=Resumen!$N$6,$E$8=Resumen!$N$6),Amortización!AY107*0.16,0),"")</f>
        <v>0</v>
      </c>
      <c r="BD107" s="237">
        <f t="shared" si="71"/>
        <v>0</v>
      </c>
      <c r="BE107" s="240">
        <f t="shared" si="51"/>
        <v>0</v>
      </c>
      <c r="BF107" s="43" t="str">
        <f t="shared" si="52"/>
        <v/>
      </c>
      <c r="BH107" s="243" t="e">
        <f t="shared" si="42"/>
        <v>#NUM!</v>
      </c>
      <c r="BI107" s="187"/>
      <c r="BJ107" s="187" t="str">
        <f t="shared" si="72"/>
        <v/>
      </c>
      <c r="BK107" s="42" t="e">
        <f t="shared" si="73"/>
        <v>#NUM!</v>
      </c>
      <c r="BL107" s="45"/>
      <c r="BM107" s="242"/>
    </row>
    <row r="108" spans="3:65" ht="15.5" thickTop="1" thickBot="1" x14ac:dyDescent="0.4">
      <c r="C108" s="36" t="str">
        <f t="shared" si="74"/>
        <v/>
      </c>
      <c r="D108" s="37" t="e">
        <f t="shared" si="75"/>
        <v>#NUM!</v>
      </c>
      <c r="E108" s="236">
        <f t="shared" si="79"/>
        <v>0</v>
      </c>
      <c r="F108" s="237" t="e">
        <f t="shared" si="80"/>
        <v>#NUM!</v>
      </c>
      <c r="G108" s="238" t="e">
        <f>IF(D108="","",L107*Resumen!$L$86/1000)</f>
        <v>#NUM!</v>
      </c>
      <c r="H108" s="237" t="e">
        <f t="shared" si="53"/>
        <v>#NUM!</v>
      </c>
      <c r="I108" s="238" t="e">
        <f>IF($E$16=$V$1,0,IF(D108="","",Amortización!$AE$14))</f>
        <v>#NUM!</v>
      </c>
      <c r="J108" s="239">
        <f>IFERROR(IF(OR($E$11=Resumen!$N$6,$E$8=Resumen!$N$6),Amortización!F108*0.16,0),"")</f>
        <v>0</v>
      </c>
      <c r="K108" s="237">
        <f t="shared" si="54"/>
        <v>0</v>
      </c>
      <c r="L108" s="240">
        <f t="shared" si="55"/>
        <v>0</v>
      </c>
      <c r="M108" s="43" t="str">
        <f t="shared" si="50"/>
        <v/>
      </c>
      <c r="N108" s="44" t="str">
        <f t="shared" si="56"/>
        <v/>
      </c>
      <c r="O108" s="44" t="str">
        <f t="shared" si="57"/>
        <v/>
      </c>
      <c r="P108" s="44" t="str">
        <f t="shared" si="58"/>
        <v/>
      </c>
      <c r="Q108" s="242" t="str">
        <f>IF(OR(L107=0,L107=""),"",IF(E108&gt;=D108,0,$E$17*10%))</f>
        <v/>
      </c>
      <c r="R108" s="243" t="e">
        <f t="shared" si="76"/>
        <v>#NUM!</v>
      </c>
      <c r="S108" s="187"/>
      <c r="T108" s="187" t="str">
        <f t="shared" si="77"/>
        <v/>
      </c>
      <c r="U108" s="42" t="e">
        <f t="shared" si="59"/>
        <v>#NUM!</v>
      </c>
      <c r="V108" s="45">
        <f t="shared" si="60"/>
        <v>0</v>
      </c>
      <c r="W108" s="187"/>
      <c r="X108" s="272" t="b">
        <f t="shared" si="81"/>
        <v>0</v>
      </c>
      <c r="Y108" s="187">
        <v>0</v>
      </c>
      <c r="Z108" s="187"/>
      <c r="AB108" s="357" t="e">
        <f t="shared" si="61"/>
        <v>#N/A</v>
      </c>
      <c r="AG108" s="307">
        <f t="shared" si="62"/>
        <v>0</v>
      </c>
      <c r="AH108" s="283">
        <f t="shared" si="63"/>
        <v>0</v>
      </c>
      <c r="AI108" t="str">
        <f t="shared" si="64"/>
        <v/>
      </c>
      <c r="AV108" s="36" t="str">
        <f t="shared" si="65"/>
        <v/>
      </c>
      <c r="AW108" s="37" t="e">
        <f t="shared" si="66"/>
        <v>#NUM!</v>
      </c>
      <c r="AX108" s="236" t="e">
        <f t="shared" si="67"/>
        <v>#NUM!</v>
      </c>
      <c r="AY108" s="237" t="e">
        <f t="shared" si="78"/>
        <v>#NUM!</v>
      </c>
      <c r="AZ108" s="238" t="e">
        <f t="shared" si="68"/>
        <v>#NUM!</v>
      </c>
      <c r="BA108" s="237" t="e">
        <f t="shared" si="69"/>
        <v>#NUM!</v>
      </c>
      <c r="BB108" s="238" t="e">
        <f t="shared" si="70"/>
        <v>#NUM!</v>
      </c>
      <c r="BC108" s="239">
        <f>IFERROR(IF(OR($E$11=Resumen!$N$6,$E$8=Resumen!$N$6),Amortización!AY108*0.16,0),"")</f>
        <v>0</v>
      </c>
      <c r="BD108" s="237">
        <f t="shared" si="71"/>
        <v>0</v>
      </c>
      <c r="BE108" s="240">
        <f t="shared" si="51"/>
        <v>0</v>
      </c>
      <c r="BF108" s="43" t="str">
        <f t="shared" si="52"/>
        <v/>
      </c>
      <c r="BH108" s="243" t="e">
        <f t="shared" si="42"/>
        <v>#NUM!</v>
      </c>
      <c r="BI108" s="187"/>
      <c r="BJ108" s="187" t="str">
        <f t="shared" si="72"/>
        <v/>
      </c>
      <c r="BK108" s="42" t="e">
        <f t="shared" si="73"/>
        <v>#NUM!</v>
      </c>
      <c r="BL108" s="45"/>
      <c r="BM108" s="242"/>
    </row>
    <row r="109" spans="3:65" ht="15.5" thickTop="1" thickBot="1" x14ac:dyDescent="0.4">
      <c r="C109" s="36" t="str">
        <f t="shared" si="74"/>
        <v/>
      </c>
      <c r="D109" s="37" t="e">
        <f t="shared" si="75"/>
        <v>#NUM!</v>
      </c>
      <c r="E109" s="236">
        <f t="shared" si="79"/>
        <v>0</v>
      </c>
      <c r="F109" s="237" t="e">
        <f t="shared" si="80"/>
        <v>#NUM!</v>
      </c>
      <c r="G109" s="238" t="e">
        <f>IF(D109="","",L108*Resumen!$L$86/1000)</f>
        <v>#NUM!</v>
      </c>
      <c r="H109" s="237" t="e">
        <f t="shared" si="53"/>
        <v>#NUM!</v>
      </c>
      <c r="I109" s="238" t="e">
        <f>IF($E$16=$V$1,0,IF(D109="","",Amortización!$AE$14))</f>
        <v>#NUM!</v>
      </c>
      <c r="J109" s="239">
        <f>IFERROR(IF(OR($E$11=Resumen!$N$6,$E$8=Resumen!$N$6),Amortización!F109*0.16,0),"")</f>
        <v>0</v>
      </c>
      <c r="K109" s="237">
        <f t="shared" si="54"/>
        <v>0</v>
      </c>
      <c r="L109" s="240">
        <f t="shared" si="55"/>
        <v>0</v>
      </c>
      <c r="M109" s="43" t="str">
        <f t="shared" si="50"/>
        <v/>
      </c>
      <c r="N109" s="44" t="str">
        <f t="shared" si="56"/>
        <v/>
      </c>
      <c r="O109" s="44" t="str">
        <f t="shared" si="57"/>
        <v/>
      </c>
      <c r="P109" s="44" t="str">
        <f t="shared" si="58"/>
        <v/>
      </c>
      <c r="Q109" s="242"/>
      <c r="R109" s="243" t="e">
        <f t="shared" si="76"/>
        <v>#NUM!</v>
      </c>
      <c r="S109" s="187"/>
      <c r="T109" s="187" t="str">
        <f t="shared" si="77"/>
        <v/>
      </c>
      <c r="U109" s="42" t="e">
        <f t="shared" si="59"/>
        <v>#NUM!</v>
      </c>
      <c r="V109" s="45">
        <f t="shared" si="60"/>
        <v>0</v>
      </c>
      <c r="W109" s="187"/>
      <c r="X109" s="272" t="b">
        <f t="shared" si="81"/>
        <v>0</v>
      </c>
      <c r="Y109" s="187">
        <v>0</v>
      </c>
      <c r="Z109" s="187"/>
      <c r="AB109" s="357" t="e">
        <f t="shared" si="61"/>
        <v>#N/A</v>
      </c>
      <c r="AG109" s="307">
        <f t="shared" si="62"/>
        <v>0</v>
      </c>
      <c r="AH109" s="283">
        <f t="shared" si="63"/>
        <v>0</v>
      </c>
      <c r="AI109" t="str">
        <f t="shared" si="64"/>
        <v/>
      </c>
      <c r="AV109" s="36" t="str">
        <f t="shared" si="65"/>
        <v/>
      </c>
      <c r="AW109" s="37" t="e">
        <f t="shared" si="66"/>
        <v>#NUM!</v>
      </c>
      <c r="AX109" s="236" t="e">
        <f t="shared" si="67"/>
        <v>#NUM!</v>
      </c>
      <c r="AY109" s="237" t="e">
        <f t="shared" si="78"/>
        <v>#NUM!</v>
      </c>
      <c r="AZ109" s="238" t="e">
        <f t="shared" si="68"/>
        <v>#NUM!</v>
      </c>
      <c r="BA109" s="237" t="e">
        <f t="shared" si="69"/>
        <v>#NUM!</v>
      </c>
      <c r="BB109" s="238" t="e">
        <f t="shared" si="70"/>
        <v>#NUM!</v>
      </c>
      <c r="BC109" s="239">
        <f>IFERROR(IF(OR($E$11=Resumen!$N$6,$E$8=Resumen!$N$6),Amortización!AY109*0.16,0),"")</f>
        <v>0</v>
      </c>
      <c r="BD109" s="237">
        <f t="shared" si="71"/>
        <v>0</v>
      </c>
      <c r="BE109" s="240">
        <f t="shared" si="51"/>
        <v>0</v>
      </c>
      <c r="BF109" s="43" t="str">
        <f t="shared" si="52"/>
        <v/>
      </c>
      <c r="BH109" s="243" t="e">
        <f t="shared" si="42"/>
        <v>#NUM!</v>
      </c>
      <c r="BI109" s="187"/>
      <c r="BJ109" s="187" t="str">
        <f t="shared" si="72"/>
        <v/>
      </c>
      <c r="BK109" s="42" t="e">
        <f t="shared" si="73"/>
        <v>#NUM!</v>
      </c>
      <c r="BL109" s="45"/>
      <c r="BM109" s="242"/>
    </row>
    <row r="110" spans="3:65" ht="15.5" thickTop="1" thickBot="1" x14ac:dyDescent="0.4">
      <c r="C110" s="36" t="str">
        <f t="shared" si="74"/>
        <v/>
      </c>
      <c r="D110" s="37" t="e">
        <f t="shared" si="75"/>
        <v>#NUM!</v>
      </c>
      <c r="E110" s="236">
        <f t="shared" si="79"/>
        <v>0</v>
      </c>
      <c r="F110" s="237" t="e">
        <f t="shared" si="80"/>
        <v>#NUM!</v>
      </c>
      <c r="G110" s="238" t="e">
        <f>IF(D110="","",L109*Resumen!$L$86/1000)</f>
        <v>#NUM!</v>
      </c>
      <c r="H110" s="237" t="e">
        <f t="shared" si="53"/>
        <v>#NUM!</v>
      </c>
      <c r="I110" s="238" t="e">
        <f>IF($E$16=$V$1,0,IF(D110="","",Amortización!$AE$14))</f>
        <v>#NUM!</v>
      </c>
      <c r="J110" s="239">
        <f>IFERROR(IF(OR($E$11=Resumen!$N$6,$E$8=Resumen!$N$6),Amortización!F110*0.16,0),"")</f>
        <v>0</v>
      </c>
      <c r="K110" s="237">
        <f t="shared" si="54"/>
        <v>0</v>
      </c>
      <c r="L110" s="240">
        <f t="shared" si="55"/>
        <v>0</v>
      </c>
      <c r="M110" s="43" t="str">
        <f t="shared" si="50"/>
        <v/>
      </c>
      <c r="N110" s="44" t="str">
        <f t="shared" si="56"/>
        <v/>
      </c>
      <c r="O110" s="44" t="str">
        <f t="shared" si="57"/>
        <v/>
      </c>
      <c r="P110" s="44" t="str">
        <f t="shared" si="58"/>
        <v/>
      </c>
      <c r="Q110" s="242" t="str">
        <f>IF(OR(L109=0,L109=""),"",IF(E110&gt;=D110,0,$E$17*10%))</f>
        <v/>
      </c>
      <c r="R110" s="243" t="e">
        <f t="shared" si="76"/>
        <v>#NUM!</v>
      </c>
      <c r="S110" s="187"/>
      <c r="T110" s="187" t="str">
        <f t="shared" si="77"/>
        <v/>
      </c>
      <c r="U110" s="42" t="e">
        <f t="shared" si="59"/>
        <v>#NUM!</v>
      </c>
      <c r="V110" s="45">
        <f t="shared" si="60"/>
        <v>0</v>
      </c>
      <c r="W110" s="187"/>
      <c r="X110" s="272" t="b">
        <f t="shared" si="81"/>
        <v>0</v>
      </c>
      <c r="Y110" s="187">
        <v>0</v>
      </c>
      <c r="Z110" s="187"/>
      <c r="AB110" s="357" t="e">
        <f t="shared" si="61"/>
        <v>#N/A</v>
      </c>
      <c r="AG110" s="307">
        <f t="shared" si="62"/>
        <v>0</v>
      </c>
      <c r="AH110" s="283">
        <f t="shared" si="63"/>
        <v>0</v>
      </c>
      <c r="AI110" t="str">
        <f t="shared" si="64"/>
        <v/>
      </c>
      <c r="AV110" s="36" t="str">
        <f t="shared" si="65"/>
        <v/>
      </c>
      <c r="AW110" s="37" t="e">
        <f t="shared" si="66"/>
        <v>#NUM!</v>
      </c>
      <c r="AX110" s="236" t="e">
        <f t="shared" si="67"/>
        <v>#NUM!</v>
      </c>
      <c r="AY110" s="237" t="e">
        <f t="shared" si="78"/>
        <v>#NUM!</v>
      </c>
      <c r="AZ110" s="238" t="e">
        <f t="shared" si="68"/>
        <v>#NUM!</v>
      </c>
      <c r="BA110" s="237" t="e">
        <f t="shared" si="69"/>
        <v>#NUM!</v>
      </c>
      <c r="BB110" s="238" t="e">
        <f t="shared" si="70"/>
        <v>#NUM!</v>
      </c>
      <c r="BC110" s="239">
        <f>IFERROR(IF(OR($E$11=Resumen!$N$6,$E$8=Resumen!$N$6),Amortización!AY110*0.16,0),"")</f>
        <v>0</v>
      </c>
      <c r="BD110" s="237">
        <f t="shared" si="71"/>
        <v>0</v>
      </c>
      <c r="BE110" s="240">
        <f t="shared" si="51"/>
        <v>0</v>
      </c>
      <c r="BF110" s="43" t="str">
        <f t="shared" si="52"/>
        <v/>
      </c>
      <c r="BH110" s="243" t="e">
        <f t="shared" ref="BH110:BH173" si="82">IF(AW110="","",BH109)</f>
        <v>#NUM!</v>
      </c>
      <c r="BI110" s="187"/>
      <c r="BJ110" s="187" t="str">
        <f t="shared" si="72"/>
        <v/>
      </c>
      <c r="BK110" s="42" t="e">
        <f t="shared" si="73"/>
        <v>#NUM!</v>
      </c>
      <c r="BL110" s="45"/>
      <c r="BM110" s="242"/>
    </row>
    <row r="111" spans="3:65" ht="15.5" thickTop="1" thickBot="1" x14ac:dyDescent="0.4">
      <c r="C111" s="36" t="str">
        <f t="shared" si="74"/>
        <v/>
      </c>
      <c r="D111" s="37" t="e">
        <f t="shared" si="75"/>
        <v>#NUM!</v>
      </c>
      <c r="E111" s="236">
        <f t="shared" si="79"/>
        <v>0</v>
      </c>
      <c r="F111" s="237" t="e">
        <f t="shared" si="80"/>
        <v>#NUM!</v>
      </c>
      <c r="G111" s="238" t="e">
        <f>IF(D111="","",L110*Resumen!$L$86/1000)</f>
        <v>#NUM!</v>
      </c>
      <c r="H111" s="237" t="e">
        <f t="shared" si="53"/>
        <v>#NUM!</v>
      </c>
      <c r="I111" s="238" t="e">
        <f>IF($E$16=$V$1,0,IF(D111="","",Amortización!$AE$14))</f>
        <v>#NUM!</v>
      </c>
      <c r="J111" s="239">
        <f>IFERROR(IF(OR($E$11=Resumen!$N$6,$E$8=Resumen!$N$6),Amortización!F111*0.16,0),"")</f>
        <v>0</v>
      </c>
      <c r="K111" s="237">
        <f t="shared" si="54"/>
        <v>0</v>
      </c>
      <c r="L111" s="240">
        <f t="shared" si="55"/>
        <v>0</v>
      </c>
      <c r="M111" s="43" t="str">
        <f t="shared" si="50"/>
        <v/>
      </c>
      <c r="N111" s="44" t="str">
        <f t="shared" si="56"/>
        <v/>
      </c>
      <c r="O111" s="44" t="str">
        <f t="shared" si="57"/>
        <v/>
      </c>
      <c r="P111" s="44" t="str">
        <f t="shared" si="58"/>
        <v/>
      </c>
      <c r="Q111" s="242"/>
      <c r="R111" s="243" t="e">
        <f t="shared" si="76"/>
        <v>#NUM!</v>
      </c>
      <c r="S111" s="187"/>
      <c r="T111" s="187" t="str">
        <f t="shared" si="77"/>
        <v/>
      </c>
      <c r="U111" s="42" t="e">
        <f t="shared" si="59"/>
        <v>#NUM!</v>
      </c>
      <c r="V111" s="45">
        <f t="shared" si="60"/>
        <v>0</v>
      </c>
      <c r="W111" s="187"/>
      <c r="X111" s="272" t="b">
        <f t="shared" si="81"/>
        <v>0</v>
      </c>
      <c r="Y111" s="187">
        <v>0</v>
      </c>
      <c r="Z111" s="187"/>
      <c r="AB111" s="357" t="e">
        <f t="shared" si="61"/>
        <v>#N/A</v>
      </c>
      <c r="AG111" s="307">
        <f t="shared" si="62"/>
        <v>0</v>
      </c>
      <c r="AH111" s="283">
        <f t="shared" si="63"/>
        <v>0</v>
      </c>
      <c r="AI111" t="str">
        <f t="shared" si="64"/>
        <v/>
      </c>
      <c r="AV111" s="36" t="str">
        <f t="shared" si="65"/>
        <v/>
      </c>
      <c r="AW111" s="37" t="e">
        <f t="shared" si="66"/>
        <v>#NUM!</v>
      </c>
      <c r="AX111" s="236" t="e">
        <f t="shared" si="67"/>
        <v>#NUM!</v>
      </c>
      <c r="AY111" s="237" t="e">
        <f t="shared" si="78"/>
        <v>#NUM!</v>
      </c>
      <c r="AZ111" s="238" t="e">
        <f t="shared" si="68"/>
        <v>#NUM!</v>
      </c>
      <c r="BA111" s="237" t="e">
        <f t="shared" si="69"/>
        <v>#NUM!</v>
      </c>
      <c r="BB111" s="238" t="e">
        <f t="shared" si="70"/>
        <v>#NUM!</v>
      </c>
      <c r="BC111" s="239">
        <f>IFERROR(IF(OR($E$11=Resumen!$N$6,$E$8=Resumen!$N$6),Amortización!AY111*0.16,0),"")</f>
        <v>0</v>
      </c>
      <c r="BD111" s="237">
        <f t="shared" si="71"/>
        <v>0</v>
      </c>
      <c r="BE111" s="240">
        <f t="shared" si="51"/>
        <v>0</v>
      </c>
      <c r="BF111" s="43" t="str">
        <f t="shared" si="52"/>
        <v/>
      </c>
      <c r="BH111" s="243" t="e">
        <f t="shared" si="82"/>
        <v>#NUM!</v>
      </c>
      <c r="BI111" s="187"/>
      <c r="BJ111" s="187" t="str">
        <f t="shared" si="72"/>
        <v/>
      </c>
      <c r="BK111" s="42" t="e">
        <f t="shared" si="73"/>
        <v>#NUM!</v>
      </c>
      <c r="BL111" s="45"/>
      <c r="BM111" s="242"/>
    </row>
    <row r="112" spans="3:65" ht="15.5" thickTop="1" thickBot="1" x14ac:dyDescent="0.4">
      <c r="C112" s="36" t="str">
        <f t="shared" si="74"/>
        <v/>
      </c>
      <c r="D112" s="37" t="e">
        <f t="shared" si="75"/>
        <v>#NUM!</v>
      </c>
      <c r="E112" s="236">
        <f t="shared" si="79"/>
        <v>0</v>
      </c>
      <c r="F112" s="237" t="e">
        <f t="shared" si="80"/>
        <v>#NUM!</v>
      </c>
      <c r="G112" s="238" t="e">
        <f>IF(D112="","",L111*Resumen!$L$86/1000)</f>
        <v>#NUM!</v>
      </c>
      <c r="H112" s="237" t="e">
        <f t="shared" si="53"/>
        <v>#NUM!</v>
      </c>
      <c r="I112" s="238" t="e">
        <f>IF($E$16=$V$1,0,IF(D112="","",Amortización!$AE$14))</f>
        <v>#NUM!</v>
      </c>
      <c r="J112" s="239">
        <f>IFERROR(IF(OR($E$11=Resumen!$N$6,$E$8=Resumen!$N$6),Amortización!F112*0.16,0),"")</f>
        <v>0</v>
      </c>
      <c r="K112" s="237">
        <f t="shared" si="54"/>
        <v>0</v>
      </c>
      <c r="L112" s="240">
        <f t="shared" si="55"/>
        <v>0</v>
      </c>
      <c r="M112" s="43" t="str">
        <f t="shared" si="50"/>
        <v/>
      </c>
      <c r="N112" s="44" t="str">
        <f t="shared" si="56"/>
        <v/>
      </c>
      <c r="O112" s="44" t="str">
        <f t="shared" si="57"/>
        <v/>
      </c>
      <c r="P112" s="44" t="str">
        <f t="shared" si="58"/>
        <v/>
      </c>
      <c r="Q112" s="242" t="str">
        <f>IF(OR(L111=0,L111=""),"",IF(E112&gt;=D112,0,$E$17*10%))</f>
        <v/>
      </c>
      <c r="R112" s="243" t="e">
        <f t="shared" si="76"/>
        <v>#NUM!</v>
      </c>
      <c r="S112" s="187"/>
      <c r="T112" s="187" t="str">
        <f t="shared" si="77"/>
        <v/>
      </c>
      <c r="U112" s="42" t="e">
        <f t="shared" si="59"/>
        <v>#NUM!</v>
      </c>
      <c r="V112" s="45">
        <f t="shared" si="60"/>
        <v>0</v>
      </c>
      <c r="W112" s="187"/>
      <c r="X112" s="272" t="b">
        <f t="shared" si="81"/>
        <v>0</v>
      </c>
      <c r="Y112" s="187">
        <v>0</v>
      </c>
      <c r="Z112" s="187"/>
      <c r="AB112" s="357" t="e">
        <f t="shared" si="61"/>
        <v>#N/A</v>
      </c>
      <c r="AG112" s="307">
        <f t="shared" si="62"/>
        <v>0</v>
      </c>
      <c r="AH112" s="283">
        <f t="shared" si="63"/>
        <v>0</v>
      </c>
      <c r="AI112" t="str">
        <f t="shared" si="64"/>
        <v/>
      </c>
      <c r="AV112" s="36" t="str">
        <f t="shared" si="65"/>
        <v/>
      </c>
      <c r="AW112" s="37" t="e">
        <f t="shared" si="66"/>
        <v>#NUM!</v>
      </c>
      <c r="AX112" s="236" t="e">
        <f t="shared" si="67"/>
        <v>#NUM!</v>
      </c>
      <c r="AY112" s="237" t="e">
        <f t="shared" si="78"/>
        <v>#NUM!</v>
      </c>
      <c r="AZ112" s="238" t="e">
        <f t="shared" si="68"/>
        <v>#NUM!</v>
      </c>
      <c r="BA112" s="237" t="e">
        <f t="shared" si="69"/>
        <v>#NUM!</v>
      </c>
      <c r="BB112" s="238" t="e">
        <f t="shared" si="70"/>
        <v>#NUM!</v>
      </c>
      <c r="BC112" s="239">
        <f>IFERROR(IF(OR($E$11=Resumen!$N$6,$E$8=Resumen!$N$6),Amortización!AY112*0.16,0),"")</f>
        <v>0</v>
      </c>
      <c r="BD112" s="237">
        <f t="shared" si="71"/>
        <v>0</v>
      </c>
      <c r="BE112" s="240">
        <f t="shared" si="51"/>
        <v>0</v>
      </c>
      <c r="BF112" s="43" t="str">
        <f t="shared" si="52"/>
        <v/>
      </c>
      <c r="BH112" s="243" t="e">
        <f t="shared" si="82"/>
        <v>#NUM!</v>
      </c>
      <c r="BI112" s="187"/>
      <c r="BJ112" s="187" t="str">
        <f t="shared" si="72"/>
        <v/>
      </c>
      <c r="BK112" s="42" t="e">
        <f t="shared" si="73"/>
        <v>#NUM!</v>
      </c>
      <c r="BL112" s="45"/>
      <c r="BM112" s="242"/>
    </row>
    <row r="113" spans="3:65" ht="15.5" thickTop="1" thickBot="1" x14ac:dyDescent="0.4">
      <c r="C113" s="36" t="str">
        <f t="shared" si="74"/>
        <v/>
      </c>
      <c r="D113" s="37" t="e">
        <f t="shared" si="75"/>
        <v>#NUM!</v>
      </c>
      <c r="E113" s="236">
        <f t="shared" si="79"/>
        <v>0</v>
      </c>
      <c r="F113" s="237" t="e">
        <f t="shared" si="80"/>
        <v>#NUM!</v>
      </c>
      <c r="G113" s="238" t="e">
        <f>IF(D113="","",L112*Resumen!$L$86/1000)</f>
        <v>#NUM!</v>
      </c>
      <c r="H113" s="237" t="e">
        <f t="shared" si="53"/>
        <v>#NUM!</v>
      </c>
      <c r="I113" s="238" t="e">
        <f>IF($E$16=$V$1,0,IF(D113="","",Amortización!$AE$14))</f>
        <v>#NUM!</v>
      </c>
      <c r="J113" s="239">
        <f>IFERROR(IF(OR($E$11=Resumen!$N$6,$E$8=Resumen!$N$6),Amortización!F113*0.16,0),"")</f>
        <v>0</v>
      </c>
      <c r="K113" s="237">
        <f t="shared" si="54"/>
        <v>0</v>
      </c>
      <c r="L113" s="240">
        <f t="shared" si="55"/>
        <v>0</v>
      </c>
      <c r="M113" s="43" t="str">
        <f t="shared" si="50"/>
        <v/>
      </c>
      <c r="N113" s="44" t="str">
        <f t="shared" si="56"/>
        <v/>
      </c>
      <c r="O113" s="44" t="str">
        <f t="shared" si="57"/>
        <v/>
      </c>
      <c r="P113" s="44" t="str">
        <f t="shared" si="58"/>
        <v/>
      </c>
      <c r="Q113" s="242"/>
      <c r="R113" s="243" t="e">
        <f t="shared" si="76"/>
        <v>#NUM!</v>
      </c>
      <c r="S113" s="187"/>
      <c r="T113" s="187" t="str">
        <f t="shared" si="77"/>
        <v/>
      </c>
      <c r="U113" s="42" t="e">
        <f t="shared" si="59"/>
        <v>#NUM!</v>
      </c>
      <c r="V113" s="45">
        <f t="shared" si="60"/>
        <v>0</v>
      </c>
      <c r="W113" s="187"/>
      <c r="X113" s="272" t="b">
        <f t="shared" si="81"/>
        <v>0</v>
      </c>
      <c r="Y113" s="187">
        <v>0</v>
      </c>
      <c r="Z113" s="187"/>
      <c r="AB113" s="357" t="e">
        <f t="shared" si="61"/>
        <v>#N/A</v>
      </c>
      <c r="AG113" s="307">
        <f t="shared" si="62"/>
        <v>0</v>
      </c>
      <c r="AH113" s="283">
        <f t="shared" si="63"/>
        <v>0</v>
      </c>
      <c r="AI113" t="str">
        <f t="shared" si="64"/>
        <v/>
      </c>
      <c r="AV113" s="36" t="str">
        <f t="shared" si="65"/>
        <v/>
      </c>
      <c r="AW113" s="37" t="e">
        <f t="shared" si="66"/>
        <v>#NUM!</v>
      </c>
      <c r="AX113" s="236" t="e">
        <f t="shared" si="67"/>
        <v>#NUM!</v>
      </c>
      <c r="AY113" s="237" t="e">
        <f t="shared" si="78"/>
        <v>#NUM!</v>
      </c>
      <c r="AZ113" s="238" t="e">
        <f t="shared" si="68"/>
        <v>#NUM!</v>
      </c>
      <c r="BA113" s="237" t="e">
        <f t="shared" si="69"/>
        <v>#NUM!</v>
      </c>
      <c r="BB113" s="238" t="e">
        <f t="shared" si="70"/>
        <v>#NUM!</v>
      </c>
      <c r="BC113" s="239">
        <f>IFERROR(IF(OR($E$11=Resumen!$N$6,$E$8=Resumen!$N$6),Amortización!AY113*0.16,0),"")</f>
        <v>0</v>
      </c>
      <c r="BD113" s="237">
        <f t="shared" si="71"/>
        <v>0</v>
      </c>
      <c r="BE113" s="240">
        <f t="shared" si="51"/>
        <v>0</v>
      </c>
      <c r="BF113" s="43" t="str">
        <f t="shared" si="52"/>
        <v/>
      </c>
      <c r="BH113" s="243" t="e">
        <f t="shared" si="82"/>
        <v>#NUM!</v>
      </c>
      <c r="BI113" s="187"/>
      <c r="BJ113" s="187" t="str">
        <f t="shared" si="72"/>
        <v/>
      </c>
      <c r="BK113" s="42" t="e">
        <f t="shared" si="73"/>
        <v>#NUM!</v>
      </c>
      <c r="BL113" s="45"/>
      <c r="BM113" s="242"/>
    </row>
    <row r="114" spans="3:65" ht="15.5" thickTop="1" thickBot="1" x14ac:dyDescent="0.4">
      <c r="C114" s="36" t="str">
        <f t="shared" si="74"/>
        <v/>
      </c>
      <c r="D114" s="37" t="e">
        <f t="shared" si="75"/>
        <v>#NUM!</v>
      </c>
      <c r="E114" s="236">
        <f t="shared" si="79"/>
        <v>0</v>
      </c>
      <c r="F114" s="237" t="e">
        <f t="shared" si="80"/>
        <v>#NUM!</v>
      </c>
      <c r="G114" s="238" t="e">
        <f>IF(D114="","",L113*Resumen!$L$86/1000)</f>
        <v>#NUM!</v>
      </c>
      <c r="H114" s="237" t="e">
        <f t="shared" si="53"/>
        <v>#NUM!</v>
      </c>
      <c r="I114" s="238" t="e">
        <f>IF($E$16=$V$1,0,IF(D114="","",Amortización!$AE$14))</f>
        <v>#NUM!</v>
      </c>
      <c r="J114" s="239">
        <f>IFERROR(IF(OR($E$11=Resumen!$N$6,$E$8=Resumen!$N$6),Amortización!F114*0.16,0),"")</f>
        <v>0</v>
      </c>
      <c r="K114" s="237">
        <f t="shared" si="54"/>
        <v>0</v>
      </c>
      <c r="L114" s="240">
        <f t="shared" si="55"/>
        <v>0</v>
      </c>
      <c r="M114" s="43" t="str">
        <f t="shared" si="50"/>
        <v/>
      </c>
      <c r="N114" s="44" t="str">
        <f t="shared" si="56"/>
        <v/>
      </c>
      <c r="O114" s="44" t="str">
        <f t="shared" si="57"/>
        <v/>
      </c>
      <c r="P114" s="44" t="str">
        <f t="shared" si="58"/>
        <v/>
      </c>
      <c r="Q114" s="242" t="str">
        <f>IF(OR(L113=0,L113=""),"",IF(E114&gt;=D114,0,$E$17*10%))</f>
        <v/>
      </c>
      <c r="R114" s="243" t="e">
        <f t="shared" si="76"/>
        <v>#NUM!</v>
      </c>
      <c r="S114" s="187"/>
      <c r="T114" s="187" t="str">
        <f t="shared" si="77"/>
        <v/>
      </c>
      <c r="U114" s="42" t="e">
        <f t="shared" si="59"/>
        <v>#NUM!</v>
      </c>
      <c r="V114" s="45">
        <f t="shared" si="60"/>
        <v>0</v>
      </c>
      <c r="W114" s="187"/>
      <c r="X114" s="272" t="b">
        <f t="shared" si="81"/>
        <v>0</v>
      </c>
      <c r="Y114" s="187">
        <v>0</v>
      </c>
      <c r="Z114" s="187"/>
      <c r="AB114" s="357" t="e">
        <f t="shared" si="61"/>
        <v>#N/A</v>
      </c>
      <c r="AG114" s="307">
        <f t="shared" si="62"/>
        <v>0</v>
      </c>
      <c r="AH114" s="283">
        <f t="shared" si="63"/>
        <v>0</v>
      </c>
      <c r="AI114" t="str">
        <f t="shared" si="64"/>
        <v/>
      </c>
      <c r="AV114" s="36" t="str">
        <f t="shared" si="65"/>
        <v/>
      </c>
      <c r="AW114" s="37" t="e">
        <f t="shared" si="66"/>
        <v>#NUM!</v>
      </c>
      <c r="AX114" s="236" t="e">
        <f t="shared" si="67"/>
        <v>#NUM!</v>
      </c>
      <c r="AY114" s="237" t="e">
        <f t="shared" si="78"/>
        <v>#NUM!</v>
      </c>
      <c r="AZ114" s="238" t="e">
        <f t="shared" si="68"/>
        <v>#NUM!</v>
      </c>
      <c r="BA114" s="237" t="e">
        <f t="shared" si="69"/>
        <v>#NUM!</v>
      </c>
      <c r="BB114" s="238" t="e">
        <f t="shared" si="70"/>
        <v>#NUM!</v>
      </c>
      <c r="BC114" s="239">
        <f>IFERROR(IF(OR($E$11=Resumen!$N$6,$E$8=Resumen!$N$6),Amortización!AY114*0.16,0),"")</f>
        <v>0</v>
      </c>
      <c r="BD114" s="237">
        <f t="shared" si="71"/>
        <v>0</v>
      </c>
      <c r="BE114" s="240">
        <f t="shared" si="51"/>
        <v>0</v>
      </c>
      <c r="BF114" s="43" t="str">
        <f t="shared" si="52"/>
        <v/>
      </c>
      <c r="BH114" s="243" t="e">
        <f t="shared" si="82"/>
        <v>#NUM!</v>
      </c>
      <c r="BI114" s="187"/>
      <c r="BJ114" s="187" t="str">
        <f t="shared" si="72"/>
        <v/>
      </c>
      <c r="BK114" s="42" t="e">
        <f t="shared" si="73"/>
        <v>#NUM!</v>
      </c>
      <c r="BL114" s="45"/>
      <c r="BM114" s="242"/>
    </row>
    <row r="115" spans="3:65" ht="15.5" thickTop="1" thickBot="1" x14ac:dyDescent="0.4">
      <c r="C115" s="36" t="str">
        <f t="shared" si="74"/>
        <v/>
      </c>
      <c r="D115" s="37" t="e">
        <f t="shared" si="75"/>
        <v>#NUM!</v>
      </c>
      <c r="E115" s="236">
        <f t="shared" si="79"/>
        <v>0</v>
      </c>
      <c r="F115" s="237" t="e">
        <f t="shared" si="80"/>
        <v>#NUM!</v>
      </c>
      <c r="G115" s="238" t="e">
        <f>IF(D115="","",L114*Resumen!$L$86/1000)</f>
        <v>#NUM!</v>
      </c>
      <c r="H115" s="237" t="e">
        <f t="shared" si="53"/>
        <v>#NUM!</v>
      </c>
      <c r="I115" s="238" t="e">
        <f>IF($E$16=$V$1,0,IF(D115="","",Amortización!$AE$14))</f>
        <v>#NUM!</v>
      </c>
      <c r="J115" s="239">
        <f>IFERROR(IF(OR($E$11=Resumen!$N$6,$E$8=Resumen!$N$6),Amortización!F115*0.16,0),"")</f>
        <v>0</v>
      </c>
      <c r="K115" s="237">
        <f t="shared" si="54"/>
        <v>0</v>
      </c>
      <c r="L115" s="240">
        <f t="shared" si="55"/>
        <v>0</v>
      </c>
      <c r="M115" s="43" t="str">
        <f t="shared" si="50"/>
        <v/>
      </c>
      <c r="N115" s="44" t="str">
        <f t="shared" si="56"/>
        <v/>
      </c>
      <c r="O115" s="44" t="str">
        <f t="shared" si="57"/>
        <v/>
      </c>
      <c r="P115" s="44" t="str">
        <f t="shared" si="58"/>
        <v/>
      </c>
      <c r="Q115" s="242"/>
      <c r="R115" s="243" t="e">
        <f t="shared" si="76"/>
        <v>#NUM!</v>
      </c>
      <c r="S115" s="187"/>
      <c r="T115" s="187" t="str">
        <f t="shared" si="77"/>
        <v/>
      </c>
      <c r="U115" s="42" t="e">
        <f t="shared" si="59"/>
        <v>#NUM!</v>
      </c>
      <c r="V115" s="45">
        <f t="shared" si="60"/>
        <v>0</v>
      </c>
      <c r="W115" s="187"/>
      <c r="X115" s="272" t="b">
        <f t="shared" si="81"/>
        <v>0</v>
      </c>
      <c r="Y115" s="187">
        <v>0</v>
      </c>
      <c r="Z115" s="187"/>
      <c r="AB115" s="357" t="e">
        <f t="shared" si="61"/>
        <v>#N/A</v>
      </c>
      <c r="AG115" s="307">
        <f t="shared" si="62"/>
        <v>0</v>
      </c>
      <c r="AH115" s="283">
        <f t="shared" si="63"/>
        <v>0</v>
      </c>
      <c r="AI115" t="str">
        <f t="shared" si="64"/>
        <v/>
      </c>
      <c r="AV115" s="36" t="str">
        <f t="shared" si="65"/>
        <v/>
      </c>
      <c r="AW115" s="37" t="e">
        <f t="shared" si="66"/>
        <v>#NUM!</v>
      </c>
      <c r="AX115" s="236" t="e">
        <f t="shared" si="67"/>
        <v>#NUM!</v>
      </c>
      <c r="AY115" s="237" t="e">
        <f t="shared" si="78"/>
        <v>#NUM!</v>
      </c>
      <c r="AZ115" s="238" t="e">
        <f t="shared" si="68"/>
        <v>#NUM!</v>
      </c>
      <c r="BA115" s="237" t="e">
        <f t="shared" si="69"/>
        <v>#NUM!</v>
      </c>
      <c r="BB115" s="238" t="e">
        <f t="shared" si="70"/>
        <v>#NUM!</v>
      </c>
      <c r="BC115" s="239">
        <f>IFERROR(IF(OR($E$11=Resumen!$N$6,$E$8=Resumen!$N$6),Amortización!AY115*0.16,0),"")</f>
        <v>0</v>
      </c>
      <c r="BD115" s="237">
        <f t="shared" si="71"/>
        <v>0</v>
      </c>
      <c r="BE115" s="240">
        <f t="shared" si="51"/>
        <v>0</v>
      </c>
      <c r="BF115" s="43" t="str">
        <f t="shared" si="52"/>
        <v/>
      </c>
      <c r="BH115" s="243" t="e">
        <f t="shared" si="82"/>
        <v>#NUM!</v>
      </c>
      <c r="BI115" s="187"/>
      <c r="BJ115" s="187" t="str">
        <f t="shared" si="72"/>
        <v/>
      </c>
      <c r="BK115" s="42" t="e">
        <f t="shared" si="73"/>
        <v>#NUM!</v>
      </c>
      <c r="BL115" s="45"/>
      <c r="BM115" s="242"/>
    </row>
    <row r="116" spans="3:65" ht="15.5" thickTop="1" thickBot="1" x14ac:dyDescent="0.4">
      <c r="C116" s="36" t="str">
        <f t="shared" si="74"/>
        <v/>
      </c>
      <c r="D116" s="37" t="e">
        <f t="shared" si="75"/>
        <v>#NUM!</v>
      </c>
      <c r="E116" s="236">
        <f t="shared" si="79"/>
        <v>0</v>
      </c>
      <c r="F116" s="237" t="e">
        <f t="shared" si="80"/>
        <v>#NUM!</v>
      </c>
      <c r="G116" s="238" t="e">
        <f>IF(D116="","",L115*Resumen!$L$86/1000)</f>
        <v>#NUM!</v>
      </c>
      <c r="H116" s="237" t="e">
        <f t="shared" si="53"/>
        <v>#NUM!</v>
      </c>
      <c r="I116" s="238" t="e">
        <f>IF($E$16=$V$1,0,IF(D116="","",Amortización!$AE$14))</f>
        <v>#NUM!</v>
      </c>
      <c r="J116" s="239">
        <f>IFERROR(IF(OR($E$11=Resumen!$N$6,$E$8=Resumen!$N$6),Amortización!F116*0.16,0),"")</f>
        <v>0</v>
      </c>
      <c r="K116" s="237">
        <f t="shared" si="54"/>
        <v>0</v>
      </c>
      <c r="L116" s="240">
        <f t="shared" si="55"/>
        <v>0</v>
      </c>
      <c r="M116" s="43" t="str">
        <f t="shared" si="50"/>
        <v/>
      </c>
      <c r="N116" s="44" t="str">
        <f t="shared" si="56"/>
        <v/>
      </c>
      <c r="O116" s="44" t="str">
        <f t="shared" si="57"/>
        <v/>
      </c>
      <c r="P116" s="44" t="str">
        <f t="shared" si="58"/>
        <v/>
      </c>
      <c r="Q116" s="242" t="str">
        <f>IF(OR(L115=0,L115=""),"",IF(E116&gt;=D116,0,$E$17*10%))</f>
        <v/>
      </c>
      <c r="R116" s="243" t="e">
        <f t="shared" si="76"/>
        <v>#NUM!</v>
      </c>
      <c r="S116" s="187"/>
      <c r="T116" s="187" t="str">
        <f t="shared" si="77"/>
        <v/>
      </c>
      <c r="U116" s="42" t="e">
        <f t="shared" si="59"/>
        <v>#NUM!</v>
      </c>
      <c r="V116" s="45">
        <f t="shared" si="60"/>
        <v>0</v>
      </c>
      <c r="W116" s="187"/>
      <c r="X116" s="272" t="b">
        <f t="shared" si="81"/>
        <v>0</v>
      </c>
      <c r="Y116" s="187">
        <v>0</v>
      </c>
      <c r="Z116" s="187"/>
      <c r="AB116" s="357" t="e">
        <f t="shared" si="61"/>
        <v>#N/A</v>
      </c>
      <c r="AG116" s="307">
        <f t="shared" si="62"/>
        <v>0</v>
      </c>
      <c r="AH116" s="283">
        <f t="shared" si="63"/>
        <v>0</v>
      </c>
      <c r="AI116" t="str">
        <f t="shared" si="64"/>
        <v/>
      </c>
      <c r="AV116" s="36" t="str">
        <f t="shared" si="65"/>
        <v/>
      </c>
      <c r="AW116" s="37" t="e">
        <f t="shared" si="66"/>
        <v>#NUM!</v>
      </c>
      <c r="AX116" s="236" t="e">
        <f t="shared" si="67"/>
        <v>#NUM!</v>
      </c>
      <c r="AY116" s="237" t="e">
        <f t="shared" si="78"/>
        <v>#NUM!</v>
      </c>
      <c r="AZ116" s="238" t="e">
        <f t="shared" si="68"/>
        <v>#NUM!</v>
      </c>
      <c r="BA116" s="237" t="e">
        <f t="shared" si="69"/>
        <v>#NUM!</v>
      </c>
      <c r="BB116" s="238" t="e">
        <f t="shared" si="70"/>
        <v>#NUM!</v>
      </c>
      <c r="BC116" s="239">
        <f>IFERROR(IF(OR($E$11=Resumen!$N$6,$E$8=Resumen!$N$6),Amortización!AY116*0.16,0),"")</f>
        <v>0</v>
      </c>
      <c r="BD116" s="237">
        <f t="shared" si="71"/>
        <v>0</v>
      </c>
      <c r="BE116" s="240">
        <f t="shared" si="51"/>
        <v>0</v>
      </c>
      <c r="BF116" s="43" t="str">
        <f t="shared" si="52"/>
        <v/>
      </c>
      <c r="BH116" s="243" t="e">
        <f t="shared" si="82"/>
        <v>#NUM!</v>
      </c>
      <c r="BI116" s="187"/>
      <c r="BJ116" s="187" t="str">
        <f t="shared" si="72"/>
        <v/>
      </c>
      <c r="BK116" s="42" t="e">
        <f t="shared" si="73"/>
        <v>#NUM!</v>
      </c>
      <c r="BL116" s="45"/>
      <c r="BM116" s="242"/>
    </row>
    <row r="117" spans="3:65" ht="15.5" thickTop="1" thickBot="1" x14ac:dyDescent="0.4">
      <c r="C117" s="36" t="str">
        <f t="shared" si="74"/>
        <v/>
      </c>
      <c r="D117" s="37" t="e">
        <f t="shared" si="75"/>
        <v>#NUM!</v>
      </c>
      <c r="E117" s="236">
        <f t="shared" si="79"/>
        <v>0</v>
      </c>
      <c r="F117" s="237" t="e">
        <f t="shared" si="80"/>
        <v>#NUM!</v>
      </c>
      <c r="G117" s="238" t="e">
        <f>IF(D117="","",L116*Resumen!$L$86/1000)</f>
        <v>#NUM!</v>
      </c>
      <c r="H117" s="237" t="e">
        <f t="shared" si="53"/>
        <v>#NUM!</v>
      </c>
      <c r="I117" s="238" t="e">
        <f>IF($E$16=$V$1,0,IF(D117="","",Amortización!$AE$14))</f>
        <v>#NUM!</v>
      </c>
      <c r="J117" s="239">
        <f>IFERROR(IF(OR($E$11=Resumen!$N$6,$E$8=Resumen!$N$6),Amortización!F117*0.16,0),"")</f>
        <v>0</v>
      </c>
      <c r="K117" s="237">
        <f t="shared" si="54"/>
        <v>0</v>
      </c>
      <c r="L117" s="240">
        <f t="shared" si="55"/>
        <v>0</v>
      </c>
      <c r="M117" s="43" t="str">
        <f t="shared" si="50"/>
        <v/>
      </c>
      <c r="N117" s="44" t="str">
        <f t="shared" si="56"/>
        <v/>
      </c>
      <c r="O117" s="44" t="str">
        <f t="shared" si="57"/>
        <v/>
      </c>
      <c r="P117" s="44" t="str">
        <f t="shared" si="58"/>
        <v/>
      </c>
      <c r="Q117" s="242"/>
      <c r="R117" s="243" t="e">
        <f t="shared" si="76"/>
        <v>#NUM!</v>
      </c>
      <c r="S117" s="187"/>
      <c r="T117" s="187" t="str">
        <f t="shared" si="77"/>
        <v/>
      </c>
      <c r="U117" s="42" t="e">
        <f t="shared" si="59"/>
        <v>#NUM!</v>
      </c>
      <c r="V117" s="45">
        <f t="shared" si="60"/>
        <v>0</v>
      </c>
      <c r="W117" s="187"/>
      <c r="X117" s="272" t="b">
        <f t="shared" si="81"/>
        <v>0</v>
      </c>
      <c r="Y117" s="187">
        <v>0</v>
      </c>
      <c r="Z117" s="187"/>
      <c r="AB117" s="357" t="e">
        <f t="shared" si="61"/>
        <v>#N/A</v>
      </c>
      <c r="AG117" s="307">
        <f t="shared" si="62"/>
        <v>0</v>
      </c>
      <c r="AH117" s="283">
        <f t="shared" si="63"/>
        <v>0</v>
      </c>
      <c r="AI117" t="str">
        <f t="shared" si="64"/>
        <v/>
      </c>
      <c r="AV117" s="36" t="str">
        <f t="shared" si="65"/>
        <v/>
      </c>
      <c r="AW117" s="37" t="e">
        <f t="shared" si="66"/>
        <v>#NUM!</v>
      </c>
      <c r="AX117" s="236" t="e">
        <f t="shared" si="67"/>
        <v>#NUM!</v>
      </c>
      <c r="AY117" s="237" t="e">
        <f t="shared" si="78"/>
        <v>#NUM!</v>
      </c>
      <c r="AZ117" s="238" t="e">
        <f t="shared" si="68"/>
        <v>#NUM!</v>
      </c>
      <c r="BA117" s="237" t="e">
        <f t="shared" si="69"/>
        <v>#NUM!</v>
      </c>
      <c r="BB117" s="238" t="e">
        <f t="shared" si="70"/>
        <v>#NUM!</v>
      </c>
      <c r="BC117" s="239">
        <f>IFERROR(IF(OR($E$11=Resumen!$N$6,$E$8=Resumen!$N$6),Amortización!AY117*0.16,0),"")</f>
        <v>0</v>
      </c>
      <c r="BD117" s="237">
        <f t="shared" si="71"/>
        <v>0</v>
      </c>
      <c r="BE117" s="240">
        <f t="shared" si="51"/>
        <v>0</v>
      </c>
      <c r="BF117" s="43" t="str">
        <f t="shared" si="52"/>
        <v/>
      </c>
      <c r="BH117" s="243" t="e">
        <f t="shared" si="82"/>
        <v>#NUM!</v>
      </c>
      <c r="BI117" s="187"/>
      <c r="BJ117" s="187" t="str">
        <f t="shared" si="72"/>
        <v/>
      </c>
      <c r="BK117" s="42" t="e">
        <f t="shared" si="73"/>
        <v>#NUM!</v>
      </c>
      <c r="BL117" s="45"/>
      <c r="BM117" s="242"/>
    </row>
    <row r="118" spans="3:65" ht="15.5" thickTop="1" thickBot="1" x14ac:dyDescent="0.4">
      <c r="C118" s="36" t="str">
        <f t="shared" si="74"/>
        <v/>
      </c>
      <c r="D118" s="37" t="e">
        <f t="shared" si="75"/>
        <v>#NUM!</v>
      </c>
      <c r="E118" s="236">
        <f t="shared" si="79"/>
        <v>0</v>
      </c>
      <c r="F118" s="237" t="e">
        <f t="shared" si="80"/>
        <v>#NUM!</v>
      </c>
      <c r="G118" s="238" t="e">
        <f>IF(D118="","",L117*Resumen!$L$86/1000)</f>
        <v>#NUM!</v>
      </c>
      <c r="H118" s="237" t="e">
        <f t="shared" si="53"/>
        <v>#NUM!</v>
      </c>
      <c r="I118" s="238" t="e">
        <f>IF($E$16=$V$1,0,IF(D118="","",Amortización!$AE$14))</f>
        <v>#NUM!</v>
      </c>
      <c r="J118" s="239">
        <f>IFERROR(IF(OR($E$11=Resumen!$N$6,$E$8=Resumen!$N$6),Amortización!F118*0.16,0),"")</f>
        <v>0</v>
      </c>
      <c r="K118" s="237">
        <f t="shared" si="54"/>
        <v>0</v>
      </c>
      <c r="L118" s="240">
        <f t="shared" si="55"/>
        <v>0</v>
      </c>
      <c r="M118" s="43" t="str">
        <f t="shared" si="50"/>
        <v/>
      </c>
      <c r="N118" s="44" t="str">
        <f t="shared" si="56"/>
        <v/>
      </c>
      <c r="O118" s="44" t="str">
        <f t="shared" si="57"/>
        <v/>
      </c>
      <c r="P118" s="44" t="str">
        <f t="shared" si="58"/>
        <v/>
      </c>
      <c r="Q118" s="242" t="str">
        <f>IF(OR(L117=0,L117=""),"",IF(E118&gt;=D118,0,$E$17*10%))</f>
        <v/>
      </c>
      <c r="R118" s="243" t="e">
        <f t="shared" si="76"/>
        <v>#NUM!</v>
      </c>
      <c r="S118" s="187"/>
      <c r="T118" s="187" t="str">
        <f t="shared" si="77"/>
        <v/>
      </c>
      <c r="U118" s="42" t="e">
        <f t="shared" si="59"/>
        <v>#NUM!</v>
      </c>
      <c r="V118" s="45">
        <f t="shared" si="60"/>
        <v>0</v>
      </c>
      <c r="W118" s="187"/>
      <c r="X118" s="272" t="b">
        <f t="shared" si="81"/>
        <v>0</v>
      </c>
      <c r="Y118" s="187">
        <v>0</v>
      </c>
      <c r="Z118" s="187"/>
      <c r="AB118" s="357" t="e">
        <f t="shared" si="61"/>
        <v>#N/A</v>
      </c>
      <c r="AG118" s="307">
        <f t="shared" si="62"/>
        <v>0</v>
      </c>
      <c r="AH118" s="283">
        <f t="shared" si="63"/>
        <v>0</v>
      </c>
      <c r="AI118" t="str">
        <f t="shared" si="64"/>
        <v/>
      </c>
      <c r="AV118" s="36" t="str">
        <f t="shared" si="65"/>
        <v/>
      </c>
      <c r="AW118" s="37" t="e">
        <f t="shared" si="66"/>
        <v>#NUM!</v>
      </c>
      <c r="AX118" s="236" t="e">
        <f t="shared" si="67"/>
        <v>#NUM!</v>
      </c>
      <c r="AY118" s="237" t="e">
        <f t="shared" si="78"/>
        <v>#NUM!</v>
      </c>
      <c r="AZ118" s="238" t="e">
        <f t="shared" si="68"/>
        <v>#NUM!</v>
      </c>
      <c r="BA118" s="237" t="e">
        <f t="shared" si="69"/>
        <v>#NUM!</v>
      </c>
      <c r="BB118" s="238" t="e">
        <f t="shared" si="70"/>
        <v>#NUM!</v>
      </c>
      <c r="BC118" s="239">
        <f>IFERROR(IF(OR($E$11=Resumen!$N$6,$E$8=Resumen!$N$6),Amortización!AY118*0.16,0),"")</f>
        <v>0</v>
      </c>
      <c r="BD118" s="237">
        <f t="shared" si="71"/>
        <v>0</v>
      </c>
      <c r="BE118" s="240">
        <f t="shared" si="51"/>
        <v>0</v>
      </c>
      <c r="BF118" s="43" t="str">
        <f t="shared" si="52"/>
        <v/>
      </c>
      <c r="BH118" s="243" t="e">
        <f t="shared" si="82"/>
        <v>#NUM!</v>
      </c>
      <c r="BI118" s="187"/>
      <c r="BJ118" s="187" t="str">
        <f t="shared" si="72"/>
        <v/>
      </c>
      <c r="BK118" s="42" t="e">
        <f t="shared" si="73"/>
        <v>#NUM!</v>
      </c>
      <c r="BL118" s="45"/>
      <c r="BM118" s="242"/>
    </row>
    <row r="119" spans="3:65" ht="15.5" thickTop="1" thickBot="1" x14ac:dyDescent="0.4">
      <c r="C119" s="36" t="str">
        <f t="shared" si="74"/>
        <v/>
      </c>
      <c r="D119" s="37" t="e">
        <f t="shared" si="75"/>
        <v>#NUM!</v>
      </c>
      <c r="E119" s="236">
        <f t="shared" si="79"/>
        <v>0</v>
      </c>
      <c r="F119" s="237" t="e">
        <f t="shared" si="80"/>
        <v>#NUM!</v>
      </c>
      <c r="G119" s="238" t="e">
        <f>IF(D119="","",L118*Resumen!$L$86/1000)</f>
        <v>#NUM!</v>
      </c>
      <c r="H119" s="237" t="e">
        <f t="shared" si="53"/>
        <v>#NUM!</v>
      </c>
      <c r="I119" s="238" t="e">
        <f>IF($E$16=$V$1,0,IF(D119="","",Amortización!$AE$14))</f>
        <v>#NUM!</v>
      </c>
      <c r="J119" s="239">
        <f>IFERROR(IF(OR($E$11=Resumen!$N$6,$E$8=Resumen!$N$6),Amortización!F119*0.16,0),"")</f>
        <v>0</v>
      </c>
      <c r="K119" s="237">
        <f t="shared" si="54"/>
        <v>0</v>
      </c>
      <c r="L119" s="240">
        <f t="shared" si="55"/>
        <v>0</v>
      </c>
      <c r="M119" s="43" t="str">
        <f t="shared" si="50"/>
        <v/>
      </c>
      <c r="N119" s="44" t="str">
        <f t="shared" si="56"/>
        <v/>
      </c>
      <c r="O119" s="44" t="str">
        <f t="shared" si="57"/>
        <v/>
      </c>
      <c r="P119" s="44" t="str">
        <f t="shared" si="58"/>
        <v/>
      </c>
      <c r="Q119" s="242"/>
      <c r="R119" s="243" t="e">
        <f t="shared" si="76"/>
        <v>#NUM!</v>
      </c>
      <c r="S119" s="187"/>
      <c r="T119" s="187" t="str">
        <f t="shared" si="77"/>
        <v/>
      </c>
      <c r="U119" s="42" t="e">
        <f t="shared" si="59"/>
        <v>#NUM!</v>
      </c>
      <c r="V119" s="45">
        <f t="shared" si="60"/>
        <v>0</v>
      </c>
      <c r="W119" s="187"/>
      <c r="X119" s="272" t="b">
        <f t="shared" si="81"/>
        <v>0</v>
      </c>
      <c r="Y119" s="187">
        <v>0</v>
      </c>
      <c r="Z119" s="187"/>
      <c r="AB119" s="357" t="e">
        <f t="shared" si="61"/>
        <v>#N/A</v>
      </c>
      <c r="AG119" s="307">
        <f t="shared" si="62"/>
        <v>0</v>
      </c>
      <c r="AH119" s="283">
        <f t="shared" si="63"/>
        <v>0</v>
      </c>
      <c r="AI119" t="str">
        <f t="shared" si="64"/>
        <v/>
      </c>
      <c r="AV119" s="36" t="str">
        <f t="shared" si="65"/>
        <v/>
      </c>
      <c r="AW119" s="37" t="e">
        <f t="shared" si="66"/>
        <v>#NUM!</v>
      </c>
      <c r="AX119" s="236" t="e">
        <f t="shared" si="67"/>
        <v>#NUM!</v>
      </c>
      <c r="AY119" s="237" t="e">
        <f t="shared" si="78"/>
        <v>#NUM!</v>
      </c>
      <c r="AZ119" s="238" t="e">
        <f t="shared" si="68"/>
        <v>#NUM!</v>
      </c>
      <c r="BA119" s="237" t="e">
        <f t="shared" si="69"/>
        <v>#NUM!</v>
      </c>
      <c r="BB119" s="238" t="e">
        <f t="shared" si="70"/>
        <v>#NUM!</v>
      </c>
      <c r="BC119" s="239">
        <f>IFERROR(IF(OR($E$11=Resumen!$N$6,$E$8=Resumen!$N$6),Amortización!AY119*0.16,0),"")</f>
        <v>0</v>
      </c>
      <c r="BD119" s="237">
        <f t="shared" si="71"/>
        <v>0</v>
      </c>
      <c r="BE119" s="240">
        <f t="shared" si="51"/>
        <v>0</v>
      </c>
      <c r="BF119" s="43" t="str">
        <f t="shared" si="52"/>
        <v/>
      </c>
      <c r="BH119" s="243" t="e">
        <f t="shared" si="82"/>
        <v>#NUM!</v>
      </c>
      <c r="BI119" s="187"/>
      <c r="BJ119" s="187" t="str">
        <f t="shared" si="72"/>
        <v/>
      </c>
      <c r="BK119" s="42" t="e">
        <f t="shared" si="73"/>
        <v>#NUM!</v>
      </c>
      <c r="BL119" s="45"/>
      <c r="BM119" s="242"/>
    </row>
    <row r="120" spans="3:65" ht="15.5" thickTop="1" thickBot="1" x14ac:dyDescent="0.4">
      <c r="C120" s="36" t="str">
        <f t="shared" si="74"/>
        <v/>
      </c>
      <c r="D120" s="37" t="e">
        <f t="shared" si="75"/>
        <v>#NUM!</v>
      </c>
      <c r="E120" s="236">
        <f t="shared" si="79"/>
        <v>0</v>
      </c>
      <c r="F120" s="237" t="e">
        <f t="shared" si="80"/>
        <v>#NUM!</v>
      </c>
      <c r="G120" s="238" t="e">
        <f>IF(D120="","",L119*Resumen!$L$86/1000)</f>
        <v>#NUM!</v>
      </c>
      <c r="H120" s="237" t="e">
        <f t="shared" si="53"/>
        <v>#NUM!</v>
      </c>
      <c r="I120" s="238" t="e">
        <f>IF($E$16=$V$1,0,IF(D120="","",Amortización!$AE$14))</f>
        <v>#NUM!</v>
      </c>
      <c r="J120" s="239">
        <f>IFERROR(IF(OR($E$11=Resumen!$N$6,$E$8=Resumen!$N$6),Amortización!F120*0.16,0),"")</f>
        <v>0</v>
      </c>
      <c r="K120" s="237">
        <f t="shared" si="54"/>
        <v>0</v>
      </c>
      <c r="L120" s="240">
        <f t="shared" si="55"/>
        <v>0</v>
      </c>
      <c r="M120" s="43" t="str">
        <f t="shared" si="50"/>
        <v/>
      </c>
      <c r="N120" s="44" t="str">
        <f t="shared" si="56"/>
        <v/>
      </c>
      <c r="O120" s="44" t="str">
        <f t="shared" si="57"/>
        <v/>
      </c>
      <c r="P120" s="44" t="str">
        <f t="shared" si="58"/>
        <v/>
      </c>
      <c r="Q120" s="242" t="str">
        <f>IF(OR(L119=0,L119=""),"",IF(E120&gt;=D120,0,$E$17*10%))</f>
        <v/>
      </c>
      <c r="R120" s="243" t="e">
        <f t="shared" si="76"/>
        <v>#NUM!</v>
      </c>
      <c r="S120" s="187"/>
      <c r="T120" s="187" t="str">
        <f t="shared" si="77"/>
        <v/>
      </c>
      <c r="U120" s="42" t="e">
        <f t="shared" si="59"/>
        <v>#NUM!</v>
      </c>
      <c r="V120" s="45">
        <f t="shared" si="60"/>
        <v>0</v>
      </c>
      <c r="W120" s="187"/>
      <c r="X120" s="272" t="b">
        <f t="shared" si="81"/>
        <v>0</v>
      </c>
      <c r="Y120" s="187">
        <v>0</v>
      </c>
      <c r="Z120" s="187"/>
      <c r="AB120" s="357" t="e">
        <f t="shared" si="61"/>
        <v>#N/A</v>
      </c>
      <c r="AG120" s="307">
        <f t="shared" si="62"/>
        <v>0</v>
      </c>
      <c r="AH120" s="283">
        <f t="shared" si="63"/>
        <v>0</v>
      </c>
      <c r="AI120" t="str">
        <f t="shared" si="64"/>
        <v/>
      </c>
      <c r="AV120" s="36" t="str">
        <f t="shared" si="65"/>
        <v/>
      </c>
      <c r="AW120" s="37" t="e">
        <f t="shared" si="66"/>
        <v>#NUM!</v>
      </c>
      <c r="AX120" s="236" t="e">
        <f t="shared" si="67"/>
        <v>#NUM!</v>
      </c>
      <c r="AY120" s="237" t="e">
        <f t="shared" si="78"/>
        <v>#NUM!</v>
      </c>
      <c r="AZ120" s="238" t="e">
        <f t="shared" si="68"/>
        <v>#NUM!</v>
      </c>
      <c r="BA120" s="237" t="e">
        <f t="shared" si="69"/>
        <v>#NUM!</v>
      </c>
      <c r="BB120" s="238" t="e">
        <f t="shared" si="70"/>
        <v>#NUM!</v>
      </c>
      <c r="BC120" s="239">
        <f>IFERROR(IF(OR($E$11=Resumen!$N$6,$E$8=Resumen!$N$6),Amortización!AY120*0.16,0),"")</f>
        <v>0</v>
      </c>
      <c r="BD120" s="237">
        <f t="shared" si="71"/>
        <v>0</v>
      </c>
      <c r="BE120" s="240">
        <f t="shared" si="51"/>
        <v>0</v>
      </c>
      <c r="BF120" s="43" t="str">
        <f t="shared" si="52"/>
        <v/>
      </c>
      <c r="BH120" s="243" t="e">
        <f t="shared" si="82"/>
        <v>#NUM!</v>
      </c>
      <c r="BI120" s="187"/>
      <c r="BJ120" s="187" t="str">
        <f t="shared" si="72"/>
        <v/>
      </c>
      <c r="BK120" s="42" t="e">
        <f t="shared" si="73"/>
        <v>#NUM!</v>
      </c>
      <c r="BL120" s="45"/>
      <c r="BM120" s="242"/>
    </row>
    <row r="121" spans="3:65" ht="15.5" thickTop="1" thickBot="1" x14ac:dyDescent="0.4">
      <c r="C121" s="36" t="str">
        <f t="shared" si="74"/>
        <v/>
      </c>
      <c r="D121" s="37" t="e">
        <f t="shared" si="75"/>
        <v>#NUM!</v>
      </c>
      <c r="E121" s="236">
        <f t="shared" si="79"/>
        <v>0</v>
      </c>
      <c r="F121" s="237" t="e">
        <f t="shared" si="80"/>
        <v>#NUM!</v>
      </c>
      <c r="G121" s="238" t="e">
        <f>IF(D121="","",L120*Resumen!$L$86/1000)</f>
        <v>#NUM!</v>
      </c>
      <c r="H121" s="237" t="e">
        <f t="shared" si="53"/>
        <v>#NUM!</v>
      </c>
      <c r="I121" s="238" t="e">
        <f>IF($E$16=$V$1,0,IF(D121="","",Amortización!$AE$14))</f>
        <v>#NUM!</v>
      </c>
      <c r="J121" s="239">
        <f>IFERROR(IF(OR($E$11=Resumen!$N$6,$E$8=Resumen!$N$6),Amortización!F121*0.16,0),"")</f>
        <v>0</v>
      </c>
      <c r="K121" s="237">
        <f t="shared" si="54"/>
        <v>0</v>
      </c>
      <c r="L121" s="240">
        <f t="shared" si="55"/>
        <v>0</v>
      </c>
      <c r="M121" s="43" t="str">
        <f t="shared" si="50"/>
        <v/>
      </c>
      <c r="N121" s="44" t="str">
        <f t="shared" si="56"/>
        <v/>
      </c>
      <c r="O121" s="44" t="str">
        <f t="shared" si="57"/>
        <v/>
      </c>
      <c r="P121" s="44" t="str">
        <f t="shared" si="58"/>
        <v/>
      </c>
      <c r="Q121" s="242"/>
      <c r="R121" s="243" t="e">
        <f t="shared" si="76"/>
        <v>#NUM!</v>
      </c>
      <c r="S121" s="187"/>
      <c r="T121" s="187" t="str">
        <f t="shared" si="77"/>
        <v/>
      </c>
      <c r="U121" s="42" t="e">
        <f t="shared" si="59"/>
        <v>#NUM!</v>
      </c>
      <c r="V121" s="45">
        <f t="shared" si="60"/>
        <v>0</v>
      </c>
      <c r="W121" s="187"/>
      <c r="X121" s="272" t="b">
        <f t="shared" si="81"/>
        <v>0</v>
      </c>
      <c r="Y121" s="187">
        <v>0</v>
      </c>
      <c r="Z121" s="187"/>
      <c r="AB121" s="357" t="e">
        <f t="shared" si="61"/>
        <v>#N/A</v>
      </c>
      <c r="AG121" s="307">
        <f t="shared" si="62"/>
        <v>0</v>
      </c>
      <c r="AH121" s="283">
        <f t="shared" si="63"/>
        <v>0</v>
      </c>
      <c r="AI121" t="str">
        <f t="shared" si="64"/>
        <v/>
      </c>
      <c r="AV121" s="36" t="str">
        <f t="shared" si="65"/>
        <v/>
      </c>
      <c r="AW121" s="37" t="e">
        <f t="shared" si="66"/>
        <v>#NUM!</v>
      </c>
      <c r="AX121" s="236" t="e">
        <f t="shared" si="67"/>
        <v>#NUM!</v>
      </c>
      <c r="AY121" s="237" t="e">
        <f t="shared" si="78"/>
        <v>#NUM!</v>
      </c>
      <c r="AZ121" s="238" t="e">
        <f t="shared" si="68"/>
        <v>#NUM!</v>
      </c>
      <c r="BA121" s="237" t="e">
        <f t="shared" si="69"/>
        <v>#NUM!</v>
      </c>
      <c r="BB121" s="238" t="e">
        <f t="shared" si="70"/>
        <v>#NUM!</v>
      </c>
      <c r="BC121" s="239">
        <f>IFERROR(IF(OR($E$11=Resumen!$N$6,$E$8=Resumen!$N$6),Amortización!AY121*0.16,0),"")</f>
        <v>0</v>
      </c>
      <c r="BD121" s="237">
        <f t="shared" si="71"/>
        <v>0</v>
      </c>
      <c r="BE121" s="240">
        <f t="shared" si="51"/>
        <v>0</v>
      </c>
      <c r="BF121" s="43" t="str">
        <f t="shared" si="52"/>
        <v/>
      </c>
      <c r="BH121" s="243" t="e">
        <f t="shared" si="82"/>
        <v>#NUM!</v>
      </c>
      <c r="BI121" s="187"/>
      <c r="BJ121" s="187" t="str">
        <f t="shared" si="72"/>
        <v/>
      </c>
      <c r="BK121" s="42" t="e">
        <f t="shared" si="73"/>
        <v>#NUM!</v>
      </c>
      <c r="BL121" s="45"/>
      <c r="BM121" s="242"/>
    </row>
    <row r="122" spans="3:65" ht="15.5" thickTop="1" thickBot="1" x14ac:dyDescent="0.4">
      <c r="C122" s="36" t="str">
        <f t="shared" si="74"/>
        <v/>
      </c>
      <c r="D122" s="37" t="e">
        <f t="shared" si="75"/>
        <v>#NUM!</v>
      </c>
      <c r="E122" s="236">
        <f t="shared" si="79"/>
        <v>0</v>
      </c>
      <c r="F122" s="237" t="e">
        <f t="shared" si="80"/>
        <v>#NUM!</v>
      </c>
      <c r="G122" s="238" t="e">
        <f>IF(D122="","",L121*Resumen!$L$86/1000)</f>
        <v>#NUM!</v>
      </c>
      <c r="H122" s="237" t="e">
        <f t="shared" si="53"/>
        <v>#NUM!</v>
      </c>
      <c r="I122" s="238" t="e">
        <f>IF($E$16=$V$1,0,IF(D122="","",Amortización!$AE$14))</f>
        <v>#NUM!</v>
      </c>
      <c r="J122" s="239">
        <f>IFERROR(IF(OR($E$11=Resumen!$N$6,$E$8=Resumen!$N$6),Amortización!F122*0.16,0),"")</f>
        <v>0</v>
      </c>
      <c r="K122" s="237">
        <f t="shared" si="54"/>
        <v>0</v>
      </c>
      <c r="L122" s="240">
        <f t="shared" si="55"/>
        <v>0</v>
      </c>
      <c r="M122" s="43" t="str">
        <f t="shared" si="50"/>
        <v/>
      </c>
      <c r="N122" s="44" t="str">
        <f t="shared" si="56"/>
        <v/>
      </c>
      <c r="O122" s="44" t="str">
        <f t="shared" si="57"/>
        <v/>
      </c>
      <c r="P122" s="44" t="str">
        <f t="shared" si="58"/>
        <v/>
      </c>
      <c r="Q122" s="242" t="str">
        <f>IF(OR(L121=0,L121=""),"",IF(E122&gt;=D122,0,$E$17*10%))</f>
        <v/>
      </c>
      <c r="R122" s="243" t="e">
        <f t="shared" si="76"/>
        <v>#NUM!</v>
      </c>
      <c r="S122" s="187"/>
      <c r="T122" s="187" t="str">
        <f t="shared" si="77"/>
        <v/>
      </c>
      <c r="U122" s="42" t="e">
        <f t="shared" si="59"/>
        <v>#NUM!</v>
      </c>
      <c r="V122" s="45">
        <f t="shared" si="60"/>
        <v>0</v>
      </c>
      <c r="W122" s="187"/>
      <c r="X122" s="272" t="b">
        <f t="shared" si="81"/>
        <v>0</v>
      </c>
      <c r="Y122" s="187">
        <v>0</v>
      </c>
      <c r="Z122" s="187"/>
      <c r="AB122" s="357" t="e">
        <f t="shared" si="61"/>
        <v>#N/A</v>
      </c>
      <c r="AG122" s="307">
        <f t="shared" si="62"/>
        <v>0</v>
      </c>
      <c r="AH122" s="283">
        <f t="shared" si="63"/>
        <v>0</v>
      </c>
      <c r="AI122" t="str">
        <f t="shared" si="64"/>
        <v/>
      </c>
      <c r="AV122" s="36" t="str">
        <f t="shared" si="65"/>
        <v/>
      </c>
      <c r="AW122" s="37" t="e">
        <f t="shared" si="66"/>
        <v>#NUM!</v>
      </c>
      <c r="AX122" s="236" t="e">
        <f t="shared" si="67"/>
        <v>#NUM!</v>
      </c>
      <c r="AY122" s="237" t="e">
        <f t="shared" si="78"/>
        <v>#NUM!</v>
      </c>
      <c r="AZ122" s="238" t="e">
        <f t="shared" si="68"/>
        <v>#NUM!</v>
      </c>
      <c r="BA122" s="237" t="e">
        <f t="shared" si="69"/>
        <v>#NUM!</v>
      </c>
      <c r="BB122" s="238" t="e">
        <f t="shared" si="70"/>
        <v>#NUM!</v>
      </c>
      <c r="BC122" s="239">
        <f>IFERROR(IF(OR($E$11=Resumen!$N$6,$E$8=Resumen!$N$6),Amortización!AY122*0.16,0),"")</f>
        <v>0</v>
      </c>
      <c r="BD122" s="237">
        <f t="shared" si="71"/>
        <v>0</v>
      </c>
      <c r="BE122" s="240">
        <f t="shared" si="51"/>
        <v>0</v>
      </c>
      <c r="BF122" s="43" t="str">
        <f t="shared" si="52"/>
        <v/>
      </c>
      <c r="BH122" s="243" t="e">
        <f t="shared" si="82"/>
        <v>#NUM!</v>
      </c>
      <c r="BI122" s="187"/>
      <c r="BJ122" s="187" t="str">
        <f t="shared" si="72"/>
        <v/>
      </c>
      <c r="BK122" s="42" t="e">
        <f t="shared" si="73"/>
        <v>#NUM!</v>
      </c>
      <c r="BL122" s="45"/>
      <c r="BM122" s="242"/>
    </row>
    <row r="123" spans="3:65" ht="15.5" thickTop="1" thickBot="1" x14ac:dyDescent="0.4">
      <c r="C123" s="36" t="str">
        <f t="shared" si="74"/>
        <v/>
      </c>
      <c r="D123" s="37" t="e">
        <f t="shared" si="75"/>
        <v>#NUM!</v>
      </c>
      <c r="E123" s="236">
        <f t="shared" si="79"/>
        <v>0</v>
      </c>
      <c r="F123" s="237" t="e">
        <f t="shared" si="80"/>
        <v>#NUM!</v>
      </c>
      <c r="G123" s="238" t="e">
        <f>IF(D123="","",L122*Resumen!$L$86/1000)</f>
        <v>#NUM!</v>
      </c>
      <c r="H123" s="237" t="e">
        <f t="shared" si="53"/>
        <v>#NUM!</v>
      </c>
      <c r="I123" s="238" t="e">
        <f>IF($E$16=$V$1,0,IF(D123="","",Amortización!$AE$14))</f>
        <v>#NUM!</v>
      </c>
      <c r="J123" s="239">
        <f>IFERROR(IF(OR($E$11=Resumen!$N$6,$E$8=Resumen!$N$6),Amortización!F123*0.16,0),"")</f>
        <v>0</v>
      </c>
      <c r="K123" s="237">
        <f t="shared" si="54"/>
        <v>0</v>
      </c>
      <c r="L123" s="240">
        <f t="shared" si="55"/>
        <v>0</v>
      </c>
      <c r="M123" s="43" t="str">
        <f t="shared" si="50"/>
        <v/>
      </c>
      <c r="N123" s="44" t="str">
        <f t="shared" si="56"/>
        <v/>
      </c>
      <c r="O123" s="44" t="str">
        <f t="shared" si="57"/>
        <v/>
      </c>
      <c r="P123" s="44" t="str">
        <f t="shared" si="58"/>
        <v/>
      </c>
      <c r="Q123" s="242"/>
      <c r="R123" s="243" t="e">
        <f t="shared" si="76"/>
        <v>#NUM!</v>
      </c>
      <c r="S123" s="187"/>
      <c r="T123" s="187" t="str">
        <f t="shared" si="77"/>
        <v/>
      </c>
      <c r="U123" s="42" t="e">
        <f t="shared" si="59"/>
        <v>#NUM!</v>
      </c>
      <c r="V123" s="45">
        <f t="shared" si="60"/>
        <v>0</v>
      </c>
      <c r="W123" s="187"/>
      <c r="X123" s="272" t="b">
        <f t="shared" si="81"/>
        <v>0</v>
      </c>
      <c r="Y123" s="187">
        <v>0</v>
      </c>
      <c r="Z123" s="187"/>
      <c r="AB123" s="357" t="e">
        <f t="shared" si="61"/>
        <v>#N/A</v>
      </c>
      <c r="AG123" s="307">
        <f t="shared" si="62"/>
        <v>0</v>
      </c>
      <c r="AH123" s="283">
        <f t="shared" si="63"/>
        <v>0</v>
      </c>
      <c r="AI123" t="str">
        <f t="shared" si="64"/>
        <v/>
      </c>
      <c r="AV123" s="36" t="str">
        <f t="shared" si="65"/>
        <v/>
      </c>
      <c r="AW123" s="37" t="e">
        <f t="shared" si="66"/>
        <v>#NUM!</v>
      </c>
      <c r="AX123" s="236" t="e">
        <f t="shared" si="67"/>
        <v>#NUM!</v>
      </c>
      <c r="AY123" s="237" t="e">
        <f t="shared" si="78"/>
        <v>#NUM!</v>
      </c>
      <c r="AZ123" s="238" t="e">
        <f t="shared" si="68"/>
        <v>#NUM!</v>
      </c>
      <c r="BA123" s="237" t="e">
        <f t="shared" si="69"/>
        <v>#NUM!</v>
      </c>
      <c r="BB123" s="238" t="e">
        <f t="shared" si="70"/>
        <v>#NUM!</v>
      </c>
      <c r="BC123" s="239">
        <f>IFERROR(IF(OR($E$11=Resumen!$N$6,$E$8=Resumen!$N$6),Amortización!AY123*0.16,0),"")</f>
        <v>0</v>
      </c>
      <c r="BD123" s="237">
        <f t="shared" si="71"/>
        <v>0</v>
      </c>
      <c r="BE123" s="240">
        <f t="shared" si="51"/>
        <v>0</v>
      </c>
      <c r="BF123" s="43" t="str">
        <f t="shared" si="52"/>
        <v/>
      </c>
      <c r="BH123" s="243" t="e">
        <f t="shared" si="82"/>
        <v>#NUM!</v>
      </c>
      <c r="BI123" s="187"/>
      <c r="BJ123" s="187" t="str">
        <f t="shared" si="72"/>
        <v/>
      </c>
      <c r="BK123" s="42" t="e">
        <f t="shared" si="73"/>
        <v>#NUM!</v>
      </c>
      <c r="BL123" s="45"/>
      <c r="BM123" s="242"/>
    </row>
    <row r="124" spans="3:65" ht="15.5" thickTop="1" thickBot="1" x14ac:dyDescent="0.4">
      <c r="C124" s="36" t="str">
        <f t="shared" si="74"/>
        <v/>
      </c>
      <c r="D124" s="37" t="e">
        <f t="shared" si="75"/>
        <v>#NUM!</v>
      </c>
      <c r="E124" s="236">
        <f t="shared" si="79"/>
        <v>0</v>
      </c>
      <c r="F124" s="237" t="e">
        <f t="shared" si="80"/>
        <v>#NUM!</v>
      </c>
      <c r="G124" s="238" t="e">
        <f>IF(D124="","",L123*Resumen!$L$86/1000)</f>
        <v>#NUM!</v>
      </c>
      <c r="H124" s="237" t="e">
        <f t="shared" si="53"/>
        <v>#NUM!</v>
      </c>
      <c r="I124" s="238" t="e">
        <f>IF($E$16=$V$1,0,IF(D124="","",Amortización!$AE$14))</f>
        <v>#NUM!</v>
      </c>
      <c r="J124" s="239">
        <f>IFERROR(IF(OR($E$11=Resumen!$N$6,$E$8=Resumen!$N$6),Amortización!F124*0.16,0),"")</f>
        <v>0</v>
      </c>
      <c r="K124" s="237">
        <f t="shared" si="54"/>
        <v>0</v>
      </c>
      <c r="L124" s="240">
        <f t="shared" si="55"/>
        <v>0</v>
      </c>
      <c r="M124" s="43" t="str">
        <f t="shared" si="50"/>
        <v/>
      </c>
      <c r="N124" s="44" t="str">
        <f t="shared" si="56"/>
        <v/>
      </c>
      <c r="O124" s="44" t="str">
        <f t="shared" si="57"/>
        <v/>
      </c>
      <c r="P124" s="44" t="str">
        <f t="shared" si="58"/>
        <v/>
      </c>
      <c r="Q124" s="242" t="str">
        <f>IF(OR(L123=0,L123=""),"",IF(E124&gt;=D124,0,$E$17*10%))</f>
        <v/>
      </c>
      <c r="R124" s="243" t="e">
        <f t="shared" si="76"/>
        <v>#NUM!</v>
      </c>
      <c r="S124" s="187"/>
      <c r="T124" s="187" t="str">
        <f t="shared" si="77"/>
        <v/>
      </c>
      <c r="U124" s="42" t="e">
        <f t="shared" si="59"/>
        <v>#NUM!</v>
      </c>
      <c r="V124" s="45">
        <f t="shared" si="60"/>
        <v>0</v>
      </c>
      <c r="W124" s="187"/>
      <c r="X124" s="272" t="b">
        <f t="shared" si="81"/>
        <v>0</v>
      </c>
      <c r="Y124" s="187">
        <v>0</v>
      </c>
      <c r="Z124" s="187"/>
      <c r="AB124" s="357" t="e">
        <f t="shared" si="61"/>
        <v>#N/A</v>
      </c>
      <c r="AG124" s="307">
        <f t="shared" si="62"/>
        <v>0</v>
      </c>
      <c r="AH124" s="283">
        <f t="shared" si="63"/>
        <v>0</v>
      </c>
      <c r="AI124" t="str">
        <f t="shared" si="64"/>
        <v/>
      </c>
      <c r="AV124" s="36" t="str">
        <f t="shared" si="65"/>
        <v/>
      </c>
      <c r="AW124" s="37" t="e">
        <f t="shared" si="66"/>
        <v>#NUM!</v>
      </c>
      <c r="AX124" s="236" t="e">
        <f t="shared" si="67"/>
        <v>#NUM!</v>
      </c>
      <c r="AY124" s="237" t="e">
        <f t="shared" si="78"/>
        <v>#NUM!</v>
      </c>
      <c r="AZ124" s="238" t="e">
        <f t="shared" si="68"/>
        <v>#NUM!</v>
      </c>
      <c r="BA124" s="237" t="e">
        <f t="shared" si="69"/>
        <v>#NUM!</v>
      </c>
      <c r="BB124" s="238" t="e">
        <f t="shared" si="70"/>
        <v>#NUM!</v>
      </c>
      <c r="BC124" s="239">
        <f>IFERROR(IF(OR($E$11=Resumen!$N$6,$E$8=Resumen!$N$6),Amortización!AY124*0.16,0),"")</f>
        <v>0</v>
      </c>
      <c r="BD124" s="237">
        <f t="shared" si="71"/>
        <v>0</v>
      </c>
      <c r="BE124" s="240">
        <f t="shared" si="51"/>
        <v>0</v>
      </c>
      <c r="BF124" s="43" t="str">
        <f t="shared" si="52"/>
        <v/>
      </c>
      <c r="BH124" s="243" t="e">
        <f t="shared" si="82"/>
        <v>#NUM!</v>
      </c>
      <c r="BI124" s="187"/>
      <c r="BJ124" s="187" t="str">
        <f t="shared" si="72"/>
        <v/>
      </c>
      <c r="BK124" s="42" t="e">
        <f t="shared" si="73"/>
        <v>#NUM!</v>
      </c>
      <c r="BL124" s="45"/>
      <c r="BM124" s="242"/>
    </row>
    <row r="125" spans="3:65" ht="15.5" thickTop="1" thickBot="1" x14ac:dyDescent="0.4">
      <c r="C125" s="36" t="str">
        <f t="shared" si="74"/>
        <v/>
      </c>
      <c r="D125" s="37" t="e">
        <f t="shared" si="75"/>
        <v>#NUM!</v>
      </c>
      <c r="E125" s="236">
        <f t="shared" si="79"/>
        <v>0</v>
      </c>
      <c r="F125" s="237" t="e">
        <f t="shared" si="80"/>
        <v>#NUM!</v>
      </c>
      <c r="G125" s="238" t="e">
        <f>IF(D125="","",L124*Resumen!$L$86/1000)</f>
        <v>#NUM!</v>
      </c>
      <c r="H125" s="237" t="e">
        <f t="shared" si="53"/>
        <v>#NUM!</v>
      </c>
      <c r="I125" s="238" t="e">
        <f>IF($E$16=$V$1,0,IF(D125="","",Amortización!$AE$14))</f>
        <v>#NUM!</v>
      </c>
      <c r="J125" s="239">
        <f>IFERROR(IF(OR($E$11=Resumen!$N$6,$E$8=Resumen!$N$6),Amortización!F125*0.16,0),"")</f>
        <v>0</v>
      </c>
      <c r="K125" s="237">
        <f t="shared" si="54"/>
        <v>0</v>
      </c>
      <c r="L125" s="240">
        <f t="shared" si="55"/>
        <v>0</v>
      </c>
      <c r="M125" s="43" t="str">
        <f t="shared" si="50"/>
        <v/>
      </c>
      <c r="N125" s="44" t="str">
        <f t="shared" si="56"/>
        <v/>
      </c>
      <c r="O125" s="44" t="str">
        <f t="shared" si="57"/>
        <v/>
      </c>
      <c r="P125" s="44" t="str">
        <f t="shared" si="58"/>
        <v/>
      </c>
      <c r="Q125" s="242"/>
      <c r="R125" s="243" t="e">
        <f t="shared" si="76"/>
        <v>#NUM!</v>
      </c>
      <c r="S125" s="187"/>
      <c r="T125" s="187" t="str">
        <f t="shared" si="77"/>
        <v/>
      </c>
      <c r="U125" s="42" t="e">
        <f t="shared" si="59"/>
        <v>#NUM!</v>
      </c>
      <c r="V125" s="45">
        <f t="shared" si="60"/>
        <v>0</v>
      </c>
      <c r="W125" s="187"/>
      <c r="X125" s="272" t="b">
        <f t="shared" si="81"/>
        <v>0</v>
      </c>
      <c r="Y125" s="187">
        <v>0</v>
      </c>
      <c r="Z125" s="187"/>
      <c r="AB125" s="357" t="e">
        <f t="shared" si="61"/>
        <v>#N/A</v>
      </c>
      <c r="AG125" s="307">
        <f t="shared" si="62"/>
        <v>0</v>
      </c>
      <c r="AH125" s="283">
        <f t="shared" si="63"/>
        <v>0</v>
      </c>
      <c r="AI125" t="str">
        <f t="shared" si="64"/>
        <v/>
      </c>
      <c r="AV125" s="36" t="str">
        <f t="shared" si="65"/>
        <v/>
      </c>
      <c r="AW125" s="37" t="e">
        <f t="shared" si="66"/>
        <v>#NUM!</v>
      </c>
      <c r="AX125" s="236" t="e">
        <f t="shared" si="67"/>
        <v>#NUM!</v>
      </c>
      <c r="AY125" s="237" t="e">
        <f t="shared" si="78"/>
        <v>#NUM!</v>
      </c>
      <c r="AZ125" s="238" t="e">
        <f t="shared" si="68"/>
        <v>#NUM!</v>
      </c>
      <c r="BA125" s="237" t="e">
        <f t="shared" si="69"/>
        <v>#NUM!</v>
      </c>
      <c r="BB125" s="238" t="e">
        <f t="shared" si="70"/>
        <v>#NUM!</v>
      </c>
      <c r="BC125" s="239">
        <f>IFERROR(IF(OR($E$11=Resumen!$N$6,$E$8=Resumen!$N$6),Amortización!AY125*0.16,0),"")</f>
        <v>0</v>
      </c>
      <c r="BD125" s="237">
        <f t="shared" si="71"/>
        <v>0</v>
      </c>
      <c r="BE125" s="240">
        <f t="shared" si="51"/>
        <v>0</v>
      </c>
      <c r="BF125" s="43" t="str">
        <f t="shared" si="52"/>
        <v/>
      </c>
      <c r="BH125" s="243" t="e">
        <f t="shared" si="82"/>
        <v>#NUM!</v>
      </c>
      <c r="BI125" s="187"/>
      <c r="BJ125" s="187" t="str">
        <f t="shared" si="72"/>
        <v/>
      </c>
      <c r="BK125" s="42" t="e">
        <f t="shared" si="73"/>
        <v>#NUM!</v>
      </c>
      <c r="BL125" s="45"/>
      <c r="BM125" s="242"/>
    </row>
    <row r="126" spans="3:65" ht="15.5" thickTop="1" thickBot="1" x14ac:dyDescent="0.4">
      <c r="C126" s="36" t="str">
        <f t="shared" si="74"/>
        <v/>
      </c>
      <c r="D126" s="37" t="e">
        <f t="shared" si="75"/>
        <v>#NUM!</v>
      </c>
      <c r="E126" s="236">
        <f t="shared" si="79"/>
        <v>0</v>
      </c>
      <c r="F126" s="237" t="e">
        <f t="shared" si="80"/>
        <v>#NUM!</v>
      </c>
      <c r="G126" s="238" t="e">
        <f>IF(D126="","",L125*Resumen!$L$86/1000)</f>
        <v>#NUM!</v>
      </c>
      <c r="H126" s="237" t="e">
        <f t="shared" si="53"/>
        <v>#NUM!</v>
      </c>
      <c r="I126" s="238" t="e">
        <f>IF($E$16=$V$1,0,IF(D126="","",Amortización!$AE$14))</f>
        <v>#NUM!</v>
      </c>
      <c r="J126" s="239">
        <f>IFERROR(IF(OR($E$11=Resumen!$N$6,$E$8=Resumen!$N$6),Amortización!F126*0.16,0),"")</f>
        <v>0</v>
      </c>
      <c r="K126" s="237">
        <f t="shared" si="54"/>
        <v>0</v>
      </c>
      <c r="L126" s="240">
        <f t="shared" si="55"/>
        <v>0</v>
      </c>
      <c r="M126" s="43" t="str">
        <f t="shared" si="50"/>
        <v/>
      </c>
      <c r="N126" s="44" t="str">
        <f t="shared" si="56"/>
        <v/>
      </c>
      <c r="O126" s="44" t="str">
        <f t="shared" si="57"/>
        <v/>
      </c>
      <c r="P126" s="44" t="str">
        <f t="shared" si="58"/>
        <v/>
      </c>
      <c r="Q126" s="242" t="str">
        <f>IF(OR(L125=0,L125=""),"",IF(E126&gt;=D126,0,$E$17*10%))</f>
        <v/>
      </c>
      <c r="R126" s="243" t="e">
        <f t="shared" si="76"/>
        <v>#NUM!</v>
      </c>
      <c r="S126" s="187"/>
      <c r="T126" s="187" t="str">
        <f t="shared" si="77"/>
        <v/>
      </c>
      <c r="U126" s="42" t="e">
        <f t="shared" si="59"/>
        <v>#NUM!</v>
      </c>
      <c r="V126" s="45">
        <f t="shared" si="60"/>
        <v>0</v>
      </c>
      <c r="W126" s="187"/>
      <c r="X126" s="272" t="b">
        <f t="shared" si="81"/>
        <v>0</v>
      </c>
      <c r="Y126" s="187">
        <v>0</v>
      </c>
      <c r="Z126" s="187"/>
      <c r="AB126" s="357" t="e">
        <f t="shared" si="61"/>
        <v>#N/A</v>
      </c>
      <c r="AG126" s="307">
        <f t="shared" si="62"/>
        <v>0</v>
      </c>
      <c r="AH126" s="283">
        <f t="shared" si="63"/>
        <v>0</v>
      </c>
      <c r="AI126" t="str">
        <f t="shared" si="64"/>
        <v/>
      </c>
      <c r="AV126" s="36" t="str">
        <f t="shared" si="65"/>
        <v/>
      </c>
      <c r="AW126" s="37" t="e">
        <f t="shared" si="66"/>
        <v>#NUM!</v>
      </c>
      <c r="AX126" s="236" t="e">
        <f t="shared" si="67"/>
        <v>#NUM!</v>
      </c>
      <c r="AY126" s="237" t="e">
        <f t="shared" si="78"/>
        <v>#NUM!</v>
      </c>
      <c r="AZ126" s="238" t="e">
        <f t="shared" si="68"/>
        <v>#NUM!</v>
      </c>
      <c r="BA126" s="237" t="e">
        <f t="shared" si="69"/>
        <v>#NUM!</v>
      </c>
      <c r="BB126" s="238" t="e">
        <f t="shared" si="70"/>
        <v>#NUM!</v>
      </c>
      <c r="BC126" s="239">
        <f>IFERROR(IF(OR($E$11=Resumen!$N$6,$E$8=Resumen!$N$6),Amortización!AY126*0.16,0),"")</f>
        <v>0</v>
      </c>
      <c r="BD126" s="237">
        <f t="shared" si="71"/>
        <v>0</v>
      </c>
      <c r="BE126" s="240">
        <f t="shared" si="51"/>
        <v>0</v>
      </c>
      <c r="BF126" s="43" t="str">
        <f t="shared" si="52"/>
        <v/>
      </c>
      <c r="BH126" s="243" t="e">
        <f t="shared" si="82"/>
        <v>#NUM!</v>
      </c>
      <c r="BI126" s="187"/>
      <c r="BJ126" s="187" t="str">
        <f t="shared" si="72"/>
        <v/>
      </c>
      <c r="BK126" s="42" t="e">
        <f t="shared" si="73"/>
        <v>#NUM!</v>
      </c>
      <c r="BL126" s="45"/>
      <c r="BM126" s="242"/>
    </row>
    <row r="127" spans="3:65" ht="15.5" thickTop="1" thickBot="1" x14ac:dyDescent="0.4">
      <c r="C127" s="36" t="str">
        <f t="shared" si="74"/>
        <v/>
      </c>
      <c r="D127" s="37" t="e">
        <f t="shared" si="75"/>
        <v>#NUM!</v>
      </c>
      <c r="E127" s="236">
        <f t="shared" si="79"/>
        <v>0</v>
      </c>
      <c r="F127" s="237" t="e">
        <f t="shared" si="80"/>
        <v>#NUM!</v>
      </c>
      <c r="G127" s="238" t="e">
        <f>IF(D127="","",L126*Resumen!$L$86/1000)</f>
        <v>#NUM!</v>
      </c>
      <c r="H127" s="237" t="e">
        <f t="shared" si="53"/>
        <v>#NUM!</v>
      </c>
      <c r="I127" s="238" t="e">
        <f>IF($E$16=$V$1,0,IF(D127="","",Amortización!$AE$14))</f>
        <v>#NUM!</v>
      </c>
      <c r="J127" s="239">
        <f>IFERROR(IF(OR($E$11=Resumen!$N$6,$E$8=Resumen!$N$6),Amortización!F127*0.16,0),"")</f>
        <v>0</v>
      </c>
      <c r="K127" s="237">
        <f t="shared" si="54"/>
        <v>0</v>
      </c>
      <c r="L127" s="240">
        <f t="shared" si="55"/>
        <v>0</v>
      </c>
      <c r="M127" s="43" t="str">
        <f t="shared" si="50"/>
        <v/>
      </c>
      <c r="N127" s="44" t="str">
        <f t="shared" si="56"/>
        <v/>
      </c>
      <c r="O127" s="44" t="str">
        <f t="shared" si="57"/>
        <v/>
      </c>
      <c r="P127" s="44" t="str">
        <f t="shared" si="58"/>
        <v/>
      </c>
      <c r="Q127" s="242"/>
      <c r="R127" s="243" t="e">
        <f t="shared" si="76"/>
        <v>#NUM!</v>
      </c>
      <c r="S127" s="187"/>
      <c r="T127" s="187" t="str">
        <f t="shared" si="77"/>
        <v/>
      </c>
      <c r="U127" s="42" t="e">
        <f t="shared" si="59"/>
        <v>#NUM!</v>
      </c>
      <c r="V127" s="45">
        <f t="shared" si="60"/>
        <v>0</v>
      </c>
      <c r="W127" s="187"/>
      <c r="X127" s="272" t="b">
        <f t="shared" si="81"/>
        <v>0</v>
      </c>
      <c r="Y127" s="187">
        <v>0</v>
      </c>
      <c r="Z127" s="187"/>
      <c r="AB127" s="357" t="e">
        <f t="shared" si="61"/>
        <v>#N/A</v>
      </c>
      <c r="AG127" s="307">
        <f t="shared" si="62"/>
        <v>0</v>
      </c>
      <c r="AH127" s="283">
        <f t="shared" si="63"/>
        <v>0</v>
      </c>
      <c r="AI127" t="str">
        <f t="shared" si="64"/>
        <v/>
      </c>
      <c r="AV127" s="36" t="str">
        <f t="shared" si="65"/>
        <v/>
      </c>
      <c r="AW127" s="37" t="e">
        <f t="shared" si="66"/>
        <v>#NUM!</v>
      </c>
      <c r="AX127" s="236" t="e">
        <f t="shared" si="67"/>
        <v>#NUM!</v>
      </c>
      <c r="AY127" s="237" t="e">
        <f t="shared" si="78"/>
        <v>#NUM!</v>
      </c>
      <c r="AZ127" s="238" t="e">
        <f t="shared" si="68"/>
        <v>#NUM!</v>
      </c>
      <c r="BA127" s="237" t="e">
        <f t="shared" si="69"/>
        <v>#NUM!</v>
      </c>
      <c r="BB127" s="238" t="e">
        <f t="shared" si="70"/>
        <v>#NUM!</v>
      </c>
      <c r="BC127" s="239">
        <f>IFERROR(IF(OR($E$11=Resumen!$N$6,$E$8=Resumen!$N$6),Amortización!AY127*0.16,0),"")</f>
        <v>0</v>
      </c>
      <c r="BD127" s="237">
        <f t="shared" si="71"/>
        <v>0</v>
      </c>
      <c r="BE127" s="240">
        <f t="shared" si="51"/>
        <v>0</v>
      </c>
      <c r="BF127" s="43" t="str">
        <f t="shared" si="52"/>
        <v/>
      </c>
      <c r="BH127" s="243" t="e">
        <f t="shared" si="82"/>
        <v>#NUM!</v>
      </c>
      <c r="BI127" s="187"/>
      <c r="BJ127" s="187" t="str">
        <f t="shared" si="72"/>
        <v/>
      </c>
      <c r="BK127" s="42" t="e">
        <f t="shared" si="73"/>
        <v>#NUM!</v>
      </c>
      <c r="BL127" s="45"/>
      <c r="BM127" s="242"/>
    </row>
    <row r="128" spans="3:65" ht="15.5" thickTop="1" thickBot="1" x14ac:dyDescent="0.4">
      <c r="C128" s="36" t="str">
        <f t="shared" si="74"/>
        <v/>
      </c>
      <c r="D128" s="37" t="e">
        <f t="shared" si="75"/>
        <v>#NUM!</v>
      </c>
      <c r="E128" s="236">
        <f t="shared" si="79"/>
        <v>0</v>
      </c>
      <c r="F128" s="237" t="e">
        <f t="shared" si="80"/>
        <v>#NUM!</v>
      </c>
      <c r="G128" s="238" t="e">
        <f>IF(D128="","",L127*Resumen!$L$86/1000)</f>
        <v>#NUM!</v>
      </c>
      <c r="H128" s="237" t="e">
        <f t="shared" si="53"/>
        <v>#NUM!</v>
      </c>
      <c r="I128" s="238" t="e">
        <f>IF($E$16=$V$1,0,IF(D128="","",Amortización!$AE$14))</f>
        <v>#NUM!</v>
      </c>
      <c r="J128" s="239">
        <f>IFERROR(IF(OR($E$11=Resumen!$N$6,$E$8=Resumen!$N$6),Amortización!F128*0.16,0),"")</f>
        <v>0</v>
      </c>
      <c r="K128" s="237">
        <f t="shared" si="54"/>
        <v>0</v>
      </c>
      <c r="L128" s="240">
        <f t="shared" si="55"/>
        <v>0</v>
      </c>
      <c r="M128" s="43" t="str">
        <f t="shared" si="50"/>
        <v/>
      </c>
      <c r="N128" s="44" t="str">
        <f t="shared" si="56"/>
        <v/>
      </c>
      <c r="O128" s="44" t="str">
        <f t="shared" si="57"/>
        <v/>
      </c>
      <c r="P128" s="44" t="str">
        <f t="shared" si="58"/>
        <v/>
      </c>
      <c r="Q128" s="242" t="str">
        <f>IF(OR(L127=0,L127=""),"",IF(E128&gt;=D128,0,$E$17*10%))</f>
        <v/>
      </c>
      <c r="R128" s="243" t="e">
        <f t="shared" si="76"/>
        <v>#NUM!</v>
      </c>
      <c r="S128" s="187"/>
      <c r="T128" s="187" t="str">
        <f t="shared" si="77"/>
        <v/>
      </c>
      <c r="U128" s="42" t="e">
        <f t="shared" si="59"/>
        <v>#NUM!</v>
      </c>
      <c r="V128" s="45">
        <f t="shared" si="60"/>
        <v>0</v>
      </c>
      <c r="W128" s="187"/>
      <c r="X128" s="272" t="b">
        <f t="shared" si="81"/>
        <v>0</v>
      </c>
      <c r="Y128" s="187">
        <v>0</v>
      </c>
      <c r="Z128" s="187"/>
      <c r="AB128" s="357" t="e">
        <f t="shared" si="61"/>
        <v>#N/A</v>
      </c>
      <c r="AG128" s="307">
        <f t="shared" si="62"/>
        <v>0</v>
      </c>
      <c r="AH128" s="283">
        <f t="shared" si="63"/>
        <v>0</v>
      </c>
      <c r="AI128" t="str">
        <f t="shared" si="64"/>
        <v/>
      </c>
      <c r="AV128" s="36" t="str">
        <f t="shared" si="65"/>
        <v/>
      </c>
      <c r="AW128" s="37" t="e">
        <f t="shared" si="66"/>
        <v>#NUM!</v>
      </c>
      <c r="AX128" s="236" t="e">
        <f t="shared" si="67"/>
        <v>#NUM!</v>
      </c>
      <c r="AY128" s="237" t="e">
        <f t="shared" si="78"/>
        <v>#NUM!</v>
      </c>
      <c r="AZ128" s="238" t="e">
        <f t="shared" si="68"/>
        <v>#NUM!</v>
      </c>
      <c r="BA128" s="237" t="e">
        <f t="shared" si="69"/>
        <v>#NUM!</v>
      </c>
      <c r="BB128" s="238" t="e">
        <f t="shared" si="70"/>
        <v>#NUM!</v>
      </c>
      <c r="BC128" s="239">
        <f>IFERROR(IF(OR($E$11=Resumen!$N$6,$E$8=Resumen!$N$6),Amortización!AY128*0.16,0),"")</f>
        <v>0</v>
      </c>
      <c r="BD128" s="237">
        <f t="shared" si="71"/>
        <v>0</v>
      </c>
      <c r="BE128" s="240">
        <f t="shared" si="51"/>
        <v>0</v>
      </c>
      <c r="BF128" s="43" t="str">
        <f t="shared" si="52"/>
        <v/>
      </c>
      <c r="BH128" s="243" t="e">
        <f t="shared" si="82"/>
        <v>#NUM!</v>
      </c>
      <c r="BI128" s="187"/>
      <c r="BJ128" s="187" t="str">
        <f t="shared" si="72"/>
        <v/>
      </c>
      <c r="BK128" s="42" t="e">
        <f t="shared" si="73"/>
        <v>#NUM!</v>
      </c>
      <c r="BL128" s="45"/>
      <c r="BM128" s="242"/>
    </row>
    <row r="129" spans="3:65" ht="15.5" thickTop="1" thickBot="1" x14ac:dyDescent="0.4">
      <c r="C129" s="36" t="str">
        <f t="shared" si="74"/>
        <v/>
      </c>
      <c r="D129" s="37" t="e">
        <f t="shared" si="75"/>
        <v>#NUM!</v>
      </c>
      <c r="E129" s="236">
        <f t="shared" si="79"/>
        <v>0</v>
      </c>
      <c r="F129" s="237" t="e">
        <f t="shared" si="80"/>
        <v>#NUM!</v>
      </c>
      <c r="G129" s="238" t="e">
        <f>IF(D129="","",L128*Resumen!$L$86/1000)</f>
        <v>#NUM!</v>
      </c>
      <c r="H129" s="237" t="e">
        <f t="shared" si="53"/>
        <v>#NUM!</v>
      </c>
      <c r="I129" s="238" t="e">
        <f>IF($E$16=$V$1,0,IF(D129="","",Amortización!$AE$14))</f>
        <v>#NUM!</v>
      </c>
      <c r="J129" s="239">
        <f>IFERROR(IF(OR($E$11=Resumen!$N$6,$E$8=Resumen!$N$6),Amortización!F129*0.16,0),"")</f>
        <v>0</v>
      </c>
      <c r="K129" s="237">
        <f t="shared" si="54"/>
        <v>0</v>
      </c>
      <c r="L129" s="240">
        <f t="shared" si="55"/>
        <v>0</v>
      </c>
      <c r="M129" s="43" t="str">
        <f t="shared" si="50"/>
        <v/>
      </c>
      <c r="N129" s="44" t="str">
        <f t="shared" si="56"/>
        <v/>
      </c>
      <c r="O129" s="44" t="str">
        <f t="shared" si="57"/>
        <v/>
      </c>
      <c r="P129" s="44" t="str">
        <f t="shared" si="58"/>
        <v/>
      </c>
      <c r="Q129" s="242"/>
      <c r="R129" s="243" t="e">
        <f t="shared" si="76"/>
        <v>#NUM!</v>
      </c>
      <c r="S129" s="187"/>
      <c r="T129" s="187" t="str">
        <f t="shared" si="77"/>
        <v/>
      </c>
      <c r="U129" s="42" t="e">
        <f t="shared" si="59"/>
        <v>#NUM!</v>
      </c>
      <c r="V129" s="45">
        <f t="shared" si="60"/>
        <v>0</v>
      </c>
      <c r="W129" s="187"/>
      <c r="X129" s="272" t="b">
        <f t="shared" si="81"/>
        <v>0</v>
      </c>
      <c r="Y129" s="187">
        <v>0</v>
      </c>
      <c r="Z129" s="187"/>
      <c r="AB129" s="357" t="e">
        <f t="shared" si="61"/>
        <v>#N/A</v>
      </c>
      <c r="AG129" s="307">
        <f t="shared" si="62"/>
        <v>0</v>
      </c>
      <c r="AH129" s="283">
        <f t="shared" si="63"/>
        <v>0</v>
      </c>
      <c r="AI129" t="str">
        <f t="shared" si="64"/>
        <v/>
      </c>
      <c r="AV129" s="36" t="str">
        <f t="shared" si="65"/>
        <v/>
      </c>
      <c r="AW129" s="37" t="e">
        <f t="shared" si="66"/>
        <v>#NUM!</v>
      </c>
      <c r="AX129" s="236" t="e">
        <f t="shared" si="67"/>
        <v>#NUM!</v>
      </c>
      <c r="AY129" s="237" t="e">
        <f t="shared" si="78"/>
        <v>#NUM!</v>
      </c>
      <c r="AZ129" s="238" t="e">
        <f t="shared" si="68"/>
        <v>#NUM!</v>
      </c>
      <c r="BA129" s="237" t="e">
        <f t="shared" si="69"/>
        <v>#NUM!</v>
      </c>
      <c r="BB129" s="238" t="e">
        <f t="shared" si="70"/>
        <v>#NUM!</v>
      </c>
      <c r="BC129" s="239">
        <f>IFERROR(IF(OR($E$11=Resumen!$N$6,$E$8=Resumen!$N$6),Amortización!AY129*0.16,0),"")</f>
        <v>0</v>
      </c>
      <c r="BD129" s="237">
        <f t="shared" si="71"/>
        <v>0</v>
      </c>
      <c r="BE129" s="240">
        <f t="shared" si="51"/>
        <v>0</v>
      </c>
      <c r="BF129" s="43" t="str">
        <f t="shared" si="52"/>
        <v/>
      </c>
      <c r="BH129" s="243" t="e">
        <f t="shared" si="82"/>
        <v>#NUM!</v>
      </c>
      <c r="BI129" s="187"/>
      <c r="BJ129" s="187" t="str">
        <f t="shared" si="72"/>
        <v/>
      </c>
      <c r="BK129" s="42" t="e">
        <f t="shared" si="73"/>
        <v>#NUM!</v>
      </c>
      <c r="BL129" s="45"/>
      <c r="BM129" s="242"/>
    </row>
    <row r="130" spans="3:65" ht="15.5" thickTop="1" thickBot="1" x14ac:dyDescent="0.4">
      <c r="C130" s="36" t="str">
        <f t="shared" si="74"/>
        <v/>
      </c>
      <c r="D130" s="37" t="e">
        <f t="shared" si="75"/>
        <v>#NUM!</v>
      </c>
      <c r="E130" s="236">
        <f t="shared" si="79"/>
        <v>0</v>
      </c>
      <c r="F130" s="237" t="e">
        <f t="shared" si="80"/>
        <v>#NUM!</v>
      </c>
      <c r="G130" s="238" t="e">
        <f>IF(D130="","",L129*Resumen!$L$86/1000)</f>
        <v>#NUM!</v>
      </c>
      <c r="H130" s="237" t="e">
        <f t="shared" si="53"/>
        <v>#NUM!</v>
      </c>
      <c r="I130" s="238" t="e">
        <f>IF($E$16=$V$1,0,IF(D130="","",Amortización!$AE$14))</f>
        <v>#NUM!</v>
      </c>
      <c r="J130" s="239">
        <f>IFERROR(IF(OR($E$11=Resumen!$N$6,$E$8=Resumen!$N$6),Amortización!F130*0.16,0),"")</f>
        <v>0</v>
      </c>
      <c r="K130" s="237">
        <f t="shared" si="54"/>
        <v>0</v>
      </c>
      <c r="L130" s="240">
        <f t="shared" si="55"/>
        <v>0</v>
      </c>
      <c r="M130" s="43" t="str">
        <f t="shared" si="50"/>
        <v/>
      </c>
      <c r="N130" s="44" t="str">
        <f t="shared" si="56"/>
        <v/>
      </c>
      <c r="O130" s="44" t="str">
        <f t="shared" si="57"/>
        <v/>
      </c>
      <c r="P130" s="44" t="str">
        <f t="shared" si="58"/>
        <v/>
      </c>
      <c r="Q130" s="242" t="str">
        <f>IF(OR(L129=0,L129=""),"",IF(E130&gt;=D130,0,$E$17*10%))</f>
        <v/>
      </c>
      <c r="R130" s="243" t="e">
        <f t="shared" si="76"/>
        <v>#NUM!</v>
      </c>
      <c r="S130" s="187"/>
      <c r="T130" s="187" t="str">
        <f t="shared" si="77"/>
        <v/>
      </c>
      <c r="U130" s="42" t="e">
        <f t="shared" si="59"/>
        <v>#NUM!</v>
      </c>
      <c r="V130" s="45">
        <f t="shared" si="60"/>
        <v>0</v>
      </c>
      <c r="W130" s="187"/>
      <c r="X130" s="272" t="b">
        <f t="shared" si="81"/>
        <v>0</v>
      </c>
      <c r="Y130" s="187">
        <v>0</v>
      </c>
      <c r="Z130" s="187"/>
      <c r="AB130" s="357" t="e">
        <f t="shared" si="61"/>
        <v>#N/A</v>
      </c>
      <c r="AG130" s="307">
        <f t="shared" si="62"/>
        <v>0</v>
      </c>
      <c r="AH130" s="283">
        <f t="shared" si="63"/>
        <v>0</v>
      </c>
      <c r="AI130" t="str">
        <f t="shared" si="64"/>
        <v/>
      </c>
      <c r="AV130" s="36" t="str">
        <f t="shared" si="65"/>
        <v/>
      </c>
      <c r="AW130" s="37" t="e">
        <f t="shared" si="66"/>
        <v>#NUM!</v>
      </c>
      <c r="AX130" s="236" t="e">
        <f t="shared" si="67"/>
        <v>#NUM!</v>
      </c>
      <c r="AY130" s="237" t="e">
        <f t="shared" si="78"/>
        <v>#NUM!</v>
      </c>
      <c r="AZ130" s="238" t="e">
        <f t="shared" si="68"/>
        <v>#NUM!</v>
      </c>
      <c r="BA130" s="237" t="e">
        <f t="shared" si="69"/>
        <v>#NUM!</v>
      </c>
      <c r="BB130" s="238" t="e">
        <f t="shared" si="70"/>
        <v>#NUM!</v>
      </c>
      <c r="BC130" s="239">
        <f>IFERROR(IF(OR($E$11=Resumen!$N$6,$E$8=Resumen!$N$6),Amortización!AY130*0.16,0),"")</f>
        <v>0</v>
      </c>
      <c r="BD130" s="237">
        <f t="shared" si="71"/>
        <v>0</v>
      </c>
      <c r="BE130" s="240">
        <f t="shared" si="51"/>
        <v>0</v>
      </c>
      <c r="BF130" s="43" t="str">
        <f t="shared" si="52"/>
        <v/>
      </c>
      <c r="BH130" s="243" t="e">
        <f t="shared" si="82"/>
        <v>#NUM!</v>
      </c>
      <c r="BI130" s="187"/>
      <c r="BJ130" s="187" t="str">
        <f t="shared" si="72"/>
        <v/>
      </c>
      <c r="BK130" s="42" t="e">
        <f t="shared" si="73"/>
        <v>#NUM!</v>
      </c>
      <c r="BL130" s="45"/>
      <c r="BM130" s="242"/>
    </row>
    <row r="131" spans="3:65" ht="15.5" thickTop="1" thickBot="1" x14ac:dyDescent="0.4">
      <c r="C131" s="36" t="str">
        <f t="shared" si="74"/>
        <v/>
      </c>
      <c r="D131" s="37" t="e">
        <f t="shared" si="75"/>
        <v>#NUM!</v>
      </c>
      <c r="E131" s="236">
        <f t="shared" si="79"/>
        <v>0</v>
      </c>
      <c r="F131" s="237" t="e">
        <f t="shared" si="80"/>
        <v>#NUM!</v>
      </c>
      <c r="G131" s="238" t="e">
        <f>IF(D131="","",L130*Resumen!$L$86/1000)</f>
        <v>#NUM!</v>
      </c>
      <c r="H131" s="237" t="e">
        <f t="shared" si="53"/>
        <v>#NUM!</v>
      </c>
      <c r="I131" s="238" t="e">
        <f>IF($E$16=$V$1,0,IF(D131="","",Amortización!$AE$14))</f>
        <v>#NUM!</v>
      </c>
      <c r="J131" s="239">
        <f>IFERROR(IF(OR($E$11=Resumen!$N$6,$E$8=Resumen!$N$6),Amortización!F131*0.16,0),"")</f>
        <v>0</v>
      </c>
      <c r="K131" s="237">
        <f t="shared" si="54"/>
        <v>0</v>
      </c>
      <c r="L131" s="240">
        <f t="shared" si="55"/>
        <v>0</v>
      </c>
      <c r="M131" s="43" t="str">
        <f t="shared" si="50"/>
        <v/>
      </c>
      <c r="N131" s="44" t="str">
        <f t="shared" si="56"/>
        <v/>
      </c>
      <c r="O131" s="44" t="str">
        <f t="shared" si="57"/>
        <v/>
      </c>
      <c r="P131" s="44" t="str">
        <f t="shared" si="58"/>
        <v/>
      </c>
      <c r="Q131" s="242"/>
      <c r="R131" s="243" t="e">
        <f t="shared" si="76"/>
        <v>#NUM!</v>
      </c>
      <c r="S131" s="187"/>
      <c r="T131" s="187" t="str">
        <f t="shared" si="77"/>
        <v/>
      </c>
      <c r="U131" s="42" t="e">
        <f t="shared" si="59"/>
        <v>#NUM!</v>
      </c>
      <c r="V131" s="45">
        <f t="shared" si="60"/>
        <v>0</v>
      </c>
      <c r="W131" s="187"/>
      <c r="X131" s="272" t="b">
        <f t="shared" si="81"/>
        <v>0</v>
      </c>
      <c r="Y131" s="187">
        <v>0</v>
      </c>
      <c r="Z131" s="187"/>
      <c r="AB131" s="357" t="e">
        <f t="shared" si="61"/>
        <v>#N/A</v>
      </c>
      <c r="AG131" s="307">
        <f t="shared" si="62"/>
        <v>0</v>
      </c>
      <c r="AH131" s="283">
        <f t="shared" si="63"/>
        <v>0</v>
      </c>
      <c r="AI131" t="str">
        <f t="shared" si="64"/>
        <v/>
      </c>
      <c r="AV131" s="36" t="str">
        <f t="shared" si="65"/>
        <v/>
      </c>
      <c r="AW131" s="37" t="e">
        <f t="shared" si="66"/>
        <v>#NUM!</v>
      </c>
      <c r="AX131" s="236" t="e">
        <f t="shared" si="67"/>
        <v>#NUM!</v>
      </c>
      <c r="AY131" s="237" t="e">
        <f t="shared" si="78"/>
        <v>#NUM!</v>
      </c>
      <c r="AZ131" s="238" t="e">
        <f t="shared" si="68"/>
        <v>#NUM!</v>
      </c>
      <c r="BA131" s="237" t="e">
        <f t="shared" si="69"/>
        <v>#NUM!</v>
      </c>
      <c r="BB131" s="238" t="e">
        <f t="shared" si="70"/>
        <v>#NUM!</v>
      </c>
      <c r="BC131" s="239">
        <f>IFERROR(IF(OR($E$11=Resumen!$N$6,$E$8=Resumen!$N$6),Amortización!AY131*0.16,0),"")</f>
        <v>0</v>
      </c>
      <c r="BD131" s="237">
        <f t="shared" si="71"/>
        <v>0</v>
      </c>
      <c r="BE131" s="240">
        <f t="shared" si="51"/>
        <v>0</v>
      </c>
      <c r="BF131" s="43" t="str">
        <f t="shared" si="52"/>
        <v/>
      </c>
      <c r="BH131" s="243" t="e">
        <f t="shared" si="82"/>
        <v>#NUM!</v>
      </c>
      <c r="BI131" s="187"/>
      <c r="BJ131" s="187" t="str">
        <f t="shared" si="72"/>
        <v/>
      </c>
      <c r="BK131" s="42" t="e">
        <f t="shared" si="73"/>
        <v>#NUM!</v>
      </c>
      <c r="BL131" s="45"/>
      <c r="BM131" s="242"/>
    </row>
    <row r="132" spans="3:65" ht="15.5" thickTop="1" thickBot="1" x14ac:dyDescent="0.4">
      <c r="C132" s="36" t="str">
        <f t="shared" si="74"/>
        <v/>
      </c>
      <c r="D132" s="37" t="e">
        <f t="shared" si="75"/>
        <v>#NUM!</v>
      </c>
      <c r="E132" s="236">
        <f t="shared" si="79"/>
        <v>0</v>
      </c>
      <c r="F132" s="237" t="e">
        <f t="shared" si="80"/>
        <v>#NUM!</v>
      </c>
      <c r="G132" s="238" t="e">
        <f>IF(D132="","",L131*Resumen!$L$86/1000)</f>
        <v>#NUM!</v>
      </c>
      <c r="H132" s="237" t="e">
        <f t="shared" si="53"/>
        <v>#NUM!</v>
      </c>
      <c r="I132" s="238" t="e">
        <f>IF($E$16=$V$1,0,IF(D132="","",Amortización!$AE$14))</f>
        <v>#NUM!</v>
      </c>
      <c r="J132" s="239">
        <f>IFERROR(IF(OR($E$11=Resumen!$N$6,$E$8=Resumen!$N$6),Amortización!F132*0.16,0),"")</f>
        <v>0</v>
      </c>
      <c r="K132" s="237">
        <f t="shared" si="54"/>
        <v>0</v>
      </c>
      <c r="L132" s="240">
        <f t="shared" si="55"/>
        <v>0</v>
      </c>
      <c r="M132" s="43" t="str">
        <f t="shared" si="50"/>
        <v/>
      </c>
      <c r="N132" s="44" t="str">
        <f t="shared" si="56"/>
        <v/>
      </c>
      <c r="O132" s="44" t="str">
        <f t="shared" si="57"/>
        <v/>
      </c>
      <c r="P132" s="44" t="str">
        <f t="shared" si="58"/>
        <v/>
      </c>
      <c r="Q132" s="242" t="str">
        <f>IF(OR(L131=0,L131=""),"",IF(E132&gt;=D132,0,$E$17*10%))</f>
        <v/>
      </c>
      <c r="R132" s="243" t="e">
        <f t="shared" si="76"/>
        <v>#NUM!</v>
      </c>
      <c r="S132" s="187"/>
      <c r="T132" s="187" t="str">
        <f t="shared" si="77"/>
        <v/>
      </c>
      <c r="U132" s="42" t="e">
        <f t="shared" si="59"/>
        <v>#NUM!</v>
      </c>
      <c r="V132" s="45">
        <f t="shared" si="60"/>
        <v>0</v>
      </c>
      <c r="W132" s="187"/>
      <c r="X132" s="272" t="b">
        <f t="shared" si="81"/>
        <v>0</v>
      </c>
      <c r="Y132" s="187">
        <v>0</v>
      </c>
      <c r="Z132" s="187"/>
      <c r="AB132" s="357" t="e">
        <f t="shared" si="61"/>
        <v>#N/A</v>
      </c>
      <c r="AG132" s="307">
        <f t="shared" si="62"/>
        <v>0</v>
      </c>
      <c r="AH132" s="283">
        <f t="shared" si="63"/>
        <v>0</v>
      </c>
      <c r="AI132" t="str">
        <f t="shared" si="64"/>
        <v/>
      </c>
      <c r="AV132" s="36" t="str">
        <f t="shared" si="65"/>
        <v/>
      </c>
      <c r="AW132" s="37" t="e">
        <f t="shared" si="66"/>
        <v>#NUM!</v>
      </c>
      <c r="AX132" s="236" t="e">
        <f t="shared" si="67"/>
        <v>#NUM!</v>
      </c>
      <c r="AY132" s="237" t="e">
        <f t="shared" si="78"/>
        <v>#NUM!</v>
      </c>
      <c r="AZ132" s="238" t="e">
        <f t="shared" si="68"/>
        <v>#NUM!</v>
      </c>
      <c r="BA132" s="237" t="e">
        <f t="shared" si="69"/>
        <v>#NUM!</v>
      </c>
      <c r="BB132" s="238" t="e">
        <f t="shared" si="70"/>
        <v>#NUM!</v>
      </c>
      <c r="BC132" s="239">
        <f>IFERROR(IF(OR($E$11=Resumen!$N$6,$E$8=Resumen!$N$6),Amortización!AY132*0.16,0),"")</f>
        <v>0</v>
      </c>
      <c r="BD132" s="237">
        <f t="shared" si="71"/>
        <v>0</v>
      </c>
      <c r="BE132" s="240">
        <f t="shared" si="51"/>
        <v>0</v>
      </c>
      <c r="BF132" s="43" t="str">
        <f t="shared" si="52"/>
        <v/>
      </c>
      <c r="BH132" s="243" t="e">
        <f t="shared" si="82"/>
        <v>#NUM!</v>
      </c>
      <c r="BI132" s="187"/>
      <c r="BJ132" s="187" t="str">
        <f t="shared" si="72"/>
        <v/>
      </c>
      <c r="BK132" s="42" t="e">
        <f t="shared" si="73"/>
        <v>#NUM!</v>
      </c>
      <c r="BL132" s="45"/>
      <c r="BM132" s="242"/>
    </row>
    <row r="133" spans="3:65" ht="15.5" thickTop="1" thickBot="1" x14ac:dyDescent="0.4">
      <c r="C133" s="36" t="str">
        <f t="shared" si="74"/>
        <v/>
      </c>
      <c r="D133" s="37" t="e">
        <f t="shared" si="75"/>
        <v>#NUM!</v>
      </c>
      <c r="E133" s="236">
        <f t="shared" si="79"/>
        <v>0</v>
      </c>
      <c r="F133" s="237" t="e">
        <f t="shared" si="80"/>
        <v>#NUM!</v>
      </c>
      <c r="G133" s="238" t="e">
        <f>IF(D133="","",L132*Resumen!$L$86/1000)</f>
        <v>#NUM!</v>
      </c>
      <c r="H133" s="237" t="e">
        <f t="shared" si="53"/>
        <v>#NUM!</v>
      </c>
      <c r="I133" s="238" t="e">
        <f>IF($E$16=$V$1,0,IF(D133="","",Amortización!$AE$14))</f>
        <v>#NUM!</v>
      </c>
      <c r="J133" s="239">
        <f>IFERROR(IF(OR($E$11=Resumen!$N$6,$E$8=Resumen!$N$6),Amortización!F133*0.16,0),"")</f>
        <v>0</v>
      </c>
      <c r="K133" s="237">
        <f t="shared" si="54"/>
        <v>0</v>
      </c>
      <c r="L133" s="240">
        <f t="shared" si="55"/>
        <v>0</v>
      </c>
      <c r="M133" s="43" t="str">
        <f t="shared" si="50"/>
        <v/>
      </c>
      <c r="N133" s="44" t="str">
        <f t="shared" si="56"/>
        <v/>
      </c>
      <c r="O133" s="44" t="str">
        <f t="shared" si="57"/>
        <v/>
      </c>
      <c r="P133" s="44" t="str">
        <f t="shared" si="58"/>
        <v/>
      </c>
      <c r="Q133" s="242"/>
      <c r="R133" s="243" t="e">
        <f t="shared" si="76"/>
        <v>#NUM!</v>
      </c>
      <c r="S133" s="187"/>
      <c r="T133" s="187" t="str">
        <f t="shared" si="77"/>
        <v/>
      </c>
      <c r="U133" s="42" t="e">
        <f t="shared" si="59"/>
        <v>#NUM!</v>
      </c>
      <c r="V133" s="45">
        <f t="shared" si="60"/>
        <v>0</v>
      </c>
      <c r="W133" s="187"/>
      <c r="X133" s="272" t="b">
        <f t="shared" si="81"/>
        <v>0</v>
      </c>
      <c r="Y133" s="187">
        <v>0</v>
      </c>
      <c r="Z133" s="187"/>
      <c r="AB133" s="357" t="e">
        <f t="shared" si="61"/>
        <v>#N/A</v>
      </c>
      <c r="AG133" s="307">
        <f t="shared" si="62"/>
        <v>0</v>
      </c>
      <c r="AH133" s="283">
        <f t="shared" si="63"/>
        <v>0</v>
      </c>
      <c r="AI133" t="str">
        <f t="shared" si="64"/>
        <v/>
      </c>
      <c r="AV133" s="36" t="str">
        <f t="shared" si="65"/>
        <v/>
      </c>
      <c r="AW133" s="37" t="e">
        <f t="shared" si="66"/>
        <v>#NUM!</v>
      </c>
      <c r="AX133" s="236" t="e">
        <f t="shared" si="67"/>
        <v>#NUM!</v>
      </c>
      <c r="AY133" s="237" t="e">
        <f t="shared" si="78"/>
        <v>#NUM!</v>
      </c>
      <c r="AZ133" s="238" t="e">
        <f t="shared" si="68"/>
        <v>#NUM!</v>
      </c>
      <c r="BA133" s="237" t="e">
        <f t="shared" si="69"/>
        <v>#NUM!</v>
      </c>
      <c r="BB133" s="238" t="e">
        <f t="shared" si="70"/>
        <v>#NUM!</v>
      </c>
      <c r="BC133" s="239">
        <f>IFERROR(IF(OR($E$11=Resumen!$N$6,$E$8=Resumen!$N$6),Amortización!AY133*0.16,0),"")</f>
        <v>0</v>
      </c>
      <c r="BD133" s="237">
        <f t="shared" si="71"/>
        <v>0</v>
      </c>
      <c r="BE133" s="240">
        <f t="shared" si="51"/>
        <v>0</v>
      </c>
      <c r="BF133" s="43" t="str">
        <f t="shared" si="52"/>
        <v/>
      </c>
      <c r="BH133" s="243" t="e">
        <f t="shared" si="82"/>
        <v>#NUM!</v>
      </c>
      <c r="BI133" s="187"/>
      <c r="BJ133" s="187" t="str">
        <f t="shared" si="72"/>
        <v/>
      </c>
      <c r="BK133" s="42" t="e">
        <f t="shared" si="73"/>
        <v>#NUM!</v>
      </c>
      <c r="BL133" s="45"/>
      <c r="BM133" s="242"/>
    </row>
    <row r="134" spans="3:65" ht="15.5" thickTop="1" thickBot="1" x14ac:dyDescent="0.4">
      <c r="C134" s="36" t="str">
        <f t="shared" si="74"/>
        <v/>
      </c>
      <c r="D134" s="37" t="e">
        <f t="shared" si="75"/>
        <v>#NUM!</v>
      </c>
      <c r="E134" s="236">
        <f t="shared" si="79"/>
        <v>0</v>
      </c>
      <c r="F134" s="237" t="e">
        <f t="shared" si="80"/>
        <v>#NUM!</v>
      </c>
      <c r="G134" s="238" t="e">
        <f>IF(D134="","",L133*Resumen!$L$86/1000)</f>
        <v>#NUM!</v>
      </c>
      <c r="H134" s="237" t="e">
        <f t="shared" si="53"/>
        <v>#NUM!</v>
      </c>
      <c r="I134" s="238" t="e">
        <f>IF($E$16=$V$1,0,IF(D134="","",Amortización!$AE$14))</f>
        <v>#NUM!</v>
      </c>
      <c r="J134" s="239">
        <f>IFERROR(IF(OR($E$11=Resumen!$N$6,$E$8=Resumen!$N$6),Amortización!F134*0.16,0),"")</f>
        <v>0</v>
      </c>
      <c r="K134" s="237">
        <f t="shared" si="54"/>
        <v>0</v>
      </c>
      <c r="L134" s="240">
        <f t="shared" si="55"/>
        <v>0</v>
      </c>
      <c r="M134" s="43" t="str">
        <f t="shared" si="50"/>
        <v/>
      </c>
      <c r="N134" s="44" t="str">
        <f t="shared" si="56"/>
        <v/>
      </c>
      <c r="O134" s="44" t="str">
        <f t="shared" si="57"/>
        <v/>
      </c>
      <c r="P134" s="44" t="str">
        <f t="shared" si="58"/>
        <v/>
      </c>
      <c r="Q134" s="242" t="str">
        <f>IF(OR(L133=0,L133=""),"",IF(E134&gt;=D134,0,$E$17*10%))</f>
        <v/>
      </c>
      <c r="R134" s="243" t="e">
        <f t="shared" si="76"/>
        <v>#NUM!</v>
      </c>
      <c r="S134" s="187"/>
      <c r="T134" s="187" t="str">
        <f t="shared" si="77"/>
        <v/>
      </c>
      <c r="U134" s="42" t="e">
        <f t="shared" si="59"/>
        <v>#NUM!</v>
      </c>
      <c r="V134" s="45">
        <f t="shared" si="60"/>
        <v>0</v>
      </c>
      <c r="W134" s="187"/>
      <c r="X134" s="272" t="b">
        <f t="shared" si="81"/>
        <v>0</v>
      </c>
      <c r="Y134" s="187">
        <v>0</v>
      </c>
      <c r="Z134" s="187"/>
      <c r="AB134" s="357" t="e">
        <f t="shared" si="61"/>
        <v>#N/A</v>
      </c>
      <c r="AG134" s="307">
        <f t="shared" si="62"/>
        <v>0</v>
      </c>
      <c r="AH134" s="283">
        <f t="shared" si="63"/>
        <v>0</v>
      </c>
      <c r="AI134" t="str">
        <f t="shared" si="64"/>
        <v/>
      </c>
      <c r="AV134" s="36" t="str">
        <f t="shared" si="65"/>
        <v/>
      </c>
      <c r="AW134" s="37" t="e">
        <f t="shared" si="66"/>
        <v>#NUM!</v>
      </c>
      <c r="AX134" s="236" t="e">
        <f t="shared" si="67"/>
        <v>#NUM!</v>
      </c>
      <c r="AY134" s="237" t="e">
        <f t="shared" si="78"/>
        <v>#NUM!</v>
      </c>
      <c r="AZ134" s="238" t="e">
        <f t="shared" si="68"/>
        <v>#NUM!</v>
      </c>
      <c r="BA134" s="237" t="e">
        <f t="shared" si="69"/>
        <v>#NUM!</v>
      </c>
      <c r="BB134" s="238" t="e">
        <f t="shared" si="70"/>
        <v>#NUM!</v>
      </c>
      <c r="BC134" s="239">
        <f>IFERROR(IF(OR($E$11=Resumen!$N$6,$E$8=Resumen!$N$6),Amortización!AY134*0.16,0),"")</f>
        <v>0</v>
      </c>
      <c r="BD134" s="237">
        <f t="shared" si="71"/>
        <v>0</v>
      </c>
      <c r="BE134" s="240">
        <f t="shared" si="51"/>
        <v>0</v>
      </c>
      <c r="BF134" s="43" t="str">
        <f t="shared" si="52"/>
        <v/>
      </c>
      <c r="BH134" s="243" t="e">
        <f t="shared" si="82"/>
        <v>#NUM!</v>
      </c>
      <c r="BI134" s="187"/>
      <c r="BJ134" s="187" t="str">
        <f t="shared" si="72"/>
        <v/>
      </c>
      <c r="BK134" s="42" t="e">
        <f t="shared" si="73"/>
        <v>#NUM!</v>
      </c>
      <c r="BL134" s="45"/>
      <c r="BM134" s="242"/>
    </row>
    <row r="135" spans="3:65" ht="15.5" thickTop="1" thickBot="1" x14ac:dyDescent="0.4">
      <c r="C135" s="36" t="str">
        <f t="shared" si="74"/>
        <v/>
      </c>
      <c r="D135" s="37" t="e">
        <f t="shared" si="75"/>
        <v>#NUM!</v>
      </c>
      <c r="E135" s="236">
        <f t="shared" si="79"/>
        <v>0</v>
      </c>
      <c r="F135" s="237" t="e">
        <f t="shared" si="80"/>
        <v>#NUM!</v>
      </c>
      <c r="G135" s="238" t="e">
        <f>IF(D135="","",L134*Resumen!$L$86/1000)</f>
        <v>#NUM!</v>
      </c>
      <c r="H135" s="237" t="e">
        <f t="shared" si="53"/>
        <v>#NUM!</v>
      </c>
      <c r="I135" s="238" t="e">
        <f>IF($E$16=$V$1,0,IF(D135="","",Amortización!$AE$14))</f>
        <v>#NUM!</v>
      </c>
      <c r="J135" s="239">
        <f>IFERROR(IF(OR($E$11=Resumen!$N$6,$E$8=Resumen!$N$6),Amortización!F135*0.16,0),"")</f>
        <v>0</v>
      </c>
      <c r="K135" s="237">
        <f t="shared" si="54"/>
        <v>0</v>
      </c>
      <c r="L135" s="240">
        <f t="shared" si="55"/>
        <v>0</v>
      </c>
      <c r="M135" s="43" t="str">
        <f t="shared" si="50"/>
        <v/>
      </c>
      <c r="N135" s="44" t="str">
        <f t="shared" si="56"/>
        <v/>
      </c>
      <c r="O135" s="44" t="str">
        <f t="shared" si="57"/>
        <v/>
      </c>
      <c r="P135" s="44" t="str">
        <f t="shared" si="58"/>
        <v/>
      </c>
      <c r="Q135" s="44"/>
      <c r="R135" s="243" t="e">
        <f t="shared" si="76"/>
        <v>#NUM!</v>
      </c>
      <c r="T135" s="187" t="str">
        <f t="shared" si="77"/>
        <v/>
      </c>
      <c r="U135" s="42" t="e">
        <f t="shared" si="59"/>
        <v>#NUM!</v>
      </c>
      <c r="V135" s="45">
        <f t="shared" si="60"/>
        <v>0</v>
      </c>
      <c r="X135" s="272" t="b">
        <f t="shared" si="81"/>
        <v>0</v>
      </c>
      <c r="Y135" s="39">
        <v>0</v>
      </c>
      <c r="AB135" s="357" t="e">
        <f t="shared" si="61"/>
        <v>#N/A</v>
      </c>
      <c r="AG135" s="307">
        <f t="shared" si="62"/>
        <v>0</v>
      </c>
      <c r="AH135" s="283">
        <f t="shared" si="63"/>
        <v>0</v>
      </c>
      <c r="AI135" t="str">
        <f t="shared" si="64"/>
        <v/>
      </c>
      <c r="AV135" s="36" t="str">
        <f t="shared" si="65"/>
        <v/>
      </c>
      <c r="AW135" s="37" t="e">
        <f t="shared" si="66"/>
        <v>#NUM!</v>
      </c>
      <c r="AX135" s="236" t="e">
        <f t="shared" si="67"/>
        <v>#NUM!</v>
      </c>
      <c r="AY135" s="237" t="e">
        <f t="shared" si="78"/>
        <v>#NUM!</v>
      </c>
      <c r="AZ135" s="238" t="e">
        <f t="shared" si="68"/>
        <v>#NUM!</v>
      </c>
      <c r="BA135" s="237" t="e">
        <f t="shared" si="69"/>
        <v>#NUM!</v>
      </c>
      <c r="BB135" s="238" t="e">
        <f t="shared" si="70"/>
        <v>#NUM!</v>
      </c>
      <c r="BC135" s="239">
        <f>IFERROR(IF(OR($E$11=Resumen!$N$6,$E$8=Resumen!$N$6),Amortización!AY135*0.16,0),"")</f>
        <v>0</v>
      </c>
      <c r="BD135" s="237">
        <f t="shared" si="71"/>
        <v>0</v>
      </c>
      <c r="BE135" s="240">
        <f t="shared" si="51"/>
        <v>0</v>
      </c>
      <c r="BF135" s="43" t="str">
        <f t="shared" si="52"/>
        <v/>
      </c>
      <c r="BH135" s="243" t="e">
        <f t="shared" si="82"/>
        <v>#NUM!</v>
      </c>
      <c r="BI135" s="3"/>
      <c r="BJ135" s="187" t="str">
        <f t="shared" si="72"/>
        <v/>
      </c>
      <c r="BK135" s="42" t="e">
        <f t="shared" si="73"/>
        <v>#NUM!</v>
      </c>
      <c r="BL135" s="45"/>
      <c r="BM135" s="44"/>
    </row>
    <row r="136" spans="3:65" ht="15.5" thickTop="1" thickBot="1" x14ac:dyDescent="0.4">
      <c r="C136" s="36" t="str">
        <f t="shared" si="74"/>
        <v/>
      </c>
      <c r="D136" s="37" t="e">
        <f t="shared" si="75"/>
        <v>#NUM!</v>
      </c>
      <c r="E136" s="236">
        <f t="shared" si="79"/>
        <v>0</v>
      </c>
      <c r="F136" s="237" t="e">
        <f t="shared" si="80"/>
        <v>#NUM!</v>
      </c>
      <c r="G136" s="238" t="e">
        <f>IF(D136="","",L135*Resumen!$L$86/1000)</f>
        <v>#NUM!</v>
      </c>
      <c r="H136" s="237" t="e">
        <f t="shared" si="53"/>
        <v>#NUM!</v>
      </c>
      <c r="I136" s="238" t="e">
        <f>IF($E$16=$V$1,0,IF(D136="","",Amortización!$AE$14))</f>
        <v>#NUM!</v>
      </c>
      <c r="J136" s="239">
        <f>IFERROR(IF(OR($E$11=Resumen!$N$6,$E$8=Resumen!$N$6),Amortización!F136*0.16,0),"")</f>
        <v>0</v>
      </c>
      <c r="K136" s="237">
        <f t="shared" si="54"/>
        <v>0</v>
      </c>
      <c r="L136" s="240">
        <f t="shared" si="55"/>
        <v>0</v>
      </c>
      <c r="M136" s="43" t="str">
        <f t="shared" si="50"/>
        <v/>
      </c>
      <c r="N136" s="44" t="str">
        <f t="shared" si="56"/>
        <v/>
      </c>
      <c r="O136" s="44" t="str">
        <f t="shared" si="57"/>
        <v/>
      </c>
      <c r="P136" s="44" t="str">
        <f t="shared" si="58"/>
        <v/>
      </c>
      <c r="Q136" s="236" t="str">
        <f>IF(OR(L135=0,L135=""),"",IF(E136&gt;=D136,0,$E$17*10%))</f>
        <v/>
      </c>
      <c r="R136" s="243" t="e">
        <f t="shared" si="76"/>
        <v>#NUM!</v>
      </c>
      <c r="T136" s="187" t="str">
        <f t="shared" si="77"/>
        <v/>
      </c>
      <c r="U136" s="42" t="e">
        <f t="shared" si="59"/>
        <v>#NUM!</v>
      </c>
      <c r="V136" s="45">
        <f t="shared" si="60"/>
        <v>0</v>
      </c>
      <c r="X136" s="272" t="b">
        <f t="shared" si="81"/>
        <v>0</v>
      </c>
      <c r="Y136" s="39">
        <v>0</v>
      </c>
      <c r="AB136" s="357" t="e">
        <f t="shared" si="61"/>
        <v>#N/A</v>
      </c>
      <c r="AG136" s="307">
        <f t="shared" si="62"/>
        <v>0</v>
      </c>
      <c r="AH136" s="283">
        <f t="shared" si="63"/>
        <v>0</v>
      </c>
      <c r="AI136" t="str">
        <f t="shared" si="64"/>
        <v/>
      </c>
      <c r="AV136" s="36" t="str">
        <f t="shared" si="65"/>
        <v/>
      </c>
      <c r="AW136" s="37" t="e">
        <f t="shared" si="66"/>
        <v>#NUM!</v>
      </c>
      <c r="AX136" s="236" t="e">
        <f t="shared" si="67"/>
        <v>#NUM!</v>
      </c>
      <c r="AY136" s="237" t="e">
        <f t="shared" si="78"/>
        <v>#NUM!</v>
      </c>
      <c r="AZ136" s="238" t="e">
        <f t="shared" si="68"/>
        <v>#NUM!</v>
      </c>
      <c r="BA136" s="237" t="e">
        <f t="shared" si="69"/>
        <v>#NUM!</v>
      </c>
      <c r="BB136" s="238" t="e">
        <f t="shared" si="70"/>
        <v>#NUM!</v>
      </c>
      <c r="BC136" s="239">
        <f>IFERROR(IF(OR($E$11=Resumen!$N$6,$E$8=Resumen!$N$6),Amortización!AY136*0.16,0),"")</f>
        <v>0</v>
      </c>
      <c r="BD136" s="237">
        <f t="shared" si="71"/>
        <v>0</v>
      </c>
      <c r="BE136" s="240">
        <f t="shared" si="51"/>
        <v>0</v>
      </c>
      <c r="BF136" s="43" t="str">
        <f t="shared" si="52"/>
        <v/>
      </c>
      <c r="BH136" s="243" t="e">
        <f t="shared" si="82"/>
        <v>#NUM!</v>
      </c>
      <c r="BI136" s="3"/>
      <c r="BJ136" s="187" t="str">
        <f t="shared" si="72"/>
        <v/>
      </c>
      <c r="BK136" s="42" t="e">
        <f t="shared" si="73"/>
        <v>#NUM!</v>
      </c>
      <c r="BL136" s="45"/>
      <c r="BM136" s="236"/>
    </row>
    <row r="137" spans="3:65" ht="15.5" thickTop="1" thickBot="1" x14ac:dyDescent="0.4">
      <c r="C137" s="36" t="str">
        <f t="shared" si="74"/>
        <v/>
      </c>
      <c r="D137" s="37" t="e">
        <f t="shared" si="75"/>
        <v>#NUM!</v>
      </c>
      <c r="E137" s="236">
        <f t="shared" si="79"/>
        <v>0</v>
      </c>
      <c r="F137" s="237" t="e">
        <f t="shared" si="80"/>
        <v>#NUM!</v>
      </c>
      <c r="G137" s="238" t="e">
        <f>IF(D137="","",L136*Resumen!$L$86/1000)</f>
        <v>#NUM!</v>
      </c>
      <c r="H137" s="237" t="e">
        <f t="shared" si="53"/>
        <v>#NUM!</v>
      </c>
      <c r="I137" s="238" t="e">
        <f>IF($E$16=$V$1,0,IF(D137="","",Amortización!$AE$14))</f>
        <v>#NUM!</v>
      </c>
      <c r="J137" s="239">
        <f>IFERROR(IF(OR($E$11=Resumen!$N$6,$E$8=Resumen!$N$6),Amortización!F137*0.16,0),"")</f>
        <v>0</v>
      </c>
      <c r="K137" s="237">
        <f t="shared" si="54"/>
        <v>0</v>
      </c>
      <c r="L137" s="240">
        <f t="shared" si="55"/>
        <v>0</v>
      </c>
      <c r="M137" s="43" t="str">
        <f t="shared" si="50"/>
        <v/>
      </c>
      <c r="N137" s="44" t="str">
        <f t="shared" si="56"/>
        <v/>
      </c>
      <c r="O137" s="44" t="str">
        <f t="shared" si="57"/>
        <v/>
      </c>
      <c r="P137" s="44" t="str">
        <f t="shared" si="58"/>
        <v/>
      </c>
      <c r="Q137" s="44"/>
      <c r="R137" s="243" t="e">
        <f t="shared" si="76"/>
        <v>#NUM!</v>
      </c>
      <c r="T137" s="187" t="str">
        <f t="shared" si="77"/>
        <v/>
      </c>
      <c r="U137" s="42" t="e">
        <f t="shared" si="59"/>
        <v>#NUM!</v>
      </c>
      <c r="V137" s="45">
        <f t="shared" si="60"/>
        <v>0</v>
      </c>
      <c r="X137" s="272" t="b">
        <f t="shared" si="81"/>
        <v>0</v>
      </c>
      <c r="Y137" s="39">
        <v>0</v>
      </c>
      <c r="AB137" s="357" t="e">
        <f t="shared" si="61"/>
        <v>#N/A</v>
      </c>
      <c r="AG137" s="307">
        <f t="shared" si="62"/>
        <v>0</v>
      </c>
      <c r="AH137" s="283">
        <f t="shared" si="63"/>
        <v>0</v>
      </c>
      <c r="AI137" t="str">
        <f t="shared" si="64"/>
        <v/>
      </c>
      <c r="AV137" s="36" t="str">
        <f t="shared" si="65"/>
        <v/>
      </c>
      <c r="AW137" s="37" t="e">
        <f t="shared" si="66"/>
        <v>#NUM!</v>
      </c>
      <c r="AX137" s="236" t="e">
        <f t="shared" si="67"/>
        <v>#NUM!</v>
      </c>
      <c r="AY137" s="237" t="e">
        <f t="shared" si="78"/>
        <v>#NUM!</v>
      </c>
      <c r="AZ137" s="238" t="e">
        <f t="shared" si="68"/>
        <v>#NUM!</v>
      </c>
      <c r="BA137" s="237" t="e">
        <f t="shared" si="69"/>
        <v>#NUM!</v>
      </c>
      <c r="BB137" s="238" t="e">
        <f t="shared" si="70"/>
        <v>#NUM!</v>
      </c>
      <c r="BC137" s="239">
        <f>IFERROR(IF(OR($E$11=Resumen!$N$6,$E$8=Resumen!$N$6),Amortización!AY137*0.16,0),"")</f>
        <v>0</v>
      </c>
      <c r="BD137" s="237">
        <f t="shared" si="71"/>
        <v>0</v>
      </c>
      <c r="BE137" s="240">
        <f t="shared" si="51"/>
        <v>0</v>
      </c>
      <c r="BF137" s="43" t="str">
        <f t="shared" si="52"/>
        <v/>
      </c>
      <c r="BH137" s="243" t="e">
        <f t="shared" si="82"/>
        <v>#NUM!</v>
      </c>
      <c r="BI137" s="3"/>
      <c r="BJ137" s="187" t="str">
        <f t="shared" si="72"/>
        <v/>
      </c>
      <c r="BK137" s="42" t="e">
        <f t="shared" si="73"/>
        <v>#NUM!</v>
      </c>
      <c r="BL137" s="45"/>
      <c r="BM137" s="44"/>
    </row>
    <row r="138" spans="3:65" ht="15.5" thickTop="1" thickBot="1" x14ac:dyDescent="0.4">
      <c r="C138" s="36" t="str">
        <f t="shared" si="74"/>
        <v/>
      </c>
      <c r="D138" s="37" t="e">
        <f t="shared" si="75"/>
        <v>#NUM!</v>
      </c>
      <c r="E138" s="236">
        <f t="shared" si="79"/>
        <v>0</v>
      </c>
      <c r="F138" s="237" t="e">
        <f t="shared" si="80"/>
        <v>#NUM!</v>
      </c>
      <c r="G138" s="238" t="e">
        <f>IF(D138="","",L137*Resumen!$L$86/1000)</f>
        <v>#NUM!</v>
      </c>
      <c r="H138" s="237" t="e">
        <f t="shared" si="53"/>
        <v>#NUM!</v>
      </c>
      <c r="I138" s="238" t="e">
        <f>IF($E$16=$V$1,0,IF(D138="","",Amortización!$AE$14))</f>
        <v>#NUM!</v>
      </c>
      <c r="J138" s="239">
        <f>IFERROR(IF(OR($E$11=Resumen!$N$6,$E$8=Resumen!$N$6),Amortización!F138*0.16,0),"")</f>
        <v>0</v>
      </c>
      <c r="K138" s="237">
        <f t="shared" si="54"/>
        <v>0</v>
      </c>
      <c r="L138" s="240">
        <f t="shared" si="55"/>
        <v>0</v>
      </c>
      <c r="M138" s="43" t="str">
        <f t="shared" si="50"/>
        <v/>
      </c>
      <c r="N138" s="44" t="str">
        <f t="shared" si="56"/>
        <v/>
      </c>
      <c r="O138" s="44" t="str">
        <f t="shared" si="57"/>
        <v/>
      </c>
      <c r="P138" s="44" t="str">
        <f t="shared" si="58"/>
        <v/>
      </c>
      <c r="Q138" s="236" t="str">
        <f>IF(OR(L137=0,L137=""),"",IF(E138&gt;=D138,0,$E$17*10%))</f>
        <v/>
      </c>
      <c r="R138" s="243" t="e">
        <f t="shared" si="76"/>
        <v>#NUM!</v>
      </c>
      <c r="T138" s="187" t="str">
        <f t="shared" si="77"/>
        <v/>
      </c>
      <c r="U138" s="42" t="e">
        <f t="shared" si="59"/>
        <v>#NUM!</v>
      </c>
      <c r="V138" s="45">
        <f t="shared" si="60"/>
        <v>0</v>
      </c>
      <c r="X138" s="272" t="b">
        <f t="shared" si="81"/>
        <v>0</v>
      </c>
      <c r="Y138" s="39">
        <v>0</v>
      </c>
      <c r="AB138" s="357" t="e">
        <f t="shared" si="61"/>
        <v>#N/A</v>
      </c>
      <c r="AG138" s="307">
        <f t="shared" si="62"/>
        <v>0</v>
      </c>
      <c r="AH138" s="283">
        <f t="shared" si="63"/>
        <v>0</v>
      </c>
      <c r="AI138" t="str">
        <f t="shared" si="64"/>
        <v/>
      </c>
      <c r="AV138" s="36" t="str">
        <f t="shared" si="65"/>
        <v/>
      </c>
      <c r="AW138" s="37" t="e">
        <f t="shared" si="66"/>
        <v>#NUM!</v>
      </c>
      <c r="AX138" s="236" t="e">
        <f t="shared" si="67"/>
        <v>#NUM!</v>
      </c>
      <c r="AY138" s="237" t="e">
        <f t="shared" si="78"/>
        <v>#NUM!</v>
      </c>
      <c r="AZ138" s="238" t="e">
        <f t="shared" si="68"/>
        <v>#NUM!</v>
      </c>
      <c r="BA138" s="237" t="e">
        <f t="shared" si="69"/>
        <v>#NUM!</v>
      </c>
      <c r="BB138" s="238" t="e">
        <f t="shared" si="70"/>
        <v>#NUM!</v>
      </c>
      <c r="BC138" s="239">
        <f>IFERROR(IF(OR($E$11=Resumen!$N$6,$E$8=Resumen!$N$6),Amortización!AY138*0.16,0),"")</f>
        <v>0</v>
      </c>
      <c r="BD138" s="237">
        <f t="shared" si="71"/>
        <v>0</v>
      </c>
      <c r="BE138" s="240">
        <f t="shared" si="51"/>
        <v>0</v>
      </c>
      <c r="BF138" s="43" t="str">
        <f t="shared" si="52"/>
        <v/>
      </c>
      <c r="BH138" s="243" t="e">
        <f t="shared" si="82"/>
        <v>#NUM!</v>
      </c>
      <c r="BI138" s="3"/>
      <c r="BJ138" s="187" t="str">
        <f t="shared" si="72"/>
        <v/>
      </c>
      <c r="BK138" s="42" t="e">
        <f t="shared" si="73"/>
        <v>#NUM!</v>
      </c>
      <c r="BL138" s="45"/>
      <c r="BM138" s="236"/>
    </row>
    <row r="139" spans="3:65" ht="15.5" thickTop="1" thickBot="1" x14ac:dyDescent="0.4">
      <c r="C139" s="36" t="str">
        <f t="shared" si="74"/>
        <v/>
      </c>
      <c r="D139" s="37" t="e">
        <f t="shared" si="75"/>
        <v>#NUM!</v>
      </c>
      <c r="E139" s="236">
        <f t="shared" si="79"/>
        <v>0</v>
      </c>
      <c r="F139" s="237" t="e">
        <f t="shared" si="80"/>
        <v>#NUM!</v>
      </c>
      <c r="G139" s="238" t="e">
        <f>IF(D139="","",L138*Resumen!$L$86/1000)</f>
        <v>#NUM!</v>
      </c>
      <c r="H139" s="237" t="e">
        <f t="shared" si="53"/>
        <v>#NUM!</v>
      </c>
      <c r="I139" s="238" t="e">
        <f>IF($E$16=$V$1,0,IF(D139="","",Amortización!$AE$14))</f>
        <v>#NUM!</v>
      </c>
      <c r="J139" s="239">
        <f>IFERROR(IF(OR($E$11=Resumen!$N$6,$E$8=Resumen!$N$6),Amortización!F139*0.16,0),"")</f>
        <v>0</v>
      </c>
      <c r="K139" s="237">
        <f t="shared" si="54"/>
        <v>0</v>
      </c>
      <c r="L139" s="240">
        <f t="shared" si="55"/>
        <v>0</v>
      </c>
      <c r="M139" s="43" t="str">
        <f t="shared" si="50"/>
        <v/>
      </c>
      <c r="N139" s="44" t="str">
        <f t="shared" si="56"/>
        <v/>
      </c>
      <c r="O139" s="44" t="str">
        <f t="shared" si="57"/>
        <v/>
      </c>
      <c r="P139" s="44" t="str">
        <f t="shared" si="58"/>
        <v/>
      </c>
      <c r="Q139" s="44"/>
      <c r="R139" s="243" t="e">
        <f t="shared" si="76"/>
        <v>#NUM!</v>
      </c>
      <c r="T139" s="187" t="str">
        <f t="shared" si="77"/>
        <v/>
      </c>
      <c r="U139" s="42" t="e">
        <f t="shared" si="59"/>
        <v>#NUM!</v>
      </c>
      <c r="V139" s="45">
        <f t="shared" si="60"/>
        <v>0</v>
      </c>
      <c r="X139" s="272" t="b">
        <f t="shared" si="81"/>
        <v>0</v>
      </c>
      <c r="Y139" s="39">
        <v>0</v>
      </c>
      <c r="AB139" s="357" t="e">
        <f t="shared" si="61"/>
        <v>#N/A</v>
      </c>
      <c r="AG139" s="307">
        <f t="shared" si="62"/>
        <v>0</v>
      </c>
      <c r="AH139" s="283">
        <f t="shared" si="63"/>
        <v>0</v>
      </c>
      <c r="AI139" t="str">
        <f t="shared" si="64"/>
        <v/>
      </c>
      <c r="AV139" s="36" t="str">
        <f t="shared" si="65"/>
        <v/>
      </c>
      <c r="AW139" s="37" t="e">
        <f t="shared" si="66"/>
        <v>#NUM!</v>
      </c>
      <c r="AX139" s="236" t="e">
        <f t="shared" si="67"/>
        <v>#NUM!</v>
      </c>
      <c r="AY139" s="237" t="e">
        <f t="shared" si="78"/>
        <v>#NUM!</v>
      </c>
      <c r="AZ139" s="238" t="e">
        <f t="shared" si="68"/>
        <v>#NUM!</v>
      </c>
      <c r="BA139" s="237" t="e">
        <f t="shared" si="69"/>
        <v>#NUM!</v>
      </c>
      <c r="BB139" s="238" t="e">
        <f t="shared" si="70"/>
        <v>#NUM!</v>
      </c>
      <c r="BC139" s="239">
        <f>IFERROR(IF(OR($E$11=Resumen!$N$6,$E$8=Resumen!$N$6),Amortización!AY139*0.16,0),"")</f>
        <v>0</v>
      </c>
      <c r="BD139" s="237">
        <f t="shared" si="71"/>
        <v>0</v>
      </c>
      <c r="BE139" s="240">
        <f t="shared" si="51"/>
        <v>0</v>
      </c>
      <c r="BF139" s="43" t="str">
        <f t="shared" si="52"/>
        <v/>
      </c>
      <c r="BH139" s="243" t="e">
        <f t="shared" si="82"/>
        <v>#NUM!</v>
      </c>
      <c r="BI139" s="3"/>
      <c r="BJ139" s="187" t="str">
        <f t="shared" si="72"/>
        <v/>
      </c>
      <c r="BK139" s="42" t="e">
        <f t="shared" si="73"/>
        <v>#NUM!</v>
      </c>
      <c r="BL139" s="45"/>
      <c r="BM139" s="44"/>
    </row>
    <row r="140" spans="3:65" ht="15.5" thickTop="1" thickBot="1" x14ac:dyDescent="0.4">
      <c r="C140" s="36" t="str">
        <f t="shared" si="74"/>
        <v/>
      </c>
      <c r="D140" s="37" t="e">
        <f t="shared" si="75"/>
        <v>#NUM!</v>
      </c>
      <c r="E140" s="236">
        <f t="shared" si="79"/>
        <v>0</v>
      </c>
      <c r="F140" s="237" t="e">
        <f t="shared" si="80"/>
        <v>#NUM!</v>
      </c>
      <c r="G140" s="238" t="e">
        <f>IF(D140="","",L139*Resumen!$L$86/1000)</f>
        <v>#NUM!</v>
      </c>
      <c r="H140" s="237" t="e">
        <f t="shared" si="53"/>
        <v>#NUM!</v>
      </c>
      <c r="I140" s="238" t="e">
        <f>IF($E$16=$V$1,0,IF(D140="","",Amortización!$AE$14))</f>
        <v>#NUM!</v>
      </c>
      <c r="J140" s="239">
        <f>IFERROR(IF(OR($E$11=Resumen!$N$6,$E$8=Resumen!$N$6),Amortización!F140*0.16,0),"")</f>
        <v>0</v>
      </c>
      <c r="K140" s="237">
        <f t="shared" si="54"/>
        <v>0</v>
      </c>
      <c r="L140" s="240">
        <f t="shared" si="55"/>
        <v>0</v>
      </c>
      <c r="M140" s="43" t="str">
        <f t="shared" si="50"/>
        <v/>
      </c>
      <c r="N140" s="44" t="str">
        <f t="shared" si="56"/>
        <v/>
      </c>
      <c r="O140" s="44" t="str">
        <f t="shared" si="57"/>
        <v/>
      </c>
      <c r="P140" s="44" t="str">
        <f t="shared" si="58"/>
        <v/>
      </c>
      <c r="Q140" s="236" t="str">
        <f>IF(OR(L139=0,L139=""),"",IF(E140&gt;=D140,0,$E$17*10%))</f>
        <v/>
      </c>
      <c r="R140" s="243" t="e">
        <f t="shared" si="76"/>
        <v>#NUM!</v>
      </c>
      <c r="T140" s="187" t="str">
        <f t="shared" si="77"/>
        <v/>
      </c>
      <c r="U140" s="42" t="e">
        <f t="shared" si="59"/>
        <v>#NUM!</v>
      </c>
      <c r="V140" s="45">
        <f t="shared" si="60"/>
        <v>0</v>
      </c>
      <c r="X140" s="272" t="b">
        <f t="shared" si="81"/>
        <v>0</v>
      </c>
      <c r="Y140" s="39">
        <v>0</v>
      </c>
      <c r="AB140" s="357" t="e">
        <f t="shared" si="61"/>
        <v>#N/A</v>
      </c>
      <c r="AG140" s="307">
        <f t="shared" si="62"/>
        <v>0</v>
      </c>
      <c r="AH140" s="283">
        <f t="shared" si="63"/>
        <v>0</v>
      </c>
      <c r="AI140" t="str">
        <f t="shared" si="64"/>
        <v/>
      </c>
      <c r="AV140" s="36" t="str">
        <f t="shared" si="65"/>
        <v/>
      </c>
      <c r="AW140" s="37" t="e">
        <f t="shared" si="66"/>
        <v>#NUM!</v>
      </c>
      <c r="AX140" s="236" t="e">
        <f t="shared" si="67"/>
        <v>#NUM!</v>
      </c>
      <c r="AY140" s="237" t="e">
        <f t="shared" si="78"/>
        <v>#NUM!</v>
      </c>
      <c r="AZ140" s="238" t="e">
        <f t="shared" si="68"/>
        <v>#NUM!</v>
      </c>
      <c r="BA140" s="237" t="e">
        <f t="shared" si="69"/>
        <v>#NUM!</v>
      </c>
      <c r="BB140" s="238" t="e">
        <f t="shared" si="70"/>
        <v>#NUM!</v>
      </c>
      <c r="BC140" s="239">
        <f>IFERROR(IF(OR($E$11=Resumen!$N$6,$E$8=Resumen!$N$6),Amortización!AY140*0.16,0),"")</f>
        <v>0</v>
      </c>
      <c r="BD140" s="237">
        <f t="shared" si="71"/>
        <v>0</v>
      </c>
      <c r="BE140" s="240">
        <f t="shared" si="51"/>
        <v>0</v>
      </c>
      <c r="BF140" s="43" t="str">
        <f t="shared" si="52"/>
        <v/>
      </c>
      <c r="BH140" s="243" t="e">
        <f t="shared" si="82"/>
        <v>#NUM!</v>
      </c>
      <c r="BI140" s="3"/>
      <c r="BJ140" s="187" t="str">
        <f t="shared" si="72"/>
        <v/>
      </c>
      <c r="BK140" s="42" t="e">
        <f t="shared" si="73"/>
        <v>#NUM!</v>
      </c>
      <c r="BL140" s="45"/>
      <c r="BM140" s="236"/>
    </row>
    <row r="141" spans="3:65" ht="15.5" thickTop="1" thickBot="1" x14ac:dyDescent="0.4">
      <c r="C141" s="36" t="str">
        <f t="shared" si="74"/>
        <v/>
      </c>
      <c r="D141" s="37" t="e">
        <f t="shared" si="75"/>
        <v>#NUM!</v>
      </c>
      <c r="E141" s="236">
        <f t="shared" si="79"/>
        <v>0</v>
      </c>
      <c r="F141" s="237" t="e">
        <f t="shared" si="80"/>
        <v>#NUM!</v>
      </c>
      <c r="G141" s="238" t="e">
        <f>IF(D141="","",L140*Resumen!$L$86/1000)</f>
        <v>#NUM!</v>
      </c>
      <c r="H141" s="237" t="e">
        <f t="shared" si="53"/>
        <v>#NUM!</v>
      </c>
      <c r="I141" s="238" t="e">
        <f>IF($E$16=$V$1,0,IF(D141="","",Amortización!$AE$14))</f>
        <v>#NUM!</v>
      </c>
      <c r="J141" s="239">
        <f>IFERROR(IF(OR($E$11=Resumen!$N$6,$E$8=Resumen!$N$6),Amortización!F141*0.16,0),"")</f>
        <v>0</v>
      </c>
      <c r="K141" s="237">
        <f t="shared" si="54"/>
        <v>0</v>
      </c>
      <c r="L141" s="240">
        <f t="shared" si="55"/>
        <v>0</v>
      </c>
      <c r="M141" s="43" t="str">
        <f t="shared" si="50"/>
        <v/>
      </c>
      <c r="N141" s="44" t="str">
        <f t="shared" si="56"/>
        <v/>
      </c>
      <c r="O141" s="44" t="str">
        <f t="shared" si="57"/>
        <v/>
      </c>
      <c r="P141" s="44" t="str">
        <f t="shared" si="58"/>
        <v/>
      </c>
      <c r="Q141" s="44"/>
      <c r="R141" s="243" t="e">
        <f t="shared" si="76"/>
        <v>#NUM!</v>
      </c>
      <c r="T141" s="187" t="str">
        <f t="shared" si="77"/>
        <v/>
      </c>
      <c r="U141" s="42" t="e">
        <f t="shared" si="59"/>
        <v>#NUM!</v>
      </c>
      <c r="V141" s="45">
        <f t="shared" si="60"/>
        <v>0</v>
      </c>
      <c r="X141" s="272" t="b">
        <f t="shared" si="81"/>
        <v>0</v>
      </c>
      <c r="Y141" s="39">
        <v>0</v>
      </c>
      <c r="AB141" s="357" t="e">
        <f t="shared" si="61"/>
        <v>#N/A</v>
      </c>
      <c r="AG141" s="307">
        <f t="shared" si="62"/>
        <v>0</v>
      </c>
      <c r="AH141" s="283">
        <f t="shared" si="63"/>
        <v>0</v>
      </c>
      <c r="AI141" t="str">
        <f t="shared" si="64"/>
        <v/>
      </c>
      <c r="AV141" s="36" t="str">
        <f t="shared" si="65"/>
        <v/>
      </c>
      <c r="AW141" s="37" t="e">
        <f t="shared" si="66"/>
        <v>#NUM!</v>
      </c>
      <c r="AX141" s="236" t="e">
        <f t="shared" si="67"/>
        <v>#NUM!</v>
      </c>
      <c r="AY141" s="237" t="e">
        <f t="shared" si="78"/>
        <v>#NUM!</v>
      </c>
      <c r="AZ141" s="238" t="e">
        <f t="shared" si="68"/>
        <v>#NUM!</v>
      </c>
      <c r="BA141" s="237" t="e">
        <f t="shared" si="69"/>
        <v>#NUM!</v>
      </c>
      <c r="BB141" s="238" t="e">
        <f t="shared" si="70"/>
        <v>#NUM!</v>
      </c>
      <c r="BC141" s="239">
        <f>IFERROR(IF(OR($E$11=Resumen!$N$6,$E$8=Resumen!$N$6),Amortización!AY141*0.16,0),"")</f>
        <v>0</v>
      </c>
      <c r="BD141" s="237">
        <f t="shared" si="71"/>
        <v>0</v>
      </c>
      <c r="BE141" s="240">
        <f t="shared" si="51"/>
        <v>0</v>
      </c>
      <c r="BF141" s="43" t="str">
        <f t="shared" si="52"/>
        <v/>
      </c>
      <c r="BH141" s="243" t="e">
        <f t="shared" si="82"/>
        <v>#NUM!</v>
      </c>
      <c r="BI141" s="3"/>
      <c r="BJ141" s="187" t="str">
        <f t="shared" si="72"/>
        <v/>
      </c>
      <c r="BK141" s="42" t="e">
        <f t="shared" si="73"/>
        <v>#NUM!</v>
      </c>
      <c r="BL141" s="45"/>
      <c r="BM141" s="44"/>
    </row>
    <row r="142" spans="3:65" ht="15.5" thickTop="1" thickBot="1" x14ac:dyDescent="0.4">
      <c r="C142" s="36" t="str">
        <f t="shared" si="74"/>
        <v/>
      </c>
      <c r="D142" s="37" t="e">
        <f t="shared" si="75"/>
        <v>#NUM!</v>
      </c>
      <c r="E142" s="236">
        <f t="shared" si="79"/>
        <v>0</v>
      </c>
      <c r="F142" s="237" t="e">
        <f t="shared" si="80"/>
        <v>#NUM!</v>
      </c>
      <c r="G142" s="238" t="e">
        <f>IF(D142="","",L141*Resumen!$L$86/1000)</f>
        <v>#NUM!</v>
      </c>
      <c r="H142" s="237" t="e">
        <f t="shared" si="53"/>
        <v>#NUM!</v>
      </c>
      <c r="I142" s="238" t="e">
        <f>IF($E$16=$V$1,0,IF(D142="","",Amortización!$AE$14))</f>
        <v>#NUM!</v>
      </c>
      <c r="J142" s="239">
        <f>IFERROR(IF(OR($E$11=Resumen!$N$6,$E$8=Resumen!$N$6),Amortización!F142*0.16,0),"")</f>
        <v>0</v>
      </c>
      <c r="K142" s="237">
        <f t="shared" si="54"/>
        <v>0</v>
      </c>
      <c r="L142" s="240">
        <f t="shared" si="55"/>
        <v>0</v>
      </c>
      <c r="M142" s="43" t="str">
        <f t="shared" si="50"/>
        <v/>
      </c>
      <c r="N142" s="44" t="str">
        <f t="shared" si="56"/>
        <v/>
      </c>
      <c r="O142" s="44" t="str">
        <f t="shared" si="57"/>
        <v/>
      </c>
      <c r="P142" s="44" t="str">
        <f t="shared" si="58"/>
        <v/>
      </c>
      <c r="Q142" s="236" t="str">
        <f>IF(OR(L141=0,L141=""),"",IF(E142&gt;=D142,0,$E$17*10%))</f>
        <v/>
      </c>
      <c r="R142" s="243" t="e">
        <f t="shared" si="76"/>
        <v>#NUM!</v>
      </c>
      <c r="T142" s="187" t="str">
        <f t="shared" si="77"/>
        <v/>
      </c>
      <c r="U142" s="42" t="e">
        <f t="shared" si="59"/>
        <v>#NUM!</v>
      </c>
      <c r="V142" s="45">
        <f t="shared" si="60"/>
        <v>0</v>
      </c>
      <c r="X142" s="272" t="b">
        <f t="shared" si="81"/>
        <v>0</v>
      </c>
      <c r="Y142" s="39">
        <v>0</v>
      </c>
      <c r="AB142" s="357" t="e">
        <f t="shared" si="61"/>
        <v>#N/A</v>
      </c>
      <c r="AG142" s="307">
        <f t="shared" si="62"/>
        <v>0</v>
      </c>
      <c r="AH142" s="283">
        <f t="shared" si="63"/>
        <v>0</v>
      </c>
      <c r="AI142" t="str">
        <f t="shared" si="64"/>
        <v/>
      </c>
      <c r="AV142" s="36" t="str">
        <f t="shared" si="65"/>
        <v/>
      </c>
      <c r="AW142" s="37" t="e">
        <f t="shared" si="66"/>
        <v>#NUM!</v>
      </c>
      <c r="AX142" s="236" t="e">
        <f t="shared" si="67"/>
        <v>#NUM!</v>
      </c>
      <c r="AY142" s="237" t="e">
        <f t="shared" si="78"/>
        <v>#NUM!</v>
      </c>
      <c r="AZ142" s="238" t="e">
        <f t="shared" si="68"/>
        <v>#NUM!</v>
      </c>
      <c r="BA142" s="237" t="e">
        <f t="shared" si="69"/>
        <v>#NUM!</v>
      </c>
      <c r="BB142" s="238" t="e">
        <f t="shared" si="70"/>
        <v>#NUM!</v>
      </c>
      <c r="BC142" s="239">
        <f>IFERROR(IF(OR($E$11=Resumen!$N$6,$E$8=Resumen!$N$6),Amortización!AY142*0.16,0),"")</f>
        <v>0</v>
      </c>
      <c r="BD142" s="237">
        <f t="shared" si="71"/>
        <v>0</v>
      </c>
      <c r="BE142" s="240">
        <f t="shared" si="51"/>
        <v>0</v>
      </c>
      <c r="BF142" s="43" t="str">
        <f t="shared" si="52"/>
        <v/>
      </c>
      <c r="BH142" s="243" t="e">
        <f t="shared" si="82"/>
        <v>#NUM!</v>
      </c>
      <c r="BI142" s="3"/>
      <c r="BJ142" s="187" t="str">
        <f t="shared" si="72"/>
        <v/>
      </c>
      <c r="BK142" s="42" t="e">
        <f t="shared" si="73"/>
        <v>#NUM!</v>
      </c>
      <c r="BL142" s="45"/>
      <c r="BM142" s="236"/>
    </row>
    <row r="143" spans="3:65" ht="15.5" thickTop="1" thickBot="1" x14ac:dyDescent="0.4">
      <c r="C143" s="36" t="str">
        <f t="shared" si="74"/>
        <v/>
      </c>
      <c r="D143" s="37" t="e">
        <f t="shared" si="75"/>
        <v>#NUM!</v>
      </c>
      <c r="E143" s="236">
        <f t="shared" si="79"/>
        <v>0</v>
      </c>
      <c r="F143" s="237" t="e">
        <f t="shared" si="80"/>
        <v>#NUM!</v>
      </c>
      <c r="G143" s="238" t="e">
        <f>IF(D143="","",L142*Resumen!$L$86/1000)</f>
        <v>#NUM!</v>
      </c>
      <c r="H143" s="237" t="e">
        <f t="shared" si="53"/>
        <v>#NUM!</v>
      </c>
      <c r="I143" s="238" t="e">
        <f>IF($E$16=$V$1,0,IF(D143="","",Amortización!$AE$14))</f>
        <v>#NUM!</v>
      </c>
      <c r="J143" s="239">
        <f>IFERROR(IF(OR($E$11=Resumen!$N$6,$E$8=Resumen!$N$6),Amortización!F143*0.16,0),"")</f>
        <v>0</v>
      </c>
      <c r="K143" s="237">
        <f t="shared" si="54"/>
        <v>0</v>
      </c>
      <c r="L143" s="240">
        <f t="shared" si="55"/>
        <v>0</v>
      </c>
      <c r="M143" s="43" t="str">
        <f t="shared" si="50"/>
        <v/>
      </c>
      <c r="N143" s="44" t="str">
        <f t="shared" si="56"/>
        <v/>
      </c>
      <c r="O143" s="44" t="str">
        <f t="shared" si="57"/>
        <v/>
      </c>
      <c r="P143" s="44" t="str">
        <f t="shared" si="58"/>
        <v/>
      </c>
      <c r="Q143" s="44"/>
      <c r="R143" s="243" t="e">
        <f t="shared" si="76"/>
        <v>#NUM!</v>
      </c>
      <c r="T143" s="187" t="str">
        <f t="shared" si="77"/>
        <v/>
      </c>
      <c r="U143" s="42" t="e">
        <f t="shared" si="59"/>
        <v>#NUM!</v>
      </c>
      <c r="V143" s="45">
        <f t="shared" si="60"/>
        <v>0</v>
      </c>
      <c r="X143" s="272" t="b">
        <f t="shared" si="81"/>
        <v>0</v>
      </c>
      <c r="Y143" s="39">
        <v>0</v>
      </c>
      <c r="AB143" s="357" t="e">
        <f t="shared" si="61"/>
        <v>#N/A</v>
      </c>
      <c r="AG143" s="307">
        <f t="shared" si="62"/>
        <v>0</v>
      </c>
      <c r="AH143" s="283">
        <f t="shared" si="63"/>
        <v>0</v>
      </c>
      <c r="AI143" t="str">
        <f t="shared" si="64"/>
        <v/>
      </c>
      <c r="AV143" s="36" t="str">
        <f t="shared" si="65"/>
        <v/>
      </c>
      <c r="AW143" s="37" t="e">
        <f t="shared" si="66"/>
        <v>#NUM!</v>
      </c>
      <c r="AX143" s="236" t="e">
        <f t="shared" si="67"/>
        <v>#NUM!</v>
      </c>
      <c r="AY143" s="237" t="e">
        <f t="shared" si="78"/>
        <v>#NUM!</v>
      </c>
      <c r="AZ143" s="238" t="e">
        <f t="shared" si="68"/>
        <v>#NUM!</v>
      </c>
      <c r="BA143" s="237" t="e">
        <f t="shared" si="69"/>
        <v>#NUM!</v>
      </c>
      <c r="BB143" s="238" t="e">
        <f t="shared" si="70"/>
        <v>#NUM!</v>
      </c>
      <c r="BC143" s="239">
        <f>IFERROR(IF(OR($E$11=Resumen!$N$6,$E$8=Resumen!$N$6),Amortización!AY143*0.16,0),"")</f>
        <v>0</v>
      </c>
      <c r="BD143" s="237">
        <f t="shared" si="71"/>
        <v>0</v>
      </c>
      <c r="BE143" s="240">
        <f t="shared" si="51"/>
        <v>0</v>
      </c>
      <c r="BF143" s="43" t="str">
        <f t="shared" si="52"/>
        <v/>
      </c>
      <c r="BH143" s="243" t="e">
        <f t="shared" si="82"/>
        <v>#NUM!</v>
      </c>
      <c r="BI143" s="3"/>
      <c r="BJ143" s="187" t="str">
        <f t="shared" si="72"/>
        <v/>
      </c>
      <c r="BK143" s="42" t="e">
        <f t="shared" si="73"/>
        <v>#NUM!</v>
      </c>
      <c r="BL143" s="45"/>
      <c r="BM143" s="44"/>
    </row>
    <row r="144" spans="3:65" ht="15.5" thickTop="1" thickBot="1" x14ac:dyDescent="0.4">
      <c r="C144" s="36" t="str">
        <f t="shared" si="74"/>
        <v/>
      </c>
      <c r="D144" s="37" t="e">
        <f t="shared" si="75"/>
        <v>#NUM!</v>
      </c>
      <c r="E144" s="236">
        <f t="shared" si="79"/>
        <v>0</v>
      </c>
      <c r="F144" s="237" t="e">
        <f t="shared" si="80"/>
        <v>#NUM!</v>
      </c>
      <c r="G144" s="238" t="e">
        <f>IF(D144="","",L143*Resumen!$L$86/1000)</f>
        <v>#NUM!</v>
      </c>
      <c r="H144" s="237" t="e">
        <f t="shared" si="53"/>
        <v>#NUM!</v>
      </c>
      <c r="I144" s="238" t="e">
        <f>IF($E$16=$V$1,0,IF(D144="","",Amortización!$AE$14))</f>
        <v>#NUM!</v>
      </c>
      <c r="J144" s="239">
        <f>IFERROR(IF(OR($E$11=Resumen!$N$6,$E$8=Resumen!$N$6),Amortización!F144*0.16,0),"")</f>
        <v>0</v>
      </c>
      <c r="K144" s="237">
        <f t="shared" si="54"/>
        <v>0</v>
      </c>
      <c r="L144" s="240">
        <f t="shared" si="55"/>
        <v>0</v>
      </c>
      <c r="M144" s="43" t="str">
        <f t="shared" si="50"/>
        <v/>
      </c>
      <c r="N144" s="44" t="str">
        <f t="shared" si="56"/>
        <v/>
      </c>
      <c r="O144" s="44" t="str">
        <f t="shared" si="57"/>
        <v/>
      </c>
      <c r="P144" s="44" t="str">
        <f t="shared" si="58"/>
        <v/>
      </c>
      <c r="Q144" s="236" t="str">
        <f>IF(OR(L143=0,L143=""),"",IF(E144&gt;=D144,0,$E$17*10%))</f>
        <v/>
      </c>
      <c r="R144" s="243" t="e">
        <f t="shared" si="76"/>
        <v>#NUM!</v>
      </c>
      <c r="T144" s="187" t="str">
        <f t="shared" si="77"/>
        <v/>
      </c>
      <c r="U144" s="42" t="e">
        <f t="shared" si="59"/>
        <v>#NUM!</v>
      </c>
      <c r="V144" s="45">
        <f t="shared" si="60"/>
        <v>0</v>
      </c>
      <c r="X144" s="272" t="b">
        <f t="shared" si="81"/>
        <v>0</v>
      </c>
      <c r="Y144" s="39">
        <v>0</v>
      </c>
      <c r="AB144" s="357" t="e">
        <f t="shared" si="61"/>
        <v>#N/A</v>
      </c>
      <c r="AG144" s="307">
        <f t="shared" si="62"/>
        <v>0</v>
      </c>
      <c r="AH144" s="283">
        <f t="shared" si="63"/>
        <v>0</v>
      </c>
      <c r="AI144" t="str">
        <f t="shared" si="64"/>
        <v/>
      </c>
      <c r="AV144" s="36" t="str">
        <f t="shared" si="65"/>
        <v/>
      </c>
      <c r="AW144" s="37" t="e">
        <f t="shared" si="66"/>
        <v>#NUM!</v>
      </c>
      <c r="AX144" s="236" t="e">
        <f t="shared" si="67"/>
        <v>#NUM!</v>
      </c>
      <c r="AY144" s="237" t="e">
        <f t="shared" si="78"/>
        <v>#NUM!</v>
      </c>
      <c r="AZ144" s="238" t="e">
        <f t="shared" si="68"/>
        <v>#NUM!</v>
      </c>
      <c r="BA144" s="237" t="e">
        <f t="shared" si="69"/>
        <v>#NUM!</v>
      </c>
      <c r="BB144" s="238" t="e">
        <f t="shared" si="70"/>
        <v>#NUM!</v>
      </c>
      <c r="BC144" s="239">
        <f>IFERROR(IF(OR($E$11=Resumen!$N$6,$E$8=Resumen!$N$6),Amortización!AY144*0.16,0),"")</f>
        <v>0</v>
      </c>
      <c r="BD144" s="237">
        <f t="shared" si="71"/>
        <v>0</v>
      </c>
      <c r="BE144" s="240">
        <f t="shared" si="51"/>
        <v>0</v>
      </c>
      <c r="BF144" s="43" t="str">
        <f t="shared" si="52"/>
        <v/>
      </c>
      <c r="BH144" s="243" t="e">
        <f t="shared" si="82"/>
        <v>#NUM!</v>
      </c>
      <c r="BI144" s="3"/>
      <c r="BJ144" s="187" t="str">
        <f t="shared" si="72"/>
        <v/>
      </c>
      <c r="BK144" s="42" t="e">
        <f t="shared" si="73"/>
        <v>#NUM!</v>
      </c>
      <c r="BL144" s="45"/>
      <c r="BM144" s="236"/>
    </row>
    <row r="145" spans="3:65" ht="15.5" thickTop="1" thickBot="1" x14ac:dyDescent="0.4">
      <c r="C145" s="36" t="str">
        <f t="shared" si="74"/>
        <v/>
      </c>
      <c r="D145" s="37" t="e">
        <f t="shared" si="75"/>
        <v>#NUM!</v>
      </c>
      <c r="E145" s="236">
        <f t="shared" si="79"/>
        <v>0</v>
      </c>
      <c r="F145" s="237" t="e">
        <f t="shared" si="80"/>
        <v>#NUM!</v>
      </c>
      <c r="G145" s="238" t="e">
        <f>IF(D145="","",L144*Resumen!$L$86/1000)</f>
        <v>#NUM!</v>
      </c>
      <c r="H145" s="237" t="e">
        <f t="shared" si="53"/>
        <v>#NUM!</v>
      </c>
      <c r="I145" s="238" t="e">
        <f>IF($E$16=$V$1,0,IF(D145="","",Amortización!$AE$14))</f>
        <v>#NUM!</v>
      </c>
      <c r="J145" s="239">
        <f>IFERROR(IF(OR($E$11=Resumen!$N$6,$E$8=Resumen!$N$6),Amortización!F145*0.16,0),"")</f>
        <v>0</v>
      </c>
      <c r="K145" s="237">
        <f t="shared" si="54"/>
        <v>0</v>
      </c>
      <c r="L145" s="240">
        <f t="shared" si="55"/>
        <v>0</v>
      </c>
      <c r="M145" s="43" t="str">
        <f t="shared" si="50"/>
        <v/>
      </c>
      <c r="N145" s="44" t="str">
        <f t="shared" si="56"/>
        <v/>
      </c>
      <c r="O145" s="44" t="str">
        <f t="shared" si="57"/>
        <v/>
      </c>
      <c r="P145" s="44" t="str">
        <f t="shared" si="58"/>
        <v/>
      </c>
      <c r="Q145" s="44"/>
      <c r="R145" s="243" t="e">
        <f t="shared" si="76"/>
        <v>#NUM!</v>
      </c>
      <c r="T145" s="187" t="str">
        <f t="shared" si="77"/>
        <v/>
      </c>
      <c r="U145" s="42" t="e">
        <f t="shared" si="59"/>
        <v>#NUM!</v>
      </c>
      <c r="V145" s="45">
        <f t="shared" si="60"/>
        <v>0</v>
      </c>
      <c r="X145" s="272" t="b">
        <f t="shared" si="81"/>
        <v>0</v>
      </c>
      <c r="Y145" s="39">
        <v>0</v>
      </c>
      <c r="AB145" s="357" t="e">
        <f t="shared" si="61"/>
        <v>#N/A</v>
      </c>
      <c r="AG145" s="307">
        <f t="shared" si="62"/>
        <v>0</v>
      </c>
      <c r="AH145" s="283">
        <f t="shared" si="63"/>
        <v>0</v>
      </c>
      <c r="AI145" t="str">
        <f t="shared" si="64"/>
        <v/>
      </c>
      <c r="AV145" s="36" t="str">
        <f t="shared" si="65"/>
        <v/>
      </c>
      <c r="AW145" s="37" t="e">
        <f t="shared" si="66"/>
        <v>#NUM!</v>
      </c>
      <c r="AX145" s="236" t="e">
        <f t="shared" si="67"/>
        <v>#NUM!</v>
      </c>
      <c r="AY145" s="237" t="e">
        <f t="shared" si="78"/>
        <v>#NUM!</v>
      </c>
      <c r="AZ145" s="238" t="e">
        <f t="shared" si="68"/>
        <v>#NUM!</v>
      </c>
      <c r="BA145" s="237" t="e">
        <f t="shared" si="69"/>
        <v>#NUM!</v>
      </c>
      <c r="BB145" s="238" t="e">
        <f t="shared" si="70"/>
        <v>#NUM!</v>
      </c>
      <c r="BC145" s="239">
        <f>IFERROR(IF(OR($E$11=Resumen!$N$6,$E$8=Resumen!$N$6),Amortización!AY145*0.16,0),"")</f>
        <v>0</v>
      </c>
      <c r="BD145" s="237">
        <f t="shared" si="71"/>
        <v>0</v>
      </c>
      <c r="BE145" s="240">
        <f t="shared" si="51"/>
        <v>0</v>
      </c>
      <c r="BF145" s="43" t="str">
        <f t="shared" si="52"/>
        <v/>
      </c>
      <c r="BH145" s="243" t="e">
        <f t="shared" si="82"/>
        <v>#NUM!</v>
      </c>
      <c r="BI145" s="3"/>
      <c r="BJ145" s="187" t="str">
        <f t="shared" si="72"/>
        <v/>
      </c>
      <c r="BK145" s="42" t="e">
        <f t="shared" si="73"/>
        <v>#NUM!</v>
      </c>
      <c r="BL145" s="45"/>
      <c r="BM145" s="44"/>
    </row>
    <row r="146" spans="3:65" ht="15.5" thickTop="1" thickBot="1" x14ac:dyDescent="0.4">
      <c r="C146" s="36" t="str">
        <f t="shared" si="74"/>
        <v/>
      </c>
      <c r="D146" s="37" t="e">
        <f t="shared" si="75"/>
        <v>#NUM!</v>
      </c>
      <c r="E146" s="236">
        <f t="shared" si="79"/>
        <v>0</v>
      </c>
      <c r="F146" s="237" t="e">
        <f t="shared" si="80"/>
        <v>#NUM!</v>
      </c>
      <c r="G146" s="238" t="e">
        <f>IF(D146="","",L145*Resumen!$L$86/1000)</f>
        <v>#NUM!</v>
      </c>
      <c r="H146" s="237" t="e">
        <f t="shared" si="53"/>
        <v>#NUM!</v>
      </c>
      <c r="I146" s="238" t="e">
        <f>IF($E$16=$V$1,0,IF(D146="","",Amortización!$AE$14))</f>
        <v>#NUM!</v>
      </c>
      <c r="J146" s="239">
        <f>IFERROR(IF(OR($E$11=Resumen!$N$6,$E$8=Resumen!$N$6),Amortización!F146*0.16,0),"")</f>
        <v>0</v>
      </c>
      <c r="K146" s="237">
        <f t="shared" si="54"/>
        <v>0</v>
      </c>
      <c r="L146" s="240">
        <f t="shared" si="55"/>
        <v>0</v>
      </c>
      <c r="M146" s="43" t="str">
        <f t="shared" si="50"/>
        <v/>
      </c>
      <c r="N146" s="44" t="str">
        <f t="shared" si="56"/>
        <v/>
      </c>
      <c r="O146" s="44" t="str">
        <f t="shared" si="57"/>
        <v/>
      </c>
      <c r="P146" s="44" t="str">
        <f t="shared" si="58"/>
        <v/>
      </c>
      <c r="Q146" s="236" t="str">
        <f>IF(OR(L145=0,L145=""),"",IF(E146&gt;=D146,0,$E$17*10%))</f>
        <v/>
      </c>
      <c r="R146" s="243" t="e">
        <f t="shared" si="76"/>
        <v>#NUM!</v>
      </c>
      <c r="T146" s="187" t="str">
        <f t="shared" si="77"/>
        <v/>
      </c>
      <c r="U146" s="42" t="e">
        <f t="shared" si="59"/>
        <v>#NUM!</v>
      </c>
      <c r="V146" s="45">
        <f t="shared" si="60"/>
        <v>0</v>
      </c>
      <c r="X146" s="272" t="b">
        <f t="shared" si="81"/>
        <v>0</v>
      </c>
      <c r="Y146" s="39">
        <v>0</v>
      </c>
      <c r="AB146" s="357" t="e">
        <f t="shared" si="61"/>
        <v>#N/A</v>
      </c>
      <c r="AG146" s="307">
        <f t="shared" si="62"/>
        <v>0</v>
      </c>
      <c r="AH146" s="283">
        <f t="shared" si="63"/>
        <v>0</v>
      </c>
      <c r="AI146" t="str">
        <f t="shared" si="64"/>
        <v/>
      </c>
      <c r="AV146" s="36" t="str">
        <f t="shared" si="65"/>
        <v/>
      </c>
      <c r="AW146" s="37" t="e">
        <f t="shared" si="66"/>
        <v>#NUM!</v>
      </c>
      <c r="AX146" s="236" t="e">
        <f t="shared" si="67"/>
        <v>#NUM!</v>
      </c>
      <c r="AY146" s="237" t="e">
        <f t="shared" si="78"/>
        <v>#NUM!</v>
      </c>
      <c r="AZ146" s="238" t="e">
        <f t="shared" si="68"/>
        <v>#NUM!</v>
      </c>
      <c r="BA146" s="237" t="e">
        <f t="shared" si="69"/>
        <v>#NUM!</v>
      </c>
      <c r="BB146" s="238" t="e">
        <f t="shared" si="70"/>
        <v>#NUM!</v>
      </c>
      <c r="BC146" s="239">
        <f>IFERROR(IF(OR($E$11=Resumen!$N$6,$E$8=Resumen!$N$6),Amortización!AY146*0.16,0),"")</f>
        <v>0</v>
      </c>
      <c r="BD146" s="237">
        <f t="shared" si="71"/>
        <v>0</v>
      </c>
      <c r="BE146" s="240">
        <f t="shared" si="51"/>
        <v>0</v>
      </c>
      <c r="BF146" s="43" t="str">
        <f t="shared" si="52"/>
        <v/>
      </c>
      <c r="BH146" s="243" t="e">
        <f t="shared" si="82"/>
        <v>#NUM!</v>
      </c>
      <c r="BI146" s="3"/>
      <c r="BJ146" s="187" t="str">
        <f t="shared" si="72"/>
        <v/>
      </c>
      <c r="BK146" s="42" t="e">
        <f t="shared" si="73"/>
        <v>#NUM!</v>
      </c>
      <c r="BL146" s="45"/>
      <c r="BM146" s="236"/>
    </row>
    <row r="147" spans="3:65" ht="15.5" thickTop="1" thickBot="1" x14ac:dyDescent="0.4">
      <c r="C147" s="36" t="str">
        <f t="shared" si="74"/>
        <v/>
      </c>
      <c r="D147" s="37" t="e">
        <f t="shared" si="75"/>
        <v>#NUM!</v>
      </c>
      <c r="E147" s="236">
        <f t="shared" si="79"/>
        <v>0</v>
      </c>
      <c r="F147" s="237" t="e">
        <f t="shared" si="80"/>
        <v>#NUM!</v>
      </c>
      <c r="G147" s="238" t="e">
        <f>IF(D147="","",L146*Resumen!$L$86/1000)</f>
        <v>#NUM!</v>
      </c>
      <c r="H147" s="237" t="e">
        <f t="shared" si="53"/>
        <v>#NUM!</v>
      </c>
      <c r="I147" s="238" t="e">
        <f>IF($E$16=$V$1,0,IF(D147="","",Amortización!$AE$14))</f>
        <v>#NUM!</v>
      </c>
      <c r="J147" s="239">
        <f>IFERROR(IF(OR($E$11=Resumen!$N$6,$E$8=Resumen!$N$6),Amortización!F147*0.16,0),"")</f>
        <v>0</v>
      </c>
      <c r="K147" s="237">
        <f t="shared" si="54"/>
        <v>0</v>
      </c>
      <c r="L147" s="240">
        <f t="shared" si="55"/>
        <v>0</v>
      </c>
      <c r="M147" s="43" t="str">
        <f t="shared" si="50"/>
        <v/>
      </c>
      <c r="N147" s="44" t="str">
        <f t="shared" si="56"/>
        <v/>
      </c>
      <c r="O147" s="44" t="str">
        <f t="shared" si="57"/>
        <v/>
      </c>
      <c r="P147" s="44" t="str">
        <f t="shared" si="58"/>
        <v/>
      </c>
      <c r="Q147" s="44"/>
      <c r="R147" s="243" t="e">
        <f t="shared" si="76"/>
        <v>#NUM!</v>
      </c>
      <c r="T147" s="187" t="str">
        <f t="shared" si="77"/>
        <v/>
      </c>
      <c r="U147" s="42" t="e">
        <f t="shared" si="59"/>
        <v>#NUM!</v>
      </c>
      <c r="V147" s="45">
        <f t="shared" si="60"/>
        <v>0</v>
      </c>
      <c r="X147" s="272" t="b">
        <f t="shared" si="81"/>
        <v>0</v>
      </c>
      <c r="Y147" s="39">
        <v>0</v>
      </c>
      <c r="AB147" s="357" t="e">
        <f t="shared" si="61"/>
        <v>#N/A</v>
      </c>
      <c r="AG147" s="307">
        <f t="shared" si="62"/>
        <v>0</v>
      </c>
      <c r="AH147" s="283">
        <f t="shared" si="63"/>
        <v>0</v>
      </c>
      <c r="AI147" t="str">
        <f t="shared" si="64"/>
        <v/>
      </c>
      <c r="AV147" s="36" t="str">
        <f t="shared" si="65"/>
        <v/>
      </c>
      <c r="AW147" s="37" t="e">
        <f t="shared" si="66"/>
        <v>#NUM!</v>
      </c>
      <c r="AX147" s="236" t="e">
        <f t="shared" si="67"/>
        <v>#NUM!</v>
      </c>
      <c r="AY147" s="237" t="e">
        <f t="shared" si="78"/>
        <v>#NUM!</v>
      </c>
      <c r="AZ147" s="238" t="e">
        <f t="shared" si="68"/>
        <v>#NUM!</v>
      </c>
      <c r="BA147" s="237" t="e">
        <f t="shared" si="69"/>
        <v>#NUM!</v>
      </c>
      <c r="BB147" s="238" t="e">
        <f t="shared" si="70"/>
        <v>#NUM!</v>
      </c>
      <c r="BC147" s="239">
        <f>IFERROR(IF(OR($E$11=Resumen!$N$6,$E$8=Resumen!$N$6),Amortización!AY147*0.16,0),"")</f>
        <v>0</v>
      </c>
      <c r="BD147" s="237">
        <f t="shared" si="71"/>
        <v>0</v>
      </c>
      <c r="BE147" s="240">
        <f t="shared" si="51"/>
        <v>0</v>
      </c>
      <c r="BF147" s="43" t="str">
        <f t="shared" si="52"/>
        <v/>
      </c>
      <c r="BH147" s="243" t="e">
        <f t="shared" si="82"/>
        <v>#NUM!</v>
      </c>
      <c r="BI147" s="3"/>
      <c r="BJ147" s="187" t="str">
        <f t="shared" si="72"/>
        <v/>
      </c>
      <c r="BK147" s="42" t="e">
        <f t="shared" si="73"/>
        <v>#NUM!</v>
      </c>
      <c r="BL147" s="45"/>
      <c r="BM147" s="44"/>
    </row>
    <row r="148" spans="3:65" ht="15.5" thickTop="1" thickBot="1" x14ac:dyDescent="0.4">
      <c r="C148" s="36" t="str">
        <f t="shared" si="74"/>
        <v/>
      </c>
      <c r="D148" s="37" t="e">
        <f t="shared" si="75"/>
        <v>#NUM!</v>
      </c>
      <c r="E148" s="236">
        <f t="shared" si="79"/>
        <v>0</v>
      </c>
      <c r="F148" s="237" t="e">
        <f t="shared" si="80"/>
        <v>#NUM!</v>
      </c>
      <c r="G148" s="238" t="e">
        <f>IF(D148="","",L147*Resumen!$L$86/1000)</f>
        <v>#NUM!</v>
      </c>
      <c r="H148" s="237" t="e">
        <f t="shared" si="53"/>
        <v>#NUM!</v>
      </c>
      <c r="I148" s="238" t="e">
        <f>IF($E$16=$V$1,0,IF(D148="","",Amortización!$AE$14))</f>
        <v>#NUM!</v>
      </c>
      <c r="J148" s="239">
        <f>IFERROR(IF(OR($E$11=Resumen!$N$6,$E$8=Resumen!$N$6),Amortización!F148*0.16,0),"")</f>
        <v>0</v>
      </c>
      <c r="K148" s="237">
        <f t="shared" si="54"/>
        <v>0</v>
      </c>
      <c r="L148" s="240">
        <f t="shared" si="55"/>
        <v>0</v>
      </c>
      <c r="M148" s="43" t="str">
        <f t="shared" si="50"/>
        <v/>
      </c>
      <c r="N148" s="44" t="str">
        <f t="shared" si="56"/>
        <v/>
      </c>
      <c r="O148" s="44" t="str">
        <f t="shared" si="57"/>
        <v/>
      </c>
      <c r="P148" s="44" t="str">
        <f t="shared" si="58"/>
        <v/>
      </c>
      <c r="Q148" s="236" t="str">
        <f>IF(OR(L147=0,L147=""),"",IF(E148&gt;=D148,0,$E$17*10%))</f>
        <v/>
      </c>
      <c r="R148" s="243" t="e">
        <f t="shared" si="76"/>
        <v>#NUM!</v>
      </c>
      <c r="T148" s="187" t="str">
        <f t="shared" si="77"/>
        <v/>
      </c>
      <c r="U148" s="42" t="e">
        <f t="shared" si="59"/>
        <v>#NUM!</v>
      </c>
      <c r="V148" s="45">
        <f t="shared" si="60"/>
        <v>0</v>
      </c>
      <c r="X148" s="272" t="b">
        <f t="shared" si="81"/>
        <v>0</v>
      </c>
      <c r="Y148" s="39">
        <v>0</v>
      </c>
      <c r="AB148" s="357" t="e">
        <f t="shared" si="61"/>
        <v>#N/A</v>
      </c>
      <c r="AG148" s="307">
        <f t="shared" si="62"/>
        <v>0</v>
      </c>
      <c r="AH148" s="283">
        <f t="shared" si="63"/>
        <v>0</v>
      </c>
      <c r="AI148" t="str">
        <f t="shared" si="64"/>
        <v/>
      </c>
      <c r="AV148" s="36" t="str">
        <f t="shared" si="65"/>
        <v/>
      </c>
      <c r="AW148" s="37" t="e">
        <f t="shared" si="66"/>
        <v>#NUM!</v>
      </c>
      <c r="AX148" s="236" t="e">
        <f t="shared" si="67"/>
        <v>#NUM!</v>
      </c>
      <c r="AY148" s="237" t="e">
        <f t="shared" si="78"/>
        <v>#NUM!</v>
      </c>
      <c r="AZ148" s="238" t="e">
        <f t="shared" si="68"/>
        <v>#NUM!</v>
      </c>
      <c r="BA148" s="237" t="e">
        <f t="shared" si="69"/>
        <v>#NUM!</v>
      </c>
      <c r="BB148" s="238" t="e">
        <f t="shared" si="70"/>
        <v>#NUM!</v>
      </c>
      <c r="BC148" s="239">
        <f>IFERROR(IF(OR($E$11=Resumen!$N$6,$E$8=Resumen!$N$6),Amortización!AY148*0.16,0),"")</f>
        <v>0</v>
      </c>
      <c r="BD148" s="237">
        <f t="shared" si="71"/>
        <v>0</v>
      </c>
      <c r="BE148" s="240">
        <f t="shared" si="51"/>
        <v>0</v>
      </c>
      <c r="BF148" s="43" t="str">
        <f t="shared" si="52"/>
        <v/>
      </c>
      <c r="BH148" s="243" t="e">
        <f t="shared" si="82"/>
        <v>#NUM!</v>
      </c>
      <c r="BI148" s="3"/>
      <c r="BJ148" s="187" t="str">
        <f t="shared" si="72"/>
        <v/>
      </c>
      <c r="BK148" s="42" t="e">
        <f t="shared" si="73"/>
        <v>#NUM!</v>
      </c>
      <c r="BL148" s="45"/>
      <c r="BM148" s="236"/>
    </row>
    <row r="149" spans="3:65" ht="15.5" thickTop="1" thickBot="1" x14ac:dyDescent="0.4">
      <c r="C149" s="36" t="str">
        <f t="shared" si="74"/>
        <v/>
      </c>
      <c r="D149" s="37" t="e">
        <f t="shared" si="75"/>
        <v>#NUM!</v>
      </c>
      <c r="E149" s="236">
        <f t="shared" si="79"/>
        <v>0</v>
      </c>
      <c r="F149" s="237" t="e">
        <f t="shared" si="80"/>
        <v>#NUM!</v>
      </c>
      <c r="G149" s="238" t="e">
        <f>IF(D149="","",L148*Resumen!$L$86/1000)</f>
        <v>#NUM!</v>
      </c>
      <c r="H149" s="237" t="e">
        <f t="shared" si="53"/>
        <v>#NUM!</v>
      </c>
      <c r="I149" s="238" t="e">
        <f>IF($E$16=$V$1,0,IF(D149="","",Amortización!$AE$14))</f>
        <v>#NUM!</v>
      </c>
      <c r="J149" s="239">
        <f>IFERROR(IF(OR($E$11=Resumen!$N$6,$E$8=Resumen!$N$6),Amortización!F149*0.16,0),"")</f>
        <v>0</v>
      </c>
      <c r="K149" s="237">
        <f t="shared" si="54"/>
        <v>0</v>
      </c>
      <c r="L149" s="240">
        <f t="shared" si="55"/>
        <v>0</v>
      </c>
      <c r="M149" s="43" t="str">
        <f t="shared" ref="M149:M212" si="83">IF(OR(L148=0,L148=""),"",0)</f>
        <v/>
      </c>
      <c r="N149" s="44" t="str">
        <f t="shared" si="56"/>
        <v/>
      </c>
      <c r="O149" s="44" t="str">
        <f t="shared" si="57"/>
        <v/>
      </c>
      <c r="P149" s="44" t="str">
        <f t="shared" si="58"/>
        <v/>
      </c>
      <c r="Q149" s="44"/>
      <c r="R149" s="243" t="e">
        <f t="shared" si="76"/>
        <v>#NUM!</v>
      </c>
      <c r="T149" s="187" t="str">
        <f t="shared" si="77"/>
        <v/>
      </c>
      <c r="U149" s="42" t="e">
        <f t="shared" si="59"/>
        <v>#NUM!</v>
      </c>
      <c r="V149" s="45">
        <f t="shared" si="60"/>
        <v>0</v>
      </c>
      <c r="X149" s="272" t="b">
        <f t="shared" si="81"/>
        <v>0</v>
      </c>
      <c r="Y149" s="39">
        <v>0</v>
      </c>
      <c r="AB149" s="357" t="e">
        <f t="shared" si="61"/>
        <v>#N/A</v>
      </c>
      <c r="AG149" s="307">
        <f t="shared" si="62"/>
        <v>0</v>
      </c>
      <c r="AH149" s="283">
        <f t="shared" si="63"/>
        <v>0</v>
      </c>
      <c r="AI149" t="str">
        <f t="shared" si="64"/>
        <v/>
      </c>
      <c r="AV149" s="36" t="str">
        <f t="shared" si="65"/>
        <v/>
      </c>
      <c r="AW149" s="37" t="e">
        <f t="shared" si="66"/>
        <v>#NUM!</v>
      </c>
      <c r="AX149" s="236" t="e">
        <f t="shared" si="67"/>
        <v>#NUM!</v>
      </c>
      <c r="AY149" s="237" t="e">
        <f t="shared" si="78"/>
        <v>#NUM!</v>
      </c>
      <c r="AZ149" s="238" t="e">
        <f t="shared" si="68"/>
        <v>#NUM!</v>
      </c>
      <c r="BA149" s="237" t="e">
        <f t="shared" si="69"/>
        <v>#NUM!</v>
      </c>
      <c r="BB149" s="238" t="e">
        <f t="shared" si="70"/>
        <v>#NUM!</v>
      </c>
      <c r="BC149" s="239">
        <f>IFERROR(IF(OR($E$11=Resumen!$N$6,$E$8=Resumen!$N$6),Amortización!AY149*0.16,0),"")</f>
        <v>0</v>
      </c>
      <c r="BD149" s="237">
        <f t="shared" si="71"/>
        <v>0</v>
      </c>
      <c r="BE149" s="240">
        <f t="shared" ref="BE149:BE212" si="84">IFERROR(IF(AW149="","",IF((AW149-AX149-BY149)&lt;1,0,AW149-AX149-BY149)),0)</f>
        <v>0</v>
      </c>
      <c r="BF149" s="43" t="str">
        <f t="shared" ref="BF149:BF212" si="85">IF(OR(BE148=0,BE148=""),"",0)</f>
        <v/>
      </c>
      <c r="BH149" s="243" t="e">
        <f t="shared" si="82"/>
        <v>#NUM!</v>
      </c>
      <c r="BI149" s="3"/>
      <c r="BJ149" s="187" t="str">
        <f t="shared" si="72"/>
        <v/>
      </c>
      <c r="BK149" s="42" t="e">
        <f t="shared" si="73"/>
        <v>#NUM!</v>
      </c>
      <c r="BL149" s="45"/>
      <c r="BM149" s="44"/>
    </row>
    <row r="150" spans="3:65" ht="15.5" thickTop="1" thickBot="1" x14ac:dyDescent="0.4">
      <c r="C150" s="36" t="str">
        <f t="shared" si="74"/>
        <v/>
      </c>
      <c r="D150" s="37" t="e">
        <f t="shared" si="75"/>
        <v>#NUM!</v>
      </c>
      <c r="E150" s="236">
        <f t="shared" si="79"/>
        <v>0</v>
      </c>
      <c r="F150" s="237" t="e">
        <f t="shared" si="80"/>
        <v>#NUM!</v>
      </c>
      <c r="G150" s="238" t="e">
        <f>IF(D150="","",L149*Resumen!$L$86/1000)</f>
        <v>#NUM!</v>
      </c>
      <c r="H150" s="237" t="e">
        <f t="shared" ref="H150:H213" si="86">IF($E$16=$V$1,0,IF(D150="","",IF($E$11="Liquidez","0",AB150)))</f>
        <v>#NUM!</v>
      </c>
      <c r="I150" s="238" t="e">
        <f>IF($E$16=$V$1,0,IF(D150="","",Amortización!$AE$14))</f>
        <v>#NUM!</v>
      </c>
      <c r="J150" s="239">
        <f>IFERROR(IF(OR($E$11=Resumen!$N$6,$E$8=Resumen!$N$6),Amortización!F150*0.16,0),"")</f>
        <v>0</v>
      </c>
      <c r="K150" s="237">
        <f t="shared" ref="K150:K213" si="87">IFERROR(IF(D150="","",E150+F150+G150+H150+I150+Y150+J150),0)</f>
        <v>0</v>
      </c>
      <c r="L150" s="240">
        <f t="shared" ref="L150:L213" si="88">IFERROR(IF(D150="","",IF((D150-E150-AI150-Q150)&lt;1,0,D150-E150-AI150-Q150)),0)</f>
        <v>0</v>
      </c>
      <c r="M150" s="43" t="str">
        <f t="shared" si="83"/>
        <v/>
      </c>
      <c r="N150" s="44" t="str">
        <f t="shared" ref="N150:N213" si="89">IF(OR(O150="",O150=0),M150,M150-O150-P150)</f>
        <v/>
      </c>
      <c r="O150" s="44" t="str">
        <f t="shared" ref="O150:O213" si="90">IF(M150="","",IF(AND($H$12="Comisión pago anticipado",C150&lt;37),M150-(M150/(1+$K$12)),0))</f>
        <v/>
      </c>
      <c r="P150" s="44" t="str">
        <f t="shared" ref="P150:P213" si="91">IF(O150="","",IF(O150=0,0,O150*0.16))</f>
        <v/>
      </c>
      <c r="Q150" s="236" t="str">
        <f>IF(OR(L149=0,L149=""),"",IF(E150&gt;=D150,0,$E$17*10%))</f>
        <v/>
      </c>
      <c r="R150" s="243" t="e">
        <f t="shared" si="76"/>
        <v>#NUM!</v>
      </c>
      <c r="T150" s="187" t="str">
        <f t="shared" si="77"/>
        <v/>
      </c>
      <c r="U150" s="42" t="e">
        <f t="shared" ref="U150:U213" si="92">IF(D150="","",E150+F150+G150+H150/1.16+I150+Q150)</f>
        <v>#NUM!</v>
      </c>
      <c r="V150" s="45">
        <f t="shared" ref="V150:V213" si="93">IF($E$16=$V$1,AI150,IF(ISNUMBER(T150),IF($E$14="Pago Fijo",PMT(R150/12,$K$11,-$K$9),X150*$K$15*$K$9/1000)+G150+AI150+Q150+H150/1.16+$AE$14,0))</f>
        <v>0</v>
      </c>
      <c r="X150" s="272" t="b">
        <f t="shared" si="81"/>
        <v>0</v>
      </c>
      <c r="Y150" s="39">
        <v>0</v>
      </c>
      <c r="AB150" s="357" t="e">
        <f t="shared" ref="AB150:AB213" si="94">IF((($K$8*0.7)*($AE$13))&gt;L149*($AE$13),($K$8*0.7)*($AE$13),($AE$13)*L149)</f>
        <v>#N/A</v>
      </c>
      <c r="AG150" s="307">
        <f t="shared" ref="AG150:AG213" si="95">IF($AH$20=0,0,IF(N150&gt;AH149,MAX(0,N150-AH149),N150))</f>
        <v>0</v>
      </c>
      <c r="AH150" s="283">
        <f t="shared" ref="AH150:AH213" si="96">IFERROR(MAX(0,AH149-N150),0)</f>
        <v>0</v>
      </c>
      <c r="AI150" t="str">
        <f t="shared" ref="AI150:AI213" si="97">IF($E$16="no",N150,IF(AH150&gt;0,0,AG150))</f>
        <v/>
      </c>
      <c r="AV150" s="36" t="str">
        <f t="shared" ref="AV150:AV213" si="98">IF(OR(BE149="",BE149=0),"",IF(AV149+1&gt;$K$11+$X$2,"",AV149+1))</f>
        <v/>
      </c>
      <c r="AW150" s="37" t="e">
        <f t="shared" ref="AW150:AW213" si="99">IF(IF(AW149="","",AW149-AX149-BM149-BY149)&lt;0.01,"",IF(AW149="","",BE149))</f>
        <v>#NUM!</v>
      </c>
      <c r="AX150" s="236" t="e">
        <f t="shared" ref="AX150:AX213" si="100">IF($E$16=$V$1,0,IF(AW150="","",PMT($AY$10/12,$AY$11,-$AW$21)-AY150))</f>
        <v>#NUM!</v>
      </c>
      <c r="AY150" s="237" t="e">
        <f t="shared" si="78"/>
        <v>#NUM!</v>
      </c>
      <c r="AZ150" s="238" t="e">
        <f t="shared" ref="AZ150:AZ213" si="101">IF($E$16=$V$1,0,IF(AW150="","",BE149*0/1000))</f>
        <v>#NUM!</v>
      </c>
      <c r="BA150" s="237" t="e">
        <f t="shared" ref="BA150:BA213" si="102">IF($E$16=$V$1,0,IF(AW150="","",IF($E$11="Liquidez","0",0)))</f>
        <v>#NUM!</v>
      </c>
      <c r="BB150" s="238" t="e">
        <f t="shared" ref="BB150:BB213" si="103">IF($E$16=$V$1,0,IF(AW150="","",AW150*$AY$13/12))</f>
        <v>#NUM!</v>
      </c>
      <c r="BC150" s="239">
        <f>IFERROR(IF(OR($E$11=Resumen!$N$6,$E$8=Resumen!$N$6),Amortización!AY150*0.16,0),"")</f>
        <v>0</v>
      </c>
      <c r="BD150" s="237">
        <f t="shared" ref="BD150:BD213" si="104">IFERROR(IF(AW150="","",AX150+AY150+AZ150+BA150+BB150+BC150),0)</f>
        <v>0</v>
      </c>
      <c r="BE150" s="240">
        <f t="shared" si="84"/>
        <v>0</v>
      </c>
      <c r="BF150" s="43" t="str">
        <f t="shared" si="85"/>
        <v/>
      </c>
      <c r="BH150" s="243" t="e">
        <f t="shared" si="82"/>
        <v>#NUM!</v>
      </c>
      <c r="BI150" s="3"/>
      <c r="BJ150" s="187" t="str">
        <f t="shared" ref="BJ150:BJ213" si="105">AV150</f>
        <v/>
      </c>
      <c r="BK150" s="42" t="e">
        <f t="shared" ref="BK150:BK213" si="106">IF(AW150="","",AX150+AY150+AZ150+BA150/1.16+BB150/1.16)</f>
        <v>#NUM!</v>
      </c>
      <c r="BL150" s="45"/>
      <c r="BM150" s="236"/>
    </row>
    <row r="151" spans="3:65" ht="15.5" thickTop="1" thickBot="1" x14ac:dyDescent="0.4">
      <c r="C151" s="36" t="str">
        <f t="shared" ref="C151:C214" si="107">IF(OR(L150="",L150=0),"",IF(C150+1&gt;$K$11+$X$2,"",C150+1))</f>
        <v/>
      </c>
      <c r="D151" s="37" t="e">
        <f t="shared" ref="D151:D214" si="108">IF(IF(D150="","",D150-E150-Q150-AI150)&lt;0.01,"",IF(D150="","",L150))</f>
        <v>#NUM!</v>
      </c>
      <c r="E151" s="236">
        <f t="shared" si="79"/>
        <v>0</v>
      </c>
      <c r="F151" s="237" t="e">
        <f t="shared" si="80"/>
        <v>#NUM!</v>
      </c>
      <c r="G151" s="238" t="e">
        <f>IF(D151="","",L150*Resumen!$L$86/1000)</f>
        <v>#NUM!</v>
      </c>
      <c r="H151" s="237" t="e">
        <f t="shared" si="86"/>
        <v>#NUM!</v>
      </c>
      <c r="I151" s="238" t="e">
        <f>IF($E$16=$V$1,0,IF(D151="","",Amortización!$AE$14))</f>
        <v>#NUM!</v>
      </c>
      <c r="J151" s="239">
        <f>IFERROR(IF(OR($E$11=Resumen!$N$6,$E$8=Resumen!$N$6),Amortización!F151*0.16,0),"")</f>
        <v>0</v>
      </c>
      <c r="K151" s="237">
        <f t="shared" si="87"/>
        <v>0</v>
      </c>
      <c r="L151" s="240">
        <f t="shared" si="88"/>
        <v>0</v>
      </c>
      <c r="M151" s="43" t="str">
        <f t="shared" si="83"/>
        <v/>
      </c>
      <c r="N151" s="44" t="str">
        <f t="shared" si="89"/>
        <v/>
      </c>
      <c r="O151" s="44" t="str">
        <f t="shared" si="90"/>
        <v/>
      </c>
      <c r="P151" s="44" t="str">
        <f t="shared" si="91"/>
        <v/>
      </c>
      <c r="Q151" s="44"/>
      <c r="R151" s="243" t="e">
        <f t="shared" ref="R151:R214" si="109">IF(D151="","",R150)</f>
        <v>#NUM!</v>
      </c>
      <c r="T151" s="187" t="str">
        <f t="shared" ref="T151:T214" si="110">C151</f>
        <v/>
      </c>
      <c r="U151" s="42" t="e">
        <f t="shared" si="92"/>
        <v>#NUM!</v>
      </c>
      <c r="V151" s="45">
        <f t="shared" si="93"/>
        <v>0</v>
      </c>
      <c r="X151" s="272" t="b">
        <f t="shared" si="81"/>
        <v>0</v>
      </c>
      <c r="Y151" s="39">
        <v>0</v>
      </c>
      <c r="AB151" s="357" t="e">
        <f t="shared" si="94"/>
        <v>#N/A</v>
      </c>
      <c r="AG151" s="307">
        <f t="shared" si="95"/>
        <v>0</v>
      </c>
      <c r="AH151" s="283">
        <f t="shared" si="96"/>
        <v>0</v>
      </c>
      <c r="AI151" t="str">
        <f t="shared" si="97"/>
        <v/>
      </c>
      <c r="AV151" s="36" t="str">
        <f t="shared" si="98"/>
        <v/>
      </c>
      <c r="AW151" s="37" t="e">
        <f t="shared" si="99"/>
        <v>#NUM!</v>
      </c>
      <c r="AX151" s="236" t="e">
        <f t="shared" si="100"/>
        <v>#NUM!</v>
      </c>
      <c r="AY151" s="237" t="e">
        <f t="shared" si="78"/>
        <v>#NUM!</v>
      </c>
      <c r="AZ151" s="238" t="e">
        <f t="shared" si="101"/>
        <v>#NUM!</v>
      </c>
      <c r="BA151" s="237" t="e">
        <f t="shared" si="102"/>
        <v>#NUM!</v>
      </c>
      <c r="BB151" s="238" t="e">
        <f t="shared" si="103"/>
        <v>#NUM!</v>
      </c>
      <c r="BC151" s="239">
        <f>IFERROR(IF(OR($E$11=Resumen!$N$6,$E$8=Resumen!$N$6),Amortización!AY151*0.16,0),"")</f>
        <v>0</v>
      </c>
      <c r="BD151" s="237">
        <f t="shared" si="104"/>
        <v>0</v>
      </c>
      <c r="BE151" s="240">
        <f t="shared" si="84"/>
        <v>0</v>
      </c>
      <c r="BF151" s="43" t="str">
        <f t="shared" si="85"/>
        <v/>
      </c>
      <c r="BH151" s="243" t="e">
        <f t="shared" si="82"/>
        <v>#NUM!</v>
      </c>
      <c r="BI151" s="3"/>
      <c r="BJ151" s="187" t="str">
        <f t="shared" si="105"/>
        <v/>
      </c>
      <c r="BK151" s="42" t="e">
        <f t="shared" si="106"/>
        <v>#NUM!</v>
      </c>
      <c r="BL151" s="45"/>
      <c r="BM151" s="44"/>
    </row>
    <row r="152" spans="3:65" ht="15.5" thickTop="1" thickBot="1" x14ac:dyDescent="0.4">
      <c r="C152" s="36" t="str">
        <f t="shared" si="107"/>
        <v/>
      </c>
      <c r="D152" s="37" t="e">
        <f t="shared" si="108"/>
        <v>#NUM!</v>
      </c>
      <c r="E152" s="236">
        <f t="shared" si="79"/>
        <v>0</v>
      </c>
      <c r="F152" s="237" t="e">
        <f t="shared" si="80"/>
        <v>#NUM!</v>
      </c>
      <c r="G152" s="238" t="e">
        <f>IF(D152="","",L151*Resumen!$L$86/1000)</f>
        <v>#NUM!</v>
      </c>
      <c r="H152" s="237" t="e">
        <f t="shared" si="86"/>
        <v>#NUM!</v>
      </c>
      <c r="I152" s="238" t="e">
        <f>IF($E$16=$V$1,0,IF(D152="","",Amortización!$AE$14))</f>
        <v>#NUM!</v>
      </c>
      <c r="J152" s="239">
        <f>IFERROR(IF(OR($E$11=Resumen!$N$6,$E$8=Resumen!$N$6),Amortización!F152*0.16,0),"")</f>
        <v>0</v>
      </c>
      <c r="K152" s="237">
        <f t="shared" si="87"/>
        <v>0</v>
      </c>
      <c r="L152" s="240">
        <f t="shared" si="88"/>
        <v>0</v>
      </c>
      <c r="M152" s="43" t="str">
        <f t="shared" si="83"/>
        <v/>
      </c>
      <c r="N152" s="44" t="str">
        <f t="shared" si="89"/>
        <v/>
      </c>
      <c r="O152" s="44" t="str">
        <f t="shared" si="90"/>
        <v/>
      </c>
      <c r="P152" s="44" t="str">
        <f t="shared" si="91"/>
        <v/>
      </c>
      <c r="Q152" s="236" t="str">
        <f>IF(OR(L151=0,L151=""),"",IF(E152&gt;=D152,0,$E$17*10%))</f>
        <v/>
      </c>
      <c r="R152" s="243" t="e">
        <f t="shared" si="109"/>
        <v>#NUM!</v>
      </c>
      <c r="T152" s="187" t="str">
        <f t="shared" si="110"/>
        <v/>
      </c>
      <c r="U152" s="42" t="e">
        <f t="shared" si="92"/>
        <v>#NUM!</v>
      </c>
      <c r="V152" s="45">
        <f t="shared" si="93"/>
        <v>0</v>
      </c>
      <c r="X152" s="272" t="b">
        <f t="shared" si="81"/>
        <v>0</v>
      </c>
      <c r="Y152" s="39">
        <v>0</v>
      </c>
      <c r="AB152" s="357" t="e">
        <f t="shared" si="94"/>
        <v>#N/A</v>
      </c>
      <c r="AG152" s="307">
        <f t="shared" si="95"/>
        <v>0</v>
      </c>
      <c r="AH152" s="283">
        <f t="shared" si="96"/>
        <v>0</v>
      </c>
      <c r="AI152" t="str">
        <f t="shared" si="97"/>
        <v/>
      </c>
      <c r="AV152" s="36" t="str">
        <f t="shared" si="98"/>
        <v/>
      </c>
      <c r="AW152" s="37" t="e">
        <f t="shared" si="99"/>
        <v>#NUM!</v>
      </c>
      <c r="AX152" s="236" t="e">
        <f t="shared" si="100"/>
        <v>#NUM!</v>
      </c>
      <c r="AY152" s="237" t="e">
        <f t="shared" ref="AY152:AY215" si="111">IF(AW152="","",AW152*(BH152/12))</f>
        <v>#NUM!</v>
      </c>
      <c r="AZ152" s="238" t="e">
        <f t="shared" si="101"/>
        <v>#NUM!</v>
      </c>
      <c r="BA152" s="237" t="e">
        <f t="shared" si="102"/>
        <v>#NUM!</v>
      </c>
      <c r="BB152" s="238" t="e">
        <f t="shared" si="103"/>
        <v>#NUM!</v>
      </c>
      <c r="BC152" s="239">
        <f>IFERROR(IF(OR($E$11=Resumen!$N$6,$E$8=Resumen!$N$6),Amortización!AY152*0.16,0),"")</f>
        <v>0</v>
      </c>
      <c r="BD152" s="237">
        <f t="shared" si="104"/>
        <v>0</v>
      </c>
      <c r="BE152" s="240">
        <f t="shared" si="84"/>
        <v>0</v>
      </c>
      <c r="BF152" s="43" t="str">
        <f t="shared" si="85"/>
        <v/>
      </c>
      <c r="BH152" s="243" t="e">
        <f t="shared" si="82"/>
        <v>#NUM!</v>
      </c>
      <c r="BI152" s="3"/>
      <c r="BJ152" s="187" t="str">
        <f t="shared" si="105"/>
        <v/>
      </c>
      <c r="BK152" s="42" t="e">
        <f t="shared" si="106"/>
        <v>#NUM!</v>
      </c>
      <c r="BL152" s="45"/>
      <c r="BM152" s="236"/>
    </row>
    <row r="153" spans="3:65" ht="15.5" thickTop="1" thickBot="1" x14ac:dyDescent="0.4">
      <c r="C153" s="36" t="str">
        <f t="shared" si="107"/>
        <v/>
      </c>
      <c r="D153" s="37" t="e">
        <f t="shared" si="108"/>
        <v>#NUM!</v>
      </c>
      <c r="E153" s="236">
        <f t="shared" ref="E153:E216" si="112">IFERROR(IF($E$14&amp;$E$16=$X$4,PMT(R153/12,$K$11,-$K$9)-F153,IF(D153="","",IF($E$14="Pago Fijo",MIN(IF($E$15="Mensualidad",-PMT(R153/12,$K$11-C152,D153)-F153,-PMT(R153/12,$K$11,$K$9)-F153),D153),MIN(X153*$K$9*$K$15/1000-F153,D153)))),0)</f>
        <v>0</v>
      </c>
      <c r="F153" s="237" t="e">
        <f t="shared" si="80"/>
        <v>#NUM!</v>
      </c>
      <c r="G153" s="238" t="e">
        <f>IF(D153="","",L152*Resumen!$L$86/1000)</f>
        <v>#NUM!</v>
      </c>
      <c r="H153" s="237" t="e">
        <f t="shared" si="86"/>
        <v>#NUM!</v>
      </c>
      <c r="I153" s="238" t="e">
        <f>IF($E$16=$V$1,0,IF(D153="","",Amortización!$AE$14))</f>
        <v>#NUM!</v>
      </c>
      <c r="J153" s="239">
        <f>IFERROR(IF(OR($E$11=Resumen!$N$6,$E$8=Resumen!$N$6),Amortización!F153*0.16,0),"")</f>
        <v>0</v>
      </c>
      <c r="K153" s="237">
        <f t="shared" si="87"/>
        <v>0</v>
      </c>
      <c r="L153" s="240">
        <f t="shared" si="88"/>
        <v>0</v>
      </c>
      <c r="M153" s="43" t="str">
        <f t="shared" si="83"/>
        <v/>
      </c>
      <c r="N153" s="44" t="str">
        <f t="shared" si="89"/>
        <v/>
      </c>
      <c r="O153" s="44" t="str">
        <f t="shared" si="90"/>
        <v/>
      </c>
      <c r="P153" s="44" t="str">
        <f t="shared" si="91"/>
        <v/>
      </c>
      <c r="Q153" s="44"/>
      <c r="R153" s="243" t="e">
        <f t="shared" si="109"/>
        <v>#NUM!</v>
      </c>
      <c r="T153" s="187" t="str">
        <f t="shared" si="110"/>
        <v/>
      </c>
      <c r="U153" s="42" t="e">
        <f t="shared" si="92"/>
        <v>#NUM!</v>
      </c>
      <c r="V153" s="45">
        <f t="shared" si="93"/>
        <v>0</v>
      </c>
      <c r="X153" s="272" t="b">
        <f t="shared" si="81"/>
        <v>0</v>
      </c>
      <c r="Y153" s="39">
        <v>0</v>
      </c>
      <c r="AB153" s="357" t="e">
        <f t="shared" si="94"/>
        <v>#N/A</v>
      </c>
      <c r="AG153" s="307">
        <f t="shared" si="95"/>
        <v>0</v>
      </c>
      <c r="AH153" s="283">
        <f t="shared" si="96"/>
        <v>0</v>
      </c>
      <c r="AI153" t="str">
        <f t="shared" si="97"/>
        <v/>
      </c>
      <c r="AV153" s="36" t="str">
        <f t="shared" si="98"/>
        <v/>
      </c>
      <c r="AW153" s="37" t="e">
        <f t="shared" si="99"/>
        <v>#NUM!</v>
      </c>
      <c r="AX153" s="236" t="e">
        <f t="shared" si="100"/>
        <v>#NUM!</v>
      </c>
      <c r="AY153" s="237" t="e">
        <f t="shared" si="111"/>
        <v>#NUM!</v>
      </c>
      <c r="AZ153" s="238" t="e">
        <f t="shared" si="101"/>
        <v>#NUM!</v>
      </c>
      <c r="BA153" s="237" t="e">
        <f t="shared" si="102"/>
        <v>#NUM!</v>
      </c>
      <c r="BB153" s="238" t="e">
        <f t="shared" si="103"/>
        <v>#NUM!</v>
      </c>
      <c r="BC153" s="239">
        <f>IFERROR(IF(OR($E$11=Resumen!$N$6,$E$8=Resumen!$N$6),Amortización!AY153*0.16,0),"")</f>
        <v>0</v>
      </c>
      <c r="BD153" s="237">
        <f t="shared" si="104"/>
        <v>0</v>
      </c>
      <c r="BE153" s="240">
        <f t="shared" si="84"/>
        <v>0</v>
      </c>
      <c r="BF153" s="43" t="str">
        <f t="shared" si="85"/>
        <v/>
      </c>
      <c r="BH153" s="243" t="e">
        <f t="shared" si="82"/>
        <v>#NUM!</v>
      </c>
      <c r="BI153" s="3"/>
      <c r="BJ153" s="187" t="str">
        <f t="shared" si="105"/>
        <v/>
      </c>
      <c r="BK153" s="42" t="e">
        <f t="shared" si="106"/>
        <v>#NUM!</v>
      </c>
      <c r="BL153" s="45"/>
      <c r="BM153" s="44"/>
    </row>
    <row r="154" spans="3:65" ht="15.5" thickTop="1" thickBot="1" x14ac:dyDescent="0.4">
      <c r="C154" s="36" t="str">
        <f t="shared" si="107"/>
        <v/>
      </c>
      <c r="D154" s="37" t="e">
        <f t="shared" si="108"/>
        <v>#NUM!</v>
      </c>
      <c r="E154" s="236">
        <f t="shared" si="112"/>
        <v>0</v>
      </c>
      <c r="F154" s="237" t="e">
        <f t="shared" ref="F154:F217" si="113">IF(D154="","",D154*(R154/12))</f>
        <v>#NUM!</v>
      </c>
      <c r="G154" s="238" t="e">
        <f>IF(D154="","",L153*Resumen!$L$86/1000)</f>
        <v>#NUM!</v>
      </c>
      <c r="H154" s="237" t="e">
        <f t="shared" si="86"/>
        <v>#NUM!</v>
      </c>
      <c r="I154" s="238" t="e">
        <f>IF($E$16=$V$1,0,IF(D154="","",Amortización!$AE$14))</f>
        <v>#NUM!</v>
      </c>
      <c r="J154" s="239">
        <f>IFERROR(IF(OR($E$11=Resumen!$N$6,$E$8=Resumen!$N$6),Amortización!F154*0.16,0),"")</f>
        <v>0</v>
      </c>
      <c r="K154" s="237">
        <f t="shared" si="87"/>
        <v>0</v>
      </c>
      <c r="L154" s="240">
        <f t="shared" si="88"/>
        <v>0</v>
      </c>
      <c r="M154" s="43" t="str">
        <f t="shared" si="83"/>
        <v/>
      </c>
      <c r="N154" s="44" t="str">
        <f t="shared" si="89"/>
        <v/>
      </c>
      <c r="O154" s="44" t="str">
        <f t="shared" si="90"/>
        <v/>
      </c>
      <c r="P154" s="44" t="str">
        <f t="shared" si="91"/>
        <v/>
      </c>
      <c r="Q154" s="236" t="str">
        <f>IF(OR(L153=0,L153=""),"",IF(E154&gt;=D154,0,$E$17*10%))</f>
        <v/>
      </c>
      <c r="R154" s="243" t="e">
        <f t="shared" si="109"/>
        <v>#NUM!</v>
      </c>
      <c r="T154" s="187" t="str">
        <f t="shared" si="110"/>
        <v/>
      </c>
      <c r="U154" s="42" t="e">
        <f t="shared" si="92"/>
        <v>#NUM!</v>
      </c>
      <c r="V154" s="45">
        <f t="shared" si="93"/>
        <v>0</v>
      </c>
      <c r="X154" s="272" t="b">
        <f t="shared" si="81"/>
        <v>0</v>
      </c>
      <c r="Y154" s="39">
        <v>0</v>
      </c>
      <c r="AB154" s="357" t="e">
        <f t="shared" si="94"/>
        <v>#N/A</v>
      </c>
      <c r="AG154" s="307">
        <f t="shared" si="95"/>
        <v>0</v>
      </c>
      <c r="AH154" s="283">
        <f t="shared" si="96"/>
        <v>0</v>
      </c>
      <c r="AI154" t="str">
        <f t="shared" si="97"/>
        <v/>
      </c>
      <c r="AV154" s="36" t="str">
        <f t="shared" si="98"/>
        <v/>
      </c>
      <c r="AW154" s="37" t="e">
        <f t="shared" si="99"/>
        <v>#NUM!</v>
      </c>
      <c r="AX154" s="236" t="e">
        <f t="shared" si="100"/>
        <v>#NUM!</v>
      </c>
      <c r="AY154" s="237" t="e">
        <f t="shared" si="111"/>
        <v>#NUM!</v>
      </c>
      <c r="AZ154" s="238" t="e">
        <f t="shared" si="101"/>
        <v>#NUM!</v>
      </c>
      <c r="BA154" s="237" t="e">
        <f t="shared" si="102"/>
        <v>#NUM!</v>
      </c>
      <c r="BB154" s="238" t="e">
        <f t="shared" si="103"/>
        <v>#NUM!</v>
      </c>
      <c r="BC154" s="239">
        <f>IFERROR(IF(OR($E$11=Resumen!$N$6,$E$8=Resumen!$N$6),Amortización!AY154*0.16,0),"")</f>
        <v>0</v>
      </c>
      <c r="BD154" s="237">
        <f t="shared" si="104"/>
        <v>0</v>
      </c>
      <c r="BE154" s="240">
        <f t="shared" si="84"/>
        <v>0</v>
      </c>
      <c r="BF154" s="43" t="str">
        <f t="shared" si="85"/>
        <v/>
      </c>
      <c r="BH154" s="243" t="e">
        <f t="shared" si="82"/>
        <v>#NUM!</v>
      </c>
      <c r="BI154" s="3"/>
      <c r="BJ154" s="187" t="str">
        <f t="shared" si="105"/>
        <v/>
      </c>
      <c r="BK154" s="42" t="e">
        <f t="shared" si="106"/>
        <v>#NUM!</v>
      </c>
      <c r="BL154" s="45"/>
      <c r="BM154" s="236"/>
    </row>
    <row r="155" spans="3:65" ht="15.5" thickTop="1" thickBot="1" x14ac:dyDescent="0.4">
      <c r="C155" s="36" t="str">
        <f t="shared" si="107"/>
        <v/>
      </c>
      <c r="D155" s="37" t="e">
        <f t="shared" si="108"/>
        <v>#NUM!</v>
      </c>
      <c r="E155" s="236">
        <f t="shared" si="112"/>
        <v>0</v>
      </c>
      <c r="F155" s="237" t="e">
        <f t="shared" si="113"/>
        <v>#NUM!</v>
      </c>
      <c r="G155" s="238" t="e">
        <f>IF(D155="","",L154*Resumen!$L$86/1000)</f>
        <v>#NUM!</v>
      </c>
      <c r="H155" s="237" t="e">
        <f t="shared" si="86"/>
        <v>#NUM!</v>
      </c>
      <c r="I155" s="238" t="e">
        <f>IF($E$16=$V$1,0,IF(D155="","",Amortización!$AE$14))</f>
        <v>#NUM!</v>
      </c>
      <c r="J155" s="239">
        <f>IFERROR(IF(OR($E$11=Resumen!$N$6,$E$8=Resumen!$N$6),Amortización!F155*0.16,0),"")</f>
        <v>0</v>
      </c>
      <c r="K155" s="237">
        <f t="shared" si="87"/>
        <v>0</v>
      </c>
      <c r="L155" s="240">
        <f t="shared" si="88"/>
        <v>0</v>
      </c>
      <c r="M155" s="43" t="str">
        <f t="shared" si="83"/>
        <v/>
      </c>
      <c r="N155" s="44" t="str">
        <f t="shared" si="89"/>
        <v/>
      </c>
      <c r="O155" s="44" t="str">
        <f t="shared" si="90"/>
        <v/>
      </c>
      <c r="P155" s="44" t="str">
        <f t="shared" si="91"/>
        <v/>
      </c>
      <c r="Q155" s="44"/>
      <c r="R155" s="243" t="e">
        <f t="shared" si="109"/>
        <v>#NUM!</v>
      </c>
      <c r="T155" s="187" t="str">
        <f t="shared" si="110"/>
        <v/>
      </c>
      <c r="U155" s="42" t="e">
        <f t="shared" si="92"/>
        <v>#NUM!</v>
      </c>
      <c r="V155" s="45">
        <f t="shared" si="93"/>
        <v>0</v>
      </c>
      <c r="X155" s="272" t="b">
        <f t="shared" si="81"/>
        <v>0</v>
      </c>
      <c r="Y155" s="39">
        <v>0</v>
      </c>
      <c r="AB155" s="357" t="e">
        <f t="shared" si="94"/>
        <v>#N/A</v>
      </c>
      <c r="AG155" s="307">
        <f t="shared" si="95"/>
        <v>0</v>
      </c>
      <c r="AH155" s="283">
        <f t="shared" si="96"/>
        <v>0</v>
      </c>
      <c r="AI155" t="str">
        <f t="shared" si="97"/>
        <v/>
      </c>
      <c r="AV155" s="36" t="str">
        <f t="shared" si="98"/>
        <v/>
      </c>
      <c r="AW155" s="37" t="e">
        <f t="shared" si="99"/>
        <v>#NUM!</v>
      </c>
      <c r="AX155" s="236" t="e">
        <f t="shared" si="100"/>
        <v>#NUM!</v>
      </c>
      <c r="AY155" s="237" t="e">
        <f t="shared" si="111"/>
        <v>#NUM!</v>
      </c>
      <c r="AZ155" s="238" t="e">
        <f t="shared" si="101"/>
        <v>#NUM!</v>
      </c>
      <c r="BA155" s="237" t="e">
        <f t="shared" si="102"/>
        <v>#NUM!</v>
      </c>
      <c r="BB155" s="238" t="e">
        <f t="shared" si="103"/>
        <v>#NUM!</v>
      </c>
      <c r="BC155" s="239">
        <f>IFERROR(IF(OR($E$11=Resumen!$N$6,$E$8=Resumen!$N$6),Amortización!AY155*0.16,0),"")</f>
        <v>0</v>
      </c>
      <c r="BD155" s="237">
        <f t="shared" si="104"/>
        <v>0</v>
      </c>
      <c r="BE155" s="240">
        <f t="shared" si="84"/>
        <v>0</v>
      </c>
      <c r="BF155" s="43" t="str">
        <f t="shared" si="85"/>
        <v/>
      </c>
      <c r="BH155" s="243" t="e">
        <f t="shared" si="82"/>
        <v>#NUM!</v>
      </c>
      <c r="BI155" s="3"/>
      <c r="BJ155" s="187" t="str">
        <f t="shared" si="105"/>
        <v/>
      </c>
      <c r="BK155" s="42" t="e">
        <f t="shared" si="106"/>
        <v>#NUM!</v>
      </c>
      <c r="BL155" s="45"/>
      <c r="BM155" s="44"/>
    </row>
    <row r="156" spans="3:65" ht="15.5" thickTop="1" thickBot="1" x14ac:dyDescent="0.4">
      <c r="C156" s="36" t="str">
        <f t="shared" si="107"/>
        <v/>
      </c>
      <c r="D156" s="37" t="e">
        <f t="shared" si="108"/>
        <v>#NUM!</v>
      </c>
      <c r="E156" s="236">
        <f t="shared" si="112"/>
        <v>0</v>
      </c>
      <c r="F156" s="237" t="e">
        <f t="shared" si="113"/>
        <v>#NUM!</v>
      </c>
      <c r="G156" s="238" t="e">
        <f>IF(D156="","",L155*Resumen!$L$86/1000)</f>
        <v>#NUM!</v>
      </c>
      <c r="H156" s="237" t="e">
        <f t="shared" si="86"/>
        <v>#NUM!</v>
      </c>
      <c r="I156" s="238" t="e">
        <f>IF($E$16=$V$1,0,IF(D156="","",Amortización!$AE$14))</f>
        <v>#NUM!</v>
      </c>
      <c r="J156" s="239">
        <f>IFERROR(IF(OR($E$11=Resumen!$N$6,$E$8=Resumen!$N$6),Amortización!F156*0.16,0),"")</f>
        <v>0</v>
      </c>
      <c r="K156" s="237">
        <f t="shared" si="87"/>
        <v>0</v>
      </c>
      <c r="L156" s="240">
        <f t="shared" si="88"/>
        <v>0</v>
      </c>
      <c r="M156" s="43" t="str">
        <f t="shared" si="83"/>
        <v/>
      </c>
      <c r="N156" s="44" t="str">
        <f t="shared" si="89"/>
        <v/>
      </c>
      <c r="O156" s="44" t="str">
        <f t="shared" si="90"/>
        <v/>
      </c>
      <c r="P156" s="44" t="str">
        <f t="shared" si="91"/>
        <v/>
      </c>
      <c r="Q156" s="236" t="str">
        <f>IF(OR(L155=0,L155=""),"",IF(E156&gt;=D156,0,$E$17*10%))</f>
        <v/>
      </c>
      <c r="R156" s="243" t="e">
        <f t="shared" si="109"/>
        <v>#NUM!</v>
      </c>
      <c r="T156" s="187" t="str">
        <f t="shared" si="110"/>
        <v/>
      </c>
      <c r="U156" s="42" t="e">
        <f t="shared" si="92"/>
        <v>#NUM!</v>
      </c>
      <c r="V156" s="45">
        <f t="shared" si="93"/>
        <v>0</v>
      </c>
      <c r="X156" s="272" t="b">
        <f t="shared" si="81"/>
        <v>0</v>
      </c>
      <c r="Y156" s="39">
        <v>0</v>
      </c>
      <c r="AB156" s="357" t="e">
        <f t="shared" si="94"/>
        <v>#N/A</v>
      </c>
      <c r="AG156" s="307">
        <f t="shared" si="95"/>
        <v>0</v>
      </c>
      <c r="AH156" s="283">
        <f t="shared" si="96"/>
        <v>0</v>
      </c>
      <c r="AI156" t="str">
        <f t="shared" si="97"/>
        <v/>
      </c>
      <c r="AV156" s="36" t="str">
        <f t="shared" si="98"/>
        <v/>
      </c>
      <c r="AW156" s="37" t="e">
        <f t="shared" si="99"/>
        <v>#NUM!</v>
      </c>
      <c r="AX156" s="236" t="e">
        <f t="shared" si="100"/>
        <v>#NUM!</v>
      </c>
      <c r="AY156" s="237" t="e">
        <f t="shared" si="111"/>
        <v>#NUM!</v>
      </c>
      <c r="AZ156" s="238" t="e">
        <f t="shared" si="101"/>
        <v>#NUM!</v>
      </c>
      <c r="BA156" s="237" t="e">
        <f t="shared" si="102"/>
        <v>#NUM!</v>
      </c>
      <c r="BB156" s="238" t="e">
        <f t="shared" si="103"/>
        <v>#NUM!</v>
      </c>
      <c r="BC156" s="239">
        <f>IFERROR(IF(OR($E$11=Resumen!$N$6,$E$8=Resumen!$N$6),Amortización!AY156*0.16,0),"")</f>
        <v>0</v>
      </c>
      <c r="BD156" s="237">
        <f t="shared" si="104"/>
        <v>0</v>
      </c>
      <c r="BE156" s="240">
        <f t="shared" si="84"/>
        <v>0</v>
      </c>
      <c r="BF156" s="43" t="str">
        <f t="shared" si="85"/>
        <v/>
      </c>
      <c r="BH156" s="243" t="e">
        <f t="shared" si="82"/>
        <v>#NUM!</v>
      </c>
      <c r="BI156" s="3"/>
      <c r="BJ156" s="187" t="str">
        <f t="shared" si="105"/>
        <v/>
      </c>
      <c r="BK156" s="42" t="e">
        <f t="shared" si="106"/>
        <v>#NUM!</v>
      </c>
      <c r="BL156" s="45"/>
      <c r="BM156" s="236"/>
    </row>
    <row r="157" spans="3:65" ht="15.5" thickTop="1" thickBot="1" x14ac:dyDescent="0.4">
      <c r="C157" s="36" t="str">
        <f t="shared" si="107"/>
        <v/>
      </c>
      <c r="D157" s="37" t="e">
        <f t="shared" si="108"/>
        <v>#NUM!</v>
      </c>
      <c r="E157" s="236">
        <f t="shared" si="112"/>
        <v>0</v>
      </c>
      <c r="F157" s="237" t="e">
        <f t="shared" si="113"/>
        <v>#NUM!</v>
      </c>
      <c r="G157" s="238" t="e">
        <f>IF(D157="","",L156*Resumen!$L$86/1000)</f>
        <v>#NUM!</v>
      </c>
      <c r="H157" s="237" t="e">
        <f t="shared" si="86"/>
        <v>#NUM!</v>
      </c>
      <c r="I157" s="238" t="e">
        <f>IF($E$16=$V$1,0,IF(D157="","",Amortización!$AE$14))</f>
        <v>#NUM!</v>
      </c>
      <c r="J157" s="239">
        <f>IFERROR(IF(OR($E$11=Resumen!$N$6,$E$8=Resumen!$N$6),Amortización!F157*0.16,0),"")</f>
        <v>0</v>
      </c>
      <c r="K157" s="237">
        <f t="shared" si="87"/>
        <v>0</v>
      </c>
      <c r="L157" s="240">
        <f t="shared" si="88"/>
        <v>0</v>
      </c>
      <c r="M157" s="43" t="str">
        <f t="shared" si="83"/>
        <v/>
      </c>
      <c r="N157" s="44" t="str">
        <f t="shared" si="89"/>
        <v/>
      </c>
      <c r="O157" s="44" t="str">
        <f t="shared" si="90"/>
        <v/>
      </c>
      <c r="P157" s="44" t="str">
        <f t="shared" si="91"/>
        <v/>
      </c>
      <c r="Q157" s="44"/>
      <c r="R157" s="243" t="e">
        <f t="shared" si="109"/>
        <v>#NUM!</v>
      </c>
      <c r="T157" s="187" t="str">
        <f t="shared" si="110"/>
        <v/>
      </c>
      <c r="U157" s="42" t="e">
        <f t="shared" si="92"/>
        <v>#NUM!</v>
      </c>
      <c r="V157" s="45">
        <f t="shared" si="93"/>
        <v>0</v>
      </c>
      <c r="X157" s="272" t="b">
        <f t="shared" si="81"/>
        <v>0</v>
      </c>
      <c r="Y157" s="39">
        <v>0</v>
      </c>
      <c r="AB157" s="357" t="e">
        <f t="shared" si="94"/>
        <v>#N/A</v>
      </c>
      <c r="AG157" s="307">
        <f t="shared" si="95"/>
        <v>0</v>
      </c>
      <c r="AH157" s="283">
        <f t="shared" si="96"/>
        <v>0</v>
      </c>
      <c r="AI157" t="str">
        <f t="shared" si="97"/>
        <v/>
      </c>
      <c r="AV157" s="36" t="str">
        <f t="shared" si="98"/>
        <v/>
      </c>
      <c r="AW157" s="37" t="e">
        <f t="shared" si="99"/>
        <v>#NUM!</v>
      </c>
      <c r="AX157" s="236" t="e">
        <f t="shared" si="100"/>
        <v>#NUM!</v>
      </c>
      <c r="AY157" s="237" t="e">
        <f t="shared" si="111"/>
        <v>#NUM!</v>
      </c>
      <c r="AZ157" s="238" t="e">
        <f t="shared" si="101"/>
        <v>#NUM!</v>
      </c>
      <c r="BA157" s="237" t="e">
        <f t="shared" si="102"/>
        <v>#NUM!</v>
      </c>
      <c r="BB157" s="238" t="e">
        <f t="shared" si="103"/>
        <v>#NUM!</v>
      </c>
      <c r="BC157" s="239">
        <f>IFERROR(IF(OR($E$11=Resumen!$N$6,$E$8=Resumen!$N$6),Amortización!AY157*0.16,0),"")</f>
        <v>0</v>
      </c>
      <c r="BD157" s="237">
        <f t="shared" si="104"/>
        <v>0</v>
      </c>
      <c r="BE157" s="240">
        <f t="shared" si="84"/>
        <v>0</v>
      </c>
      <c r="BF157" s="43" t="str">
        <f t="shared" si="85"/>
        <v/>
      </c>
      <c r="BH157" s="243" t="e">
        <f t="shared" si="82"/>
        <v>#NUM!</v>
      </c>
      <c r="BI157" s="3"/>
      <c r="BJ157" s="187" t="str">
        <f t="shared" si="105"/>
        <v/>
      </c>
      <c r="BK157" s="42" t="e">
        <f t="shared" si="106"/>
        <v>#NUM!</v>
      </c>
      <c r="BL157" s="45"/>
      <c r="BM157" s="44"/>
    </row>
    <row r="158" spans="3:65" ht="15.5" thickTop="1" thickBot="1" x14ac:dyDescent="0.4">
      <c r="C158" s="36" t="str">
        <f t="shared" si="107"/>
        <v/>
      </c>
      <c r="D158" s="37" t="e">
        <f t="shared" si="108"/>
        <v>#NUM!</v>
      </c>
      <c r="E158" s="236">
        <f t="shared" si="112"/>
        <v>0</v>
      </c>
      <c r="F158" s="237" t="e">
        <f t="shared" si="113"/>
        <v>#NUM!</v>
      </c>
      <c r="G158" s="238" t="e">
        <f>IF(D158="","",L157*Resumen!$L$86/1000)</f>
        <v>#NUM!</v>
      </c>
      <c r="H158" s="237" t="e">
        <f t="shared" si="86"/>
        <v>#NUM!</v>
      </c>
      <c r="I158" s="238" t="e">
        <f>IF($E$16=$V$1,0,IF(D158="","",Amortización!$AE$14))</f>
        <v>#NUM!</v>
      </c>
      <c r="J158" s="239">
        <f>IFERROR(IF(OR($E$11=Resumen!$N$6,$E$8=Resumen!$N$6),Amortización!F158*0.16,0),"")</f>
        <v>0</v>
      </c>
      <c r="K158" s="237">
        <f t="shared" si="87"/>
        <v>0</v>
      </c>
      <c r="L158" s="240">
        <f t="shared" si="88"/>
        <v>0</v>
      </c>
      <c r="M158" s="43" t="str">
        <f t="shared" si="83"/>
        <v/>
      </c>
      <c r="N158" s="44" t="str">
        <f t="shared" si="89"/>
        <v/>
      </c>
      <c r="O158" s="44" t="str">
        <f t="shared" si="90"/>
        <v/>
      </c>
      <c r="P158" s="44" t="str">
        <f t="shared" si="91"/>
        <v/>
      </c>
      <c r="Q158" s="236" t="str">
        <f>IF(OR(L157=0,L157=""),"",IF(E158&gt;=D158,0,$E$17*10%))</f>
        <v/>
      </c>
      <c r="R158" s="243" t="e">
        <f t="shared" si="109"/>
        <v>#NUM!</v>
      </c>
      <c r="T158" s="187" t="str">
        <f t="shared" si="110"/>
        <v/>
      </c>
      <c r="U158" s="42" t="e">
        <f t="shared" si="92"/>
        <v>#NUM!</v>
      </c>
      <c r="V158" s="45">
        <f t="shared" si="93"/>
        <v>0</v>
      </c>
      <c r="X158" s="272" t="b">
        <f t="shared" si="81"/>
        <v>0</v>
      </c>
      <c r="Y158" s="39">
        <v>0</v>
      </c>
      <c r="AB158" s="357" t="e">
        <f t="shared" si="94"/>
        <v>#N/A</v>
      </c>
      <c r="AG158" s="307">
        <f t="shared" si="95"/>
        <v>0</v>
      </c>
      <c r="AH158" s="283">
        <f t="shared" si="96"/>
        <v>0</v>
      </c>
      <c r="AI158" t="str">
        <f t="shared" si="97"/>
        <v/>
      </c>
      <c r="AV158" s="36" t="str">
        <f t="shared" si="98"/>
        <v/>
      </c>
      <c r="AW158" s="37" t="e">
        <f t="shared" si="99"/>
        <v>#NUM!</v>
      </c>
      <c r="AX158" s="236" t="e">
        <f t="shared" si="100"/>
        <v>#NUM!</v>
      </c>
      <c r="AY158" s="237" t="e">
        <f t="shared" si="111"/>
        <v>#NUM!</v>
      </c>
      <c r="AZ158" s="238" t="e">
        <f t="shared" si="101"/>
        <v>#NUM!</v>
      </c>
      <c r="BA158" s="237" t="e">
        <f t="shared" si="102"/>
        <v>#NUM!</v>
      </c>
      <c r="BB158" s="238" t="e">
        <f t="shared" si="103"/>
        <v>#NUM!</v>
      </c>
      <c r="BC158" s="239">
        <f>IFERROR(IF(OR($E$11=Resumen!$N$6,$E$8=Resumen!$N$6),Amortización!AY158*0.16,0),"")</f>
        <v>0</v>
      </c>
      <c r="BD158" s="237">
        <f t="shared" si="104"/>
        <v>0</v>
      </c>
      <c r="BE158" s="240">
        <f t="shared" si="84"/>
        <v>0</v>
      </c>
      <c r="BF158" s="43" t="str">
        <f t="shared" si="85"/>
        <v/>
      </c>
      <c r="BH158" s="243" t="e">
        <f t="shared" si="82"/>
        <v>#NUM!</v>
      </c>
      <c r="BI158" s="3"/>
      <c r="BJ158" s="187" t="str">
        <f t="shared" si="105"/>
        <v/>
      </c>
      <c r="BK158" s="42" t="e">
        <f t="shared" si="106"/>
        <v>#NUM!</v>
      </c>
      <c r="BL158" s="45"/>
      <c r="BM158" s="236"/>
    </row>
    <row r="159" spans="3:65" ht="15.5" thickTop="1" thickBot="1" x14ac:dyDescent="0.4">
      <c r="C159" s="36" t="str">
        <f t="shared" si="107"/>
        <v/>
      </c>
      <c r="D159" s="37" t="e">
        <f t="shared" si="108"/>
        <v>#NUM!</v>
      </c>
      <c r="E159" s="236">
        <f t="shared" si="112"/>
        <v>0</v>
      </c>
      <c r="F159" s="237" t="e">
        <f t="shared" si="113"/>
        <v>#NUM!</v>
      </c>
      <c r="G159" s="238" t="e">
        <f>IF(D159="","",L158*Resumen!$L$86/1000)</f>
        <v>#NUM!</v>
      </c>
      <c r="H159" s="237" t="e">
        <f t="shared" si="86"/>
        <v>#NUM!</v>
      </c>
      <c r="I159" s="238" t="e">
        <f>IF($E$16=$V$1,0,IF(D159="","",Amortización!$AE$14))</f>
        <v>#NUM!</v>
      </c>
      <c r="J159" s="239">
        <f>IFERROR(IF(OR($E$11=Resumen!$N$6,$E$8=Resumen!$N$6),Amortización!F159*0.16,0),"")</f>
        <v>0</v>
      </c>
      <c r="K159" s="237">
        <f t="shared" si="87"/>
        <v>0</v>
      </c>
      <c r="L159" s="240">
        <f t="shared" si="88"/>
        <v>0</v>
      </c>
      <c r="M159" s="43" t="str">
        <f t="shared" si="83"/>
        <v/>
      </c>
      <c r="N159" s="44" t="str">
        <f t="shared" si="89"/>
        <v/>
      </c>
      <c r="O159" s="44" t="str">
        <f t="shared" si="90"/>
        <v/>
      </c>
      <c r="P159" s="44" t="str">
        <f t="shared" si="91"/>
        <v/>
      </c>
      <c r="Q159" s="44"/>
      <c r="R159" s="243" t="e">
        <f t="shared" si="109"/>
        <v>#NUM!</v>
      </c>
      <c r="T159" s="187" t="str">
        <f t="shared" si="110"/>
        <v/>
      </c>
      <c r="U159" s="42" t="e">
        <f t="shared" si="92"/>
        <v>#NUM!</v>
      </c>
      <c r="V159" s="45">
        <f t="shared" si="93"/>
        <v>0</v>
      </c>
      <c r="X159" s="272" t="b">
        <f t="shared" si="81"/>
        <v>0</v>
      </c>
      <c r="Y159" s="39">
        <v>0</v>
      </c>
      <c r="AB159" s="357" t="e">
        <f t="shared" si="94"/>
        <v>#N/A</v>
      </c>
      <c r="AG159" s="307">
        <f t="shared" si="95"/>
        <v>0</v>
      </c>
      <c r="AH159" s="283">
        <f t="shared" si="96"/>
        <v>0</v>
      </c>
      <c r="AI159" t="str">
        <f t="shared" si="97"/>
        <v/>
      </c>
      <c r="AV159" s="36" t="str">
        <f t="shared" si="98"/>
        <v/>
      </c>
      <c r="AW159" s="37" t="e">
        <f t="shared" si="99"/>
        <v>#NUM!</v>
      </c>
      <c r="AX159" s="236" t="e">
        <f t="shared" si="100"/>
        <v>#NUM!</v>
      </c>
      <c r="AY159" s="237" t="e">
        <f t="shared" si="111"/>
        <v>#NUM!</v>
      </c>
      <c r="AZ159" s="238" t="e">
        <f t="shared" si="101"/>
        <v>#NUM!</v>
      </c>
      <c r="BA159" s="237" t="e">
        <f t="shared" si="102"/>
        <v>#NUM!</v>
      </c>
      <c r="BB159" s="238" t="e">
        <f t="shared" si="103"/>
        <v>#NUM!</v>
      </c>
      <c r="BC159" s="239">
        <f>IFERROR(IF(OR($E$11=Resumen!$N$6,$E$8=Resumen!$N$6),Amortización!AY159*0.16,0),"")</f>
        <v>0</v>
      </c>
      <c r="BD159" s="237">
        <f t="shared" si="104"/>
        <v>0</v>
      </c>
      <c r="BE159" s="240">
        <f t="shared" si="84"/>
        <v>0</v>
      </c>
      <c r="BF159" s="43" t="str">
        <f t="shared" si="85"/>
        <v/>
      </c>
      <c r="BH159" s="243" t="e">
        <f t="shared" si="82"/>
        <v>#NUM!</v>
      </c>
      <c r="BI159" s="3"/>
      <c r="BJ159" s="187" t="str">
        <f t="shared" si="105"/>
        <v/>
      </c>
      <c r="BK159" s="42" t="e">
        <f t="shared" si="106"/>
        <v>#NUM!</v>
      </c>
      <c r="BL159" s="45"/>
      <c r="BM159" s="44"/>
    </row>
    <row r="160" spans="3:65" ht="15.5" thickTop="1" thickBot="1" x14ac:dyDescent="0.4">
      <c r="C160" s="36" t="str">
        <f t="shared" si="107"/>
        <v/>
      </c>
      <c r="D160" s="37" t="e">
        <f t="shared" si="108"/>
        <v>#NUM!</v>
      </c>
      <c r="E160" s="236">
        <f t="shared" si="112"/>
        <v>0</v>
      </c>
      <c r="F160" s="237" t="e">
        <f t="shared" si="113"/>
        <v>#NUM!</v>
      </c>
      <c r="G160" s="238" t="e">
        <f>IF(D160="","",L159*Resumen!$L$86/1000)</f>
        <v>#NUM!</v>
      </c>
      <c r="H160" s="237" t="e">
        <f t="shared" si="86"/>
        <v>#NUM!</v>
      </c>
      <c r="I160" s="238" t="e">
        <f>IF($E$16=$V$1,0,IF(D160="","",Amortización!$AE$14))</f>
        <v>#NUM!</v>
      </c>
      <c r="J160" s="239">
        <f>IFERROR(IF(OR($E$11=Resumen!$N$6,$E$8=Resumen!$N$6),Amortización!F160*0.16,0),"")</f>
        <v>0</v>
      </c>
      <c r="K160" s="237">
        <f t="shared" si="87"/>
        <v>0</v>
      </c>
      <c r="L160" s="240">
        <f t="shared" si="88"/>
        <v>0</v>
      </c>
      <c r="M160" s="43" t="str">
        <f t="shared" si="83"/>
        <v/>
      </c>
      <c r="N160" s="44" t="str">
        <f t="shared" si="89"/>
        <v/>
      </c>
      <c r="O160" s="44" t="str">
        <f t="shared" si="90"/>
        <v/>
      </c>
      <c r="P160" s="44" t="str">
        <f t="shared" si="91"/>
        <v/>
      </c>
      <c r="Q160" s="236" t="str">
        <f>IF(OR(L159=0,L159=""),"",IF(E160&gt;=D160,0,$E$17*10%))</f>
        <v/>
      </c>
      <c r="R160" s="243" t="e">
        <f t="shared" si="109"/>
        <v>#NUM!</v>
      </c>
      <c r="T160" s="187" t="str">
        <f t="shared" si="110"/>
        <v/>
      </c>
      <c r="U160" s="42" t="e">
        <f t="shared" si="92"/>
        <v>#NUM!</v>
      </c>
      <c r="V160" s="45">
        <f t="shared" si="93"/>
        <v>0</v>
      </c>
      <c r="X160" s="272" t="b">
        <f t="shared" si="81"/>
        <v>0</v>
      </c>
      <c r="Y160" s="39">
        <v>0</v>
      </c>
      <c r="AB160" s="357" t="e">
        <f t="shared" si="94"/>
        <v>#N/A</v>
      </c>
      <c r="AG160" s="307">
        <f t="shared" si="95"/>
        <v>0</v>
      </c>
      <c r="AH160" s="283">
        <f t="shared" si="96"/>
        <v>0</v>
      </c>
      <c r="AI160" t="str">
        <f t="shared" si="97"/>
        <v/>
      </c>
      <c r="AV160" s="36" t="str">
        <f t="shared" si="98"/>
        <v/>
      </c>
      <c r="AW160" s="37" t="e">
        <f t="shared" si="99"/>
        <v>#NUM!</v>
      </c>
      <c r="AX160" s="236" t="e">
        <f t="shared" si="100"/>
        <v>#NUM!</v>
      </c>
      <c r="AY160" s="237" t="e">
        <f t="shared" si="111"/>
        <v>#NUM!</v>
      </c>
      <c r="AZ160" s="238" t="e">
        <f t="shared" si="101"/>
        <v>#NUM!</v>
      </c>
      <c r="BA160" s="237" t="e">
        <f t="shared" si="102"/>
        <v>#NUM!</v>
      </c>
      <c r="BB160" s="238" t="e">
        <f t="shared" si="103"/>
        <v>#NUM!</v>
      </c>
      <c r="BC160" s="239">
        <f>IFERROR(IF(OR($E$11=Resumen!$N$6,$E$8=Resumen!$N$6),Amortización!AY160*0.16,0),"")</f>
        <v>0</v>
      </c>
      <c r="BD160" s="237">
        <f t="shared" si="104"/>
        <v>0</v>
      </c>
      <c r="BE160" s="240">
        <f t="shared" si="84"/>
        <v>0</v>
      </c>
      <c r="BF160" s="43" t="str">
        <f t="shared" si="85"/>
        <v/>
      </c>
      <c r="BH160" s="243" t="e">
        <f t="shared" si="82"/>
        <v>#NUM!</v>
      </c>
      <c r="BI160" s="3"/>
      <c r="BJ160" s="187" t="str">
        <f t="shared" si="105"/>
        <v/>
      </c>
      <c r="BK160" s="42" t="e">
        <f t="shared" si="106"/>
        <v>#NUM!</v>
      </c>
      <c r="BL160" s="45"/>
      <c r="BM160" s="236"/>
    </row>
    <row r="161" spans="3:65" ht="15.5" thickTop="1" thickBot="1" x14ac:dyDescent="0.4">
      <c r="C161" s="36" t="str">
        <f t="shared" si="107"/>
        <v/>
      </c>
      <c r="D161" s="37" t="e">
        <f t="shared" si="108"/>
        <v>#NUM!</v>
      </c>
      <c r="E161" s="236">
        <f t="shared" si="112"/>
        <v>0</v>
      </c>
      <c r="F161" s="237" t="e">
        <f t="shared" si="113"/>
        <v>#NUM!</v>
      </c>
      <c r="G161" s="238" t="e">
        <f>IF(D161="","",L160*Resumen!$L$86/1000)</f>
        <v>#NUM!</v>
      </c>
      <c r="H161" s="237" t="e">
        <f t="shared" si="86"/>
        <v>#NUM!</v>
      </c>
      <c r="I161" s="238" t="e">
        <f>IF($E$16=$V$1,0,IF(D161="","",Amortización!$AE$14))</f>
        <v>#NUM!</v>
      </c>
      <c r="J161" s="239">
        <f>IFERROR(IF(OR($E$11=Resumen!$N$6,$E$8=Resumen!$N$6),Amortización!F161*0.16,0),"")</f>
        <v>0</v>
      </c>
      <c r="K161" s="237">
        <f t="shared" si="87"/>
        <v>0</v>
      </c>
      <c r="L161" s="240">
        <f t="shared" si="88"/>
        <v>0</v>
      </c>
      <c r="M161" s="43" t="str">
        <f t="shared" si="83"/>
        <v/>
      </c>
      <c r="N161" s="44" t="str">
        <f t="shared" si="89"/>
        <v/>
      </c>
      <c r="O161" s="44" t="str">
        <f t="shared" si="90"/>
        <v/>
      </c>
      <c r="P161" s="44" t="str">
        <f t="shared" si="91"/>
        <v/>
      </c>
      <c r="Q161" s="44"/>
      <c r="R161" s="243" t="e">
        <f t="shared" si="109"/>
        <v>#NUM!</v>
      </c>
      <c r="T161" s="187" t="str">
        <f t="shared" si="110"/>
        <v/>
      </c>
      <c r="U161" s="42" t="e">
        <f t="shared" si="92"/>
        <v>#NUM!</v>
      </c>
      <c r="V161" s="45">
        <f t="shared" si="93"/>
        <v>0</v>
      </c>
      <c r="X161" s="272" t="b">
        <f t="shared" si="81"/>
        <v>0</v>
      </c>
      <c r="Y161" s="39">
        <v>0</v>
      </c>
      <c r="AB161" s="357" t="e">
        <f t="shared" si="94"/>
        <v>#N/A</v>
      </c>
      <c r="AG161" s="307">
        <f t="shared" si="95"/>
        <v>0</v>
      </c>
      <c r="AH161" s="283">
        <f t="shared" si="96"/>
        <v>0</v>
      </c>
      <c r="AI161" t="str">
        <f t="shared" si="97"/>
        <v/>
      </c>
      <c r="AV161" s="36" t="str">
        <f t="shared" si="98"/>
        <v/>
      </c>
      <c r="AW161" s="37" t="e">
        <f t="shared" si="99"/>
        <v>#NUM!</v>
      </c>
      <c r="AX161" s="236" t="e">
        <f t="shared" si="100"/>
        <v>#NUM!</v>
      </c>
      <c r="AY161" s="237" t="e">
        <f t="shared" si="111"/>
        <v>#NUM!</v>
      </c>
      <c r="AZ161" s="238" t="e">
        <f t="shared" si="101"/>
        <v>#NUM!</v>
      </c>
      <c r="BA161" s="237" t="e">
        <f t="shared" si="102"/>
        <v>#NUM!</v>
      </c>
      <c r="BB161" s="238" t="e">
        <f t="shared" si="103"/>
        <v>#NUM!</v>
      </c>
      <c r="BC161" s="239">
        <f>IFERROR(IF(OR($E$11=Resumen!$N$6,$E$8=Resumen!$N$6),Amortización!AY161*0.16,0),"")</f>
        <v>0</v>
      </c>
      <c r="BD161" s="237">
        <f t="shared" si="104"/>
        <v>0</v>
      </c>
      <c r="BE161" s="240">
        <f t="shared" si="84"/>
        <v>0</v>
      </c>
      <c r="BF161" s="43" t="str">
        <f t="shared" si="85"/>
        <v/>
      </c>
      <c r="BH161" s="243" t="e">
        <f t="shared" si="82"/>
        <v>#NUM!</v>
      </c>
      <c r="BI161" s="3"/>
      <c r="BJ161" s="187" t="str">
        <f t="shared" si="105"/>
        <v/>
      </c>
      <c r="BK161" s="42" t="e">
        <f t="shared" si="106"/>
        <v>#NUM!</v>
      </c>
      <c r="BL161" s="45"/>
      <c r="BM161" s="44"/>
    </row>
    <row r="162" spans="3:65" ht="15.5" thickTop="1" thickBot="1" x14ac:dyDescent="0.4">
      <c r="C162" s="36" t="str">
        <f t="shared" si="107"/>
        <v/>
      </c>
      <c r="D162" s="37" t="e">
        <f t="shared" si="108"/>
        <v>#NUM!</v>
      </c>
      <c r="E162" s="236">
        <f t="shared" si="112"/>
        <v>0</v>
      </c>
      <c r="F162" s="237" t="e">
        <f t="shared" si="113"/>
        <v>#NUM!</v>
      </c>
      <c r="G162" s="238" t="e">
        <f>IF(D162="","",L161*Resumen!$L$86/1000)</f>
        <v>#NUM!</v>
      </c>
      <c r="H162" s="237" t="e">
        <f t="shared" si="86"/>
        <v>#NUM!</v>
      </c>
      <c r="I162" s="238" t="e">
        <f>IF($E$16=$V$1,0,IF(D162="","",Amortización!$AE$14))</f>
        <v>#NUM!</v>
      </c>
      <c r="J162" s="239">
        <f>IFERROR(IF(OR($E$11=Resumen!$N$6,$E$8=Resumen!$N$6),Amortización!F162*0.16,0),"")</f>
        <v>0</v>
      </c>
      <c r="K162" s="237">
        <f t="shared" si="87"/>
        <v>0</v>
      </c>
      <c r="L162" s="240">
        <f t="shared" si="88"/>
        <v>0</v>
      </c>
      <c r="M162" s="43" t="str">
        <f t="shared" si="83"/>
        <v/>
      </c>
      <c r="N162" s="44" t="str">
        <f t="shared" si="89"/>
        <v/>
      </c>
      <c r="O162" s="44" t="str">
        <f t="shared" si="90"/>
        <v/>
      </c>
      <c r="P162" s="44" t="str">
        <f t="shared" si="91"/>
        <v/>
      </c>
      <c r="Q162" s="236" t="str">
        <f>IF(OR(L161=0,L161=""),"",IF(E162&gt;=D162,0,$E$17*10%))</f>
        <v/>
      </c>
      <c r="R162" s="243" t="e">
        <f t="shared" si="109"/>
        <v>#NUM!</v>
      </c>
      <c r="T162" s="187" t="str">
        <f t="shared" si="110"/>
        <v/>
      </c>
      <c r="U162" s="42" t="e">
        <f t="shared" si="92"/>
        <v>#NUM!</v>
      </c>
      <c r="V162" s="45">
        <f t="shared" si="93"/>
        <v>0</v>
      </c>
      <c r="X162" s="272" t="b">
        <f t="shared" si="81"/>
        <v>0</v>
      </c>
      <c r="Y162" s="39">
        <v>0</v>
      </c>
      <c r="AB162" s="357" t="e">
        <f t="shared" si="94"/>
        <v>#N/A</v>
      </c>
      <c r="AG162" s="307">
        <f t="shared" si="95"/>
        <v>0</v>
      </c>
      <c r="AH162" s="283">
        <f t="shared" si="96"/>
        <v>0</v>
      </c>
      <c r="AI162" t="str">
        <f t="shared" si="97"/>
        <v/>
      </c>
      <c r="AV162" s="36" t="str">
        <f t="shared" si="98"/>
        <v/>
      </c>
      <c r="AW162" s="37" t="e">
        <f t="shared" si="99"/>
        <v>#NUM!</v>
      </c>
      <c r="AX162" s="236" t="e">
        <f t="shared" si="100"/>
        <v>#NUM!</v>
      </c>
      <c r="AY162" s="237" t="e">
        <f t="shared" si="111"/>
        <v>#NUM!</v>
      </c>
      <c r="AZ162" s="238" t="e">
        <f t="shared" si="101"/>
        <v>#NUM!</v>
      </c>
      <c r="BA162" s="237" t="e">
        <f t="shared" si="102"/>
        <v>#NUM!</v>
      </c>
      <c r="BB162" s="238" t="e">
        <f t="shared" si="103"/>
        <v>#NUM!</v>
      </c>
      <c r="BC162" s="239">
        <f>IFERROR(IF(OR($E$11=Resumen!$N$6,$E$8=Resumen!$N$6),Amortización!AY162*0.16,0),"")</f>
        <v>0</v>
      </c>
      <c r="BD162" s="237">
        <f t="shared" si="104"/>
        <v>0</v>
      </c>
      <c r="BE162" s="240">
        <f t="shared" si="84"/>
        <v>0</v>
      </c>
      <c r="BF162" s="43" t="str">
        <f t="shared" si="85"/>
        <v/>
      </c>
      <c r="BH162" s="243" t="e">
        <f t="shared" si="82"/>
        <v>#NUM!</v>
      </c>
      <c r="BI162" s="3"/>
      <c r="BJ162" s="187" t="str">
        <f t="shared" si="105"/>
        <v/>
      </c>
      <c r="BK162" s="42" t="e">
        <f t="shared" si="106"/>
        <v>#NUM!</v>
      </c>
      <c r="BL162" s="45"/>
      <c r="BM162" s="236"/>
    </row>
    <row r="163" spans="3:65" ht="15.5" thickTop="1" thickBot="1" x14ac:dyDescent="0.4">
      <c r="C163" s="36" t="str">
        <f t="shared" si="107"/>
        <v/>
      </c>
      <c r="D163" s="37" t="e">
        <f t="shared" si="108"/>
        <v>#NUM!</v>
      </c>
      <c r="E163" s="236">
        <f t="shared" si="112"/>
        <v>0</v>
      </c>
      <c r="F163" s="237" t="e">
        <f t="shared" si="113"/>
        <v>#NUM!</v>
      </c>
      <c r="G163" s="238" t="e">
        <f>IF(D163="","",L162*Resumen!$L$86/1000)</f>
        <v>#NUM!</v>
      </c>
      <c r="H163" s="237" t="e">
        <f t="shared" si="86"/>
        <v>#NUM!</v>
      </c>
      <c r="I163" s="238" t="e">
        <f>IF($E$16=$V$1,0,IF(D163="","",Amortización!$AE$14))</f>
        <v>#NUM!</v>
      </c>
      <c r="J163" s="239">
        <f>IFERROR(IF(OR($E$11=Resumen!$N$6,$E$8=Resumen!$N$6),Amortización!F163*0.16,0),"")</f>
        <v>0</v>
      </c>
      <c r="K163" s="237">
        <f t="shared" si="87"/>
        <v>0</v>
      </c>
      <c r="L163" s="240">
        <f t="shared" si="88"/>
        <v>0</v>
      </c>
      <c r="M163" s="43" t="str">
        <f t="shared" si="83"/>
        <v/>
      </c>
      <c r="N163" s="44" t="str">
        <f t="shared" si="89"/>
        <v/>
      </c>
      <c r="O163" s="44" t="str">
        <f t="shared" si="90"/>
        <v/>
      </c>
      <c r="P163" s="44" t="str">
        <f t="shared" si="91"/>
        <v/>
      </c>
      <c r="Q163" s="44"/>
      <c r="R163" s="243" t="e">
        <f t="shared" si="109"/>
        <v>#NUM!</v>
      </c>
      <c r="T163" s="187" t="str">
        <f t="shared" si="110"/>
        <v/>
      </c>
      <c r="U163" s="42" t="e">
        <f t="shared" si="92"/>
        <v>#NUM!</v>
      </c>
      <c r="V163" s="45">
        <f t="shared" si="93"/>
        <v>0</v>
      </c>
      <c r="X163" s="272" t="b">
        <f t="shared" si="81"/>
        <v>0</v>
      </c>
      <c r="Y163" s="39">
        <v>0</v>
      </c>
      <c r="AB163" s="357" t="e">
        <f t="shared" si="94"/>
        <v>#N/A</v>
      </c>
      <c r="AG163" s="307">
        <f t="shared" si="95"/>
        <v>0</v>
      </c>
      <c r="AH163" s="283">
        <f t="shared" si="96"/>
        <v>0</v>
      </c>
      <c r="AI163" t="str">
        <f t="shared" si="97"/>
        <v/>
      </c>
      <c r="AV163" s="36" t="str">
        <f t="shared" si="98"/>
        <v/>
      </c>
      <c r="AW163" s="37" t="e">
        <f t="shared" si="99"/>
        <v>#NUM!</v>
      </c>
      <c r="AX163" s="236" t="e">
        <f t="shared" si="100"/>
        <v>#NUM!</v>
      </c>
      <c r="AY163" s="237" t="e">
        <f t="shared" si="111"/>
        <v>#NUM!</v>
      </c>
      <c r="AZ163" s="238" t="e">
        <f t="shared" si="101"/>
        <v>#NUM!</v>
      </c>
      <c r="BA163" s="237" t="e">
        <f t="shared" si="102"/>
        <v>#NUM!</v>
      </c>
      <c r="BB163" s="238" t="e">
        <f t="shared" si="103"/>
        <v>#NUM!</v>
      </c>
      <c r="BC163" s="239">
        <f>IFERROR(IF(OR($E$11=Resumen!$N$6,$E$8=Resumen!$N$6),Amortización!AY163*0.16,0),"")</f>
        <v>0</v>
      </c>
      <c r="BD163" s="237">
        <f t="shared" si="104"/>
        <v>0</v>
      </c>
      <c r="BE163" s="240">
        <f t="shared" si="84"/>
        <v>0</v>
      </c>
      <c r="BF163" s="43" t="str">
        <f t="shared" si="85"/>
        <v/>
      </c>
      <c r="BH163" s="243" t="e">
        <f t="shared" si="82"/>
        <v>#NUM!</v>
      </c>
      <c r="BI163" s="3"/>
      <c r="BJ163" s="187" t="str">
        <f t="shared" si="105"/>
        <v/>
      </c>
      <c r="BK163" s="42" t="e">
        <f t="shared" si="106"/>
        <v>#NUM!</v>
      </c>
      <c r="BL163" s="45"/>
      <c r="BM163" s="44"/>
    </row>
    <row r="164" spans="3:65" ht="15.5" thickTop="1" thickBot="1" x14ac:dyDescent="0.4">
      <c r="C164" s="36" t="str">
        <f t="shared" si="107"/>
        <v/>
      </c>
      <c r="D164" s="37" t="e">
        <f t="shared" si="108"/>
        <v>#NUM!</v>
      </c>
      <c r="E164" s="236">
        <f t="shared" si="112"/>
        <v>0</v>
      </c>
      <c r="F164" s="237" t="e">
        <f t="shared" si="113"/>
        <v>#NUM!</v>
      </c>
      <c r="G164" s="238" t="e">
        <f>IF(D164="","",L163*Resumen!$L$86/1000)</f>
        <v>#NUM!</v>
      </c>
      <c r="H164" s="237" t="e">
        <f t="shared" si="86"/>
        <v>#NUM!</v>
      </c>
      <c r="I164" s="238" t="e">
        <f>IF($E$16=$V$1,0,IF(D164="","",Amortización!$AE$14))</f>
        <v>#NUM!</v>
      </c>
      <c r="J164" s="239">
        <f>IFERROR(IF(OR($E$11=Resumen!$N$6,$E$8=Resumen!$N$6),Amortización!F164*0.16,0),"")</f>
        <v>0</v>
      </c>
      <c r="K164" s="237">
        <f t="shared" si="87"/>
        <v>0</v>
      </c>
      <c r="L164" s="240">
        <f t="shared" si="88"/>
        <v>0</v>
      </c>
      <c r="M164" s="43" t="str">
        <f t="shared" si="83"/>
        <v/>
      </c>
      <c r="N164" s="44" t="str">
        <f t="shared" si="89"/>
        <v/>
      </c>
      <c r="O164" s="44" t="str">
        <f t="shared" si="90"/>
        <v/>
      </c>
      <c r="P164" s="44" t="str">
        <f t="shared" si="91"/>
        <v/>
      </c>
      <c r="Q164" s="236" t="str">
        <f>IF(OR(L163=0,L163=""),"",IF(E164&gt;=D164,0,$E$17*10%))</f>
        <v/>
      </c>
      <c r="R164" s="243" t="e">
        <f t="shared" si="109"/>
        <v>#NUM!</v>
      </c>
      <c r="T164" s="187" t="str">
        <f t="shared" si="110"/>
        <v/>
      </c>
      <c r="U164" s="42" t="e">
        <f t="shared" si="92"/>
        <v>#NUM!</v>
      </c>
      <c r="V164" s="45">
        <f t="shared" si="93"/>
        <v>0</v>
      </c>
      <c r="X164" s="272" t="b">
        <f t="shared" si="81"/>
        <v>0</v>
      </c>
      <c r="Y164" s="39">
        <v>0</v>
      </c>
      <c r="AB164" s="357" t="e">
        <f t="shared" si="94"/>
        <v>#N/A</v>
      </c>
      <c r="AG164" s="307">
        <f t="shared" si="95"/>
        <v>0</v>
      </c>
      <c r="AH164" s="283">
        <f t="shared" si="96"/>
        <v>0</v>
      </c>
      <c r="AI164" t="str">
        <f t="shared" si="97"/>
        <v/>
      </c>
      <c r="AV164" s="36" t="str">
        <f t="shared" si="98"/>
        <v/>
      </c>
      <c r="AW164" s="37" t="e">
        <f t="shared" si="99"/>
        <v>#NUM!</v>
      </c>
      <c r="AX164" s="236" t="e">
        <f t="shared" si="100"/>
        <v>#NUM!</v>
      </c>
      <c r="AY164" s="237" t="e">
        <f t="shared" si="111"/>
        <v>#NUM!</v>
      </c>
      <c r="AZ164" s="238" t="e">
        <f t="shared" si="101"/>
        <v>#NUM!</v>
      </c>
      <c r="BA164" s="237" t="e">
        <f t="shared" si="102"/>
        <v>#NUM!</v>
      </c>
      <c r="BB164" s="238" t="e">
        <f t="shared" si="103"/>
        <v>#NUM!</v>
      </c>
      <c r="BC164" s="239">
        <f>IFERROR(IF(OR($E$11=Resumen!$N$6,$E$8=Resumen!$N$6),Amortización!AY164*0.16,0),"")</f>
        <v>0</v>
      </c>
      <c r="BD164" s="237">
        <f t="shared" si="104"/>
        <v>0</v>
      </c>
      <c r="BE164" s="240">
        <f t="shared" si="84"/>
        <v>0</v>
      </c>
      <c r="BF164" s="43" t="str">
        <f t="shared" si="85"/>
        <v/>
      </c>
      <c r="BH164" s="243" t="e">
        <f t="shared" si="82"/>
        <v>#NUM!</v>
      </c>
      <c r="BI164" s="3"/>
      <c r="BJ164" s="187" t="str">
        <f t="shared" si="105"/>
        <v/>
      </c>
      <c r="BK164" s="42" t="e">
        <f t="shared" si="106"/>
        <v>#NUM!</v>
      </c>
      <c r="BL164" s="45"/>
      <c r="BM164" s="236"/>
    </row>
    <row r="165" spans="3:65" ht="15.5" thickTop="1" thickBot="1" x14ac:dyDescent="0.4">
      <c r="C165" s="36" t="str">
        <f t="shared" si="107"/>
        <v/>
      </c>
      <c r="D165" s="37" t="e">
        <f t="shared" si="108"/>
        <v>#NUM!</v>
      </c>
      <c r="E165" s="236">
        <f t="shared" si="112"/>
        <v>0</v>
      </c>
      <c r="F165" s="237" t="e">
        <f t="shared" si="113"/>
        <v>#NUM!</v>
      </c>
      <c r="G165" s="238" t="e">
        <f>IF(D165="","",L164*Resumen!$L$86/1000)</f>
        <v>#NUM!</v>
      </c>
      <c r="H165" s="237" t="e">
        <f t="shared" si="86"/>
        <v>#NUM!</v>
      </c>
      <c r="I165" s="238" t="e">
        <f>IF($E$16=$V$1,0,IF(D165="","",Amortización!$AE$14))</f>
        <v>#NUM!</v>
      </c>
      <c r="J165" s="239">
        <f>IFERROR(IF(OR($E$11=Resumen!$N$6,$E$8=Resumen!$N$6),Amortización!F165*0.16,0),"")</f>
        <v>0</v>
      </c>
      <c r="K165" s="237">
        <f t="shared" si="87"/>
        <v>0</v>
      </c>
      <c r="L165" s="240">
        <f t="shared" si="88"/>
        <v>0</v>
      </c>
      <c r="M165" s="43" t="str">
        <f t="shared" si="83"/>
        <v/>
      </c>
      <c r="N165" s="44" t="str">
        <f t="shared" si="89"/>
        <v/>
      </c>
      <c r="O165" s="44" t="str">
        <f t="shared" si="90"/>
        <v/>
      </c>
      <c r="P165" s="44" t="str">
        <f t="shared" si="91"/>
        <v/>
      </c>
      <c r="Q165" s="44"/>
      <c r="R165" s="243" t="e">
        <f t="shared" si="109"/>
        <v>#NUM!</v>
      </c>
      <c r="T165" s="187" t="str">
        <f t="shared" si="110"/>
        <v/>
      </c>
      <c r="U165" s="42" t="e">
        <f t="shared" si="92"/>
        <v>#NUM!</v>
      </c>
      <c r="V165" s="45">
        <f t="shared" si="93"/>
        <v>0</v>
      </c>
      <c r="X165" s="272" t="b">
        <f t="shared" ref="X165:X228" si="114">IF(OR(AND($E$8="Adquisicion",$E$9="Premier"),AND($E$8="Exclusiva",$E$9="Premier"),AND($E$8="Nomina Especial",$E$9="Premier")),X153*1.019,IF(OR(AND($E$8="Adquisicion",$E$9="No Premier"),AND($E$8="Exclusiva",$E$9="No Premier"),AND($E$8="Nomina Especial",$E$9="No Premier")),X153*1.019,IF($E$8="Pago de Hipoteca",X153*1.019)))</f>
        <v>0</v>
      </c>
      <c r="Y165" s="39">
        <v>0</v>
      </c>
      <c r="AB165" s="357" t="e">
        <f t="shared" si="94"/>
        <v>#N/A</v>
      </c>
      <c r="AG165" s="307">
        <f t="shared" si="95"/>
        <v>0</v>
      </c>
      <c r="AH165" s="283">
        <f t="shared" si="96"/>
        <v>0</v>
      </c>
      <c r="AI165" t="str">
        <f t="shared" si="97"/>
        <v/>
      </c>
      <c r="AV165" s="36" t="str">
        <f t="shared" si="98"/>
        <v/>
      </c>
      <c r="AW165" s="37" t="e">
        <f t="shared" si="99"/>
        <v>#NUM!</v>
      </c>
      <c r="AX165" s="236" t="e">
        <f t="shared" si="100"/>
        <v>#NUM!</v>
      </c>
      <c r="AY165" s="237" t="e">
        <f t="shared" si="111"/>
        <v>#NUM!</v>
      </c>
      <c r="AZ165" s="238" t="e">
        <f t="shared" si="101"/>
        <v>#NUM!</v>
      </c>
      <c r="BA165" s="237" t="e">
        <f t="shared" si="102"/>
        <v>#NUM!</v>
      </c>
      <c r="BB165" s="238" t="e">
        <f t="shared" si="103"/>
        <v>#NUM!</v>
      </c>
      <c r="BC165" s="239">
        <f>IFERROR(IF(OR($E$11=Resumen!$N$6,$E$8=Resumen!$N$6),Amortización!AY165*0.16,0),"")</f>
        <v>0</v>
      </c>
      <c r="BD165" s="237">
        <f t="shared" si="104"/>
        <v>0</v>
      </c>
      <c r="BE165" s="240">
        <f t="shared" si="84"/>
        <v>0</v>
      </c>
      <c r="BF165" s="43" t="str">
        <f t="shared" si="85"/>
        <v/>
      </c>
      <c r="BH165" s="243" t="e">
        <f t="shared" si="82"/>
        <v>#NUM!</v>
      </c>
      <c r="BI165" s="3"/>
      <c r="BJ165" s="187" t="str">
        <f t="shared" si="105"/>
        <v/>
      </c>
      <c r="BK165" s="42" t="e">
        <f t="shared" si="106"/>
        <v>#NUM!</v>
      </c>
      <c r="BL165" s="45"/>
      <c r="BM165" s="44"/>
    </row>
    <row r="166" spans="3:65" ht="15.5" thickTop="1" thickBot="1" x14ac:dyDescent="0.4">
      <c r="C166" s="36" t="str">
        <f t="shared" si="107"/>
        <v/>
      </c>
      <c r="D166" s="37" t="e">
        <f t="shared" si="108"/>
        <v>#NUM!</v>
      </c>
      <c r="E166" s="236">
        <f t="shared" si="112"/>
        <v>0</v>
      </c>
      <c r="F166" s="237" t="e">
        <f t="shared" si="113"/>
        <v>#NUM!</v>
      </c>
      <c r="G166" s="238" t="e">
        <f>IF(D166="","",L165*Resumen!$L$86/1000)</f>
        <v>#NUM!</v>
      </c>
      <c r="H166" s="237" t="e">
        <f t="shared" si="86"/>
        <v>#NUM!</v>
      </c>
      <c r="I166" s="238" t="e">
        <f>IF($E$16=$V$1,0,IF(D166="","",Amortización!$AE$14))</f>
        <v>#NUM!</v>
      </c>
      <c r="J166" s="239">
        <f>IFERROR(IF(OR($E$11=Resumen!$N$6,$E$8=Resumen!$N$6),Amortización!F166*0.16,0),"")</f>
        <v>0</v>
      </c>
      <c r="K166" s="237">
        <f t="shared" si="87"/>
        <v>0</v>
      </c>
      <c r="L166" s="240">
        <f t="shared" si="88"/>
        <v>0</v>
      </c>
      <c r="M166" s="43" t="str">
        <f t="shared" si="83"/>
        <v/>
      </c>
      <c r="N166" s="44" t="str">
        <f t="shared" si="89"/>
        <v/>
      </c>
      <c r="O166" s="44" t="str">
        <f t="shared" si="90"/>
        <v/>
      </c>
      <c r="P166" s="44" t="str">
        <f t="shared" si="91"/>
        <v/>
      </c>
      <c r="Q166" s="236" t="str">
        <f>IF(OR(L165=0,L165=""),"",IF(E166&gt;=D166,0,$E$17*10%))</f>
        <v/>
      </c>
      <c r="R166" s="243" t="e">
        <f t="shared" si="109"/>
        <v>#NUM!</v>
      </c>
      <c r="T166" s="187" t="str">
        <f t="shared" si="110"/>
        <v/>
      </c>
      <c r="U166" s="42" t="e">
        <f t="shared" si="92"/>
        <v>#NUM!</v>
      </c>
      <c r="V166" s="45">
        <f t="shared" si="93"/>
        <v>0</v>
      </c>
      <c r="X166" s="272" t="b">
        <f t="shared" si="114"/>
        <v>0</v>
      </c>
      <c r="Y166" s="39">
        <v>0</v>
      </c>
      <c r="AB166" s="357" t="e">
        <f t="shared" si="94"/>
        <v>#N/A</v>
      </c>
      <c r="AG166" s="307">
        <f t="shared" si="95"/>
        <v>0</v>
      </c>
      <c r="AH166" s="283">
        <f t="shared" si="96"/>
        <v>0</v>
      </c>
      <c r="AI166" t="str">
        <f t="shared" si="97"/>
        <v/>
      </c>
      <c r="AV166" s="36" t="str">
        <f t="shared" si="98"/>
        <v/>
      </c>
      <c r="AW166" s="37" t="e">
        <f t="shared" si="99"/>
        <v>#NUM!</v>
      </c>
      <c r="AX166" s="236" t="e">
        <f t="shared" si="100"/>
        <v>#NUM!</v>
      </c>
      <c r="AY166" s="237" t="e">
        <f t="shared" si="111"/>
        <v>#NUM!</v>
      </c>
      <c r="AZ166" s="238" t="e">
        <f t="shared" si="101"/>
        <v>#NUM!</v>
      </c>
      <c r="BA166" s="237" t="e">
        <f t="shared" si="102"/>
        <v>#NUM!</v>
      </c>
      <c r="BB166" s="238" t="e">
        <f t="shared" si="103"/>
        <v>#NUM!</v>
      </c>
      <c r="BC166" s="239">
        <f>IFERROR(IF(OR($E$11=Resumen!$N$6,$E$8=Resumen!$N$6),Amortización!AY166*0.16,0),"")</f>
        <v>0</v>
      </c>
      <c r="BD166" s="237">
        <f t="shared" si="104"/>
        <v>0</v>
      </c>
      <c r="BE166" s="240">
        <f t="shared" si="84"/>
        <v>0</v>
      </c>
      <c r="BF166" s="43" t="str">
        <f t="shared" si="85"/>
        <v/>
      </c>
      <c r="BH166" s="243" t="e">
        <f t="shared" si="82"/>
        <v>#NUM!</v>
      </c>
      <c r="BI166" s="3"/>
      <c r="BJ166" s="187" t="str">
        <f t="shared" si="105"/>
        <v/>
      </c>
      <c r="BK166" s="42" t="e">
        <f t="shared" si="106"/>
        <v>#NUM!</v>
      </c>
      <c r="BL166" s="45"/>
      <c r="BM166" s="236"/>
    </row>
    <row r="167" spans="3:65" ht="15.5" thickTop="1" thickBot="1" x14ac:dyDescent="0.4">
      <c r="C167" s="36" t="str">
        <f t="shared" si="107"/>
        <v/>
      </c>
      <c r="D167" s="37" t="e">
        <f t="shared" si="108"/>
        <v>#NUM!</v>
      </c>
      <c r="E167" s="236">
        <f t="shared" si="112"/>
        <v>0</v>
      </c>
      <c r="F167" s="237" t="e">
        <f t="shared" si="113"/>
        <v>#NUM!</v>
      </c>
      <c r="G167" s="238" t="e">
        <f>IF(D167="","",L166*Resumen!$L$86/1000)</f>
        <v>#NUM!</v>
      </c>
      <c r="H167" s="237" t="e">
        <f t="shared" si="86"/>
        <v>#NUM!</v>
      </c>
      <c r="I167" s="238" t="e">
        <f>IF($E$16=$V$1,0,IF(D167="","",Amortización!$AE$14))</f>
        <v>#NUM!</v>
      </c>
      <c r="J167" s="239">
        <f>IFERROR(IF(OR($E$11=Resumen!$N$6,$E$8=Resumen!$N$6),Amortización!F167*0.16,0),"")</f>
        <v>0</v>
      </c>
      <c r="K167" s="237">
        <f t="shared" si="87"/>
        <v>0</v>
      </c>
      <c r="L167" s="240">
        <f t="shared" si="88"/>
        <v>0</v>
      </c>
      <c r="M167" s="43" t="str">
        <f t="shared" si="83"/>
        <v/>
      </c>
      <c r="N167" s="44" t="str">
        <f t="shared" si="89"/>
        <v/>
      </c>
      <c r="O167" s="44" t="str">
        <f t="shared" si="90"/>
        <v/>
      </c>
      <c r="P167" s="44" t="str">
        <f t="shared" si="91"/>
        <v/>
      </c>
      <c r="Q167" s="44"/>
      <c r="R167" s="243" t="e">
        <f t="shared" si="109"/>
        <v>#NUM!</v>
      </c>
      <c r="T167" s="187" t="str">
        <f t="shared" si="110"/>
        <v/>
      </c>
      <c r="U167" s="42" t="e">
        <f t="shared" si="92"/>
        <v>#NUM!</v>
      </c>
      <c r="V167" s="45">
        <f t="shared" si="93"/>
        <v>0</v>
      </c>
      <c r="X167" s="272" t="b">
        <f t="shared" si="114"/>
        <v>0</v>
      </c>
      <c r="Y167" s="39">
        <v>0</v>
      </c>
      <c r="AB167" s="357" t="e">
        <f t="shared" si="94"/>
        <v>#N/A</v>
      </c>
      <c r="AG167" s="307">
        <f t="shared" si="95"/>
        <v>0</v>
      </c>
      <c r="AH167" s="283">
        <f t="shared" si="96"/>
        <v>0</v>
      </c>
      <c r="AI167" t="str">
        <f t="shared" si="97"/>
        <v/>
      </c>
      <c r="AV167" s="36" t="str">
        <f t="shared" si="98"/>
        <v/>
      </c>
      <c r="AW167" s="37" t="e">
        <f t="shared" si="99"/>
        <v>#NUM!</v>
      </c>
      <c r="AX167" s="236" t="e">
        <f t="shared" si="100"/>
        <v>#NUM!</v>
      </c>
      <c r="AY167" s="237" t="e">
        <f t="shared" si="111"/>
        <v>#NUM!</v>
      </c>
      <c r="AZ167" s="238" t="e">
        <f t="shared" si="101"/>
        <v>#NUM!</v>
      </c>
      <c r="BA167" s="237" t="e">
        <f t="shared" si="102"/>
        <v>#NUM!</v>
      </c>
      <c r="BB167" s="238" t="e">
        <f t="shared" si="103"/>
        <v>#NUM!</v>
      </c>
      <c r="BC167" s="239">
        <f>IFERROR(IF(OR($E$11=Resumen!$N$6,$E$8=Resumen!$N$6),Amortización!AY167*0.16,0),"")</f>
        <v>0</v>
      </c>
      <c r="BD167" s="237">
        <f t="shared" si="104"/>
        <v>0</v>
      </c>
      <c r="BE167" s="240">
        <f t="shared" si="84"/>
        <v>0</v>
      </c>
      <c r="BF167" s="43" t="str">
        <f t="shared" si="85"/>
        <v/>
      </c>
      <c r="BH167" s="243" t="e">
        <f t="shared" si="82"/>
        <v>#NUM!</v>
      </c>
      <c r="BI167" s="3"/>
      <c r="BJ167" s="187" t="str">
        <f t="shared" si="105"/>
        <v/>
      </c>
      <c r="BK167" s="42" t="e">
        <f t="shared" si="106"/>
        <v>#NUM!</v>
      </c>
      <c r="BL167" s="45"/>
      <c r="BM167" s="44"/>
    </row>
    <row r="168" spans="3:65" ht="15.5" thickTop="1" thickBot="1" x14ac:dyDescent="0.4">
      <c r="C168" s="36" t="str">
        <f t="shared" si="107"/>
        <v/>
      </c>
      <c r="D168" s="37" t="e">
        <f t="shared" si="108"/>
        <v>#NUM!</v>
      </c>
      <c r="E168" s="236">
        <f t="shared" si="112"/>
        <v>0</v>
      </c>
      <c r="F168" s="237" t="e">
        <f t="shared" si="113"/>
        <v>#NUM!</v>
      </c>
      <c r="G168" s="238" t="e">
        <f>IF(D168="","",L167*Resumen!$L$86/1000)</f>
        <v>#NUM!</v>
      </c>
      <c r="H168" s="237" t="e">
        <f t="shared" si="86"/>
        <v>#NUM!</v>
      </c>
      <c r="I168" s="238" t="e">
        <f>IF($E$16=$V$1,0,IF(D168="","",Amortización!$AE$14))</f>
        <v>#NUM!</v>
      </c>
      <c r="J168" s="239">
        <f>IFERROR(IF(OR($E$11=Resumen!$N$6,$E$8=Resumen!$N$6),Amortización!F168*0.16,0),"")</f>
        <v>0</v>
      </c>
      <c r="K168" s="237">
        <f t="shared" si="87"/>
        <v>0</v>
      </c>
      <c r="L168" s="240">
        <f t="shared" si="88"/>
        <v>0</v>
      </c>
      <c r="M168" s="43" t="str">
        <f t="shared" si="83"/>
        <v/>
      </c>
      <c r="N168" s="44" t="str">
        <f t="shared" si="89"/>
        <v/>
      </c>
      <c r="O168" s="44" t="str">
        <f t="shared" si="90"/>
        <v/>
      </c>
      <c r="P168" s="44" t="str">
        <f t="shared" si="91"/>
        <v/>
      </c>
      <c r="Q168" s="236" t="str">
        <f>IF(OR(L167=0,L167=""),"",IF(E168&gt;=D168,0,$E$17*10%))</f>
        <v/>
      </c>
      <c r="R168" s="243" t="e">
        <f t="shared" si="109"/>
        <v>#NUM!</v>
      </c>
      <c r="T168" s="187" t="str">
        <f t="shared" si="110"/>
        <v/>
      </c>
      <c r="U168" s="42" t="e">
        <f t="shared" si="92"/>
        <v>#NUM!</v>
      </c>
      <c r="V168" s="45">
        <f t="shared" si="93"/>
        <v>0</v>
      </c>
      <c r="X168" s="272" t="b">
        <f t="shared" si="114"/>
        <v>0</v>
      </c>
      <c r="Y168" s="39">
        <v>0</v>
      </c>
      <c r="AB168" s="357" t="e">
        <f t="shared" si="94"/>
        <v>#N/A</v>
      </c>
      <c r="AG168" s="307">
        <f t="shared" si="95"/>
        <v>0</v>
      </c>
      <c r="AH168" s="283">
        <f t="shared" si="96"/>
        <v>0</v>
      </c>
      <c r="AI168" t="str">
        <f t="shared" si="97"/>
        <v/>
      </c>
      <c r="AV168" s="36" t="str">
        <f t="shared" si="98"/>
        <v/>
      </c>
      <c r="AW168" s="37" t="e">
        <f t="shared" si="99"/>
        <v>#NUM!</v>
      </c>
      <c r="AX168" s="236" t="e">
        <f t="shared" si="100"/>
        <v>#NUM!</v>
      </c>
      <c r="AY168" s="237" t="e">
        <f t="shared" si="111"/>
        <v>#NUM!</v>
      </c>
      <c r="AZ168" s="238" t="e">
        <f t="shared" si="101"/>
        <v>#NUM!</v>
      </c>
      <c r="BA168" s="237" t="e">
        <f t="shared" si="102"/>
        <v>#NUM!</v>
      </c>
      <c r="BB168" s="238" t="e">
        <f t="shared" si="103"/>
        <v>#NUM!</v>
      </c>
      <c r="BC168" s="239">
        <f>IFERROR(IF(OR($E$11=Resumen!$N$6,$E$8=Resumen!$N$6),Amortización!AY168*0.16,0),"")</f>
        <v>0</v>
      </c>
      <c r="BD168" s="237">
        <f t="shared" si="104"/>
        <v>0</v>
      </c>
      <c r="BE168" s="240">
        <f t="shared" si="84"/>
        <v>0</v>
      </c>
      <c r="BF168" s="43" t="str">
        <f t="shared" si="85"/>
        <v/>
      </c>
      <c r="BH168" s="243" t="e">
        <f t="shared" si="82"/>
        <v>#NUM!</v>
      </c>
      <c r="BI168" s="3"/>
      <c r="BJ168" s="187" t="str">
        <f t="shared" si="105"/>
        <v/>
      </c>
      <c r="BK168" s="42" t="e">
        <f t="shared" si="106"/>
        <v>#NUM!</v>
      </c>
      <c r="BL168" s="45"/>
      <c r="BM168" s="236"/>
    </row>
    <row r="169" spans="3:65" ht="15.5" thickTop="1" thickBot="1" x14ac:dyDescent="0.4">
      <c r="C169" s="36" t="str">
        <f t="shared" si="107"/>
        <v/>
      </c>
      <c r="D169" s="37" t="e">
        <f t="shared" si="108"/>
        <v>#NUM!</v>
      </c>
      <c r="E169" s="236">
        <f t="shared" si="112"/>
        <v>0</v>
      </c>
      <c r="F169" s="237" t="e">
        <f t="shared" si="113"/>
        <v>#NUM!</v>
      </c>
      <c r="G169" s="238" t="e">
        <f>IF(D169="","",L168*Resumen!$L$86/1000)</f>
        <v>#NUM!</v>
      </c>
      <c r="H169" s="237" t="e">
        <f t="shared" si="86"/>
        <v>#NUM!</v>
      </c>
      <c r="I169" s="238" t="e">
        <f>IF($E$16=$V$1,0,IF(D169="","",Amortización!$AE$14))</f>
        <v>#NUM!</v>
      </c>
      <c r="J169" s="239">
        <f>IFERROR(IF(OR($E$11=Resumen!$N$6,$E$8=Resumen!$N$6),Amortización!F169*0.16,0),"")</f>
        <v>0</v>
      </c>
      <c r="K169" s="237">
        <f t="shared" si="87"/>
        <v>0</v>
      </c>
      <c r="L169" s="240">
        <f t="shared" si="88"/>
        <v>0</v>
      </c>
      <c r="M169" s="43" t="str">
        <f t="shared" si="83"/>
        <v/>
      </c>
      <c r="N169" s="44" t="str">
        <f t="shared" si="89"/>
        <v/>
      </c>
      <c r="O169" s="44" t="str">
        <f t="shared" si="90"/>
        <v/>
      </c>
      <c r="P169" s="44" t="str">
        <f t="shared" si="91"/>
        <v/>
      </c>
      <c r="Q169" s="44"/>
      <c r="R169" s="243" t="e">
        <f t="shared" si="109"/>
        <v>#NUM!</v>
      </c>
      <c r="T169" s="187" t="str">
        <f t="shared" si="110"/>
        <v/>
      </c>
      <c r="U169" s="42" t="e">
        <f t="shared" si="92"/>
        <v>#NUM!</v>
      </c>
      <c r="V169" s="45">
        <f t="shared" si="93"/>
        <v>0</v>
      </c>
      <c r="X169" s="272" t="b">
        <f t="shared" si="114"/>
        <v>0</v>
      </c>
      <c r="Y169" s="39">
        <v>0</v>
      </c>
      <c r="AB169" s="357" t="e">
        <f t="shared" si="94"/>
        <v>#N/A</v>
      </c>
      <c r="AG169" s="307">
        <f t="shared" si="95"/>
        <v>0</v>
      </c>
      <c r="AH169" s="283">
        <f t="shared" si="96"/>
        <v>0</v>
      </c>
      <c r="AI169" t="str">
        <f t="shared" si="97"/>
        <v/>
      </c>
      <c r="AV169" s="36" t="str">
        <f t="shared" si="98"/>
        <v/>
      </c>
      <c r="AW169" s="37" t="e">
        <f t="shared" si="99"/>
        <v>#NUM!</v>
      </c>
      <c r="AX169" s="236" t="e">
        <f t="shared" si="100"/>
        <v>#NUM!</v>
      </c>
      <c r="AY169" s="237" t="e">
        <f t="shared" si="111"/>
        <v>#NUM!</v>
      </c>
      <c r="AZ169" s="238" t="e">
        <f t="shared" si="101"/>
        <v>#NUM!</v>
      </c>
      <c r="BA169" s="237" t="e">
        <f t="shared" si="102"/>
        <v>#NUM!</v>
      </c>
      <c r="BB169" s="238" t="e">
        <f t="shared" si="103"/>
        <v>#NUM!</v>
      </c>
      <c r="BC169" s="239">
        <f>IFERROR(IF(OR($E$11=Resumen!$N$6,$E$8=Resumen!$N$6),Amortización!AY169*0.16,0),"")</f>
        <v>0</v>
      </c>
      <c r="BD169" s="237">
        <f t="shared" si="104"/>
        <v>0</v>
      </c>
      <c r="BE169" s="240">
        <f t="shared" si="84"/>
        <v>0</v>
      </c>
      <c r="BF169" s="43" t="str">
        <f t="shared" si="85"/>
        <v/>
      </c>
      <c r="BH169" s="243" t="e">
        <f t="shared" si="82"/>
        <v>#NUM!</v>
      </c>
      <c r="BI169" s="3"/>
      <c r="BJ169" s="187" t="str">
        <f t="shared" si="105"/>
        <v/>
      </c>
      <c r="BK169" s="42" t="e">
        <f t="shared" si="106"/>
        <v>#NUM!</v>
      </c>
      <c r="BL169" s="45"/>
      <c r="BM169" s="44"/>
    </row>
    <row r="170" spans="3:65" ht="15.5" thickTop="1" thickBot="1" x14ac:dyDescent="0.4">
      <c r="C170" s="36" t="str">
        <f t="shared" si="107"/>
        <v/>
      </c>
      <c r="D170" s="37" t="e">
        <f t="shared" si="108"/>
        <v>#NUM!</v>
      </c>
      <c r="E170" s="236">
        <f t="shared" si="112"/>
        <v>0</v>
      </c>
      <c r="F170" s="237" t="e">
        <f t="shared" si="113"/>
        <v>#NUM!</v>
      </c>
      <c r="G170" s="238" t="e">
        <f>IF(D170="","",L169*Resumen!$L$86/1000)</f>
        <v>#NUM!</v>
      </c>
      <c r="H170" s="237" t="e">
        <f t="shared" si="86"/>
        <v>#NUM!</v>
      </c>
      <c r="I170" s="238" t="e">
        <f>IF($E$16=$V$1,0,IF(D170="","",Amortización!$AE$14))</f>
        <v>#NUM!</v>
      </c>
      <c r="J170" s="239">
        <f>IFERROR(IF(OR($E$11=Resumen!$N$6,$E$8=Resumen!$N$6),Amortización!F170*0.16,0),"")</f>
        <v>0</v>
      </c>
      <c r="K170" s="237">
        <f t="shared" si="87"/>
        <v>0</v>
      </c>
      <c r="L170" s="240">
        <f t="shared" si="88"/>
        <v>0</v>
      </c>
      <c r="M170" s="43" t="str">
        <f t="shared" si="83"/>
        <v/>
      </c>
      <c r="N170" s="44" t="str">
        <f t="shared" si="89"/>
        <v/>
      </c>
      <c r="O170" s="44" t="str">
        <f t="shared" si="90"/>
        <v/>
      </c>
      <c r="P170" s="44" t="str">
        <f t="shared" si="91"/>
        <v/>
      </c>
      <c r="Q170" s="236" t="str">
        <f>IF(OR(L169=0,L169=""),"",IF(E170&gt;=D170,0,$E$17*10%))</f>
        <v/>
      </c>
      <c r="R170" s="243" t="e">
        <f t="shared" si="109"/>
        <v>#NUM!</v>
      </c>
      <c r="T170" s="187" t="str">
        <f t="shared" si="110"/>
        <v/>
      </c>
      <c r="U170" s="42" t="e">
        <f t="shared" si="92"/>
        <v>#NUM!</v>
      </c>
      <c r="V170" s="45">
        <f t="shared" si="93"/>
        <v>0</v>
      </c>
      <c r="X170" s="272" t="b">
        <f t="shared" si="114"/>
        <v>0</v>
      </c>
      <c r="Y170" s="39">
        <v>0</v>
      </c>
      <c r="AB170" s="357" t="e">
        <f t="shared" si="94"/>
        <v>#N/A</v>
      </c>
      <c r="AG170" s="307">
        <f t="shared" si="95"/>
        <v>0</v>
      </c>
      <c r="AH170" s="283">
        <f t="shared" si="96"/>
        <v>0</v>
      </c>
      <c r="AI170" t="str">
        <f t="shared" si="97"/>
        <v/>
      </c>
      <c r="AV170" s="36" t="str">
        <f t="shared" si="98"/>
        <v/>
      </c>
      <c r="AW170" s="37" t="e">
        <f t="shared" si="99"/>
        <v>#NUM!</v>
      </c>
      <c r="AX170" s="236" t="e">
        <f t="shared" si="100"/>
        <v>#NUM!</v>
      </c>
      <c r="AY170" s="237" t="e">
        <f t="shared" si="111"/>
        <v>#NUM!</v>
      </c>
      <c r="AZ170" s="238" t="e">
        <f t="shared" si="101"/>
        <v>#NUM!</v>
      </c>
      <c r="BA170" s="237" t="e">
        <f t="shared" si="102"/>
        <v>#NUM!</v>
      </c>
      <c r="BB170" s="238" t="e">
        <f t="shared" si="103"/>
        <v>#NUM!</v>
      </c>
      <c r="BC170" s="239">
        <f>IFERROR(IF(OR($E$11=Resumen!$N$6,$E$8=Resumen!$N$6),Amortización!AY170*0.16,0),"")</f>
        <v>0</v>
      </c>
      <c r="BD170" s="237">
        <f t="shared" si="104"/>
        <v>0</v>
      </c>
      <c r="BE170" s="240">
        <f t="shared" si="84"/>
        <v>0</v>
      </c>
      <c r="BF170" s="43" t="str">
        <f t="shared" si="85"/>
        <v/>
      </c>
      <c r="BH170" s="243" t="e">
        <f t="shared" si="82"/>
        <v>#NUM!</v>
      </c>
      <c r="BI170" s="3"/>
      <c r="BJ170" s="187" t="str">
        <f t="shared" si="105"/>
        <v/>
      </c>
      <c r="BK170" s="42" t="e">
        <f t="shared" si="106"/>
        <v>#NUM!</v>
      </c>
      <c r="BL170" s="45"/>
      <c r="BM170" s="236"/>
    </row>
    <row r="171" spans="3:65" ht="15.5" thickTop="1" thickBot="1" x14ac:dyDescent="0.4">
      <c r="C171" s="36" t="str">
        <f t="shared" si="107"/>
        <v/>
      </c>
      <c r="D171" s="37" t="e">
        <f t="shared" si="108"/>
        <v>#NUM!</v>
      </c>
      <c r="E171" s="236">
        <f t="shared" si="112"/>
        <v>0</v>
      </c>
      <c r="F171" s="237" t="e">
        <f t="shared" si="113"/>
        <v>#NUM!</v>
      </c>
      <c r="G171" s="238" t="e">
        <f>IF(D171="","",L170*Resumen!$L$86/1000)</f>
        <v>#NUM!</v>
      </c>
      <c r="H171" s="237" t="e">
        <f t="shared" si="86"/>
        <v>#NUM!</v>
      </c>
      <c r="I171" s="238" t="e">
        <f>IF($E$16=$V$1,0,IF(D171="","",Amortización!$AE$14))</f>
        <v>#NUM!</v>
      </c>
      <c r="J171" s="239">
        <f>IFERROR(IF(OR($E$11=Resumen!$N$6,$E$8=Resumen!$N$6),Amortización!F171*0.16,0),"")</f>
        <v>0</v>
      </c>
      <c r="K171" s="237">
        <f t="shared" si="87"/>
        <v>0</v>
      </c>
      <c r="L171" s="240">
        <f t="shared" si="88"/>
        <v>0</v>
      </c>
      <c r="M171" s="43" t="str">
        <f t="shared" si="83"/>
        <v/>
      </c>
      <c r="N171" s="44" t="str">
        <f t="shared" si="89"/>
        <v/>
      </c>
      <c r="O171" s="44" t="str">
        <f t="shared" si="90"/>
        <v/>
      </c>
      <c r="P171" s="44" t="str">
        <f t="shared" si="91"/>
        <v/>
      </c>
      <c r="Q171" s="44"/>
      <c r="R171" s="243" t="e">
        <f t="shared" si="109"/>
        <v>#NUM!</v>
      </c>
      <c r="T171" s="187" t="str">
        <f t="shared" si="110"/>
        <v/>
      </c>
      <c r="U171" s="42" t="e">
        <f t="shared" si="92"/>
        <v>#NUM!</v>
      </c>
      <c r="V171" s="45">
        <f t="shared" si="93"/>
        <v>0</v>
      </c>
      <c r="X171" s="272" t="b">
        <f t="shared" si="114"/>
        <v>0</v>
      </c>
      <c r="Y171" s="39">
        <v>0</v>
      </c>
      <c r="AB171" s="357" t="e">
        <f t="shared" si="94"/>
        <v>#N/A</v>
      </c>
      <c r="AG171" s="307">
        <f t="shared" si="95"/>
        <v>0</v>
      </c>
      <c r="AH171" s="283">
        <f t="shared" si="96"/>
        <v>0</v>
      </c>
      <c r="AI171" t="str">
        <f t="shared" si="97"/>
        <v/>
      </c>
      <c r="AV171" s="36" t="str">
        <f t="shared" si="98"/>
        <v/>
      </c>
      <c r="AW171" s="37" t="e">
        <f t="shared" si="99"/>
        <v>#NUM!</v>
      </c>
      <c r="AX171" s="236" t="e">
        <f t="shared" si="100"/>
        <v>#NUM!</v>
      </c>
      <c r="AY171" s="237" t="e">
        <f t="shared" si="111"/>
        <v>#NUM!</v>
      </c>
      <c r="AZ171" s="238" t="e">
        <f t="shared" si="101"/>
        <v>#NUM!</v>
      </c>
      <c r="BA171" s="237" t="e">
        <f t="shared" si="102"/>
        <v>#NUM!</v>
      </c>
      <c r="BB171" s="238" t="e">
        <f t="shared" si="103"/>
        <v>#NUM!</v>
      </c>
      <c r="BC171" s="239">
        <f>IFERROR(IF(OR($E$11=Resumen!$N$6,$E$8=Resumen!$N$6),Amortización!AY171*0.16,0),"")</f>
        <v>0</v>
      </c>
      <c r="BD171" s="237">
        <f t="shared" si="104"/>
        <v>0</v>
      </c>
      <c r="BE171" s="240">
        <f t="shared" si="84"/>
        <v>0</v>
      </c>
      <c r="BF171" s="43" t="str">
        <f t="shared" si="85"/>
        <v/>
      </c>
      <c r="BH171" s="243" t="e">
        <f t="shared" si="82"/>
        <v>#NUM!</v>
      </c>
      <c r="BI171" s="3"/>
      <c r="BJ171" s="187" t="str">
        <f t="shared" si="105"/>
        <v/>
      </c>
      <c r="BK171" s="42" t="e">
        <f t="shared" si="106"/>
        <v>#NUM!</v>
      </c>
      <c r="BL171" s="45"/>
      <c r="BM171" s="44"/>
    </row>
    <row r="172" spans="3:65" ht="15.5" thickTop="1" thickBot="1" x14ac:dyDescent="0.4">
      <c r="C172" s="36" t="str">
        <f t="shared" si="107"/>
        <v/>
      </c>
      <c r="D172" s="37" t="e">
        <f t="shared" si="108"/>
        <v>#NUM!</v>
      </c>
      <c r="E172" s="236">
        <f t="shared" si="112"/>
        <v>0</v>
      </c>
      <c r="F172" s="237" t="e">
        <f t="shared" si="113"/>
        <v>#NUM!</v>
      </c>
      <c r="G172" s="238" t="e">
        <f>IF(D172="","",L171*Resumen!$L$86/1000)</f>
        <v>#NUM!</v>
      </c>
      <c r="H172" s="237" t="e">
        <f t="shared" si="86"/>
        <v>#NUM!</v>
      </c>
      <c r="I172" s="238" t="e">
        <f>IF($E$16=$V$1,0,IF(D172="","",Amortización!$AE$14))</f>
        <v>#NUM!</v>
      </c>
      <c r="J172" s="239">
        <f>IFERROR(IF(OR($E$11=Resumen!$N$6,$E$8=Resumen!$N$6),Amortización!F172*0.16,0),"")</f>
        <v>0</v>
      </c>
      <c r="K172" s="237">
        <f t="shared" si="87"/>
        <v>0</v>
      </c>
      <c r="L172" s="240">
        <f t="shared" si="88"/>
        <v>0</v>
      </c>
      <c r="M172" s="43" t="str">
        <f t="shared" si="83"/>
        <v/>
      </c>
      <c r="N172" s="44" t="str">
        <f t="shared" si="89"/>
        <v/>
      </c>
      <c r="O172" s="44" t="str">
        <f t="shared" si="90"/>
        <v/>
      </c>
      <c r="P172" s="44" t="str">
        <f t="shared" si="91"/>
        <v/>
      </c>
      <c r="Q172" s="236" t="str">
        <f>IF(OR(L171=0,L171=""),"",IF(E172&gt;=D172,0,$E$17*10%))</f>
        <v/>
      </c>
      <c r="R172" s="243" t="e">
        <f t="shared" si="109"/>
        <v>#NUM!</v>
      </c>
      <c r="T172" s="187" t="str">
        <f t="shared" si="110"/>
        <v/>
      </c>
      <c r="U172" s="42" t="e">
        <f t="shared" si="92"/>
        <v>#NUM!</v>
      </c>
      <c r="V172" s="45">
        <f t="shared" si="93"/>
        <v>0</v>
      </c>
      <c r="X172" s="272" t="b">
        <f t="shared" si="114"/>
        <v>0</v>
      </c>
      <c r="Y172" s="39">
        <v>0</v>
      </c>
      <c r="AB172" s="357" t="e">
        <f t="shared" si="94"/>
        <v>#N/A</v>
      </c>
      <c r="AG172" s="307">
        <f t="shared" si="95"/>
        <v>0</v>
      </c>
      <c r="AH172" s="283">
        <f t="shared" si="96"/>
        <v>0</v>
      </c>
      <c r="AI172" t="str">
        <f t="shared" si="97"/>
        <v/>
      </c>
      <c r="AV172" s="36" t="str">
        <f t="shared" si="98"/>
        <v/>
      </c>
      <c r="AW172" s="37" t="e">
        <f t="shared" si="99"/>
        <v>#NUM!</v>
      </c>
      <c r="AX172" s="236" t="e">
        <f t="shared" si="100"/>
        <v>#NUM!</v>
      </c>
      <c r="AY172" s="237" t="e">
        <f t="shared" si="111"/>
        <v>#NUM!</v>
      </c>
      <c r="AZ172" s="238" t="e">
        <f t="shared" si="101"/>
        <v>#NUM!</v>
      </c>
      <c r="BA172" s="237" t="e">
        <f t="shared" si="102"/>
        <v>#NUM!</v>
      </c>
      <c r="BB172" s="238" t="e">
        <f t="shared" si="103"/>
        <v>#NUM!</v>
      </c>
      <c r="BC172" s="239">
        <f>IFERROR(IF(OR($E$11=Resumen!$N$6,$E$8=Resumen!$N$6),Amortización!AY172*0.16,0),"")</f>
        <v>0</v>
      </c>
      <c r="BD172" s="237">
        <f t="shared" si="104"/>
        <v>0</v>
      </c>
      <c r="BE172" s="240">
        <f t="shared" si="84"/>
        <v>0</v>
      </c>
      <c r="BF172" s="43" t="str">
        <f t="shared" si="85"/>
        <v/>
      </c>
      <c r="BH172" s="243" t="e">
        <f t="shared" si="82"/>
        <v>#NUM!</v>
      </c>
      <c r="BI172" s="3"/>
      <c r="BJ172" s="187" t="str">
        <f t="shared" si="105"/>
        <v/>
      </c>
      <c r="BK172" s="42" t="e">
        <f t="shared" si="106"/>
        <v>#NUM!</v>
      </c>
      <c r="BL172" s="45"/>
      <c r="BM172" s="236"/>
    </row>
    <row r="173" spans="3:65" ht="15.5" thickTop="1" thickBot="1" x14ac:dyDescent="0.4">
      <c r="C173" s="36" t="str">
        <f t="shared" si="107"/>
        <v/>
      </c>
      <c r="D173" s="37" t="e">
        <f t="shared" si="108"/>
        <v>#NUM!</v>
      </c>
      <c r="E173" s="236">
        <f t="shared" si="112"/>
        <v>0</v>
      </c>
      <c r="F173" s="237" t="e">
        <f t="shared" si="113"/>
        <v>#NUM!</v>
      </c>
      <c r="G173" s="238" t="e">
        <f>IF(D173="","",L172*Resumen!$L$86/1000)</f>
        <v>#NUM!</v>
      </c>
      <c r="H173" s="237" t="e">
        <f t="shared" si="86"/>
        <v>#NUM!</v>
      </c>
      <c r="I173" s="238" t="e">
        <f>IF($E$16=$V$1,0,IF(D173="","",Amortización!$AE$14))</f>
        <v>#NUM!</v>
      </c>
      <c r="J173" s="239">
        <f>IFERROR(IF(OR($E$11=Resumen!$N$6,$E$8=Resumen!$N$6),Amortización!F173*0.16,0),"")</f>
        <v>0</v>
      </c>
      <c r="K173" s="237">
        <f t="shared" si="87"/>
        <v>0</v>
      </c>
      <c r="L173" s="240">
        <f t="shared" si="88"/>
        <v>0</v>
      </c>
      <c r="M173" s="43" t="str">
        <f t="shared" si="83"/>
        <v/>
      </c>
      <c r="N173" s="44" t="str">
        <f t="shared" si="89"/>
        <v/>
      </c>
      <c r="O173" s="44" t="str">
        <f t="shared" si="90"/>
        <v/>
      </c>
      <c r="P173" s="44" t="str">
        <f t="shared" si="91"/>
        <v/>
      </c>
      <c r="Q173" s="44"/>
      <c r="R173" s="243" t="e">
        <f t="shared" si="109"/>
        <v>#NUM!</v>
      </c>
      <c r="T173" s="187" t="str">
        <f t="shared" si="110"/>
        <v/>
      </c>
      <c r="U173" s="42" t="e">
        <f t="shared" si="92"/>
        <v>#NUM!</v>
      </c>
      <c r="V173" s="45">
        <f t="shared" si="93"/>
        <v>0</v>
      </c>
      <c r="X173" s="272" t="b">
        <f t="shared" si="114"/>
        <v>0</v>
      </c>
      <c r="Y173" s="39">
        <v>0</v>
      </c>
      <c r="AB173" s="357" t="e">
        <f t="shared" si="94"/>
        <v>#N/A</v>
      </c>
      <c r="AG173" s="307">
        <f t="shared" si="95"/>
        <v>0</v>
      </c>
      <c r="AH173" s="283">
        <f t="shared" si="96"/>
        <v>0</v>
      </c>
      <c r="AI173" t="str">
        <f t="shared" si="97"/>
        <v/>
      </c>
      <c r="AV173" s="36" t="str">
        <f t="shared" si="98"/>
        <v/>
      </c>
      <c r="AW173" s="37" t="e">
        <f t="shared" si="99"/>
        <v>#NUM!</v>
      </c>
      <c r="AX173" s="236" t="e">
        <f t="shared" si="100"/>
        <v>#NUM!</v>
      </c>
      <c r="AY173" s="237" t="e">
        <f t="shared" si="111"/>
        <v>#NUM!</v>
      </c>
      <c r="AZ173" s="238" t="e">
        <f t="shared" si="101"/>
        <v>#NUM!</v>
      </c>
      <c r="BA173" s="237" t="e">
        <f t="shared" si="102"/>
        <v>#NUM!</v>
      </c>
      <c r="BB173" s="238" t="e">
        <f t="shared" si="103"/>
        <v>#NUM!</v>
      </c>
      <c r="BC173" s="239">
        <f>IFERROR(IF(OR($E$11=Resumen!$N$6,$E$8=Resumen!$N$6),Amortización!AY173*0.16,0),"")</f>
        <v>0</v>
      </c>
      <c r="BD173" s="237">
        <f t="shared" si="104"/>
        <v>0</v>
      </c>
      <c r="BE173" s="240">
        <f t="shared" si="84"/>
        <v>0</v>
      </c>
      <c r="BF173" s="43" t="str">
        <f t="shared" si="85"/>
        <v/>
      </c>
      <c r="BH173" s="243" t="e">
        <f t="shared" si="82"/>
        <v>#NUM!</v>
      </c>
      <c r="BI173" s="3"/>
      <c r="BJ173" s="187" t="str">
        <f t="shared" si="105"/>
        <v/>
      </c>
      <c r="BK173" s="42" t="e">
        <f t="shared" si="106"/>
        <v>#NUM!</v>
      </c>
      <c r="BL173" s="45"/>
      <c r="BM173" s="44"/>
    </row>
    <row r="174" spans="3:65" ht="15.5" thickTop="1" thickBot="1" x14ac:dyDescent="0.4">
      <c r="C174" s="36" t="str">
        <f t="shared" si="107"/>
        <v/>
      </c>
      <c r="D174" s="37" t="e">
        <f t="shared" si="108"/>
        <v>#NUM!</v>
      </c>
      <c r="E174" s="236">
        <f t="shared" si="112"/>
        <v>0</v>
      </c>
      <c r="F174" s="237" t="e">
        <f t="shared" si="113"/>
        <v>#NUM!</v>
      </c>
      <c r="G174" s="238" t="e">
        <f>IF(D174="","",L173*Resumen!$L$86/1000)</f>
        <v>#NUM!</v>
      </c>
      <c r="H174" s="237" t="e">
        <f t="shared" si="86"/>
        <v>#NUM!</v>
      </c>
      <c r="I174" s="238" t="e">
        <f>IF($E$16=$V$1,0,IF(D174="","",Amortización!$AE$14))</f>
        <v>#NUM!</v>
      </c>
      <c r="J174" s="239">
        <f>IFERROR(IF(OR($E$11=Resumen!$N$6,$E$8=Resumen!$N$6),Amortización!F174*0.16,0),"")</f>
        <v>0</v>
      </c>
      <c r="K174" s="237">
        <f t="shared" si="87"/>
        <v>0</v>
      </c>
      <c r="L174" s="240">
        <f t="shared" si="88"/>
        <v>0</v>
      </c>
      <c r="M174" s="43" t="str">
        <f t="shared" si="83"/>
        <v/>
      </c>
      <c r="N174" s="44" t="str">
        <f t="shared" si="89"/>
        <v/>
      </c>
      <c r="O174" s="44" t="str">
        <f t="shared" si="90"/>
        <v/>
      </c>
      <c r="P174" s="44" t="str">
        <f t="shared" si="91"/>
        <v/>
      </c>
      <c r="Q174" s="236" t="str">
        <f>IF(OR(L173=0,L173=""),"",IF(E174&gt;=D174,0,$E$17*10%))</f>
        <v/>
      </c>
      <c r="R174" s="243" t="e">
        <f t="shared" si="109"/>
        <v>#NUM!</v>
      </c>
      <c r="T174" s="187" t="str">
        <f t="shared" si="110"/>
        <v/>
      </c>
      <c r="U174" s="42" t="e">
        <f t="shared" si="92"/>
        <v>#NUM!</v>
      </c>
      <c r="V174" s="45">
        <f t="shared" si="93"/>
        <v>0</v>
      </c>
      <c r="X174" s="272" t="b">
        <f t="shared" si="114"/>
        <v>0</v>
      </c>
      <c r="Y174" s="39">
        <v>0</v>
      </c>
      <c r="AB174" s="357" t="e">
        <f t="shared" si="94"/>
        <v>#N/A</v>
      </c>
      <c r="AG174" s="307">
        <f t="shared" si="95"/>
        <v>0</v>
      </c>
      <c r="AH174" s="283">
        <f t="shared" si="96"/>
        <v>0</v>
      </c>
      <c r="AI174" t="str">
        <f t="shared" si="97"/>
        <v/>
      </c>
      <c r="AV174" s="36" t="str">
        <f t="shared" si="98"/>
        <v/>
      </c>
      <c r="AW174" s="37" t="e">
        <f t="shared" si="99"/>
        <v>#NUM!</v>
      </c>
      <c r="AX174" s="236" t="e">
        <f t="shared" si="100"/>
        <v>#NUM!</v>
      </c>
      <c r="AY174" s="237" t="e">
        <f t="shared" si="111"/>
        <v>#NUM!</v>
      </c>
      <c r="AZ174" s="238" t="e">
        <f t="shared" si="101"/>
        <v>#NUM!</v>
      </c>
      <c r="BA174" s="237" t="e">
        <f t="shared" si="102"/>
        <v>#NUM!</v>
      </c>
      <c r="BB174" s="238" t="e">
        <f t="shared" si="103"/>
        <v>#NUM!</v>
      </c>
      <c r="BC174" s="239">
        <f>IFERROR(IF(OR($E$11=Resumen!$N$6,$E$8=Resumen!$N$6),Amortización!AY174*0.16,0),"")</f>
        <v>0</v>
      </c>
      <c r="BD174" s="237">
        <f t="shared" si="104"/>
        <v>0</v>
      </c>
      <c r="BE174" s="240">
        <f t="shared" si="84"/>
        <v>0</v>
      </c>
      <c r="BF174" s="43" t="str">
        <f t="shared" si="85"/>
        <v/>
      </c>
      <c r="BH174" s="243" t="e">
        <f t="shared" ref="BH174:BH237" si="115">IF(AW174="","",BH173)</f>
        <v>#NUM!</v>
      </c>
      <c r="BI174" s="3"/>
      <c r="BJ174" s="187" t="str">
        <f t="shared" si="105"/>
        <v/>
      </c>
      <c r="BK174" s="42" t="e">
        <f t="shared" si="106"/>
        <v>#NUM!</v>
      </c>
      <c r="BL174" s="45"/>
      <c r="BM174" s="236"/>
    </row>
    <row r="175" spans="3:65" ht="15.5" thickTop="1" thickBot="1" x14ac:dyDescent="0.4">
      <c r="C175" s="36" t="str">
        <f t="shared" si="107"/>
        <v/>
      </c>
      <c r="D175" s="37" t="e">
        <f t="shared" si="108"/>
        <v>#NUM!</v>
      </c>
      <c r="E175" s="236">
        <f t="shared" si="112"/>
        <v>0</v>
      </c>
      <c r="F175" s="237" t="e">
        <f t="shared" si="113"/>
        <v>#NUM!</v>
      </c>
      <c r="G175" s="238" t="e">
        <f>IF(D175="","",L174*Resumen!$L$86/1000)</f>
        <v>#NUM!</v>
      </c>
      <c r="H175" s="237" t="e">
        <f t="shared" si="86"/>
        <v>#NUM!</v>
      </c>
      <c r="I175" s="238" t="e">
        <f>IF($E$16=$V$1,0,IF(D175="","",Amortización!$AE$14))</f>
        <v>#NUM!</v>
      </c>
      <c r="J175" s="239">
        <f>IFERROR(IF(OR($E$11=Resumen!$N$6,$E$8=Resumen!$N$6),Amortización!F175*0.16,0),"")</f>
        <v>0</v>
      </c>
      <c r="K175" s="237">
        <f t="shared" si="87"/>
        <v>0</v>
      </c>
      <c r="L175" s="240">
        <f t="shared" si="88"/>
        <v>0</v>
      </c>
      <c r="M175" s="43" t="str">
        <f t="shared" si="83"/>
        <v/>
      </c>
      <c r="N175" s="44" t="str">
        <f t="shared" si="89"/>
        <v/>
      </c>
      <c r="O175" s="44" t="str">
        <f t="shared" si="90"/>
        <v/>
      </c>
      <c r="P175" s="44" t="str">
        <f t="shared" si="91"/>
        <v/>
      </c>
      <c r="Q175" s="44"/>
      <c r="R175" s="243" t="e">
        <f t="shared" si="109"/>
        <v>#NUM!</v>
      </c>
      <c r="T175" s="187" t="str">
        <f t="shared" si="110"/>
        <v/>
      </c>
      <c r="U175" s="42" t="e">
        <f t="shared" si="92"/>
        <v>#NUM!</v>
      </c>
      <c r="V175" s="45">
        <f t="shared" si="93"/>
        <v>0</v>
      </c>
      <c r="X175" s="272" t="b">
        <f t="shared" si="114"/>
        <v>0</v>
      </c>
      <c r="Y175" s="39">
        <v>0</v>
      </c>
      <c r="AB175" s="357" t="e">
        <f t="shared" si="94"/>
        <v>#N/A</v>
      </c>
      <c r="AG175" s="307">
        <f t="shared" si="95"/>
        <v>0</v>
      </c>
      <c r="AH175" s="283">
        <f t="shared" si="96"/>
        <v>0</v>
      </c>
      <c r="AI175" t="str">
        <f t="shared" si="97"/>
        <v/>
      </c>
      <c r="AV175" s="36" t="str">
        <f t="shared" si="98"/>
        <v/>
      </c>
      <c r="AW175" s="37" t="e">
        <f t="shared" si="99"/>
        <v>#NUM!</v>
      </c>
      <c r="AX175" s="236" t="e">
        <f t="shared" si="100"/>
        <v>#NUM!</v>
      </c>
      <c r="AY175" s="237" t="e">
        <f t="shared" si="111"/>
        <v>#NUM!</v>
      </c>
      <c r="AZ175" s="238" t="e">
        <f t="shared" si="101"/>
        <v>#NUM!</v>
      </c>
      <c r="BA175" s="237" t="e">
        <f t="shared" si="102"/>
        <v>#NUM!</v>
      </c>
      <c r="BB175" s="238" t="e">
        <f t="shared" si="103"/>
        <v>#NUM!</v>
      </c>
      <c r="BC175" s="239">
        <f>IFERROR(IF(OR($E$11=Resumen!$N$6,$E$8=Resumen!$N$6),Amortización!AY175*0.16,0),"")</f>
        <v>0</v>
      </c>
      <c r="BD175" s="237">
        <f t="shared" si="104"/>
        <v>0</v>
      </c>
      <c r="BE175" s="240">
        <f t="shared" si="84"/>
        <v>0</v>
      </c>
      <c r="BF175" s="43" t="str">
        <f t="shared" si="85"/>
        <v/>
      </c>
      <c r="BH175" s="243" t="e">
        <f t="shared" si="115"/>
        <v>#NUM!</v>
      </c>
      <c r="BI175" s="3"/>
      <c r="BJ175" s="187" t="str">
        <f t="shared" si="105"/>
        <v/>
      </c>
      <c r="BK175" s="42" t="e">
        <f t="shared" si="106"/>
        <v>#NUM!</v>
      </c>
      <c r="BL175" s="45"/>
      <c r="BM175" s="44"/>
    </row>
    <row r="176" spans="3:65" ht="15.5" thickTop="1" thickBot="1" x14ac:dyDescent="0.4">
      <c r="C176" s="36" t="str">
        <f t="shared" si="107"/>
        <v/>
      </c>
      <c r="D176" s="37" t="e">
        <f t="shared" si="108"/>
        <v>#NUM!</v>
      </c>
      <c r="E176" s="236">
        <f t="shared" si="112"/>
        <v>0</v>
      </c>
      <c r="F176" s="237" t="e">
        <f t="shared" si="113"/>
        <v>#NUM!</v>
      </c>
      <c r="G176" s="238" t="e">
        <f>IF(D176="","",L175*Resumen!$L$86/1000)</f>
        <v>#NUM!</v>
      </c>
      <c r="H176" s="237" t="e">
        <f t="shared" si="86"/>
        <v>#NUM!</v>
      </c>
      <c r="I176" s="238" t="e">
        <f>IF($E$16=$V$1,0,IF(D176="","",Amortización!$AE$14))</f>
        <v>#NUM!</v>
      </c>
      <c r="J176" s="239">
        <f>IFERROR(IF(OR($E$11=Resumen!$N$6,$E$8=Resumen!$N$6),Amortización!F176*0.16,0),"")</f>
        <v>0</v>
      </c>
      <c r="K176" s="237">
        <f t="shared" si="87"/>
        <v>0</v>
      </c>
      <c r="L176" s="240">
        <f t="shared" si="88"/>
        <v>0</v>
      </c>
      <c r="M176" s="43" t="str">
        <f t="shared" si="83"/>
        <v/>
      </c>
      <c r="N176" s="44" t="str">
        <f t="shared" si="89"/>
        <v/>
      </c>
      <c r="O176" s="44" t="str">
        <f t="shared" si="90"/>
        <v/>
      </c>
      <c r="P176" s="44" t="str">
        <f t="shared" si="91"/>
        <v/>
      </c>
      <c r="Q176" s="236" t="str">
        <f>IF(OR(L175=0,L175=""),"",IF(E176&gt;=D176,0,$E$17*10%))</f>
        <v/>
      </c>
      <c r="R176" s="243" t="e">
        <f t="shared" si="109"/>
        <v>#NUM!</v>
      </c>
      <c r="T176" s="187" t="str">
        <f t="shared" si="110"/>
        <v/>
      </c>
      <c r="U176" s="42" t="e">
        <f t="shared" si="92"/>
        <v>#NUM!</v>
      </c>
      <c r="V176" s="45">
        <f t="shared" si="93"/>
        <v>0</v>
      </c>
      <c r="X176" s="272" t="b">
        <f t="shared" si="114"/>
        <v>0</v>
      </c>
      <c r="Y176" s="39">
        <v>0</v>
      </c>
      <c r="AB176" s="357" t="e">
        <f t="shared" si="94"/>
        <v>#N/A</v>
      </c>
      <c r="AG176" s="307">
        <f t="shared" si="95"/>
        <v>0</v>
      </c>
      <c r="AH176" s="283">
        <f t="shared" si="96"/>
        <v>0</v>
      </c>
      <c r="AI176" t="str">
        <f t="shared" si="97"/>
        <v/>
      </c>
      <c r="AV176" s="36" t="str">
        <f t="shared" si="98"/>
        <v/>
      </c>
      <c r="AW176" s="37" t="e">
        <f t="shared" si="99"/>
        <v>#NUM!</v>
      </c>
      <c r="AX176" s="236" t="e">
        <f t="shared" si="100"/>
        <v>#NUM!</v>
      </c>
      <c r="AY176" s="237" t="e">
        <f t="shared" si="111"/>
        <v>#NUM!</v>
      </c>
      <c r="AZ176" s="238" t="e">
        <f t="shared" si="101"/>
        <v>#NUM!</v>
      </c>
      <c r="BA176" s="237" t="e">
        <f t="shared" si="102"/>
        <v>#NUM!</v>
      </c>
      <c r="BB176" s="238" t="e">
        <f t="shared" si="103"/>
        <v>#NUM!</v>
      </c>
      <c r="BC176" s="239">
        <f>IFERROR(IF(OR($E$11=Resumen!$N$6,$E$8=Resumen!$N$6),Amortización!AY176*0.16,0),"")</f>
        <v>0</v>
      </c>
      <c r="BD176" s="237">
        <f t="shared" si="104"/>
        <v>0</v>
      </c>
      <c r="BE176" s="240">
        <f t="shared" si="84"/>
        <v>0</v>
      </c>
      <c r="BF176" s="43" t="str">
        <f t="shared" si="85"/>
        <v/>
      </c>
      <c r="BH176" s="243" t="e">
        <f t="shared" si="115"/>
        <v>#NUM!</v>
      </c>
      <c r="BI176" s="3"/>
      <c r="BJ176" s="187" t="str">
        <f t="shared" si="105"/>
        <v/>
      </c>
      <c r="BK176" s="42" t="e">
        <f t="shared" si="106"/>
        <v>#NUM!</v>
      </c>
      <c r="BL176" s="45"/>
      <c r="BM176" s="236"/>
    </row>
    <row r="177" spans="3:65" ht="15.5" thickTop="1" thickBot="1" x14ac:dyDescent="0.4">
      <c r="C177" s="36" t="str">
        <f t="shared" si="107"/>
        <v/>
      </c>
      <c r="D177" s="37" t="e">
        <f t="shared" si="108"/>
        <v>#NUM!</v>
      </c>
      <c r="E177" s="236">
        <f t="shared" si="112"/>
        <v>0</v>
      </c>
      <c r="F177" s="237" t="e">
        <f t="shared" si="113"/>
        <v>#NUM!</v>
      </c>
      <c r="G177" s="238" t="e">
        <f>IF(D177="","",L176*Resumen!$L$86/1000)</f>
        <v>#NUM!</v>
      </c>
      <c r="H177" s="237" t="e">
        <f t="shared" si="86"/>
        <v>#NUM!</v>
      </c>
      <c r="I177" s="238" t="e">
        <f>IF($E$16=$V$1,0,IF(D177="","",Amortización!$AE$14))</f>
        <v>#NUM!</v>
      </c>
      <c r="J177" s="239">
        <f>IFERROR(IF(OR($E$11=Resumen!$N$6,$E$8=Resumen!$N$6),Amortización!F177*0.16,0),"")</f>
        <v>0</v>
      </c>
      <c r="K177" s="237">
        <f t="shared" si="87"/>
        <v>0</v>
      </c>
      <c r="L177" s="240">
        <f t="shared" si="88"/>
        <v>0</v>
      </c>
      <c r="M177" s="43" t="str">
        <f t="shared" si="83"/>
        <v/>
      </c>
      <c r="N177" s="44" t="str">
        <f t="shared" si="89"/>
        <v/>
      </c>
      <c r="O177" s="44" t="str">
        <f t="shared" si="90"/>
        <v/>
      </c>
      <c r="P177" s="44" t="str">
        <f t="shared" si="91"/>
        <v/>
      </c>
      <c r="Q177" s="44"/>
      <c r="R177" s="243" t="e">
        <f t="shared" si="109"/>
        <v>#NUM!</v>
      </c>
      <c r="T177" s="187" t="str">
        <f t="shared" si="110"/>
        <v/>
      </c>
      <c r="U177" s="42" t="e">
        <f t="shared" si="92"/>
        <v>#NUM!</v>
      </c>
      <c r="V177" s="45">
        <f t="shared" si="93"/>
        <v>0</v>
      </c>
      <c r="X177" s="272" t="b">
        <f t="shared" si="114"/>
        <v>0</v>
      </c>
      <c r="Y177" s="39">
        <v>0</v>
      </c>
      <c r="AB177" s="357" t="e">
        <f t="shared" si="94"/>
        <v>#N/A</v>
      </c>
      <c r="AG177" s="307">
        <f t="shared" si="95"/>
        <v>0</v>
      </c>
      <c r="AH177" s="283">
        <f t="shared" si="96"/>
        <v>0</v>
      </c>
      <c r="AI177" t="str">
        <f t="shared" si="97"/>
        <v/>
      </c>
      <c r="AV177" s="36" t="str">
        <f t="shared" si="98"/>
        <v/>
      </c>
      <c r="AW177" s="37" t="e">
        <f t="shared" si="99"/>
        <v>#NUM!</v>
      </c>
      <c r="AX177" s="236" t="e">
        <f t="shared" si="100"/>
        <v>#NUM!</v>
      </c>
      <c r="AY177" s="237" t="e">
        <f t="shared" si="111"/>
        <v>#NUM!</v>
      </c>
      <c r="AZ177" s="238" t="e">
        <f t="shared" si="101"/>
        <v>#NUM!</v>
      </c>
      <c r="BA177" s="237" t="e">
        <f t="shared" si="102"/>
        <v>#NUM!</v>
      </c>
      <c r="BB177" s="238" t="e">
        <f t="shared" si="103"/>
        <v>#NUM!</v>
      </c>
      <c r="BC177" s="239">
        <f>IFERROR(IF(OR($E$11=Resumen!$N$6,$E$8=Resumen!$N$6),Amortización!AY177*0.16,0),"")</f>
        <v>0</v>
      </c>
      <c r="BD177" s="237">
        <f t="shared" si="104"/>
        <v>0</v>
      </c>
      <c r="BE177" s="240">
        <f t="shared" si="84"/>
        <v>0</v>
      </c>
      <c r="BF177" s="43" t="str">
        <f t="shared" si="85"/>
        <v/>
      </c>
      <c r="BH177" s="243" t="e">
        <f t="shared" si="115"/>
        <v>#NUM!</v>
      </c>
      <c r="BI177" s="3"/>
      <c r="BJ177" s="187" t="str">
        <f t="shared" si="105"/>
        <v/>
      </c>
      <c r="BK177" s="42" t="e">
        <f t="shared" si="106"/>
        <v>#NUM!</v>
      </c>
      <c r="BL177" s="45"/>
      <c r="BM177" s="44"/>
    </row>
    <row r="178" spans="3:65" ht="15.5" thickTop="1" thickBot="1" x14ac:dyDescent="0.4">
      <c r="C178" s="36" t="str">
        <f t="shared" si="107"/>
        <v/>
      </c>
      <c r="D178" s="37" t="e">
        <f t="shared" si="108"/>
        <v>#NUM!</v>
      </c>
      <c r="E178" s="236">
        <f t="shared" si="112"/>
        <v>0</v>
      </c>
      <c r="F178" s="237" t="e">
        <f t="shared" si="113"/>
        <v>#NUM!</v>
      </c>
      <c r="G178" s="238" t="e">
        <f>IF(D178="","",L177*Resumen!$L$86/1000)</f>
        <v>#NUM!</v>
      </c>
      <c r="H178" s="237" t="e">
        <f t="shared" si="86"/>
        <v>#NUM!</v>
      </c>
      <c r="I178" s="238" t="e">
        <f>IF($E$16=$V$1,0,IF(D178="","",Amortización!$AE$14))</f>
        <v>#NUM!</v>
      </c>
      <c r="J178" s="239">
        <f>IFERROR(IF(OR($E$11=Resumen!$N$6,$E$8=Resumen!$N$6),Amortización!F178*0.16,0),"")</f>
        <v>0</v>
      </c>
      <c r="K178" s="237">
        <f t="shared" si="87"/>
        <v>0</v>
      </c>
      <c r="L178" s="240">
        <f t="shared" si="88"/>
        <v>0</v>
      </c>
      <c r="M178" s="43" t="str">
        <f t="shared" si="83"/>
        <v/>
      </c>
      <c r="N178" s="44" t="str">
        <f t="shared" si="89"/>
        <v/>
      </c>
      <c r="O178" s="44" t="str">
        <f t="shared" si="90"/>
        <v/>
      </c>
      <c r="P178" s="44" t="str">
        <f t="shared" si="91"/>
        <v/>
      </c>
      <c r="Q178" s="236" t="str">
        <f>IF(OR(L177=0,L177=""),"",IF(E178&gt;=D178,0,$E$17*10%))</f>
        <v/>
      </c>
      <c r="R178" s="243" t="e">
        <f t="shared" si="109"/>
        <v>#NUM!</v>
      </c>
      <c r="T178" s="187" t="str">
        <f t="shared" si="110"/>
        <v/>
      </c>
      <c r="U178" s="42" t="e">
        <f t="shared" si="92"/>
        <v>#NUM!</v>
      </c>
      <c r="V178" s="45">
        <f t="shared" si="93"/>
        <v>0</v>
      </c>
      <c r="X178" s="272" t="b">
        <f t="shared" si="114"/>
        <v>0</v>
      </c>
      <c r="Y178" s="39">
        <v>0</v>
      </c>
      <c r="AB178" s="357" t="e">
        <f t="shared" si="94"/>
        <v>#N/A</v>
      </c>
      <c r="AG178" s="307">
        <f t="shared" si="95"/>
        <v>0</v>
      </c>
      <c r="AH178" s="283">
        <f t="shared" si="96"/>
        <v>0</v>
      </c>
      <c r="AI178" t="str">
        <f t="shared" si="97"/>
        <v/>
      </c>
      <c r="AV178" s="36" t="str">
        <f t="shared" si="98"/>
        <v/>
      </c>
      <c r="AW178" s="37" t="e">
        <f t="shared" si="99"/>
        <v>#NUM!</v>
      </c>
      <c r="AX178" s="236" t="e">
        <f t="shared" si="100"/>
        <v>#NUM!</v>
      </c>
      <c r="AY178" s="237" t="e">
        <f t="shared" si="111"/>
        <v>#NUM!</v>
      </c>
      <c r="AZ178" s="238" t="e">
        <f t="shared" si="101"/>
        <v>#NUM!</v>
      </c>
      <c r="BA178" s="237" t="e">
        <f t="shared" si="102"/>
        <v>#NUM!</v>
      </c>
      <c r="BB178" s="238" t="e">
        <f t="shared" si="103"/>
        <v>#NUM!</v>
      </c>
      <c r="BC178" s="239">
        <f>IFERROR(IF(OR($E$11=Resumen!$N$6,$E$8=Resumen!$N$6),Amortización!AY178*0.16,0),"")</f>
        <v>0</v>
      </c>
      <c r="BD178" s="237">
        <f t="shared" si="104"/>
        <v>0</v>
      </c>
      <c r="BE178" s="240">
        <f t="shared" si="84"/>
        <v>0</v>
      </c>
      <c r="BF178" s="43" t="str">
        <f t="shared" si="85"/>
        <v/>
      </c>
      <c r="BH178" s="243" t="e">
        <f t="shared" si="115"/>
        <v>#NUM!</v>
      </c>
      <c r="BI178" s="3"/>
      <c r="BJ178" s="187" t="str">
        <f t="shared" si="105"/>
        <v/>
      </c>
      <c r="BK178" s="42" t="e">
        <f t="shared" si="106"/>
        <v>#NUM!</v>
      </c>
      <c r="BL178" s="45"/>
      <c r="BM178" s="236"/>
    </row>
    <row r="179" spans="3:65" ht="15.5" thickTop="1" thickBot="1" x14ac:dyDescent="0.4">
      <c r="C179" s="36" t="str">
        <f t="shared" si="107"/>
        <v/>
      </c>
      <c r="D179" s="37" t="e">
        <f t="shared" si="108"/>
        <v>#NUM!</v>
      </c>
      <c r="E179" s="236">
        <f t="shared" si="112"/>
        <v>0</v>
      </c>
      <c r="F179" s="237" t="e">
        <f t="shared" si="113"/>
        <v>#NUM!</v>
      </c>
      <c r="G179" s="238" t="e">
        <f>IF(D179="","",L178*Resumen!$L$86/1000)</f>
        <v>#NUM!</v>
      </c>
      <c r="H179" s="237" t="e">
        <f t="shared" si="86"/>
        <v>#NUM!</v>
      </c>
      <c r="I179" s="238" t="e">
        <f>IF($E$16=$V$1,0,IF(D179="","",Amortización!$AE$14))</f>
        <v>#NUM!</v>
      </c>
      <c r="J179" s="239">
        <f>IFERROR(IF(OR($E$11=Resumen!$N$6,$E$8=Resumen!$N$6),Amortización!F179*0.16,0),"")</f>
        <v>0</v>
      </c>
      <c r="K179" s="237">
        <f t="shared" si="87"/>
        <v>0</v>
      </c>
      <c r="L179" s="240">
        <f t="shared" si="88"/>
        <v>0</v>
      </c>
      <c r="M179" s="43" t="str">
        <f t="shared" si="83"/>
        <v/>
      </c>
      <c r="N179" s="44" t="str">
        <f t="shared" si="89"/>
        <v/>
      </c>
      <c r="O179" s="44" t="str">
        <f t="shared" si="90"/>
        <v/>
      </c>
      <c r="P179" s="44" t="str">
        <f t="shared" si="91"/>
        <v/>
      </c>
      <c r="Q179" s="44"/>
      <c r="R179" s="243" t="e">
        <f t="shared" si="109"/>
        <v>#NUM!</v>
      </c>
      <c r="T179" s="187" t="str">
        <f t="shared" si="110"/>
        <v/>
      </c>
      <c r="U179" s="42" t="e">
        <f t="shared" si="92"/>
        <v>#NUM!</v>
      </c>
      <c r="V179" s="45">
        <f t="shared" si="93"/>
        <v>0</v>
      </c>
      <c r="X179" s="272" t="b">
        <f t="shared" si="114"/>
        <v>0</v>
      </c>
      <c r="Y179" s="39">
        <v>0</v>
      </c>
      <c r="AB179" s="357" t="e">
        <f t="shared" si="94"/>
        <v>#N/A</v>
      </c>
      <c r="AG179" s="307">
        <f t="shared" si="95"/>
        <v>0</v>
      </c>
      <c r="AH179" s="283">
        <f t="shared" si="96"/>
        <v>0</v>
      </c>
      <c r="AI179" t="str">
        <f t="shared" si="97"/>
        <v/>
      </c>
      <c r="AV179" s="36" t="str">
        <f t="shared" si="98"/>
        <v/>
      </c>
      <c r="AW179" s="37" t="e">
        <f t="shared" si="99"/>
        <v>#NUM!</v>
      </c>
      <c r="AX179" s="236" t="e">
        <f t="shared" si="100"/>
        <v>#NUM!</v>
      </c>
      <c r="AY179" s="237" t="e">
        <f t="shared" si="111"/>
        <v>#NUM!</v>
      </c>
      <c r="AZ179" s="238" t="e">
        <f t="shared" si="101"/>
        <v>#NUM!</v>
      </c>
      <c r="BA179" s="237" t="e">
        <f t="shared" si="102"/>
        <v>#NUM!</v>
      </c>
      <c r="BB179" s="238" t="e">
        <f t="shared" si="103"/>
        <v>#NUM!</v>
      </c>
      <c r="BC179" s="239">
        <f>IFERROR(IF(OR($E$11=Resumen!$N$6,$E$8=Resumen!$N$6),Amortización!AY179*0.16,0),"")</f>
        <v>0</v>
      </c>
      <c r="BD179" s="237">
        <f t="shared" si="104"/>
        <v>0</v>
      </c>
      <c r="BE179" s="240">
        <f t="shared" si="84"/>
        <v>0</v>
      </c>
      <c r="BF179" s="43" t="str">
        <f t="shared" si="85"/>
        <v/>
      </c>
      <c r="BH179" s="243" t="e">
        <f t="shared" si="115"/>
        <v>#NUM!</v>
      </c>
      <c r="BI179" s="3"/>
      <c r="BJ179" s="187" t="str">
        <f t="shared" si="105"/>
        <v/>
      </c>
      <c r="BK179" s="42" t="e">
        <f t="shared" si="106"/>
        <v>#NUM!</v>
      </c>
      <c r="BL179" s="45"/>
      <c r="BM179" s="44"/>
    </row>
    <row r="180" spans="3:65" ht="15.5" thickTop="1" thickBot="1" x14ac:dyDescent="0.4">
      <c r="C180" s="36" t="str">
        <f t="shared" si="107"/>
        <v/>
      </c>
      <c r="D180" s="37" t="e">
        <f t="shared" si="108"/>
        <v>#NUM!</v>
      </c>
      <c r="E180" s="236">
        <f t="shared" si="112"/>
        <v>0</v>
      </c>
      <c r="F180" s="237" t="e">
        <f t="shared" si="113"/>
        <v>#NUM!</v>
      </c>
      <c r="G180" s="238" t="e">
        <f>IF(D180="","",L179*Resumen!$L$86/1000)</f>
        <v>#NUM!</v>
      </c>
      <c r="H180" s="237" t="e">
        <f t="shared" si="86"/>
        <v>#NUM!</v>
      </c>
      <c r="I180" s="238" t="e">
        <f>IF($E$16=$V$1,0,IF(D180="","",Amortización!$AE$14))</f>
        <v>#NUM!</v>
      </c>
      <c r="J180" s="239">
        <f>IFERROR(IF(OR($E$11=Resumen!$N$6,$E$8=Resumen!$N$6),Amortización!F180*0.16,0),"")</f>
        <v>0</v>
      </c>
      <c r="K180" s="237">
        <f t="shared" si="87"/>
        <v>0</v>
      </c>
      <c r="L180" s="240">
        <f t="shared" si="88"/>
        <v>0</v>
      </c>
      <c r="M180" s="43" t="str">
        <f t="shared" si="83"/>
        <v/>
      </c>
      <c r="N180" s="44" t="str">
        <f t="shared" si="89"/>
        <v/>
      </c>
      <c r="O180" s="44" t="str">
        <f t="shared" si="90"/>
        <v/>
      </c>
      <c r="P180" s="44" t="str">
        <f t="shared" si="91"/>
        <v/>
      </c>
      <c r="Q180" s="236" t="str">
        <f>IF(OR(L179=0,L179=""),"",IF(E180&gt;=D180,0,$E$17*10%))</f>
        <v/>
      </c>
      <c r="R180" s="243" t="e">
        <f t="shared" si="109"/>
        <v>#NUM!</v>
      </c>
      <c r="T180" s="187" t="str">
        <f t="shared" si="110"/>
        <v/>
      </c>
      <c r="U180" s="42" t="e">
        <f t="shared" si="92"/>
        <v>#NUM!</v>
      </c>
      <c r="V180" s="45">
        <f t="shared" si="93"/>
        <v>0</v>
      </c>
      <c r="X180" s="272" t="b">
        <f t="shared" si="114"/>
        <v>0</v>
      </c>
      <c r="Y180" s="39">
        <v>0</v>
      </c>
      <c r="AB180" s="357" t="e">
        <f t="shared" si="94"/>
        <v>#N/A</v>
      </c>
      <c r="AG180" s="307">
        <f t="shared" si="95"/>
        <v>0</v>
      </c>
      <c r="AH180" s="283">
        <f t="shared" si="96"/>
        <v>0</v>
      </c>
      <c r="AI180" t="str">
        <f t="shared" si="97"/>
        <v/>
      </c>
      <c r="AV180" s="36" t="str">
        <f t="shared" si="98"/>
        <v/>
      </c>
      <c r="AW180" s="37" t="e">
        <f t="shared" si="99"/>
        <v>#NUM!</v>
      </c>
      <c r="AX180" s="236" t="e">
        <f t="shared" si="100"/>
        <v>#NUM!</v>
      </c>
      <c r="AY180" s="237" t="e">
        <f t="shared" si="111"/>
        <v>#NUM!</v>
      </c>
      <c r="AZ180" s="238" t="e">
        <f t="shared" si="101"/>
        <v>#NUM!</v>
      </c>
      <c r="BA180" s="237" t="e">
        <f t="shared" si="102"/>
        <v>#NUM!</v>
      </c>
      <c r="BB180" s="238" t="e">
        <f t="shared" si="103"/>
        <v>#NUM!</v>
      </c>
      <c r="BC180" s="239">
        <f>IFERROR(IF(OR($E$11=Resumen!$N$6,$E$8=Resumen!$N$6),Amortización!AY180*0.16,0),"")</f>
        <v>0</v>
      </c>
      <c r="BD180" s="237">
        <f t="shared" si="104"/>
        <v>0</v>
      </c>
      <c r="BE180" s="240">
        <f t="shared" si="84"/>
        <v>0</v>
      </c>
      <c r="BF180" s="43" t="str">
        <f t="shared" si="85"/>
        <v/>
      </c>
      <c r="BH180" s="243" t="e">
        <f t="shared" si="115"/>
        <v>#NUM!</v>
      </c>
      <c r="BI180" s="3"/>
      <c r="BJ180" s="187" t="str">
        <f t="shared" si="105"/>
        <v/>
      </c>
      <c r="BK180" s="42" t="e">
        <f t="shared" si="106"/>
        <v>#NUM!</v>
      </c>
      <c r="BL180" s="45"/>
      <c r="BM180" s="236"/>
    </row>
    <row r="181" spans="3:65" ht="15.5" thickTop="1" thickBot="1" x14ac:dyDescent="0.4">
      <c r="C181" s="36" t="str">
        <f t="shared" si="107"/>
        <v/>
      </c>
      <c r="D181" s="37" t="e">
        <f t="shared" si="108"/>
        <v>#NUM!</v>
      </c>
      <c r="E181" s="236">
        <f t="shared" si="112"/>
        <v>0</v>
      </c>
      <c r="F181" s="237" t="e">
        <f t="shared" si="113"/>
        <v>#NUM!</v>
      </c>
      <c r="G181" s="238" t="e">
        <f>IF(D181="","",L180*Resumen!$L$86/1000)</f>
        <v>#NUM!</v>
      </c>
      <c r="H181" s="237" t="e">
        <f t="shared" si="86"/>
        <v>#NUM!</v>
      </c>
      <c r="I181" s="238" t="e">
        <f>IF($E$16=$V$1,0,IF(D181="","",Amortización!$AE$14))</f>
        <v>#NUM!</v>
      </c>
      <c r="J181" s="239">
        <f>IFERROR(IF(OR($E$11=Resumen!$N$6,$E$8=Resumen!$N$6),Amortización!F181*0.16,0),"")</f>
        <v>0</v>
      </c>
      <c r="K181" s="237">
        <f t="shared" si="87"/>
        <v>0</v>
      </c>
      <c r="L181" s="240">
        <f t="shared" si="88"/>
        <v>0</v>
      </c>
      <c r="M181" s="43" t="str">
        <f t="shared" si="83"/>
        <v/>
      </c>
      <c r="N181" s="44" t="str">
        <f t="shared" si="89"/>
        <v/>
      </c>
      <c r="O181" s="44" t="str">
        <f t="shared" si="90"/>
        <v/>
      </c>
      <c r="P181" s="44" t="str">
        <f t="shared" si="91"/>
        <v/>
      </c>
      <c r="Q181" s="44"/>
      <c r="R181" s="243" t="e">
        <f t="shared" si="109"/>
        <v>#NUM!</v>
      </c>
      <c r="T181" s="187" t="str">
        <f t="shared" si="110"/>
        <v/>
      </c>
      <c r="U181" s="42" t="e">
        <f t="shared" si="92"/>
        <v>#NUM!</v>
      </c>
      <c r="V181" s="45">
        <f t="shared" si="93"/>
        <v>0</v>
      </c>
      <c r="X181" s="272" t="b">
        <f t="shared" si="114"/>
        <v>0</v>
      </c>
      <c r="Y181" s="39">
        <v>0</v>
      </c>
      <c r="AB181" s="357" t="e">
        <f t="shared" si="94"/>
        <v>#N/A</v>
      </c>
      <c r="AG181" s="307">
        <f t="shared" si="95"/>
        <v>0</v>
      </c>
      <c r="AH181" s="283">
        <f t="shared" si="96"/>
        <v>0</v>
      </c>
      <c r="AI181" t="str">
        <f t="shared" si="97"/>
        <v/>
      </c>
      <c r="AV181" s="36" t="str">
        <f t="shared" si="98"/>
        <v/>
      </c>
      <c r="AW181" s="37" t="e">
        <f t="shared" si="99"/>
        <v>#NUM!</v>
      </c>
      <c r="AX181" s="236" t="e">
        <f t="shared" si="100"/>
        <v>#NUM!</v>
      </c>
      <c r="AY181" s="237" t="e">
        <f t="shared" si="111"/>
        <v>#NUM!</v>
      </c>
      <c r="AZ181" s="238" t="e">
        <f t="shared" si="101"/>
        <v>#NUM!</v>
      </c>
      <c r="BA181" s="237" t="e">
        <f t="shared" si="102"/>
        <v>#NUM!</v>
      </c>
      <c r="BB181" s="238" t="e">
        <f t="shared" si="103"/>
        <v>#NUM!</v>
      </c>
      <c r="BC181" s="239">
        <f>IFERROR(IF(OR($E$11=Resumen!$N$6,$E$8=Resumen!$N$6),Amortización!AY181*0.16,0),"")</f>
        <v>0</v>
      </c>
      <c r="BD181" s="237">
        <f t="shared" si="104"/>
        <v>0</v>
      </c>
      <c r="BE181" s="240">
        <f t="shared" si="84"/>
        <v>0</v>
      </c>
      <c r="BF181" s="43" t="str">
        <f t="shared" si="85"/>
        <v/>
      </c>
      <c r="BH181" s="243" t="e">
        <f t="shared" si="115"/>
        <v>#NUM!</v>
      </c>
      <c r="BI181" s="3"/>
      <c r="BJ181" s="187" t="str">
        <f t="shared" si="105"/>
        <v/>
      </c>
      <c r="BK181" s="42" t="e">
        <f t="shared" si="106"/>
        <v>#NUM!</v>
      </c>
      <c r="BL181" s="45"/>
      <c r="BM181" s="44"/>
    </row>
    <row r="182" spans="3:65" ht="15.5" thickTop="1" thickBot="1" x14ac:dyDescent="0.4">
      <c r="C182" s="36" t="str">
        <f t="shared" si="107"/>
        <v/>
      </c>
      <c r="D182" s="37" t="e">
        <f t="shared" si="108"/>
        <v>#NUM!</v>
      </c>
      <c r="E182" s="236">
        <f t="shared" si="112"/>
        <v>0</v>
      </c>
      <c r="F182" s="237" t="e">
        <f t="shared" si="113"/>
        <v>#NUM!</v>
      </c>
      <c r="G182" s="238" t="e">
        <f>IF(D182="","",L181*Resumen!$L$86/1000)</f>
        <v>#NUM!</v>
      </c>
      <c r="H182" s="237" t="e">
        <f t="shared" si="86"/>
        <v>#NUM!</v>
      </c>
      <c r="I182" s="238" t="e">
        <f>IF($E$16=$V$1,0,IF(D182="","",Amortización!$AE$14))</f>
        <v>#NUM!</v>
      </c>
      <c r="J182" s="239">
        <f>IFERROR(IF(OR($E$11=Resumen!$N$6,$E$8=Resumen!$N$6),Amortización!F182*0.16,0),"")</f>
        <v>0</v>
      </c>
      <c r="K182" s="237">
        <f t="shared" si="87"/>
        <v>0</v>
      </c>
      <c r="L182" s="240">
        <f t="shared" si="88"/>
        <v>0</v>
      </c>
      <c r="M182" s="43" t="str">
        <f t="shared" si="83"/>
        <v/>
      </c>
      <c r="N182" s="44" t="str">
        <f t="shared" si="89"/>
        <v/>
      </c>
      <c r="O182" s="44" t="str">
        <f t="shared" si="90"/>
        <v/>
      </c>
      <c r="P182" s="44" t="str">
        <f t="shared" si="91"/>
        <v/>
      </c>
      <c r="Q182" s="236" t="str">
        <f>IF(OR(L181=0,L181=""),"",IF(E182&gt;=D182,0,$E$17*10%))</f>
        <v/>
      </c>
      <c r="R182" s="243" t="e">
        <f t="shared" si="109"/>
        <v>#NUM!</v>
      </c>
      <c r="T182" s="187" t="str">
        <f t="shared" si="110"/>
        <v/>
      </c>
      <c r="U182" s="42" t="e">
        <f t="shared" si="92"/>
        <v>#NUM!</v>
      </c>
      <c r="V182" s="45">
        <f t="shared" si="93"/>
        <v>0</v>
      </c>
      <c r="X182" s="272" t="b">
        <f t="shared" si="114"/>
        <v>0</v>
      </c>
      <c r="Y182" s="39">
        <v>0</v>
      </c>
      <c r="AB182" s="357" t="e">
        <f t="shared" si="94"/>
        <v>#N/A</v>
      </c>
      <c r="AG182" s="307">
        <f t="shared" si="95"/>
        <v>0</v>
      </c>
      <c r="AH182" s="283">
        <f t="shared" si="96"/>
        <v>0</v>
      </c>
      <c r="AI182" t="str">
        <f t="shared" si="97"/>
        <v/>
      </c>
      <c r="AV182" s="36" t="str">
        <f t="shared" si="98"/>
        <v/>
      </c>
      <c r="AW182" s="37" t="e">
        <f t="shared" si="99"/>
        <v>#NUM!</v>
      </c>
      <c r="AX182" s="236" t="e">
        <f t="shared" si="100"/>
        <v>#NUM!</v>
      </c>
      <c r="AY182" s="237" t="e">
        <f t="shared" si="111"/>
        <v>#NUM!</v>
      </c>
      <c r="AZ182" s="238" t="e">
        <f t="shared" si="101"/>
        <v>#NUM!</v>
      </c>
      <c r="BA182" s="237" t="e">
        <f t="shared" si="102"/>
        <v>#NUM!</v>
      </c>
      <c r="BB182" s="238" t="e">
        <f t="shared" si="103"/>
        <v>#NUM!</v>
      </c>
      <c r="BC182" s="239">
        <f>IFERROR(IF(OR($E$11=Resumen!$N$6,$E$8=Resumen!$N$6),Amortización!AY182*0.16,0),"")</f>
        <v>0</v>
      </c>
      <c r="BD182" s="237">
        <f t="shared" si="104"/>
        <v>0</v>
      </c>
      <c r="BE182" s="240">
        <f t="shared" si="84"/>
        <v>0</v>
      </c>
      <c r="BF182" s="43" t="str">
        <f t="shared" si="85"/>
        <v/>
      </c>
      <c r="BH182" s="243" t="e">
        <f t="shared" si="115"/>
        <v>#NUM!</v>
      </c>
      <c r="BI182" s="3"/>
      <c r="BJ182" s="187" t="str">
        <f t="shared" si="105"/>
        <v/>
      </c>
      <c r="BK182" s="42" t="e">
        <f t="shared" si="106"/>
        <v>#NUM!</v>
      </c>
      <c r="BL182" s="45"/>
      <c r="BM182" s="236"/>
    </row>
    <row r="183" spans="3:65" ht="15.5" thickTop="1" thickBot="1" x14ac:dyDescent="0.4">
      <c r="C183" s="36" t="str">
        <f t="shared" si="107"/>
        <v/>
      </c>
      <c r="D183" s="37" t="e">
        <f t="shared" si="108"/>
        <v>#NUM!</v>
      </c>
      <c r="E183" s="236">
        <f t="shared" si="112"/>
        <v>0</v>
      </c>
      <c r="F183" s="237" t="e">
        <f t="shared" si="113"/>
        <v>#NUM!</v>
      </c>
      <c r="G183" s="238" t="e">
        <f>IF(D183="","",L182*Resumen!$L$86/1000)</f>
        <v>#NUM!</v>
      </c>
      <c r="H183" s="237" t="e">
        <f t="shared" si="86"/>
        <v>#NUM!</v>
      </c>
      <c r="I183" s="238" t="e">
        <f>IF($E$16=$V$1,0,IF(D183="","",Amortización!$AE$14))</f>
        <v>#NUM!</v>
      </c>
      <c r="J183" s="239">
        <f>IFERROR(IF(OR($E$11=Resumen!$N$6,$E$8=Resumen!$N$6),Amortización!F183*0.16,0),"")</f>
        <v>0</v>
      </c>
      <c r="K183" s="237">
        <f t="shared" si="87"/>
        <v>0</v>
      </c>
      <c r="L183" s="240">
        <f t="shared" si="88"/>
        <v>0</v>
      </c>
      <c r="M183" s="43" t="str">
        <f t="shared" si="83"/>
        <v/>
      </c>
      <c r="N183" s="44" t="str">
        <f t="shared" si="89"/>
        <v/>
      </c>
      <c r="O183" s="44" t="str">
        <f t="shared" si="90"/>
        <v/>
      </c>
      <c r="P183" s="44" t="str">
        <f t="shared" si="91"/>
        <v/>
      </c>
      <c r="Q183" s="44"/>
      <c r="R183" s="243" t="e">
        <f t="shared" si="109"/>
        <v>#NUM!</v>
      </c>
      <c r="T183" s="187" t="str">
        <f t="shared" si="110"/>
        <v/>
      </c>
      <c r="U183" s="42" t="e">
        <f t="shared" si="92"/>
        <v>#NUM!</v>
      </c>
      <c r="V183" s="45">
        <f t="shared" si="93"/>
        <v>0</v>
      </c>
      <c r="X183" s="272" t="b">
        <f t="shared" si="114"/>
        <v>0</v>
      </c>
      <c r="Y183" s="39">
        <v>0</v>
      </c>
      <c r="AB183" s="357" t="e">
        <f t="shared" si="94"/>
        <v>#N/A</v>
      </c>
      <c r="AG183" s="307">
        <f t="shared" si="95"/>
        <v>0</v>
      </c>
      <c r="AH183" s="283">
        <f t="shared" si="96"/>
        <v>0</v>
      </c>
      <c r="AI183" t="str">
        <f t="shared" si="97"/>
        <v/>
      </c>
      <c r="AV183" s="36" t="str">
        <f t="shared" si="98"/>
        <v/>
      </c>
      <c r="AW183" s="37" t="e">
        <f t="shared" si="99"/>
        <v>#NUM!</v>
      </c>
      <c r="AX183" s="236" t="e">
        <f t="shared" si="100"/>
        <v>#NUM!</v>
      </c>
      <c r="AY183" s="237" t="e">
        <f t="shared" si="111"/>
        <v>#NUM!</v>
      </c>
      <c r="AZ183" s="238" t="e">
        <f t="shared" si="101"/>
        <v>#NUM!</v>
      </c>
      <c r="BA183" s="237" t="e">
        <f t="shared" si="102"/>
        <v>#NUM!</v>
      </c>
      <c r="BB183" s="238" t="e">
        <f t="shared" si="103"/>
        <v>#NUM!</v>
      </c>
      <c r="BC183" s="239">
        <f>IFERROR(IF(OR($E$11=Resumen!$N$6,$E$8=Resumen!$N$6),Amortización!AY183*0.16,0),"")</f>
        <v>0</v>
      </c>
      <c r="BD183" s="237">
        <f t="shared" si="104"/>
        <v>0</v>
      </c>
      <c r="BE183" s="240">
        <f t="shared" si="84"/>
        <v>0</v>
      </c>
      <c r="BF183" s="43" t="str">
        <f t="shared" si="85"/>
        <v/>
      </c>
      <c r="BH183" s="243" t="e">
        <f t="shared" si="115"/>
        <v>#NUM!</v>
      </c>
      <c r="BI183" s="3"/>
      <c r="BJ183" s="187" t="str">
        <f t="shared" si="105"/>
        <v/>
      </c>
      <c r="BK183" s="42" t="e">
        <f t="shared" si="106"/>
        <v>#NUM!</v>
      </c>
      <c r="BL183" s="45"/>
      <c r="BM183" s="44"/>
    </row>
    <row r="184" spans="3:65" ht="15.5" thickTop="1" thickBot="1" x14ac:dyDescent="0.4">
      <c r="C184" s="36" t="str">
        <f t="shared" si="107"/>
        <v/>
      </c>
      <c r="D184" s="37" t="e">
        <f t="shared" si="108"/>
        <v>#NUM!</v>
      </c>
      <c r="E184" s="236">
        <f t="shared" si="112"/>
        <v>0</v>
      </c>
      <c r="F184" s="237" t="e">
        <f t="shared" si="113"/>
        <v>#NUM!</v>
      </c>
      <c r="G184" s="238" t="e">
        <f>IF(D184="","",L183*Resumen!$L$86/1000)</f>
        <v>#NUM!</v>
      </c>
      <c r="H184" s="237" t="e">
        <f t="shared" si="86"/>
        <v>#NUM!</v>
      </c>
      <c r="I184" s="238" t="e">
        <f>IF($E$16=$V$1,0,IF(D184="","",Amortización!$AE$14))</f>
        <v>#NUM!</v>
      </c>
      <c r="J184" s="239">
        <f>IFERROR(IF(OR($E$11=Resumen!$N$6,$E$8=Resumen!$N$6),Amortización!F184*0.16,0),"")</f>
        <v>0</v>
      </c>
      <c r="K184" s="237">
        <f t="shared" si="87"/>
        <v>0</v>
      </c>
      <c r="L184" s="240">
        <f t="shared" si="88"/>
        <v>0</v>
      </c>
      <c r="M184" s="43" t="str">
        <f t="shared" si="83"/>
        <v/>
      </c>
      <c r="N184" s="44" t="str">
        <f t="shared" si="89"/>
        <v/>
      </c>
      <c r="O184" s="44" t="str">
        <f t="shared" si="90"/>
        <v/>
      </c>
      <c r="P184" s="44" t="str">
        <f t="shared" si="91"/>
        <v/>
      </c>
      <c r="Q184" s="236" t="str">
        <f>IF(OR(L183=0,L183=""),"",IF(E184&gt;=D184,0,$E$17*10%))</f>
        <v/>
      </c>
      <c r="R184" s="243" t="e">
        <f t="shared" si="109"/>
        <v>#NUM!</v>
      </c>
      <c r="T184" s="187" t="str">
        <f t="shared" si="110"/>
        <v/>
      </c>
      <c r="U184" s="42" t="e">
        <f t="shared" si="92"/>
        <v>#NUM!</v>
      </c>
      <c r="V184" s="45">
        <f t="shared" si="93"/>
        <v>0</v>
      </c>
      <c r="X184" s="272" t="b">
        <f t="shared" si="114"/>
        <v>0</v>
      </c>
      <c r="Y184" s="39">
        <v>0</v>
      </c>
      <c r="AB184" s="357" t="e">
        <f t="shared" si="94"/>
        <v>#N/A</v>
      </c>
      <c r="AG184" s="307">
        <f t="shared" si="95"/>
        <v>0</v>
      </c>
      <c r="AH184" s="283">
        <f t="shared" si="96"/>
        <v>0</v>
      </c>
      <c r="AI184" t="str">
        <f t="shared" si="97"/>
        <v/>
      </c>
      <c r="AV184" s="36" t="str">
        <f t="shared" si="98"/>
        <v/>
      </c>
      <c r="AW184" s="37" t="e">
        <f t="shared" si="99"/>
        <v>#NUM!</v>
      </c>
      <c r="AX184" s="236" t="e">
        <f t="shared" si="100"/>
        <v>#NUM!</v>
      </c>
      <c r="AY184" s="237" t="e">
        <f t="shared" si="111"/>
        <v>#NUM!</v>
      </c>
      <c r="AZ184" s="238" t="e">
        <f t="shared" si="101"/>
        <v>#NUM!</v>
      </c>
      <c r="BA184" s="237" t="e">
        <f t="shared" si="102"/>
        <v>#NUM!</v>
      </c>
      <c r="BB184" s="238" t="e">
        <f t="shared" si="103"/>
        <v>#NUM!</v>
      </c>
      <c r="BC184" s="239">
        <f>IFERROR(IF(OR($E$11=Resumen!$N$6,$E$8=Resumen!$N$6),Amortización!AY184*0.16,0),"")</f>
        <v>0</v>
      </c>
      <c r="BD184" s="237">
        <f t="shared" si="104"/>
        <v>0</v>
      </c>
      <c r="BE184" s="240">
        <f t="shared" si="84"/>
        <v>0</v>
      </c>
      <c r="BF184" s="43" t="str">
        <f t="shared" si="85"/>
        <v/>
      </c>
      <c r="BH184" s="243" t="e">
        <f t="shared" si="115"/>
        <v>#NUM!</v>
      </c>
      <c r="BI184" s="3"/>
      <c r="BJ184" s="187" t="str">
        <f t="shared" si="105"/>
        <v/>
      </c>
      <c r="BK184" s="42" t="e">
        <f t="shared" si="106"/>
        <v>#NUM!</v>
      </c>
      <c r="BL184" s="45"/>
      <c r="BM184" s="236"/>
    </row>
    <row r="185" spans="3:65" ht="15.5" thickTop="1" thickBot="1" x14ac:dyDescent="0.4">
      <c r="C185" s="36" t="str">
        <f t="shared" si="107"/>
        <v/>
      </c>
      <c r="D185" s="37" t="e">
        <f t="shared" si="108"/>
        <v>#NUM!</v>
      </c>
      <c r="E185" s="236">
        <f t="shared" si="112"/>
        <v>0</v>
      </c>
      <c r="F185" s="237" t="e">
        <f t="shared" si="113"/>
        <v>#NUM!</v>
      </c>
      <c r="G185" s="238" t="e">
        <f>IF(D185="","",L184*Resumen!$L$86/1000)</f>
        <v>#NUM!</v>
      </c>
      <c r="H185" s="237" t="e">
        <f t="shared" si="86"/>
        <v>#NUM!</v>
      </c>
      <c r="I185" s="238" t="e">
        <f>IF($E$16=$V$1,0,IF(D185="","",Amortización!$AE$14))</f>
        <v>#NUM!</v>
      </c>
      <c r="J185" s="239">
        <f>IFERROR(IF(OR($E$11=Resumen!$N$6,$E$8=Resumen!$N$6),Amortización!F185*0.16,0),"")</f>
        <v>0</v>
      </c>
      <c r="K185" s="237">
        <f t="shared" si="87"/>
        <v>0</v>
      </c>
      <c r="L185" s="240">
        <f t="shared" si="88"/>
        <v>0</v>
      </c>
      <c r="M185" s="43" t="str">
        <f t="shared" si="83"/>
        <v/>
      </c>
      <c r="N185" s="44" t="str">
        <f t="shared" si="89"/>
        <v/>
      </c>
      <c r="O185" s="44" t="str">
        <f t="shared" si="90"/>
        <v/>
      </c>
      <c r="P185" s="44" t="str">
        <f t="shared" si="91"/>
        <v/>
      </c>
      <c r="Q185" s="44"/>
      <c r="R185" s="243" t="e">
        <f t="shared" si="109"/>
        <v>#NUM!</v>
      </c>
      <c r="T185" s="187" t="str">
        <f t="shared" si="110"/>
        <v/>
      </c>
      <c r="U185" s="42" t="e">
        <f t="shared" si="92"/>
        <v>#NUM!</v>
      </c>
      <c r="V185" s="45">
        <f t="shared" si="93"/>
        <v>0</v>
      </c>
      <c r="X185" s="272" t="b">
        <f t="shared" si="114"/>
        <v>0</v>
      </c>
      <c r="Y185" s="39">
        <v>0</v>
      </c>
      <c r="AB185" s="357" t="e">
        <f t="shared" si="94"/>
        <v>#N/A</v>
      </c>
      <c r="AG185" s="307">
        <f t="shared" si="95"/>
        <v>0</v>
      </c>
      <c r="AH185" s="283">
        <f t="shared" si="96"/>
        <v>0</v>
      </c>
      <c r="AI185" t="str">
        <f t="shared" si="97"/>
        <v/>
      </c>
      <c r="AV185" s="36" t="str">
        <f t="shared" si="98"/>
        <v/>
      </c>
      <c r="AW185" s="37" t="e">
        <f t="shared" si="99"/>
        <v>#NUM!</v>
      </c>
      <c r="AX185" s="236" t="e">
        <f t="shared" si="100"/>
        <v>#NUM!</v>
      </c>
      <c r="AY185" s="237" t="e">
        <f t="shared" si="111"/>
        <v>#NUM!</v>
      </c>
      <c r="AZ185" s="238" t="e">
        <f t="shared" si="101"/>
        <v>#NUM!</v>
      </c>
      <c r="BA185" s="237" t="e">
        <f t="shared" si="102"/>
        <v>#NUM!</v>
      </c>
      <c r="BB185" s="238" t="e">
        <f t="shared" si="103"/>
        <v>#NUM!</v>
      </c>
      <c r="BC185" s="239">
        <f>IFERROR(IF(OR($E$11=Resumen!$N$6,$E$8=Resumen!$N$6),Amortización!AY185*0.16,0),"")</f>
        <v>0</v>
      </c>
      <c r="BD185" s="237">
        <f t="shared" si="104"/>
        <v>0</v>
      </c>
      <c r="BE185" s="240">
        <f t="shared" si="84"/>
        <v>0</v>
      </c>
      <c r="BF185" s="43" t="str">
        <f t="shared" si="85"/>
        <v/>
      </c>
      <c r="BH185" s="243" t="e">
        <f t="shared" si="115"/>
        <v>#NUM!</v>
      </c>
      <c r="BI185" s="3"/>
      <c r="BJ185" s="187" t="str">
        <f t="shared" si="105"/>
        <v/>
      </c>
      <c r="BK185" s="42" t="e">
        <f t="shared" si="106"/>
        <v>#NUM!</v>
      </c>
      <c r="BL185" s="45"/>
      <c r="BM185" s="44"/>
    </row>
    <row r="186" spans="3:65" ht="15.5" thickTop="1" thickBot="1" x14ac:dyDescent="0.4">
      <c r="C186" s="36" t="str">
        <f t="shared" si="107"/>
        <v/>
      </c>
      <c r="D186" s="37" t="e">
        <f t="shared" si="108"/>
        <v>#NUM!</v>
      </c>
      <c r="E186" s="236">
        <f t="shared" si="112"/>
        <v>0</v>
      </c>
      <c r="F186" s="237" t="e">
        <f t="shared" si="113"/>
        <v>#NUM!</v>
      </c>
      <c r="G186" s="238" t="e">
        <f>IF(D186="","",L185*Resumen!$L$86/1000)</f>
        <v>#NUM!</v>
      </c>
      <c r="H186" s="237" t="e">
        <f t="shared" si="86"/>
        <v>#NUM!</v>
      </c>
      <c r="I186" s="238" t="e">
        <f>IF($E$16=$V$1,0,IF(D186="","",Amortización!$AE$14))</f>
        <v>#NUM!</v>
      </c>
      <c r="J186" s="239">
        <f>IFERROR(IF(OR($E$11=Resumen!$N$6,$E$8=Resumen!$N$6),Amortización!F186*0.16,0),"")</f>
        <v>0</v>
      </c>
      <c r="K186" s="237">
        <f t="shared" si="87"/>
        <v>0</v>
      </c>
      <c r="L186" s="240">
        <f t="shared" si="88"/>
        <v>0</v>
      </c>
      <c r="M186" s="43" t="str">
        <f t="shared" si="83"/>
        <v/>
      </c>
      <c r="N186" s="44" t="str">
        <f t="shared" si="89"/>
        <v/>
      </c>
      <c r="O186" s="44" t="str">
        <f t="shared" si="90"/>
        <v/>
      </c>
      <c r="P186" s="44" t="str">
        <f t="shared" si="91"/>
        <v/>
      </c>
      <c r="Q186" s="236" t="str">
        <f>IF(OR(L185=0,L185=""),"",IF(E186&gt;=D186,0,$E$17*10%))</f>
        <v/>
      </c>
      <c r="R186" s="243" t="e">
        <f t="shared" si="109"/>
        <v>#NUM!</v>
      </c>
      <c r="T186" s="187" t="str">
        <f t="shared" si="110"/>
        <v/>
      </c>
      <c r="U186" s="42" t="e">
        <f t="shared" si="92"/>
        <v>#NUM!</v>
      </c>
      <c r="V186" s="45">
        <f t="shared" si="93"/>
        <v>0</v>
      </c>
      <c r="X186" s="272" t="b">
        <f t="shared" si="114"/>
        <v>0</v>
      </c>
      <c r="Y186" s="39">
        <v>0</v>
      </c>
      <c r="AB186" s="357" t="e">
        <f t="shared" si="94"/>
        <v>#N/A</v>
      </c>
      <c r="AG186" s="307">
        <f t="shared" si="95"/>
        <v>0</v>
      </c>
      <c r="AH186" s="283">
        <f t="shared" si="96"/>
        <v>0</v>
      </c>
      <c r="AI186" t="str">
        <f t="shared" si="97"/>
        <v/>
      </c>
      <c r="AV186" s="36" t="str">
        <f t="shared" si="98"/>
        <v/>
      </c>
      <c r="AW186" s="37" t="e">
        <f t="shared" si="99"/>
        <v>#NUM!</v>
      </c>
      <c r="AX186" s="236" t="e">
        <f t="shared" si="100"/>
        <v>#NUM!</v>
      </c>
      <c r="AY186" s="237" t="e">
        <f t="shared" si="111"/>
        <v>#NUM!</v>
      </c>
      <c r="AZ186" s="238" t="e">
        <f t="shared" si="101"/>
        <v>#NUM!</v>
      </c>
      <c r="BA186" s="237" t="e">
        <f t="shared" si="102"/>
        <v>#NUM!</v>
      </c>
      <c r="BB186" s="238" t="e">
        <f t="shared" si="103"/>
        <v>#NUM!</v>
      </c>
      <c r="BC186" s="239">
        <f>IFERROR(IF(OR($E$11=Resumen!$N$6,$E$8=Resumen!$N$6),Amortización!AY186*0.16,0),"")</f>
        <v>0</v>
      </c>
      <c r="BD186" s="237">
        <f t="shared" si="104"/>
        <v>0</v>
      </c>
      <c r="BE186" s="240">
        <f t="shared" si="84"/>
        <v>0</v>
      </c>
      <c r="BF186" s="43" t="str">
        <f t="shared" si="85"/>
        <v/>
      </c>
      <c r="BH186" s="243" t="e">
        <f t="shared" si="115"/>
        <v>#NUM!</v>
      </c>
      <c r="BI186" s="3"/>
      <c r="BJ186" s="187" t="str">
        <f t="shared" si="105"/>
        <v/>
      </c>
      <c r="BK186" s="42" t="e">
        <f t="shared" si="106"/>
        <v>#NUM!</v>
      </c>
      <c r="BL186" s="45"/>
      <c r="BM186" s="236"/>
    </row>
    <row r="187" spans="3:65" ht="15.5" thickTop="1" thickBot="1" x14ac:dyDescent="0.4">
      <c r="C187" s="36" t="str">
        <f t="shared" si="107"/>
        <v/>
      </c>
      <c r="D187" s="37" t="e">
        <f t="shared" si="108"/>
        <v>#NUM!</v>
      </c>
      <c r="E187" s="236">
        <f t="shared" si="112"/>
        <v>0</v>
      </c>
      <c r="F187" s="237" t="e">
        <f t="shared" si="113"/>
        <v>#NUM!</v>
      </c>
      <c r="G187" s="238" t="e">
        <f>IF(D187="","",L186*Resumen!$L$86/1000)</f>
        <v>#NUM!</v>
      </c>
      <c r="H187" s="237" t="e">
        <f t="shared" si="86"/>
        <v>#NUM!</v>
      </c>
      <c r="I187" s="238" t="e">
        <f>IF($E$16=$V$1,0,IF(D187="","",Amortización!$AE$14))</f>
        <v>#NUM!</v>
      </c>
      <c r="J187" s="239">
        <f>IFERROR(IF(OR($E$11=Resumen!$N$6,$E$8=Resumen!$N$6),Amortización!F187*0.16,0),"")</f>
        <v>0</v>
      </c>
      <c r="K187" s="237">
        <f t="shared" si="87"/>
        <v>0</v>
      </c>
      <c r="L187" s="240">
        <f t="shared" si="88"/>
        <v>0</v>
      </c>
      <c r="M187" s="43" t="str">
        <f t="shared" si="83"/>
        <v/>
      </c>
      <c r="N187" s="44" t="str">
        <f t="shared" si="89"/>
        <v/>
      </c>
      <c r="O187" s="44" t="str">
        <f t="shared" si="90"/>
        <v/>
      </c>
      <c r="P187" s="44" t="str">
        <f t="shared" si="91"/>
        <v/>
      </c>
      <c r="Q187" s="44"/>
      <c r="R187" s="243" t="e">
        <f t="shared" si="109"/>
        <v>#NUM!</v>
      </c>
      <c r="T187" s="187" t="str">
        <f t="shared" si="110"/>
        <v/>
      </c>
      <c r="U187" s="42" t="e">
        <f t="shared" si="92"/>
        <v>#NUM!</v>
      </c>
      <c r="V187" s="45">
        <f t="shared" si="93"/>
        <v>0</v>
      </c>
      <c r="X187" s="272" t="b">
        <f t="shared" si="114"/>
        <v>0</v>
      </c>
      <c r="Y187" s="39">
        <v>0</v>
      </c>
      <c r="AB187" s="357" t="e">
        <f t="shared" si="94"/>
        <v>#N/A</v>
      </c>
      <c r="AG187" s="307">
        <f t="shared" si="95"/>
        <v>0</v>
      </c>
      <c r="AH187" s="283">
        <f t="shared" si="96"/>
        <v>0</v>
      </c>
      <c r="AI187" t="str">
        <f t="shared" si="97"/>
        <v/>
      </c>
      <c r="AV187" s="36" t="str">
        <f t="shared" si="98"/>
        <v/>
      </c>
      <c r="AW187" s="37" t="e">
        <f t="shared" si="99"/>
        <v>#NUM!</v>
      </c>
      <c r="AX187" s="236" t="e">
        <f t="shared" si="100"/>
        <v>#NUM!</v>
      </c>
      <c r="AY187" s="237" t="e">
        <f t="shared" si="111"/>
        <v>#NUM!</v>
      </c>
      <c r="AZ187" s="238" t="e">
        <f t="shared" si="101"/>
        <v>#NUM!</v>
      </c>
      <c r="BA187" s="237" t="e">
        <f t="shared" si="102"/>
        <v>#NUM!</v>
      </c>
      <c r="BB187" s="238" t="e">
        <f t="shared" si="103"/>
        <v>#NUM!</v>
      </c>
      <c r="BC187" s="239">
        <f>IFERROR(IF(OR($E$11=Resumen!$N$6,$E$8=Resumen!$N$6),Amortización!AY187*0.16,0),"")</f>
        <v>0</v>
      </c>
      <c r="BD187" s="237">
        <f t="shared" si="104"/>
        <v>0</v>
      </c>
      <c r="BE187" s="240">
        <f t="shared" si="84"/>
        <v>0</v>
      </c>
      <c r="BF187" s="43" t="str">
        <f t="shared" si="85"/>
        <v/>
      </c>
      <c r="BH187" s="243" t="e">
        <f t="shared" si="115"/>
        <v>#NUM!</v>
      </c>
      <c r="BI187" s="3"/>
      <c r="BJ187" s="187" t="str">
        <f t="shared" si="105"/>
        <v/>
      </c>
      <c r="BK187" s="42" t="e">
        <f t="shared" si="106"/>
        <v>#NUM!</v>
      </c>
      <c r="BL187" s="45"/>
      <c r="BM187" s="44"/>
    </row>
    <row r="188" spans="3:65" ht="15.5" thickTop="1" thickBot="1" x14ac:dyDescent="0.4">
      <c r="C188" s="36" t="str">
        <f t="shared" si="107"/>
        <v/>
      </c>
      <c r="D188" s="37" t="e">
        <f t="shared" si="108"/>
        <v>#NUM!</v>
      </c>
      <c r="E188" s="236">
        <f t="shared" si="112"/>
        <v>0</v>
      </c>
      <c r="F188" s="237" t="e">
        <f t="shared" si="113"/>
        <v>#NUM!</v>
      </c>
      <c r="G188" s="238" t="e">
        <f>IF(D188="","",L187*Resumen!$L$86/1000)</f>
        <v>#NUM!</v>
      </c>
      <c r="H188" s="237" t="e">
        <f t="shared" si="86"/>
        <v>#NUM!</v>
      </c>
      <c r="I188" s="238" t="e">
        <f>IF($E$16=$V$1,0,IF(D188="","",Amortización!$AE$14))</f>
        <v>#NUM!</v>
      </c>
      <c r="J188" s="239">
        <f>IFERROR(IF(OR($E$11=Resumen!$N$6,$E$8=Resumen!$N$6),Amortización!F188*0.16,0),"")</f>
        <v>0</v>
      </c>
      <c r="K188" s="237">
        <f t="shared" si="87"/>
        <v>0</v>
      </c>
      <c r="L188" s="240">
        <f t="shared" si="88"/>
        <v>0</v>
      </c>
      <c r="M188" s="43" t="str">
        <f t="shared" si="83"/>
        <v/>
      </c>
      <c r="N188" s="44" t="str">
        <f t="shared" si="89"/>
        <v/>
      </c>
      <c r="O188" s="44" t="str">
        <f t="shared" si="90"/>
        <v/>
      </c>
      <c r="P188" s="44" t="str">
        <f t="shared" si="91"/>
        <v/>
      </c>
      <c r="Q188" s="236" t="str">
        <f>IF(OR(L187=0,L187=""),"",IF(E188&gt;=D188,0,$E$17*10%))</f>
        <v/>
      </c>
      <c r="R188" s="243" t="e">
        <f t="shared" si="109"/>
        <v>#NUM!</v>
      </c>
      <c r="T188" s="187" t="str">
        <f t="shared" si="110"/>
        <v/>
      </c>
      <c r="U188" s="42" t="e">
        <f t="shared" si="92"/>
        <v>#NUM!</v>
      </c>
      <c r="V188" s="45">
        <f t="shared" si="93"/>
        <v>0</v>
      </c>
      <c r="X188" s="272" t="b">
        <f t="shared" si="114"/>
        <v>0</v>
      </c>
      <c r="Y188" s="39">
        <v>0</v>
      </c>
      <c r="AB188" s="357" t="e">
        <f t="shared" si="94"/>
        <v>#N/A</v>
      </c>
      <c r="AG188" s="307">
        <f t="shared" si="95"/>
        <v>0</v>
      </c>
      <c r="AH188" s="283">
        <f t="shared" si="96"/>
        <v>0</v>
      </c>
      <c r="AI188" t="str">
        <f t="shared" si="97"/>
        <v/>
      </c>
      <c r="AV188" s="36" t="str">
        <f t="shared" si="98"/>
        <v/>
      </c>
      <c r="AW188" s="37" t="e">
        <f t="shared" si="99"/>
        <v>#NUM!</v>
      </c>
      <c r="AX188" s="236" t="e">
        <f t="shared" si="100"/>
        <v>#NUM!</v>
      </c>
      <c r="AY188" s="237" t="e">
        <f t="shared" si="111"/>
        <v>#NUM!</v>
      </c>
      <c r="AZ188" s="238" t="e">
        <f t="shared" si="101"/>
        <v>#NUM!</v>
      </c>
      <c r="BA188" s="237" t="e">
        <f t="shared" si="102"/>
        <v>#NUM!</v>
      </c>
      <c r="BB188" s="238" t="e">
        <f t="shared" si="103"/>
        <v>#NUM!</v>
      </c>
      <c r="BC188" s="239">
        <f>IFERROR(IF(OR($E$11=Resumen!$N$6,$E$8=Resumen!$N$6),Amortización!AY188*0.16,0),"")</f>
        <v>0</v>
      </c>
      <c r="BD188" s="237">
        <f t="shared" si="104"/>
        <v>0</v>
      </c>
      <c r="BE188" s="240">
        <f t="shared" si="84"/>
        <v>0</v>
      </c>
      <c r="BF188" s="43" t="str">
        <f t="shared" si="85"/>
        <v/>
      </c>
      <c r="BH188" s="243" t="e">
        <f t="shared" si="115"/>
        <v>#NUM!</v>
      </c>
      <c r="BI188" s="3"/>
      <c r="BJ188" s="187" t="str">
        <f t="shared" si="105"/>
        <v/>
      </c>
      <c r="BK188" s="42" t="e">
        <f t="shared" si="106"/>
        <v>#NUM!</v>
      </c>
      <c r="BL188" s="45"/>
      <c r="BM188" s="236"/>
    </row>
    <row r="189" spans="3:65" ht="15.5" thickTop="1" thickBot="1" x14ac:dyDescent="0.4">
      <c r="C189" s="36" t="str">
        <f t="shared" si="107"/>
        <v/>
      </c>
      <c r="D189" s="37" t="e">
        <f t="shared" si="108"/>
        <v>#NUM!</v>
      </c>
      <c r="E189" s="236">
        <f t="shared" si="112"/>
        <v>0</v>
      </c>
      <c r="F189" s="237" t="e">
        <f t="shared" si="113"/>
        <v>#NUM!</v>
      </c>
      <c r="G189" s="238" t="e">
        <f>IF(D189="","",L188*Resumen!$L$86/1000)</f>
        <v>#NUM!</v>
      </c>
      <c r="H189" s="237" t="e">
        <f t="shared" si="86"/>
        <v>#NUM!</v>
      </c>
      <c r="I189" s="238" t="e">
        <f>IF($E$16=$V$1,0,IF(D189="","",Amortización!$AE$14))</f>
        <v>#NUM!</v>
      </c>
      <c r="J189" s="239">
        <f>IFERROR(IF(OR($E$11=Resumen!$N$6,$E$8=Resumen!$N$6),Amortización!F189*0.16,0),"")</f>
        <v>0</v>
      </c>
      <c r="K189" s="237">
        <f t="shared" si="87"/>
        <v>0</v>
      </c>
      <c r="L189" s="240">
        <f t="shared" si="88"/>
        <v>0</v>
      </c>
      <c r="M189" s="43" t="str">
        <f t="shared" si="83"/>
        <v/>
      </c>
      <c r="N189" s="44" t="str">
        <f t="shared" si="89"/>
        <v/>
      </c>
      <c r="O189" s="44" t="str">
        <f t="shared" si="90"/>
        <v/>
      </c>
      <c r="P189" s="44" t="str">
        <f t="shared" si="91"/>
        <v/>
      </c>
      <c r="Q189" s="44"/>
      <c r="R189" s="243" t="e">
        <f t="shared" si="109"/>
        <v>#NUM!</v>
      </c>
      <c r="T189" s="187" t="str">
        <f t="shared" si="110"/>
        <v/>
      </c>
      <c r="U189" s="42" t="e">
        <f t="shared" si="92"/>
        <v>#NUM!</v>
      </c>
      <c r="V189" s="45">
        <f t="shared" si="93"/>
        <v>0</v>
      </c>
      <c r="X189" s="272" t="b">
        <f t="shared" si="114"/>
        <v>0</v>
      </c>
      <c r="Y189" s="39">
        <v>0</v>
      </c>
      <c r="AB189" s="357" t="e">
        <f t="shared" si="94"/>
        <v>#N/A</v>
      </c>
      <c r="AG189" s="307">
        <f t="shared" si="95"/>
        <v>0</v>
      </c>
      <c r="AH189" s="283">
        <f t="shared" si="96"/>
        <v>0</v>
      </c>
      <c r="AI189" t="str">
        <f t="shared" si="97"/>
        <v/>
      </c>
      <c r="AV189" s="36" t="str">
        <f t="shared" si="98"/>
        <v/>
      </c>
      <c r="AW189" s="37" t="e">
        <f t="shared" si="99"/>
        <v>#NUM!</v>
      </c>
      <c r="AX189" s="236" t="e">
        <f t="shared" si="100"/>
        <v>#NUM!</v>
      </c>
      <c r="AY189" s="237" t="e">
        <f t="shared" si="111"/>
        <v>#NUM!</v>
      </c>
      <c r="AZ189" s="238" t="e">
        <f t="shared" si="101"/>
        <v>#NUM!</v>
      </c>
      <c r="BA189" s="237" t="e">
        <f t="shared" si="102"/>
        <v>#NUM!</v>
      </c>
      <c r="BB189" s="238" t="e">
        <f t="shared" si="103"/>
        <v>#NUM!</v>
      </c>
      <c r="BC189" s="239">
        <f>IFERROR(IF(OR($E$11=Resumen!$N$6,$E$8=Resumen!$N$6),Amortización!AY189*0.16,0),"")</f>
        <v>0</v>
      </c>
      <c r="BD189" s="237">
        <f t="shared" si="104"/>
        <v>0</v>
      </c>
      <c r="BE189" s="240">
        <f t="shared" si="84"/>
        <v>0</v>
      </c>
      <c r="BF189" s="43" t="str">
        <f t="shared" si="85"/>
        <v/>
      </c>
      <c r="BH189" s="243" t="e">
        <f t="shared" si="115"/>
        <v>#NUM!</v>
      </c>
      <c r="BI189" s="3"/>
      <c r="BJ189" s="187" t="str">
        <f t="shared" si="105"/>
        <v/>
      </c>
      <c r="BK189" s="42" t="e">
        <f t="shared" si="106"/>
        <v>#NUM!</v>
      </c>
      <c r="BL189" s="45"/>
      <c r="BM189" s="44"/>
    </row>
    <row r="190" spans="3:65" ht="15.5" thickTop="1" thickBot="1" x14ac:dyDescent="0.4">
      <c r="C190" s="36" t="str">
        <f t="shared" si="107"/>
        <v/>
      </c>
      <c r="D190" s="37" t="e">
        <f t="shared" si="108"/>
        <v>#NUM!</v>
      </c>
      <c r="E190" s="236">
        <f t="shared" si="112"/>
        <v>0</v>
      </c>
      <c r="F190" s="237" t="e">
        <f t="shared" si="113"/>
        <v>#NUM!</v>
      </c>
      <c r="G190" s="238" t="e">
        <f>IF(D190="","",L189*Resumen!$L$86/1000)</f>
        <v>#NUM!</v>
      </c>
      <c r="H190" s="237" t="e">
        <f t="shared" si="86"/>
        <v>#NUM!</v>
      </c>
      <c r="I190" s="238" t="e">
        <f>IF($E$16=$V$1,0,IF(D190="","",Amortización!$AE$14))</f>
        <v>#NUM!</v>
      </c>
      <c r="J190" s="239">
        <f>IFERROR(IF(OR($E$11=Resumen!$N$6,$E$8=Resumen!$N$6),Amortización!F190*0.16,0),"")</f>
        <v>0</v>
      </c>
      <c r="K190" s="237">
        <f t="shared" si="87"/>
        <v>0</v>
      </c>
      <c r="L190" s="240">
        <f t="shared" si="88"/>
        <v>0</v>
      </c>
      <c r="M190" s="43" t="str">
        <f t="shared" si="83"/>
        <v/>
      </c>
      <c r="N190" s="44" t="str">
        <f t="shared" si="89"/>
        <v/>
      </c>
      <c r="O190" s="44" t="str">
        <f t="shared" si="90"/>
        <v/>
      </c>
      <c r="P190" s="44" t="str">
        <f t="shared" si="91"/>
        <v/>
      </c>
      <c r="Q190" s="236" t="str">
        <f>IF(OR(L189=0,L189=""),"",IF(E190&gt;=D190,0,$E$17*10%))</f>
        <v/>
      </c>
      <c r="R190" s="243" t="e">
        <f t="shared" si="109"/>
        <v>#NUM!</v>
      </c>
      <c r="T190" s="187" t="str">
        <f t="shared" si="110"/>
        <v/>
      </c>
      <c r="U190" s="42" t="e">
        <f t="shared" si="92"/>
        <v>#NUM!</v>
      </c>
      <c r="V190" s="45">
        <f t="shared" si="93"/>
        <v>0</v>
      </c>
      <c r="X190" s="272" t="b">
        <f t="shared" si="114"/>
        <v>0</v>
      </c>
      <c r="Y190" s="39">
        <v>0</v>
      </c>
      <c r="AB190" s="357" t="e">
        <f t="shared" si="94"/>
        <v>#N/A</v>
      </c>
      <c r="AG190" s="307">
        <f t="shared" si="95"/>
        <v>0</v>
      </c>
      <c r="AH190" s="283">
        <f t="shared" si="96"/>
        <v>0</v>
      </c>
      <c r="AI190" t="str">
        <f t="shared" si="97"/>
        <v/>
      </c>
      <c r="AV190" s="36" t="str">
        <f t="shared" si="98"/>
        <v/>
      </c>
      <c r="AW190" s="37" t="e">
        <f t="shared" si="99"/>
        <v>#NUM!</v>
      </c>
      <c r="AX190" s="236" t="e">
        <f t="shared" si="100"/>
        <v>#NUM!</v>
      </c>
      <c r="AY190" s="237" t="e">
        <f t="shared" si="111"/>
        <v>#NUM!</v>
      </c>
      <c r="AZ190" s="238" t="e">
        <f t="shared" si="101"/>
        <v>#NUM!</v>
      </c>
      <c r="BA190" s="237" t="e">
        <f t="shared" si="102"/>
        <v>#NUM!</v>
      </c>
      <c r="BB190" s="238" t="e">
        <f t="shared" si="103"/>
        <v>#NUM!</v>
      </c>
      <c r="BC190" s="239">
        <f>IFERROR(IF(OR($E$11=Resumen!$N$6,$E$8=Resumen!$N$6),Amortización!AY190*0.16,0),"")</f>
        <v>0</v>
      </c>
      <c r="BD190" s="237">
        <f t="shared" si="104"/>
        <v>0</v>
      </c>
      <c r="BE190" s="240">
        <f t="shared" si="84"/>
        <v>0</v>
      </c>
      <c r="BF190" s="43" t="str">
        <f t="shared" si="85"/>
        <v/>
      </c>
      <c r="BH190" s="243" t="e">
        <f t="shared" si="115"/>
        <v>#NUM!</v>
      </c>
      <c r="BI190" s="3"/>
      <c r="BJ190" s="187" t="str">
        <f t="shared" si="105"/>
        <v/>
      </c>
      <c r="BK190" s="42" t="e">
        <f t="shared" si="106"/>
        <v>#NUM!</v>
      </c>
      <c r="BL190" s="45"/>
      <c r="BM190" s="236"/>
    </row>
    <row r="191" spans="3:65" ht="15.5" thickTop="1" thickBot="1" x14ac:dyDescent="0.4">
      <c r="C191" s="36" t="str">
        <f t="shared" si="107"/>
        <v/>
      </c>
      <c r="D191" s="37" t="e">
        <f t="shared" si="108"/>
        <v>#NUM!</v>
      </c>
      <c r="E191" s="236">
        <f t="shared" si="112"/>
        <v>0</v>
      </c>
      <c r="F191" s="237" t="e">
        <f t="shared" si="113"/>
        <v>#NUM!</v>
      </c>
      <c r="G191" s="238" t="e">
        <f>IF(D191="","",L190*Resumen!$L$86/1000)</f>
        <v>#NUM!</v>
      </c>
      <c r="H191" s="237" t="e">
        <f t="shared" si="86"/>
        <v>#NUM!</v>
      </c>
      <c r="I191" s="238" t="e">
        <f>IF($E$16=$V$1,0,IF(D191="","",Amortización!$AE$14))</f>
        <v>#NUM!</v>
      </c>
      <c r="J191" s="239">
        <f>IFERROR(IF(OR($E$11=Resumen!$N$6,$E$8=Resumen!$N$6),Amortización!F191*0.16,0),"")</f>
        <v>0</v>
      </c>
      <c r="K191" s="237">
        <f t="shared" si="87"/>
        <v>0</v>
      </c>
      <c r="L191" s="240">
        <f t="shared" si="88"/>
        <v>0</v>
      </c>
      <c r="M191" s="43" t="str">
        <f t="shared" si="83"/>
        <v/>
      </c>
      <c r="N191" s="44" t="str">
        <f t="shared" si="89"/>
        <v/>
      </c>
      <c r="O191" s="44" t="str">
        <f t="shared" si="90"/>
        <v/>
      </c>
      <c r="P191" s="44" t="str">
        <f t="shared" si="91"/>
        <v/>
      </c>
      <c r="Q191" s="44"/>
      <c r="R191" s="243" t="e">
        <f t="shared" si="109"/>
        <v>#NUM!</v>
      </c>
      <c r="T191" s="187" t="str">
        <f t="shared" si="110"/>
        <v/>
      </c>
      <c r="U191" s="42" t="e">
        <f t="shared" si="92"/>
        <v>#NUM!</v>
      </c>
      <c r="V191" s="45">
        <f t="shared" si="93"/>
        <v>0</v>
      </c>
      <c r="X191" s="272" t="b">
        <f t="shared" si="114"/>
        <v>0</v>
      </c>
      <c r="Y191" s="39">
        <v>0</v>
      </c>
      <c r="AB191" s="357" t="e">
        <f t="shared" si="94"/>
        <v>#N/A</v>
      </c>
      <c r="AG191" s="307">
        <f t="shared" si="95"/>
        <v>0</v>
      </c>
      <c r="AH191" s="283">
        <f t="shared" si="96"/>
        <v>0</v>
      </c>
      <c r="AI191" t="str">
        <f t="shared" si="97"/>
        <v/>
      </c>
      <c r="AV191" s="36" t="str">
        <f t="shared" si="98"/>
        <v/>
      </c>
      <c r="AW191" s="37" t="e">
        <f t="shared" si="99"/>
        <v>#NUM!</v>
      </c>
      <c r="AX191" s="236" t="e">
        <f t="shared" si="100"/>
        <v>#NUM!</v>
      </c>
      <c r="AY191" s="237" t="e">
        <f t="shared" si="111"/>
        <v>#NUM!</v>
      </c>
      <c r="AZ191" s="238" t="e">
        <f t="shared" si="101"/>
        <v>#NUM!</v>
      </c>
      <c r="BA191" s="237" t="e">
        <f t="shared" si="102"/>
        <v>#NUM!</v>
      </c>
      <c r="BB191" s="238" t="e">
        <f t="shared" si="103"/>
        <v>#NUM!</v>
      </c>
      <c r="BC191" s="239">
        <f>IFERROR(IF(OR($E$11=Resumen!$N$6,$E$8=Resumen!$N$6),Amortización!AY191*0.16,0),"")</f>
        <v>0</v>
      </c>
      <c r="BD191" s="237">
        <f t="shared" si="104"/>
        <v>0</v>
      </c>
      <c r="BE191" s="240">
        <f t="shared" si="84"/>
        <v>0</v>
      </c>
      <c r="BF191" s="43" t="str">
        <f t="shared" si="85"/>
        <v/>
      </c>
      <c r="BH191" s="243" t="e">
        <f t="shared" si="115"/>
        <v>#NUM!</v>
      </c>
      <c r="BI191" s="3"/>
      <c r="BJ191" s="187" t="str">
        <f t="shared" si="105"/>
        <v/>
      </c>
      <c r="BK191" s="42" t="e">
        <f t="shared" si="106"/>
        <v>#NUM!</v>
      </c>
      <c r="BL191" s="45"/>
      <c r="BM191" s="44"/>
    </row>
    <row r="192" spans="3:65" ht="15.5" thickTop="1" thickBot="1" x14ac:dyDescent="0.4">
      <c r="C192" s="36" t="str">
        <f t="shared" si="107"/>
        <v/>
      </c>
      <c r="D192" s="37" t="e">
        <f t="shared" si="108"/>
        <v>#NUM!</v>
      </c>
      <c r="E192" s="236">
        <f t="shared" si="112"/>
        <v>0</v>
      </c>
      <c r="F192" s="237" t="e">
        <f t="shared" si="113"/>
        <v>#NUM!</v>
      </c>
      <c r="G192" s="238" t="e">
        <f>IF(D192="","",L191*Resumen!$L$86/1000)</f>
        <v>#NUM!</v>
      </c>
      <c r="H192" s="237" t="e">
        <f t="shared" si="86"/>
        <v>#NUM!</v>
      </c>
      <c r="I192" s="238" t="e">
        <f>IF($E$16=$V$1,0,IF(D192="","",Amortización!$AE$14))</f>
        <v>#NUM!</v>
      </c>
      <c r="J192" s="239">
        <f>IFERROR(IF(OR($E$11=Resumen!$N$6,$E$8=Resumen!$N$6),Amortización!F192*0.16,0),"")</f>
        <v>0</v>
      </c>
      <c r="K192" s="237">
        <f t="shared" si="87"/>
        <v>0</v>
      </c>
      <c r="L192" s="240">
        <f t="shared" si="88"/>
        <v>0</v>
      </c>
      <c r="M192" s="43" t="str">
        <f t="shared" si="83"/>
        <v/>
      </c>
      <c r="N192" s="44" t="str">
        <f t="shared" si="89"/>
        <v/>
      </c>
      <c r="O192" s="44" t="str">
        <f t="shared" si="90"/>
        <v/>
      </c>
      <c r="P192" s="44" t="str">
        <f t="shared" si="91"/>
        <v/>
      </c>
      <c r="Q192" s="236" t="str">
        <f>IF(OR(L191=0,L191=""),"",IF(E192&gt;=D192,0,$E$17*10%))</f>
        <v/>
      </c>
      <c r="R192" s="243" t="e">
        <f t="shared" si="109"/>
        <v>#NUM!</v>
      </c>
      <c r="T192" s="187" t="str">
        <f t="shared" si="110"/>
        <v/>
      </c>
      <c r="U192" s="42" t="e">
        <f t="shared" si="92"/>
        <v>#NUM!</v>
      </c>
      <c r="V192" s="45">
        <f t="shared" si="93"/>
        <v>0</v>
      </c>
      <c r="X192" s="272" t="b">
        <f t="shared" si="114"/>
        <v>0</v>
      </c>
      <c r="Y192" s="39">
        <v>0</v>
      </c>
      <c r="AB192" s="357" t="e">
        <f t="shared" si="94"/>
        <v>#N/A</v>
      </c>
      <c r="AG192" s="307">
        <f t="shared" si="95"/>
        <v>0</v>
      </c>
      <c r="AH192" s="283">
        <f t="shared" si="96"/>
        <v>0</v>
      </c>
      <c r="AI192" t="str">
        <f t="shared" si="97"/>
        <v/>
      </c>
      <c r="AV192" s="36" t="str">
        <f t="shared" si="98"/>
        <v/>
      </c>
      <c r="AW192" s="37" t="e">
        <f t="shared" si="99"/>
        <v>#NUM!</v>
      </c>
      <c r="AX192" s="236" t="e">
        <f t="shared" si="100"/>
        <v>#NUM!</v>
      </c>
      <c r="AY192" s="237" t="e">
        <f t="shared" si="111"/>
        <v>#NUM!</v>
      </c>
      <c r="AZ192" s="238" t="e">
        <f t="shared" si="101"/>
        <v>#NUM!</v>
      </c>
      <c r="BA192" s="237" t="e">
        <f t="shared" si="102"/>
        <v>#NUM!</v>
      </c>
      <c r="BB192" s="238" t="e">
        <f t="shared" si="103"/>
        <v>#NUM!</v>
      </c>
      <c r="BC192" s="239">
        <f>IFERROR(IF(OR($E$11=Resumen!$N$6,$E$8=Resumen!$N$6),Amortización!AY192*0.16,0),"")</f>
        <v>0</v>
      </c>
      <c r="BD192" s="237">
        <f t="shared" si="104"/>
        <v>0</v>
      </c>
      <c r="BE192" s="240">
        <f t="shared" si="84"/>
        <v>0</v>
      </c>
      <c r="BF192" s="43" t="str">
        <f t="shared" si="85"/>
        <v/>
      </c>
      <c r="BH192" s="243" t="e">
        <f t="shared" si="115"/>
        <v>#NUM!</v>
      </c>
      <c r="BI192" s="3"/>
      <c r="BJ192" s="187" t="str">
        <f t="shared" si="105"/>
        <v/>
      </c>
      <c r="BK192" s="42" t="e">
        <f t="shared" si="106"/>
        <v>#NUM!</v>
      </c>
      <c r="BL192" s="45"/>
      <c r="BM192" s="236"/>
    </row>
    <row r="193" spans="3:65" ht="15.5" thickTop="1" thickBot="1" x14ac:dyDescent="0.4">
      <c r="C193" s="36" t="str">
        <f t="shared" si="107"/>
        <v/>
      </c>
      <c r="D193" s="37" t="e">
        <f t="shared" si="108"/>
        <v>#NUM!</v>
      </c>
      <c r="E193" s="236">
        <f t="shared" si="112"/>
        <v>0</v>
      </c>
      <c r="F193" s="237" t="e">
        <f t="shared" si="113"/>
        <v>#NUM!</v>
      </c>
      <c r="G193" s="238" t="e">
        <f>IF(D193="","",L192*Resumen!$L$86/1000)</f>
        <v>#NUM!</v>
      </c>
      <c r="H193" s="237" t="e">
        <f t="shared" si="86"/>
        <v>#NUM!</v>
      </c>
      <c r="I193" s="238" t="e">
        <f>IF($E$16=$V$1,0,IF(D193="","",Amortización!$AE$14))</f>
        <v>#NUM!</v>
      </c>
      <c r="J193" s="239">
        <f>IFERROR(IF(OR($E$11=Resumen!$N$6,$E$8=Resumen!$N$6),Amortización!F193*0.16,0),"")</f>
        <v>0</v>
      </c>
      <c r="K193" s="237">
        <f t="shared" si="87"/>
        <v>0</v>
      </c>
      <c r="L193" s="240">
        <f t="shared" si="88"/>
        <v>0</v>
      </c>
      <c r="M193" s="43" t="str">
        <f t="shared" si="83"/>
        <v/>
      </c>
      <c r="N193" s="44" t="str">
        <f t="shared" si="89"/>
        <v/>
      </c>
      <c r="O193" s="44" t="str">
        <f t="shared" si="90"/>
        <v/>
      </c>
      <c r="P193" s="44" t="str">
        <f t="shared" si="91"/>
        <v/>
      </c>
      <c r="Q193" s="44"/>
      <c r="R193" s="243" t="e">
        <f t="shared" si="109"/>
        <v>#NUM!</v>
      </c>
      <c r="T193" s="187" t="str">
        <f t="shared" si="110"/>
        <v/>
      </c>
      <c r="U193" s="42" t="e">
        <f t="shared" si="92"/>
        <v>#NUM!</v>
      </c>
      <c r="V193" s="45">
        <f t="shared" si="93"/>
        <v>0</v>
      </c>
      <c r="X193" s="272" t="b">
        <f t="shared" si="114"/>
        <v>0</v>
      </c>
      <c r="Y193" s="39">
        <v>0</v>
      </c>
      <c r="AB193" s="357" t="e">
        <f t="shared" si="94"/>
        <v>#N/A</v>
      </c>
      <c r="AG193" s="307">
        <f t="shared" si="95"/>
        <v>0</v>
      </c>
      <c r="AH193" s="283">
        <f t="shared" si="96"/>
        <v>0</v>
      </c>
      <c r="AI193" t="str">
        <f t="shared" si="97"/>
        <v/>
      </c>
      <c r="AV193" s="36" t="str">
        <f t="shared" si="98"/>
        <v/>
      </c>
      <c r="AW193" s="37" t="e">
        <f t="shared" si="99"/>
        <v>#NUM!</v>
      </c>
      <c r="AX193" s="236" t="e">
        <f t="shared" si="100"/>
        <v>#NUM!</v>
      </c>
      <c r="AY193" s="237" t="e">
        <f t="shared" si="111"/>
        <v>#NUM!</v>
      </c>
      <c r="AZ193" s="238" t="e">
        <f t="shared" si="101"/>
        <v>#NUM!</v>
      </c>
      <c r="BA193" s="237" t="e">
        <f t="shared" si="102"/>
        <v>#NUM!</v>
      </c>
      <c r="BB193" s="238" t="e">
        <f t="shared" si="103"/>
        <v>#NUM!</v>
      </c>
      <c r="BC193" s="239">
        <f>IFERROR(IF(OR($E$11=Resumen!$N$6,$E$8=Resumen!$N$6),Amortización!AY193*0.16,0),"")</f>
        <v>0</v>
      </c>
      <c r="BD193" s="237">
        <f t="shared" si="104"/>
        <v>0</v>
      </c>
      <c r="BE193" s="240">
        <f t="shared" si="84"/>
        <v>0</v>
      </c>
      <c r="BF193" s="43" t="str">
        <f t="shared" si="85"/>
        <v/>
      </c>
      <c r="BH193" s="243" t="e">
        <f t="shared" si="115"/>
        <v>#NUM!</v>
      </c>
      <c r="BI193" s="3"/>
      <c r="BJ193" s="187" t="str">
        <f t="shared" si="105"/>
        <v/>
      </c>
      <c r="BK193" s="42" t="e">
        <f t="shared" si="106"/>
        <v>#NUM!</v>
      </c>
      <c r="BL193" s="45"/>
      <c r="BM193" s="44"/>
    </row>
    <row r="194" spans="3:65" ht="15.5" thickTop="1" thickBot="1" x14ac:dyDescent="0.4">
      <c r="C194" s="36" t="str">
        <f t="shared" si="107"/>
        <v/>
      </c>
      <c r="D194" s="37" t="e">
        <f t="shared" si="108"/>
        <v>#NUM!</v>
      </c>
      <c r="E194" s="236">
        <f t="shared" si="112"/>
        <v>0</v>
      </c>
      <c r="F194" s="237" t="e">
        <f t="shared" si="113"/>
        <v>#NUM!</v>
      </c>
      <c r="G194" s="238" t="e">
        <f>IF(D194="","",L193*Resumen!$L$86/1000)</f>
        <v>#NUM!</v>
      </c>
      <c r="H194" s="237" t="e">
        <f t="shared" si="86"/>
        <v>#NUM!</v>
      </c>
      <c r="I194" s="238" t="e">
        <f>IF($E$16=$V$1,0,IF(D194="","",Amortización!$AE$14))</f>
        <v>#NUM!</v>
      </c>
      <c r="J194" s="239">
        <f>IFERROR(IF(OR($E$11=Resumen!$N$6,$E$8=Resumen!$N$6),Amortización!F194*0.16,0),"")</f>
        <v>0</v>
      </c>
      <c r="K194" s="237">
        <f t="shared" si="87"/>
        <v>0</v>
      </c>
      <c r="L194" s="240">
        <f t="shared" si="88"/>
        <v>0</v>
      </c>
      <c r="M194" s="43" t="str">
        <f t="shared" si="83"/>
        <v/>
      </c>
      <c r="N194" s="44" t="str">
        <f t="shared" si="89"/>
        <v/>
      </c>
      <c r="O194" s="44" t="str">
        <f t="shared" si="90"/>
        <v/>
      </c>
      <c r="P194" s="44" t="str">
        <f t="shared" si="91"/>
        <v/>
      </c>
      <c r="Q194" s="236" t="str">
        <f>IF(OR(L193=0,L193=""),"",IF(E194&gt;=D194,0,$E$17*10%))</f>
        <v/>
      </c>
      <c r="R194" s="243" t="e">
        <f t="shared" si="109"/>
        <v>#NUM!</v>
      </c>
      <c r="T194" s="187" t="str">
        <f t="shared" si="110"/>
        <v/>
      </c>
      <c r="U194" s="42" t="e">
        <f t="shared" si="92"/>
        <v>#NUM!</v>
      </c>
      <c r="V194" s="45">
        <f t="shared" si="93"/>
        <v>0</v>
      </c>
      <c r="X194" s="272" t="b">
        <f t="shared" si="114"/>
        <v>0</v>
      </c>
      <c r="Y194" s="39">
        <v>0</v>
      </c>
      <c r="AB194" s="357" t="e">
        <f t="shared" si="94"/>
        <v>#N/A</v>
      </c>
      <c r="AG194" s="307">
        <f t="shared" si="95"/>
        <v>0</v>
      </c>
      <c r="AH194" s="283">
        <f t="shared" si="96"/>
        <v>0</v>
      </c>
      <c r="AI194" t="str">
        <f t="shared" si="97"/>
        <v/>
      </c>
      <c r="AV194" s="36" t="str">
        <f t="shared" si="98"/>
        <v/>
      </c>
      <c r="AW194" s="37" t="e">
        <f t="shared" si="99"/>
        <v>#NUM!</v>
      </c>
      <c r="AX194" s="236" t="e">
        <f t="shared" si="100"/>
        <v>#NUM!</v>
      </c>
      <c r="AY194" s="237" t="e">
        <f t="shared" si="111"/>
        <v>#NUM!</v>
      </c>
      <c r="AZ194" s="238" t="e">
        <f t="shared" si="101"/>
        <v>#NUM!</v>
      </c>
      <c r="BA194" s="237" t="e">
        <f t="shared" si="102"/>
        <v>#NUM!</v>
      </c>
      <c r="BB194" s="238" t="e">
        <f t="shared" si="103"/>
        <v>#NUM!</v>
      </c>
      <c r="BC194" s="239">
        <f>IFERROR(IF(OR($E$11=Resumen!$N$6,$E$8=Resumen!$N$6),Amortización!AY194*0.16,0),"")</f>
        <v>0</v>
      </c>
      <c r="BD194" s="237">
        <f t="shared" si="104"/>
        <v>0</v>
      </c>
      <c r="BE194" s="240">
        <f t="shared" si="84"/>
        <v>0</v>
      </c>
      <c r="BF194" s="43" t="str">
        <f t="shared" si="85"/>
        <v/>
      </c>
      <c r="BH194" s="243" t="e">
        <f t="shared" si="115"/>
        <v>#NUM!</v>
      </c>
      <c r="BI194" s="3"/>
      <c r="BJ194" s="187" t="str">
        <f t="shared" si="105"/>
        <v/>
      </c>
      <c r="BK194" s="42" t="e">
        <f t="shared" si="106"/>
        <v>#NUM!</v>
      </c>
      <c r="BL194" s="45"/>
      <c r="BM194" s="236"/>
    </row>
    <row r="195" spans="3:65" ht="15.5" thickTop="1" thickBot="1" x14ac:dyDescent="0.4">
      <c r="C195" s="36" t="str">
        <f t="shared" si="107"/>
        <v/>
      </c>
      <c r="D195" s="37" t="e">
        <f t="shared" si="108"/>
        <v>#NUM!</v>
      </c>
      <c r="E195" s="236">
        <f t="shared" si="112"/>
        <v>0</v>
      </c>
      <c r="F195" s="237" t="e">
        <f t="shared" si="113"/>
        <v>#NUM!</v>
      </c>
      <c r="G195" s="238" t="e">
        <f>IF(D195="","",L194*Resumen!$L$86/1000)</f>
        <v>#NUM!</v>
      </c>
      <c r="H195" s="237" t="e">
        <f t="shared" si="86"/>
        <v>#NUM!</v>
      </c>
      <c r="I195" s="238" t="e">
        <f>IF($E$16=$V$1,0,IF(D195="","",Amortización!$AE$14))</f>
        <v>#NUM!</v>
      </c>
      <c r="J195" s="239">
        <f>IFERROR(IF(OR($E$11=Resumen!$N$6,$E$8=Resumen!$N$6),Amortización!F195*0.16,0),"")</f>
        <v>0</v>
      </c>
      <c r="K195" s="237">
        <f t="shared" si="87"/>
        <v>0</v>
      </c>
      <c r="L195" s="240">
        <f t="shared" si="88"/>
        <v>0</v>
      </c>
      <c r="M195" s="43" t="str">
        <f t="shared" si="83"/>
        <v/>
      </c>
      <c r="N195" s="44" t="str">
        <f t="shared" si="89"/>
        <v/>
      </c>
      <c r="O195" s="44" t="str">
        <f t="shared" si="90"/>
        <v/>
      </c>
      <c r="P195" s="44" t="str">
        <f t="shared" si="91"/>
        <v/>
      </c>
      <c r="Q195" s="44"/>
      <c r="R195" s="243" t="e">
        <f t="shared" si="109"/>
        <v>#NUM!</v>
      </c>
      <c r="T195" s="187" t="str">
        <f t="shared" si="110"/>
        <v/>
      </c>
      <c r="U195" s="42" t="e">
        <f t="shared" si="92"/>
        <v>#NUM!</v>
      </c>
      <c r="V195" s="45">
        <f t="shared" si="93"/>
        <v>0</v>
      </c>
      <c r="X195" s="272" t="b">
        <f t="shared" si="114"/>
        <v>0</v>
      </c>
      <c r="Y195" s="39">
        <v>0</v>
      </c>
      <c r="AB195" s="357" t="e">
        <f t="shared" si="94"/>
        <v>#N/A</v>
      </c>
      <c r="AG195" s="307">
        <f t="shared" si="95"/>
        <v>0</v>
      </c>
      <c r="AH195" s="283">
        <f t="shared" si="96"/>
        <v>0</v>
      </c>
      <c r="AI195" t="str">
        <f t="shared" si="97"/>
        <v/>
      </c>
      <c r="AV195" s="36" t="str">
        <f t="shared" si="98"/>
        <v/>
      </c>
      <c r="AW195" s="37" t="e">
        <f t="shared" si="99"/>
        <v>#NUM!</v>
      </c>
      <c r="AX195" s="236" t="e">
        <f t="shared" si="100"/>
        <v>#NUM!</v>
      </c>
      <c r="AY195" s="237" t="e">
        <f t="shared" si="111"/>
        <v>#NUM!</v>
      </c>
      <c r="AZ195" s="238" t="e">
        <f t="shared" si="101"/>
        <v>#NUM!</v>
      </c>
      <c r="BA195" s="237" t="e">
        <f t="shared" si="102"/>
        <v>#NUM!</v>
      </c>
      <c r="BB195" s="238" t="e">
        <f t="shared" si="103"/>
        <v>#NUM!</v>
      </c>
      <c r="BC195" s="239">
        <f>IFERROR(IF(OR($E$11=Resumen!$N$6,$E$8=Resumen!$N$6),Amortización!AY195*0.16,0),"")</f>
        <v>0</v>
      </c>
      <c r="BD195" s="237">
        <f t="shared" si="104"/>
        <v>0</v>
      </c>
      <c r="BE195" s="240">
        <f t="shared" si="84"/>
        <v>0</v>
      </c>
      <c r="BF195" s="43" t="str">
        <f t="shared" si="85"/>
        <v/>
      </c>
      <c r="BH195" s="243" t="e">
        <f t="shared" si="115"/>
        <v>#NUM!</v>
      </c>
      <c r="BI195" s="3"/>
      <c r="BJ195" s="187" t="str">
        <f t="shared" si="105"/>
        <v/>
      </c>
      <c r="BK195" s="42" t="e">
        <f t="shared" si="106"/>
        <v>#NUM!</v>
      </c>
      <c r="BL195" s="45"/>
      <c r="BM195" s="44"/>
    </row>
    <row r="196" spans="3:65" ht="15.5" thickTop="1" thickBot="1" x14ac:dyDescent="0.4">
      <c r="C196" s="36" t="str">
        <f t="shared" si="107"/>
        <v/>
      </c>
      <c r="D196" s="37" t="e">
        <f t="shared" si="108"/>
        <v>#NUM!</v>
      </c>
      <c r="E196" s="236">
        <f t="shared" si="112"/>
        <v>0</v>
      </c>
      <c r="F196" s="237" t="e">
        <f t="shared" si="113"/>
        <v>#NUM!</v>
      </c>
      <c r="G196" s="238" t="e">
        <f>IF(D196="","",L195*Resumen!$L$86/1000)</f>
        <v>#NUM!</v>
      </c>
      <c r="H196" s="237" t="e">
        <f t="shared" si="86"/>
        <v>#NUM!</v>
      </c>
      <c r="I196" s="238" t="e">
        <f>IF($E$16=$V$1,0,IF(D196="","",Amortización!$AE$14))</f>
        <v>#NUM!</v>
      </c>
      <c r="J196" s="239">
        <f>IFERROR(IF(OR($E$11=Resumen!$N$6,$E$8=Resumen!$N$6),Amortización!F196*0.16,0),"")</f>
        <v>0</v>
      </c>
      <c r="K196" s="237">
        <f t="shared" si="87"/>
        <v>0</v>
      </c>
      <c r="L196" s="240">
        <f t="shared" si="88"/>
        <v>0</v>
      </c>
      <c r="M196" s="43" t="str">
        <f t="shared" si="83"/>
        <v/>
      </c>
      <c r="N196" s="44" t="str">
        <f t="shared" si="89"/>
        <v/>
      </c>
      <c r="O196" s="44" t="str">
        <f t="shared" si="90"/>
        <v/>
      </c>
      <c r="P196" s="44" t="str">
        <f t="shared" si="91"/>
        <v/>
      </c>
      <c r="Q196" s="236" t="str">
        <f>IF(OR(L195=0,L195=""),"",IF(E196&gt;=D196,0,$E$17*10%))</f>
        <v/>
      </c>
      <c r="R196" s="243" t="e">
        <f t="shared" si="109"/>
        <v>#NUM!</v>
      </c>
      <c r="T196" s="187" t="str">
        <f t="shared" si="110"/>
        <v/>
      </c>
      <c r="U196" s="42" t="e">
        <f t="shared" si="92"/>
        <v>#NUM!</v>
      </c>
      <c r="V196" s="45">
        <f t="shared" si="93"/>
        <v>0</v>
      </c>
      <c r="X196" s="272" t="b">
        <f t="shared" si="114"/>
        <v>0</v>
      </c>
      <c r="Y196" s="39">
        <v>0</v>
      </c>
      <c r="AB196" s="357" t="e">
        <f t="shared" si="94"/>
        <v>#N/A</v>
      </c>
      <c r="AG196" s="307">
        <f t="shared" si="95"/>
        <v>0</v>
      </c>
      <c r="AH196" s="283">
        <f t="shared" si="96"/>
        <v>0</v>
      </c>
      <c r="AI196" t="str">
        <f t="shared" si="97"/>
        <v/>
      </c>
      <c r="AV196" s="36" t="str">
        <f t="shared" si="98"/>
        <v/>
      </c>
      <c r="AW196" s="37" t="e">
        <f t="shared" si="99"/>
        <v>#NUM!</v>
      </c>
      <c r="AX196" s="236" t="e">
        <f t="shared" si="100"/>
        <v>#NUM!</v>
      </c>
      <c r="AY196" s="237" t="e">
        <f t="shared" si="111"/>
        <v>#NUM!</v>
      </c>
      <c r="AZ196" s="238" t="e">
        <f t="shared" si="101"/>
        <v>#NUM!</v>
      </c>
      <c r="BA196" s="237" t="e">
        <f t="shared" si="102"/>
        <v>#NUM!</v>
      </c>
      <c r="BB196" s="238" t="e">
        <f t="shared" si="103"/>
        <v>#NUM!</v>
      </c>
      <c r="BC196" s="239">
        <f>IFERROR(IF(OR($E$11=Resumen!$N$6,$E$8=Resumen!$N$6),Amortización!AY196*0.16,0),"")</f>
        <v>0</v>
      </c>
      <c r="BD196" s="237">
        <f t="shared" si="104"/>
        <v>0</v>
      </c>
      <c r="BE196" s="240">
        <f t="shared" si="84"/>
        <v>0</v>
      </c>
      <c r="BF196" s="43" t="str">
        <f t="shared" si="85"/>
        <v/>
      </c>
      <c r="BH196" s="243" t="e">
        <f t="shared" si="115"/>
        <v>#NUM!</v>
      </c>
      <c r="BI196" s="3"/>
      <c r="BJ196" s="187" t="str">
        <f t="shared" si="105"/>
        <v/>
      </c>
      <c r="BK196" s="42" t="e">
        <f t="shared" si="106"/>
        <v>#NUM!</v>
      </c>
      <c r="BL196" s="45"/>
      <c r="BM196" s="236"/>
    </row>
    <row r="197" spans="3:65" ht="15.5" thickTop="1" thickBot="1" x14ac:dyDescent="0.4">
      <c r="C197" s="36" t="str">
        <f t="shared" si="107"/>
        <v/>
      </c>
      <c r="D197" s="37" t="e">
        <f t="shared" si="108"/>
        <v>#NUM!</v>
      </c>
      <c r="E197" s="236">
        <f t="shared" si="112"/>
        <v>0</v>
      </c>
      <c r="F197" s="237" t="e">
        <f t="shared" si="113"/>
        <v>#NUM!</v>
      </c>
      <c r="G197" s="238" t="e">
        <f>IF(D197="","",L196*Resumen!$L$86/1000)</f>
        <v>#NUM!</v>
      </c>
      <c r="H197" s="237" t="e">
        <f t="shared" si="86"/>
        <v>#NUM!</v>
      </c>
      <c r="I197" s="238" t="e">
        <f>IF($E$16=$V$1,0,IF(D197="","",Amortización!$AE$14))</f>
        <v>#NUM!</v>
      </c>
      <c r="J197" s="239">
        <f>IFERROR(IF(OR($E$11=Resumen!$N$6,$E$8=Resumen!$N$6),Amortización!F197*0.16,0),"")</f>
        <v>0</v>
      </c>
      <c r="K197" s="237">
        <f t="shared" si="87"/>
        <v>0</v>
      </c>
      <c r="L197" s="240">
        <f t="shared" si="88"/>
        <v>0</v>
      </c>
      <c r="M197" s="43" t="str">
        <f t="shared" si="83"/>
        <v/>
      </c>
      <c r="N197" s="44" t="str">
        <f t="shared" si="89"/>
        <v/>
      </c>
      <c r="O197" s="44" t="str">
        <f t="shared" si="90"/>
        <v/>
      </c>
      <c r="P197" s="44" t="str">
        <f t="shared" si="91"/>
        <v/>
      </c>
      <c r="Q197" s="44"/>
      <c r="R197" s="243" t="e">
        <f t="shared" si="109"/>
        <v>#NUM!</v>
      </c>
      <c r="T197" s="187" t="str">
        <f t="shared" si="110"/>
        <v/>
      </c>
      <c r="U197" s="42" t="e">
        <f t="shared" si="92"/>
        <v>#NUM!</v>
      </c>
      <c r="V197" s="45">
        <f t="shared" si="93"/>
        <v>0</v>
      </c>
      <c r="X197" s="272" t="b">
        <f t="shared" si="114"/>
        <v>0</v>
      </c>
      <c r="Y197" s="39">
        <v>0</v>
      </c>
      <c r="AB197" s="357" t="e">
        <f t="shared" si="94"/>
        <v>#N/A</v>
      </c>
      <c r="AG197" s="307">
        <f t="shared" si="95"/>
        <v>0</v>
      </c>
      <c r="AH197" s="283">
        <f t="shared" si="96"/>
        <v>0</v>
      </c>
      <c r="AI197" t="str">
        <f t="shared" si="97"/>
        <v/>
      </c>
      <c r="AV197" s="36" t="str">
        <f t="shared" si="98"/>
        <v/>
      </c>
      <c r="AW197" s="37" t="e">
        <f t="shared" si="99"/>
        <v>#NUM!</v>
      </c>
      <c r="AX197" s="236" t="e">
        <f t="shared" si="100"/>
        <v>#NUM!</v>
      </c>
      <c r="AY197" s="237" t="e">
        <f t="shared" si="111"/>
        <v>#NUM!</v>
      </c>
      <c r="AZ197" s="238" t="e">
        <f t="shared" si="101"/>
        <v>#NUM!</v>
      </c>
      <c r="BA197" s="237" t="e">
        <f t="shared" si="102"/>
        <v>#NUM!</v>
      </c>
      <c r="BB197" s="238" t="e">
        <f t="shared" si="103"/>
        <v>#NUM!</v>
      </c>
      <c r="BC197" s="239">
        <f>IFERROR(IF(OR($E$11=Resumen!$N$6,$E$8=Resumen!$N$6),Amortización!AY197*0.16,0),"")</f>
        <v>0</v>
      </c>
      <c r="BD197" s="237">
        <f t="shared" si="104"/>
        <v>0</v>
      </c>
      <c r="BE197" s="240">
        <f t="shared" si="84"/>
        <v>0</v>
      </c>
      <c r="BF197" s="43" t="str">
        <f t="shared" si="85"/>
        <v/>
      </c>
      <c r="BH197" s="243" t="e">
        <f t="shared" si="115"/>
        <v>#NUM!</v>
      </c>
      <c r="BI197" s="3"/>
      <c r="BJ197" s="187" t="str">
        <f t="shared" si="105"/>
        <v/>
      </c>
      <c r="BK197" s="42" t="e">
        <f t="shared" si="106"/>
        <v>#NUM!</v>
      </c>
      <c r="BL197" s="45"/>
      <c r="BM197" s="44"/>
    </row>
    <row r="198" spans="3:65" ht="15.5" thickTop="1" thickBot="1" x14ac:dyDescent="0.4">
      <c r="C198" s="36" t="str">
        <f t="shared" si="107"/>
        <v/>
      </c>
      <c r="D198" s="37" t="e">
        <f t="shared" si="108"/>
        <v>#NUM!</v>
      </c>
      <c r="E198" s="236">
        <f t="shared" si="112"/>
        <v>0</v>
      </c>
      <c r="F198" s="237" t="e">
        <f t="shared" si="113"/>
        <v>#NUM!</v>
      </c>
      <c r="G198" s="238" t="e">
        <f>IF(D198="","",L197*Resumen!$L$86/1000)</f>
        <v>#NUM!</v>
      </c>
      <c r="H198" s="237" t="e">
        <f t="shared" si="86"/>
        <v>#NUM!</v>
      </c>
      <c r="I198" s="238" t="e">
        <f>IF($E$16=$V$1,0,IF(D198="","",Amortización!$AE$14))</f>
        <v>#NUM!</v>
      </c>
      <c r="J198" s="239">
        <f>IFERROR(IF(OR($E$11=Resumen!$N$6,$E$8=Resumen!$N$6),Amortización!F198*0.16,0),"")</f>
        <v>0</v>
      </c>
      <c r="K198" s="237">
        <f t="shared" si="87"/>
        <v>0</v>
      </c>
      <c r="L198" s="240">
        <f t="shared" si="88"/>
        <v>0</v>
      </c>
      <c r="M198" s="43" t="str">
        <f t="shared" si="83"/>
        <v/>
      </c>
      <c r="N198" s="44" t="str">
        <f t="shared" si="89"/>
        <v/>
      </c>
      <c r="O198" s="44" t="str">
        <f t="shared" si="90"/>
        <v/>
      </c>
      <c r="P198" s="44" t="str">
        <f t="shared" si="91"/>
        <v/>
      </c>
      <c r="Q198" s="236" t="str">
        <f>IF(OR(L197=0,L197=""),"",IF(E198&gt;=D198,0,$E$17*10%))</f>
        <v/>
      </c>
      <c r="R198" s="243" t="e">
        <f t="shared" si="109"/>
        <v>#NUM!</v>
      </c>
      <c r="T198" s="187" t="str">
        <f t="shared" si="110"/>
        <v/>
      </c>
      <c r="U198" s="42" t="e">
        <f t="shared" si="92"/>
        <v>#NUM!</v>
      </c>
      <c r="V198" s="45">
        <f t="shared" si="93"/>
        <v>0</v>
      </c>
      <c r="X198" s="272" t="b">
        <f t="shared" si="114"/>
        <v>0</v>
      </c>
      <c r="Y198" s="39">
        <v>0</v>
      </c>
      <c r="AB198" s="357" t="e">
        <f t="shared" si="94"/>
        <v>#N/A</v>
      </c>
      <c r="AG198" s="307">
        <f t="shared" si="95"/>
        <v>0</v>
      </c>
      <c r="AH198" s="283">
        <f t="shared" si="96"/>
        <v>0</v>
      </c>
      <c r="AI198" t="str">
        <f t="shared" si="97"/>
        <v/>
      </c>
      <c r="AV198" s="36" t="str">
        <f t="shared" si="98"/>
        <v/>
      </c>
      <c r="AW198" s="37" t="e">
        <f t="shared" si="99"/>
        <v>#NUM!</v>
      </c>
      <c r="AX198" s="236" t="e">
        <f t="shared" si="100"/>
        <v>#NUM!</v>
      </c>
      <c r="AY198" s="237" t="e">
        <f t="shared" si="111"/>
        <v>#NUM!</v>
      </c>
      <c r="AZ198" s="238" t="e">
        <f t="shared" si="101"/>
        <v>#NUM!</v>
      </c>
      <c r="BA198" s="237" t="e">
        <f t="shared" si="102"/>
        <v>#NUM!</v>
      </c>
      <c r="BB198" s="238" t="e">
        <f t="shared" si="103"/>
        <v>#NUM!</v>
      </c>
      <c r="BC198" s="239">
        <f>IFERROR(IF(OR($E$11=Resumen!$N$6,$E$8=Resumen!$N$6),Amortización!AY198*0.16,0),"")</f>
        <v>0</v>
      </c>
      <c r="BD198" s="237">
        <f t="shared" si="104"/>
        <v>0</v>
      </c>
      <c r="BE198" s="240">
        <f t="shared" si="84"/>
        <v>0</v>
      </c>
      <c r="BF198" s="43" t="str">
        <f t="shared" si="85"/>
        <v/>
      </c>
      <c r="BH198" s="243" t="e">
        <f t="shared" si="115"/>
        <v>#NUM!</v>
      </c>
      <c r="BI198" s="3"/>
      <c r="BJ198" s="187" t="str">
        <f t="shared" si="105"/>
        <v/>
      </c>
      <c r="BK198" s="42" t="e">
        <f t="shared" si="106"/>
        <v>#NUM!</v>
      </c>
      <c r="BL198" s="45"/>
      <c r="BM198" s="236"/>
    </row>
    <row r="199" spans="3:65" ht="15.5" thickTop="1" thickBot="1" x14ac:dyDescent="0.4">
      <c r="C199" s="36" t="str">
        <f t="shared" si="107"/>
        <v/>
      </c>
      <c r="D199" s="37" t="e">
        <f t="shared" si="108"/>
        <v>#NUM!</v>
      </c>
      <c r="E199" s="236">
        <f t="shared" si="112"/>
        <v>0</v>
      </c>
      <c r="F199" s="237" t="e">
        <f t="shared" si="113"/>
        <v>#NUM!</v>
      </c>
      <c r="G199" s="238" t="e">
        <f>IF(D199="","",L198*Resumen!$L$86/1000)</f>
        <v>#NUM!</v>
      </c>
      <c r="H199" s="237" t="e">
        <f t="shared" si="86"/>
        <v>#NUM!</v>
      </c>
      <c r="I199" s="238" t="e">
        <f>IF($E$16=$V$1,0,IF(D199="","",Amortización!$AE$14))</f>
        <v>#NUM!</v>
      </c>
      <c r="J199" s="239">
        <f>IFERROR(IF(OR($E$11=Resumen!$N$6,$E$8=Resumen!$N$6),Amortización!F199*0.16,0),"")</f>
        <v>0</v>
      </c>
      <c r="K199" s="237">
        <f t="shared" si="87"/>
        <v>0</v>
      </c>
      <c r="L199" s="240">
        <f t="shared" si="88"/>
        <v>0</v>
      </c>
      <c r="M199" s="43" t="str">
        <f t="shared" si="83"/>
        <v/>
      </c>
      <c r="N199" s="44" t="str">
        <f t="shared" si="89"/>
        <v/>
      </c>
      <c r="O199" s="44" t="str">
        <f t="shared" si="90"/>
        <v/>
      </c>
      <c r="P199" s="44" t="str">
        <f t="shared" si="91"/>
        <v/>
      </c>
      <c r="Q199" s="44"/>
      <c r="R199" s="243" t="e">
        <f t="shared" si="109"/>
        <v>#NUM!</v>
      </c>
      <c r="T199" s="187" t="str">
        <f t="shared" si="110"/>
        <v/>
      </c>
      <c r="U199" s="42" t="e">
        <f t="shared" si="92"/>
        <v>#NUM!</v>
      </c>
      <c r="V199" s="45">
        <f t="shared" si="93"/>
        <v>0</v>
      </c>
      <c r="X199" s="272" t="b">
        <f t="shared" si="114"/>
        <v>0</v>
      </c>
      <c r="Y199" s="39">
        <v>0</v>
      </c>
      <c r="AB199" s="357" t="e">
        <f t="shared" si="94"/>
        <v>#N/A</v>
      </c>
      <c r="AG199" s="307">
        <f t="shared" si="95"/>
        <v>0</v>
      </c>
      <c r="AH199" s="283">
        <f t="shared" si="96"/>
        <v>0</v>
      </c>
      <c r="AI199" t="str">
        <f t="shared" si="97"/>
        <v/>
      </c>
      <c r="AV199" s="36" t="str">
        <f t="shared" si="98"/>
        <v/>
      </c>
      <c r="AW199" s="37" t="e">
        <f t="shared" si="99"/>
        <v>#NUM!</v>
      </c>
      <c r="AX199" s="236" t="e">
        <f t="shared" si="100"/>
        <v>#NUM!</v>
      </c>
      <c r="AY199" s="237" t="e">
        <f t="shared" si="111"/>
        <v>#NUM!</v>
      </c>
      <c r="AZ199" s="238" t="e">
        <f t="shared" si="101"/>
        <v>#NUM!</v>
      </c>
      <c r="BA199" s="237" t="e">
        <f t="shared" si="102"/>
        <v>#NUM!</v>
      </c>
      <c r="BB199" s="238" t="e">
        <f t="shared" si="103"/>
        <v>#NUM!</v>
      </c>
      <c r="BC199" s="239">
        <f>IFERROR(IF(OR($E$11=Resumen!$N$6,$E$8=Resumen!$N$6),Amortización!AY199*0.16,0),"")</f>
        <v>0</v>
      </c>
      <c r="BD199" s="237">
        <f t="shared" si="104"/>
        <v>0</v>
      </c>
      <c r="BE199" s="240">
        <f t="shared" si="84"/>
        <v>0</v>
      </c>
      <c r="BF199" s="43" t="str">
        <f t="shared" si="85"/>
        <v/>
      </c>
      <c r="BH199" s="243" t="e">
        <f t="shared" si="115"/>
        <v>#NUM!</v>
      </c>
      <c r="BI199" s="3"/>
      <c r="BJ199" s="187" t="str">
        <f t="shared" si="105"/>
        <v/>
      </c>
      <c r="BK199" s="42" t="e">
        <f t="shared" si="106"/>
        <v>#NUM!</v>
      </c>
      <c r="BL199" s="45"/>
      <c r="BM199" s="44"/>
    </row>
    <row r="200" spans="3:65" ht="15.5" thickTop="1" thickBot="1" x14ac:dyDescent="0.4">
      <c r="C200" s="36" t="str">
        <f t="shared" si="107"/>
        <v/>
      </c>
      <c r="D200" s="37" t="e">
        <f t="shared" si="108"/>
        <v>#NUM!</v>
      </c>
      <c r="E200" s="236">
        <f t="shared" si="112"/>
        <v>0</v>
      </c>
      <c r="F200" s="237" t="e">
        <f t="shared" si="113"/>
        <v>#NUM!</v>
      </c>
      <c r="G200" s="238" t="e">
        <f>IF(D200="","",L199*Resumen!$L$86/1000)</f>
        <v>#NUM!</v>
      </c>
      <c r="H200" s="237" t="e">
        <f t="shared" si="86"/>
        <v>#NUM!</v>
      </c>
      <c r="I200" s="238" t="e">
        <f>IF($E$16=$V$1,0,IF(D200="","",Amortización!$AE$14))</f>
        <v>#NUM!</v>
      </c>
      <c r="J200" s="239">
        <f>IFERROR(IF(OR($E$11=Resumen!$N$6,$E$8=Resumen!$N$6),Amortización!F200*0.16,0),"")</f>
        <v>0</v>
      </c>
      <c r="K200" s="237">
        <f t="shared" si="87"/>
        <v>0</v>
      </c>
      <c r="L200" s="240">
        <f t="shared" si="88"/>
        <v>0</v>
      </c>
      <c r="M200" s="43" t="str">
        <f t="shared" si="83"/>
        <v/>
      </c>
      <c r="N200" s="44" t="str">
        <f t="shared" si="89"/>
        <v/>
      </c>
      <c r="O200" s="44" t="str">
        <f t="shared" si="90"/>
        <v/>
      </c>
      <c r="P200" s="44" t="str">
        <f t="shared" si="91"/>
        <v/>
      </c>
      <c r="Q200" s="236" t="str">
        <f>IF(OR(L199=0,L199=""),"",IF(E200&gt;=D200,0,$E$17*10%))</f>
        <v/>
      </c>
      <c r="R200" s="243" t="e">
        <f t="shared" si="109"/>
        <v>#NUM!</v>
      </c>
      <c r="T200" s="187" t="str">
        <f t="shared" si="110"/>
        <v/>
      </c>
      <c r="U200" s="42" t="e">
        <f t="shared" si="92"/>
        <v>#NUM!</v>
      </c>
      <c r="V200" s="45">
        <f t="shared" si="93"/>
        <v>0</v>
      </c>
      <c r="X200" s="272" t="b">
        <f t="shared" si="114"/>
        <v>0</v>
      </c>
      <c r="Y200" s="39">
        <v>0</v>
      </c>
      <c r="AB200" s="357" t="e">
        <f t="shared" si="94"/>
        <v>#N/A</v>
      </c>
      <c r="AG200" s="307">
        <f t="shared" si="95"/>
        <v>0</v>
      </c>
      <c r="AH200" s="283">
        <f t="shared" si="96"/>
        <v>0</v>
      </c>
      <c r="AI200" t="str">
        <f t="shared" si="97"/>
        <v/>
      </c>
      <c r="AV200" s="36" t="str">
        <f t="shared" si="98"/>
        <v/>
      </c>
      <c r="AW200" s="37" t="e">
        <f t="shared" si="99"/>
        <v>#NUM!</v>
      </c>
      <c r="AX200" s="236" t="e">
        <f t="shared" si="100"/>
        <v>#NUM!</v>
      </c>
      <c r="AY200" s="237" t="e">
        <f t="shared" si="111"/>
        <v>#NUM!</v>
      </c>
      <c r="AZ200" s="238" t="e">
        <f t="shared" si="101"/>
        <v>#NUM!</v>
      </c>
      <c r="BA200" s="237" t="e">
        <f t="shared" si="102"/>
        <v>#NUM!</v>
      </c>
      <c r="BB200" s="238" t="e">
        <f t="shared" si="103"/>
        <v>#NUM!</v>
      </c>
      <c r="BC200" s="239">
        <f>IFERROR(IF(OR($E$11=Resumen!$N$6,$E$8=Resumen!$N$6),Amortización!AY200*0.16,0),"")</f>
        <v>0</v>
      </c>
      <c r="BD200" s="237">
        <f t="shared" si="104"/>
        <v>0</v>
      </c>
      <c r="BE200" s="240">
        <f t="shared" si="84"/>
        <v>0</v>
      </c>
      <c r="BF200" s="43" t="str">
        <f t="shared" si="85"/>
        <v/>
      </c>
      <c r="BH200" s="243" t="e">
        <f t="shared" si="115"/>
        <v>#NUM!</v>
      </c>
      <c r="BI200" s="3"/>
      <c r="BJ200" s="187" t="str">
        <f t="shared" si="105"/>
        <v/>
      </c>
      <c r="BK200" s="42" t="e">
        <f t="shared" si="106"/>
        <v>#NUM!</v>
      </c>
      <c r="BL200" s="45"/>
      <c r="BM200" s="236"/>
    </row>
    <row r="201" spans="3:65" ht="15.5" thickTop="1" thickBot="1" x14ac:dyDescent="0.4">
      <c r="C201" s="36" t="str">
        <f t="shared" si="107"/>
        <v/>
      </c>
      <c r="D201" s="37" t="e">
        <f t="shared" si="108"/>
        <v>#NUM!</v>
      </c>
      <c r="E201" s="236">
        <f t="shared" si="112"/>
        <v>0</v>
      </c>
      <c r="F201" s="237" t="e">
        <f t="shared" si="113"/>
        <v>#NUM!</v>
      </c>
      <c r="G201" s="238" t="e">
        <f>IF(D201="","",L200*Resumen!$L$86/1000)</f>
        <v>#NUM!</v>
      </c>
      <c r="H201" s="237" t="e">
        <f t="shared" si="86"/>
        <v>#NUM!</v>
      </c>
      <c r="I201" s="238" t="e">
        <f>IF($E$16=$V$1,0,IF(D201="","",Amortización!$AE$14))</f>
        <v>#NUM!</v>
      </c>
      <c r="J201" s="239">
        <f>IFERROR(IF(OR($E$11=Resumen!$N$6,$E$8=Resumen!$N$6),Amortización!F201*0.16,0),"")</f>
        <v>0</v>
      </c>
      <c r="K201" s="237">
        <f t="shared" si="87"/>
        <v>0</v>
      </c>
      <c r="L201" s="240">
        <f t="shared" si="88"/>
        <v>0</v>
      </c>
      <c r="M201" s="43" t="str">
        <f t="shared" si="83"/>
        <v/>
      </c>
      <c r="N201" s="44" t="str">
        <f t="shared" si="89"/>
        <v/>
      </c>
      <c r="O201" s="44" t="str">
        <f t="shared" si="90"/>
        <v/>
      </c>
      <c r="P201" s="44" t="str">
        <f t="shared" si="91"/>
        <v/>
      </c>
      <c r="Q201" s="44"/>
      <c r="R201" s="243" t="e">
        <f t="shared" si="109"/>
        <v>#NUM!</v>
      </c>
      <c r="T201" s="187" t="str">
        <f t="shared" si="110"/>
        <v/>
      </c>
      <c r="U201" s="42" t="e">
        <f t="shared" si="92"/>
        <v>#NUM!</v>
      </c>
      <c r="V201" s="45">
        <f t="shared" si="93"/>
        <v>0</v>
      </c>
      <c r="X201" s="272" t="b">
        <f t="shared" si="114"/>
        <v>0</v>
      </c>
      <c r="Y201" s="39">
        <v>0</v>
      </c>
      <c r="AB201" s="357" t="e">
        <f t="shared" si="94"/>
        <v>#N/A</v>
      </c>
      <c r="AG201" s="307">
        <f t="shared" si="95"/>
        <v>0</v>
      </c>
      <c r="AH201" s="283">
        <f t="shared" si="96"/>
        <v>0</v>
      </c>
      <c r="AI201" t="str">
        <f t="shared" si="97"/>
        <v/>
      </c>
      <c r="AV201" s="36" t="str">
        <f t="shared" si="98"/>
        <v/>
      </c>
      <c r="AW201" s="37" t="e">
        <f t="shared" si="99"/>
        <v>#NUM!</v>
      </c>
      <c r="AX201" s="236" t="e">
        <f t="shared" si="100"/>
        <v>#NUM!</v>
      </c>
      <c r="AY201" s="237" t="e">
        <f t="shared" si="111"/>
        <v>#NUM!</v>
      </c>
      <c r="AZ201" s="238" t="e">
        <f t="shared" si="101"/>
        <v>#NUM!</v>
      </c>
      <c r="BA201" s="237" t="e">
        <f t="shared" si="102"/>
        <v>#NUM!</v>
      </c>
      <c r="BB201" s="238" t="e">
        <f t="shared" si="103"/>
        <v>#NUM!</v>
      </c>
      <c r="BC201" s="239">
        <f>IFERROR(IF(OR($E$11=Resumen!$N$6,$E$8=Resumen!$N$6),Amortización!AY201*0.16,0),"")</f>
        <v>0</v>
      </c>
      <c r="BD201" s="237">
        <f t="shared" si="104"/>
        <v>0</v>
      </c>
      <c r="BE201" s="240">
        <f t="shared" si="84"/>
        <v>0</v>
      </c>
      <c r="BF201" s="43" t="str">
        <f t="shared" si="85"/>
        <v/>
      </c>
      <c r="BH201" s="243" t="e">
        <f t="shared" si="115"/>
        <v>#NUM!</v>
      </c>
      <c r="BI201" s="3"/>
      <c r="BJ201" s="187" t="str">
        <f t="shared" si="105"/>
        <v/>
      </c>
      <c r="BK201" s="42" t="e">
        <f t="shared" si="106"/>
        <v>#NUM!</v>
      </c>
      <c r="BL201" s="45"/>
      <c r="BM201" s="44"/>
    </row>
    <row r="202" spans="3:65" ht="15.5" thickTop="1" thickBot="1" x14ac:dyDescent="0.4">
      <c r="C202" s="36" t="str">
        <f t="shared" si="107"/>
        <v/>
      </c>
      <c r="D202" s="37" t="e">
        <f t="shared" si="108"/>
        <v>#NUM!</v>
      </c>
      <c r="E202" s="236">
        <f t="shared" si="112"/>
        <v>0</v>
      </c>
      <c r="F202" s="237" t="e">
        <f t="shared" si="113"/>
        <v>#NUM!</v>
      </c>
      <c r="G202" s="238" t="e">
        <f>IF(D202="","",L201*Resumen!$L$86/1000)</f>
        <v>#NUM!</v>
      </c>
      <c r="H202" s="237" t="e">
        <f t="shared" si="86"/>
        <v>#NUM!</v>
      </c>
      <c r="I202" s="238" t="e">
        <f>IF($E$16=$V$1,0,IF(D202="","",Amortización!$AE$14))</f>
        <v>#NUM!</v>
      </c>
      <c r="J202" s="239">
        <f>IFERROR(IF(OR($E$11=Resumen!$N$6,$E$8=Resumen!$N$6),Amortización!F202*0.16,0),"")</f>
        <v>0</v>
      </c>
      <c r="K202" s="237">
        <f t="shared" si="87"/>
        <v>0</v>
      </c>
      <c r="L202" s="240">
        <f t="shared" si="88"/>
        <v>0</v>
      </c>
      <c r="M202" s="43" t="str">
        <f t="shared" si="83"/>
        <v/>
      </c>
      <c r="N202" s="44" t="str">
        <f t="shared" si="89"/>
        <v/>
      </c>
      <c r="O202" s="44" t="str">
        <f t="shared" si="90"/>
        <v/>
      </c>
      <c r="P202" s="44" t="str">
        <f t="shared" si="91"/>
        <v/>
      </c>
      <c r="Q202" s="236" t="str">
        <f>IF(OR(L201=0,L201=""),"",IF(E202&gt;=D202,0,$E$17*10%))</f>
        <v/>
      </c>
      <c r="R202" s="243" t="e">
        <f t="shared" si="109"/>
        <v>#NUM!</v>
      </c>
      <c r="T202" s="187" t="str">
        <f t="shared" si="110"/>
        <v/>
      </c>
      <c r="U202" s="42" t="e">
        <f t="shared" si="92"/>
        <v>#NUM!</v>
      </c>
      <c r="V202" s="45">
        <f t="shared" si="93"/>
        <v>0</v>
      </c>
      <c r="X202" s="272" t="b">
        <f t="shared" si="114"/>
        <v>0</v>
      </c>
      <c r="Y202" s="39">
        <v>0</v>
      </c>
      <c r="AB202" s="357" t="e">
        <f t="shared" si="94"/>
        <v>#N/A</v>
      </c>
      <c r="AG202" s="307">
        <f t="shared" si="95"/>
        <v>0</v>
      </c>
      <c r="AH202" s="283">
        <f t="shared" si="96"/>
        <v>0</v>
      </c>
      <c r="AI202" t="str">
        <f t="shared" si="97"/>
        <v/>
      </c>
      <c r="AV202" s="36" t="str">
        <f t="shared" si="98"/>
        <v/>
      </c>
      <c r="AW202" s="37" t="e">
        <f t="shared" si="99"/>
        <v>#NUM!</v>
      </c>
      <c r="AX202" s="236" t="e">
        <f t="shared" si="100"/>
        <v>#NUM!</v>
      </c>
      <c r="AY202" s="237" t="e">
        <f t="shared" si="111"/>
        <v>#NUM!</v>
      </c>
      <c r="AZ202" s="238" t="e">
        <f t="shared" si="101"/>
        <v>#NUM!</v>
      </c>
      <c r="BA202" s="237" t="e">
        <f t="shared" si="102"/>
        <v>#NUM!</v>
      </c>
      <c r="BB202" s="238" t="e">
        <f t="shared" si="103"/>
        <v>#NUM!</v>
      </c>
      <c r="BC202" s="239">
        <f>IFERROR(IF(OR($E$11=Resumen!$N$6,$E$8=Resumen!$N$6),Amortización!AY202*0.16,0),"")</f>
        <v>0</v>
      </c>
      <c r="BD202" s="237">
        <f t="shared" si="104"/>
        <v>0</v>
      </c>
      <c r="BE202" s="240">
        <f t="shared" si="84"/>
        <v>0</v>
      </c>
      <c r="BF202" s="43" t="str">
        <f t="shared" si="85"/>
        <v/>
      </c>
      <c r="BH202" s="243" t="e">
        <f t="shared" si="115"/>
        <v>#NUM!</v>
      </c>
      <c r="BI202" s="3"/>
      <c r="BJ202" s="187" t="str">
        <f t="shared" si="105"/>
        <v/>
      </c>
      <c r="BK202" s="42" t="e">
        <f t="shared" si="106"/>
        <v>#NUM!</v>
      </c>
      <c r="BL202" s="45"/>
      <c r="BM202" s="236"/>
    </row>
    <row r="203" spans="3:65" ht="15.5" thickTop="1" thickBot="1" x14ac:dyDescent="0.4">
      <c r="C203" s="36" t="str">
        <f t="shared" si="107"/>
        <v/>
      </c>
      <c r="D203" s="37" t="e">
        <f t="shared" si="108"/>
        <v>#NUM!</v>
      </c>
      <c r="E203" s="236">
        <f t="shared" si="112"/>
        <v>0</v>
      </c>
      <c r="F203" s="237" t="e">
        <f t="shared" si="113"/>
        <v>#NUM!</v>
      </c>
      <c r="G203" s="238" t="e">
        <f>IF(D203="","",L202*Resumen!$L$86/1000)</f>
        <v>#NUM!</v>
      </c>
      <c r="H203" s="237" t="e">
        <f t="shared" si="86"/>
        <v>#NUM!</v>
      </c>
      <c r="I203" s="238" t="e">
        <f>IF($E$16=$V$1,0,IF(D203="","",Amortización!$AE$14))</f>
        <v>#NUM!</v>
      </c>
      <c r="J203" s="239">
        <f>IFERROR(IF(OR($E$11=Resumen!$N$6,$E$8=Resumen!$N$6),Amortización!F203*0.16,0),"")</f>
        <v>0</v>
      </c>
      <c r="K203" s="237">
        <f t="shared" si="87"/>
        <v>0</v>
      </c>
      <c r="L203" s="240">
        <f t="shared" si="88"/>
        <v>0</v>
      </c>
      <c r="M203" s="43" t="str">
        <f t="shared" si="83"/>
        <v/>
      </c>
      <c r="N203" s="44" t="str">
        <f t="shared" si="89"/>
        <v/>
      </c>
      <c r="O203" s="44" t="str">
        <f t="shared" si="90"/>
        <v/>
      </c>
      <c r="P203" s="44" t="str">
        <f t="shared" si="91"/>
        <v/>
      </c>
      <c r="Q203" s="44"/>
      <c r="R203" s="243" t="e">
        <f t="shared" si="109"/>
        <v>#NUM!</v>
      </c>
      <c r="T203" s="187" t="str">
        <f t="shared" si="110"/>
        <v/>
      </c>
      <c r="U203" s="42" t="e">
        <f t="shared" si="92"/>
        <v>#NUM!</v>
      </c>
      <c r="V203" s="45">
        <f t="shared" si="93"/>
        <v>0</v>
      </c>
      <c r="X203" s="272" t="b">
        <f t="shared" si="114"/>
        <v>0</v>
      </c>
      <c r="Y203" s="39">
        <v>0</v>
      </c>
      <c r="AB203" s="357" t="e">
        <f t="shared" si="94"/>
        <v>#N/A</v>
      </c>
      <c r="AG203" s="307">
        <f t="shared" si="95"/>
        <v>0</v>
      </c>
      <c r="AH203" s="283">
        <f t="shared" si="96"/>
        <v>0</v>
      </c>
      <c r="AI203" t="str">
        <f t="shared" si="97"/>
        <v/>
      </c>
      <c r="AV203" s="36" t="str">
        <f t="shared" si="98"/>
        <v/>
      </c>
      <c r="AW203" s="37" t="e">
        <f t="shared" si="99"/>
        <v>#NUM!</v>
      </c>
      <c r="AX203" s="236" t="e">
        <f t="shared" si="100"/>
        <v>#NUM!</v>
      </c>
      <c r="AY203" s="237" t="e">
        <f t="shared" si="111"/>
        <v>#NUM!</v>
      </c>
      <c r="AZ203" s="238" t="e">
        <f t="shared" si="101"/>
        <v>#NUM!</v>
      </c>
      <c r="BA203" s="237" t="e">
        <f t="shared" si="102"/>
        <v>#NUM!</v>
      </c>
      <c r="BB203" s="238" t="e">
        <f t="shared" si="103"/>
        <v>#NUM!</v>
      </c>
      <c r="BC203" s="239">
        <f>IFERROR(IF(OR($E$11=Resumen!$N$6,$E$8=Resumen!$N$6),Amortización!AY203*0.16,0),"")</f>
        <v>0</v>
      </c>
      <c r="BD203" s="237">
        <f t="shared" si="104"/>
        <v>0</v>
      </c>
      <c r="BE203" s="240">
        <f t="shared" si="84"/>
        <v>0</v>
      </c>
      <c r="BF203" s="43" t="str">
        <f t="shared" si="85"/>
        <v/>
      </c>
      <c r="BH203" s="243" t="e">
        <f t="shared" si="115"/>
        <v>#NUM!</v>
      </c>
      <c r="BI203" s="3"/>
      <c r="BJ203" s="187" t="str">
        <f t="shared" si="105"/>
        <v/>
      </c>
      <c r="BK203" s="42" t="e">
        <f t="shared" si="106"/>
        <v>#NUM!</v>
      </c>
      <c r="BL203" s="45"/>
      <c r="BM203" s="44"/>
    </row>
    <row r="204" spans="3:65" ht="15.5" thickTop="1" thickBot="1" x14ac:dyDescent="0.4">
      <c r="C204" s="36" t="str">
        <f t="shared" si="107"/>
        <v/>
      </c>
      <c r="D204" s="37" t="e">
        <f t="shared" si="108"/>
        <v>#NUM!</v>
      </c>
      <c r="E204" s="236">
        <f t="shared" si="112"/>
        <v>0</v>
      </c>
      <c r="F204" s="237" t="e">
        <f t="shared" si="113"/>
        <v>#NUM!</v>
      </c>
      <c r="G204" s="238" t="e">
        <f>IF(D204="","",L203*Resumen!$L$86/1000)</f>
        <v>#NUM!</v>
      </c>
      <c r="H204" s="237" t="e">
        <f t="shared" si="86"/>
        <v>#NUM!</v>
      </c>
      <c r="I204" s="238" t="e">
        <f>IF($E$16=$V$1,0,IF(D204="","",Amortización!$AE$14))</f>
        <v>#NUM!</v>
      </c>
      <c r="J204" s="239">
        <f>IFERROR(IF(OR($E$11=Resumen!$N$6,$E$8=Resumen!$N$6),Amortización!F204*0.16,0),"")</f>
        <v>0</v>
      </c>
      <c r="K204" s="237">
        <f t="shared" si="87"/>
        <v>0</v>
      </c>
      <c r="L204" s="240">
        <f t="shared" si="88"/>
        <v>0</v>
      </c>
      <c r="M204" s="43" t="str">
        <f t="shared" si="83"/>
        <v/>
      </c>
      <c r="N204" s="44" t="str">
        <f t="shared" si="89"/>
        <v/>
      </c>
      <c r="O204" s="44" t="str">
        <f t="shared" si="90"/>
        <v/>
      </c>
      <c r="P204" s="44" t="str">
        <f t="shared" si="91"/>
        <v/>
      </c>
      <c r="Q204" s="236" t="str">
        <f>IF(OR(L203=0,L203=""),"",IF(E204&gt;=D204,0,$E$17*10%))</f>
        <v/>
      </c>
      <c r="R204" s="243" t="e">
        <f t="shared" si="109"/>
        <v>#NUM!</v>
      </c>
      <c r="T204" s="187" t="str">
        <f t="shared" si="110"/>
        <v/>
      </c>
      <c r="U204" s="42" t="e">
        <f t="shared" si="92"/>
        <v>#NUM!</v>
      </c>
      <c r="V204" s="45">
        <f t="shared" si="93"/>
        <v>0</v>
      </c>
      <c r="X204" s="272" t="b">
        <f t="shared" si="114"/>
        <v>0</v>
      </c>
      <c r="Y204" s="39">
        <v>0</v>
      </c>
      <c r="AB204" s="357" t="e">
        <f t="shared" si="94"/>
        <v>#N/A</v>
      </c>
      <c r="AG204" s="307">
        <f t="shared" si="95"/>
        <v>0</v>
      </c>
      <c r="AH204" s="283">
        <f t="shared" si="96"/>
        <v>0</v>
      </c>
      <c r="AI204" t="str">
        <f t="shared" si="97"/>
        <v/>
      </c>
      <c r="AV204" s="36" t="str">
        <f t="shared" si="98"/>
        <v/>
      </c>
      <c r="AW204" s="37" t="e">
        <f t="shared" si="99"/>
        <v>#NUM!</v>
      </c>
      <c r="AX204" s="236" t="e">
        <f t="shared" si="100"/>
        <v>#NUM!</v>
      </c>
      <c r="AY204" s="237" t="e">
        <f t="shared" si="111"/>
        <v>#NUM!</v>
      </c>
      <c r="AZ204" s="238" t="e">
        <f t="shared" si="101"/>
        <v>#NUM!</v>
      </c>
      <c r="BA204" s="237" t="e">
        <f t="shared" si="102"/>
        <v>#NUM!</v>
      </c>
      <c r="BB204" s="238" t="e">
        <f t="shared" si="103"/>
        <v>#NUM!</v>
      </c>
      <c r="BC204" s="239">
        <f>IFERROR(IF(OR($E$11=Resumen!$N$6,$E$8=Resumen!$N$6),Amortización!AY204*0.16,0),"")</f>
        <v>0</v>
      </c>
      <c r="BD204" s="237">
        <f t="shared" si="104"/>
        <v>0</v>
      </c>
      <c r="BE204" s="240">
        <f t="shared" si="84"/>
        <v>0</v>
      </c>
      <c r="BF204" s="43" t="str">
        <f t="shared" si="85"/>
        <v/>
      </c>
      <c r="BH204" s="243" t="e">
        <f t="shared" si="115"/>
        <v>#NUM!</v>
      </c>
      <c r="BI204" s="3"/>
      <c r="BJ204" s="187" t="str">
        <f t="shared" si="105"/>
        <v/>
      </c>
      <c r="BK204" s="42" t="e">
        <f t="shared" si="106"/>
        <v>#NUM!</v>
      </c>
      <c r="BL204" s="45"/>
      <c r="BM204" s="236"/>
    </row>
    <row r="205" spans="3:65" ht="15.5" thickTop="1" thickBot="1" x14ac:dyDescent="0.4">
      <c r="C205" s="36" t="str">
        <f t="shared" si="107"/>
        <v/>
      </c>
      <c r="D205" s="37" t="e">
        <f t="shared" si="108"/>
        <v>#NUM!</v>
      </c>
      <c r="E205" s="236">
        <f t="shared" si="112"/>
        <v>0</v>
      </c>
      <c r="F205" s="237" t="e">
        <f t="shared" si="113"/>
        <v>#NUM!</v>
      </c>
      <c r="G205" s="238" t="e">
        <f>IF(D205="","",L204*Resumen!$L$86/1000)</f>
        <v>#NUM!</v>
      </c>
      <c r="H205" s="237" t="e">
        <f t="shared" si="86"/>
        <v>#NUM!</v>
      </c>
      <c r="I205" s="238" t="e">
        <f>IF($E$16=$V$1,0,IF(D205="","",Amortización!$AE$14))</f>
        <v>#NUM!</v>
      </c>
      <c r="J205" s="239">
        <f>IFERROR(IF(OR($E$11=Resumen!$N$6,$E$8=Resumen!$N$6),Amortización!F205*0.16,0),"")</f>
        <v>0</v>
      </c>
      <c r="K205" s="237">
        <f t="shared" si="87"/>
        <v>0</v>
      </c>
      <c r="L205" s="240">
        <f t="shared" si="88"/>
        <v>0</v>
      </c>
      <c r="M205" s="43" t="str">
        <f t="shared" si="83"/>
        <v/>
      </c>
      <c r="N205" s="44" t="str">
        <f t="shared" si="89"/>
        <v/>
      </c>
      <c r="O205" s="44" t="str">
        <f t="shared" si="90"/>
        <v/>
      </c>
      <c r="P205" s="44" t="str">
        <f t="shared" si="91"/>
        <v/>
      </c>
      <c r="Q205" s="44"/>
      <c r="R205" s="243" t="e">
        <f t="shared" si="109"/>
        <v>#NUM!</v>
      </c>
      <c r="T205" s="187" t="str">
        <f t="shared" si="110"/>
        <v/>
      </c>
      <c r="U205" s="42" t="e">
        <f t="shared" si="92"/>
        <v>#NUM!</v>
      </c>
      <c r="V205" s="45">
        <f t="shared" si="93"/>
        <v>0</v>
      </c>
      <c r="X205" s="272" t="b">
        <f t="shared" si="114"/>
        <v>0</v>
      </c>
      <c r="Y205" s="39">
        <v>0</v>
      </c>
      <c r="AB205" s="357" t="e">
        <f t="shared" si="94"/>
        <v>#N/A</v>
      </c>
      <c r="AG205" s="307">
        <f t="shared" si="95"/>
        <v>0</v>
      </c>
      <c r="AH205" s="283">
        <f t="shared" si="96"/>
        <v>0</v>
      </c>
      <c r="AI205" t="str">
        <f t="shared" si="97"/>
        <v/>
      </c>
      <c r="AV205" s="36" t="str">
        <f t="shared" si="98"/>
        <v/>
      </c>
      <c r="AW205" s="37" t="e">
        <f t="shared" si="99"/>
        <v>#NUM!</v>
      </c>
      <c r="AX205" s="236" t="e">
        <f t="shared" si="100"/>
        <v>#NUM!</v>
      </c>
      <c r="AY205" s="237" t="e">
        <f t="shared" si="111"/>
        <v>#NUM!</v>
      </c>
      <c r="AZ205" s="238" t="e">
        <f t="shared" si="101"/>
        <v>#NUM!</v>
      </c>
      <c r="BA205" s="237" t="e">
        <f t="shared" si="102"/>
        <v>#NUM!</v>
      </c>
      <c r="BB205" s="238" t="e">
        <f t="shared" si="103"/>
        <v>#NUM!</v>
      </c>
      <c r="BC205" s="239">
        <f>IFERROR(IF(OR($E$11=Resumen!$N$6,$E$8=Resumen!$N$6),Amortización!AY205*0.16,0),"")</f>
        <v>0</v>
      </c>
      <c r="BD205" s="237">
        <f t="shared" si="104"/>
        <v>0</v>
      </c>
      <c r="BE205" s="240">
        <f t="shared" si="84"/>
        <v>0</v>
      </c>
      <c r="BF205" s="43" t="str">
        <f t="shared" si="85"/>
        <v/>
      </c>
      <c r="BH205" s="243" t="e">
        <f t="shared" si="115"/>
        <v>#NUM!</v>
      </c>
      <c r="BI205" s="3"/>
      <c r="BJ205" s="187" t="str">
        <f t="shared" si="105"/>
        <v/>
      </c>
      <c r="BK205" s="42" t="e">
        <f t="shared" si="106"/>
        <v>#NUM!</v>
      </c>
      <c r="BL205" s="45"/>
      <c r="BM205" s="44"/>
    </row>
    <row r="206" spans="3:65" ht="15.5" thickTop="1" thickBot="1" x14ac:dyDescent="0.4">
      <c r="C206" s="36" t="str">
        <f t="shared" si="107"/>
        <v/>
      </c>
      <c r="D206" s="37" t="e">
        <f t="shared" si="108"/>
        <v>#NUM!</v>
      </c>
      <c r="E206" s="236">
        <f t="shared" si="112"/>
        <v>0</v>
      </c>
      <c r="F206" s="237" t="e">
        <f t="shared" si="113"/>
        <v>#NUM!</v>
      </c>
      <c r="G206" s="238" t="e">
        <f>IF(D206="","",L205*Resumen!$L$86/1000)</f>
        <v>#NUM!</v>
      </c>
      <c r="H206" s="237" t="e">
        <f t="shared" si="86"/>
        <v>#NUM!</v>
      </c>
      <c r="I206" s="238" t="e">
        <f>IF($E$16=$V$1,0,IF(D206="","",Amortización!$AE$14))</f>
        <v>#NUM!</v>
      </c>
      <c r="J206" s="239">
        <f>IFERROR(IF(OR($E$11=Resumen!$N$6,$E$8=Resumen!$N$6),Amortización!F206*0.16,0),"")</f>
        <v>0</v>
      </c>
      <c r="K206" s="237">
        <f t="shared" si="87"/>
        <v>0</v>
      </c>
      <c r="L206" s="240">
        <f t="shared" si="88"/>
        <v>0</v>
      </c>
      <c r="M206" s="43" t="str">
        <f t="shared" si="83"/>
        <v/>
      </c>
      <c r="N206" s="44" t="str">
        <f t="shared" si="89"/>
        <v/>
      </c>
      <c r="O206" s="44" t="str">
        <f t="shared" si="90"/>
        <v/>
      </c>
      <c r="P206" s="44" t="str">
        <f t="shared" si="91"/>
        <v/>
      </c>
      <c r="Q206" s="236" t="str">
        <f>IF(OR(L205=0,L205=""),"",IF(E206&gt;=D206,0,$E$17*10%))</f>
        <v/>
      </c>
      <c r="R206" s="243" t="e">
        <f t="shared" si="109"/>
        <v>#NUM!</v>
      </c>
      <c r="T206" s="187" t="str">
        <f t="shared" si="110"/>
        <v/>
      </c>
      <c r="U206" s="42" t="e">
        <f t="shared" si="92"/>
        <v>#NUM!</v>
      </c>
      <c r="V206" s="45">
        <f t="shared" si="93"/>
        <v>0</v>
      </c>
      <c r="X206" s="272" t="b">
        <f t="shared" si="114"/>
        <v>0</v>
      </c>
      <c r="Y206" s="39">
        <v>0</v>
      </c>
      <c r="AB206" s="357" t="e">
        <f t="shared" si="94"/>
        <v>#N/A</v>
      </c>
      <c r="AG206" s="307">
        <f t="shared" si="95"/>
        <v>0</v>
      </c>
      <c r="AH206" s="283">
        <f t="shared" si="96"/>
        <v>0</v>
      </c>
      <c r="AI206" t="str">
        <f t="shared" si="97"/>
        <v/>
      </c>
      <c r="AV206" s="36" t="str">
        <f t="shared" si="98"/>
        <v/>
      </c>
      <c r="AW206" s="37" t="e">
        <f t="shared" si="99"/>
        <v>#NUM!</v>
      </c>
      <c r="AX206" s="236" t="e">
        <f t="shared" si="100"/>
        <v>#NUM!</v>
      </c>
      <c r="AY206" s="237" t="e">
        <f t="shared" si="111"/>
        <v>#NUM!</v>
      </c>
      <c r="AZ206" s="238" t="e">
        <f t="shared" si="101"/>
        <v>#NUM!</v>
      </c>
      <c r="BA206" s="237" t="e">
        <f t="shared" si="102"/>
        <v>#NUM!</v>
      </c>
      <c r="BB206" s="238" t="e">
        <f t="shared" si="103"/>
        <v>#NUM!</v>
      </c>
      <c r="BC206" s="239">
        <f>IFERROR(IF(OR($E$11=Resumen!$N$6,$E$8=Resumen!$N$6),Amortización!AY206*0.16,0),"")</f>
        <v>0</v>
      </c>
      <c r="BD206" s="237">
        <f t="shared" si="104"/>
        <v>0</v>
      </c>
      <c r="BE206" s="240">
        <f t="shared" si="84"/>
        <v>0</v>
      </c>
      <c r="BF206" s="43" t="str">
        <f t="shared" si="85"/>
        <v/>
      </c>
      <c r="BH206" s="243" t="e">
        <f t="shared" si="115"/>
        <v>#NUM!</v>
      </c>
      <c r="BI206" s="3"/>
      <c r="BJ206" s="187" t="str">
        <f t="shared" si="105"/>
        <v/>
      </c>
      <c r="BK206" s="42" t="e">
        <f t="shared" si="106"/>
        <v>#NUM!</v>
      </c>
      <c r="BL206" s="45"/>
      <c r="BM206" s="236"/>
    </row>
    <row r="207" spans="3:65" ht="15.5" thickTop="1" thickBot="1" x14ac:dyDescent="0.4">
      <c r="C207" s="36" t="str">
        <f t="shared" si="107"/>
        <v/>
      </c>
      <c r="D207" s="37" t="e">
        <f t="shared" si="108"/>
        <v>#NUM!</v>
      </c>
      <c r="E207" s="236">
        <f t="shared" si="112"/>
        <v>0</v>
      </c>
      <c r="F207" s="237" t="e">
        <f t="shared" si="113"/>
        <v>#NUM!</v>
      </c>
      <c r="G207" s="238" t="e">
        <f>IF(D207="","",L206*Resumen!$L$86/1000)</f>
        <v>#NUM!</v>
      </c>
      <c r="H207" s="237" t="e">
        <f t="shared" si="86"/>
        <v>#NUM!</v>
      </c>
      <c r="I207" s="238" t="e">
        <f>IF($E$16=$V$1,0,IF(D207="","",Amortización!$AE$14))</f>
        <v>#NUM!</v>
      </c>
      <c r="J207" s="239">
        <f>IFERROR(IF(OR($E$11=Resumen!$N$6,$E$8=Resumen!$N$6),Amortización!F207*0.16,0),"")</f>
        <v>0</v>
      </c>
      <c r="K207" s="237">
        <f t="shared" si="87"/>
        <v>0</v>
      </c>
      <c r="L207" s="240">
        <f t="shared" si="88"/>
        <v>0</v>
      </c>
      <c r="M207" s="43" t="str">
        <f t="shared" si="83"/>
        <v/>
      </c>
      <c r="N207" s="44" t="str">
        <f t="shared" si="89"/>
        <v/>
      </c>
      <c r="O207" s="44" t="str">
        <f t="shared" si="90"/>
        <v/>
      </c>
      <c r="P207" s="44" t="str">
        <f t="shared" si="91"/>
        <v/>
      </c>
      <c r="Q207" s="44"/>
      <c r="R207" s="243" t="e">
        <f t="shared" si="109"/>
        <v>#NUM!</v>
      </c>
      <c r="T207" s="187" t="str">
        <f t="shared" si="110"/>
        <v/>
      </c>
      <c r="U207" s="42" t="e">
        <f t="shared" si="92"/>
        <v>#NUM!</v>
      </c>
      <c r="V207" s="45">
        <f t="shared" si="93"/>
        <v>0</v>
      </c>
      <c r="X207" s="272" t="b">
        <f t="shared" si="114"/>
        <v>0</v>
      </c>
      <c r="Y207" s="39">
        <v>0</v>
      </c>
      <c r="AB207" s="357" t="e">
        <f t="shared" si="94"/>
        <v>#N/A</v>
      </c>
      <c r="AG207" s="307">
        <f t="shared" si="95"/>
        <v>0</v>
      </c>
      <c r="AH207" s="283">
        <f t="shared" si="96"/>
        <v>0</v>
      </c>
      <c r="AI207" t="str">
        <f t="shared" si="97"/>
        <v/>
      </c>
      <c r="AV207" s="36" t="str">
        <f t="shared" si="98"/>
        <v/>
      </c>
      <c r="AW207" s="37" t="e">
        <f t="shared" si="99"/>
        <v>#NUM!</v>
      </c>
      <c r="AX207" s="236" t="e">
        <f t="shared" si="100"/>
        <v>#NUM!</v>
      </c>
      <c r="AY207" s="237" t="e">
        <f t="shared" si="111"/>
        <v>#NUM!</v>
      </c>
      <c r="AZ207" s="238" t="e">
        <f t="shared" si="101"/>
        <v>#NUM!</v>
      </c>
      <c r="BA207" s="237" t="e">
        <f t="shared" si="102"/>
        <v>#NUM!</v>
      </c>
      <c r="BB207" s="238" t="e">
        <f t="shared" si="103"/>
        <v>#NUM!</v>
      </c>
      <c r="BC207" s="239">
        <f>IFERROR(IF(OR($E$11=Resumen!$N$6,$E$8=Resumen!$N$6),Amortización!AY207*0.16,0),"")</f>
        <v>0</v>
      </c>
      <c r="BD207" s="237">
        <f t="shared" si="104"/>
        <v>0</v>
      </c>
      <c r="BE207" s="240">
        <f t="shared" si="84"/>
        <v>0</v>
      </c>
      <c r="BF207" s="43" t="str">
        <f t="shared" si="85"/>
        <v/>
      </c>
      <c r="BH207" s="243" t="e">
        <f t="shared" si="115"/>
        <v>#NUM!</v>
      </c>
      <c r="BI207" s="3"/>
      <c r="BJ207" s="187" t="str">
        <f t="shared" si="105"/>
        <v/>
      </c>
      <c r="BK207" s="42" t="e">
        <f t="shared" si="106"/>
        <v>#NUM!</v>
      </c>
      <c r="BL207" s="45"/>
      <c r="BM207" s="44"/>
    </row>
    <row r="208" spans="3:65" ht="15.5" thickTop="1" thickBot="1" x14ac:dyDescent="0.4">
      <c r="C208" s="36" t="str">
        <f t="shared" si="107"/>
        <v/>
      </c>
      <c r="D208" s="37" t="e">
        <f t="shared" si="108"/>
        <v>#NUM!</v>
      </c>
      <c r="E208" s="236">
        <f t="shared" si="112"/>
        <v>0</v>
      </c>
      <c r="F208" s="237" t="e">
        <f t="shared" si="113"/>
        <v>#NUM!</v>
      </c>
      <c r="G208" s="238" t="e">
        <f>IF(D208="","",L207*Resumen!$L$86/1000)</f>
        <v>#NUM!</v>
      </c>
      <c r="H208" s="237" t="e">
        <f t="shared" si="86"/>
        <v>#NUM!</v>
      </c>
      <c r="I208" s="238" t="e">
        <f>IF($E$16=$V$1,0,IF(D208="","",Amortización!$AE$14))</f>
        <v>#NUM!</v>
      </c>
      <c r="J208" s="239">
        <f>IFERROR(IF(OR($E$11=Resumen!$N$6,$E$8=Resumen!$N$6),Amortización!F208*0.16,0),"")</f>
        <v>0</v>
      </c>
      <c r="K208" s="237">
        <f t="shared" si="87"/>
        <v>0</v>
      </c>
      <c r="L208" s="240">
        <f t="shared" si="88"/>
        <v>0</v>
      </c>
      <c r="M208" s="43" t="str">
        <f t="shared" si="83"/>
        <v/>
      </c>
      <c r="N208" s="44" t="str">
        <f t="shared" si="89"/>
        <v/>
      </c>
      <c r="O208" s="44" t="str">
        <f t="shared" si="90"/>
        <v/>
      </c>
      <c r="P208" s="44" t="str">
        <f t="shared" si="91"/>
        <v/>
      </c>
      <c r="Q208" s="236" t="str">
        <f>IF(OR(L207=0,L207=""),"",IF(E208&gt;=D208,0,$E$17*10%))</f>
        <v/>
      </c>
      <c r="R208" s="243" t="e">
        <f t="shared" si="109"/>
        <v>#NUM!</v>
      </c>
      <c r="T208" s="187" t="str">
        <f t="shared" si="110"/>
        <v/>
      </c>
      <c r="U208" s="42" t="e">
        <f t="shared" si="92"/>
        <v>#NUM!</v>
      </c>
      <c r="V208" s="45">
        <f t="shared" si="93"/>
        <v>0</v>
      </c>
      <c r="X208" s="272" t="b">
        <f t="shared" si="114"/>
        <v>0</v>
      </c>
      <c r="Y208" s="39">
        <v>0</v>
      </c>
      <c r="AB208" s="357" t="e">
        <f t="shared" si="94"/>
        <v>#N/A</v>
      </c>
      <c r="AG208" s="307">
        <f t="shared" si="95"/>
        <v>0</v>
      </c>
      <c r="AH208" s="283">
        <f t="shared" si="96"/>
        <v>0</v>
      </c>
      <c r="AI208" t="str">
        <f t="shared" si="97"/>
        <v/>
      </c>
      <c r="AV208" s="36" t="str">
        <f t="shared" si="98"/>
        <v/>
      </c>
      <c r="AW208" s="37" t="e">
        <f t="shared" si="99"/>
        <v>#NUM!</v>
      </c>
      <c r="AX208" s="236" t="e">
        <f t="shared" si="100"/>
        <v>#NUM!</v>
      </c>
      <c r="AY208" s="237" t="e">
        <f t="shared" si="111"/>
        <v>#NUM!</v>
      </c>
      <c r="AZ208" s="238" t="e">
        <f t="shared" si="101"/>
        <v>#NUM!</v>
      </c>
      <c r="BA208" s="237" t="e">
        <f t="shared" si="102"/>
        <v>#NUM!</v>
      </c>
      <c r="BB208" s="238" t="e">
        <f t="shared" si="103"/>
        <v>#NUM!</v>
      </c>
      <c r="BC208" s="239">
        <f>IFERROR(IF(OR($E$11=Resumen!$N$6,$E$8=Resumen!$N$6),Amortización!AY208*0.16,0),"")</f>
        <v>0</v>
      </c>
      <c r="BD208" s="237">
        <f t="shared" si="104"/>
        <v>0</v>
      </c>
      <c r="BE208" s="240">
        <f t="shared" si="84"/>
        <v>0</v>
      </c>
      <c r="BF208" s="43" t="str">
        <f t="shared" si="85"/>
        <v/>
      </c>
      <c r="BH208" s="243" t="e">
        <f t="shared" si="115"/>
        <v>#NUM!</v>
      </c>
      <c r="BI208" s="3"/>
      <c r="BJ208" s="187" t="str">
        <f t="shared" si="105"/>
        <v/>
      </c>
      <c r="BK208" s="42" t="e">
        <f t="shared" si="106"/>
        <v>#NUM!</v>
      </c>
      <c r="BL208" s="45"/>
      <c r="BM208" s="236"/>
    </row>
    <row r="209" spans="3:65" ht="15.5" thickTop="1" thickBot="1" x14ac:dyDescent="0.4">
      <c r="C209" s="36" t="str">
        <f t="shared" si="107"/>
        <v/>
      </c>
      <c r="D209" s="37" t="e">
        <f t="shared" si="108"/>
        <v>#NUM!</v>
      </c>
      <c r="E209" s="236">
        <f t="shared" si="112"/>
        <v>0</v>
      </c>
      <c r="F209" s="237" t="e">
        <f t="shared" si="113"/>
        <v>#NUM!</v>
      </c>
      <c r="G209" s="238" t="e">
        <f>IF(D209="","",L208*Resumen!$L$86/1000)</f>
        <v>#NUM!</v>
      </c>
      <c r="H209" s="237" t="e">
        <f t="shared" si="86"/>
        <v>#NUM!</v>
      </c>
      <c r="I209" s="238" t="e">
        <f>IF($E$16=$V$1,0,IF(D209="","",Amortización!$AE$14))</f>
        <v>#NUM!</v>
      </c>
      <c r="J209" s="239">
        <f>IFERROR(IF(OR($E$11=Resumen!$N$6,$E$8=Resumen!$N$6),Amortización!F209*0.16,0),"")</f>
        <v>0</v>
      </c>
      <c r="K209" s="237">
        <f t="shared" si="87"/>
        <v>0</v>
      </c>
      <c r="L209" s="240">
        <f t="shared" si="88"/>
        <v>0</v>
      </c>
      <c r="M209" s="43" t="str">
        <f t="shared" si="83"/>
        <v/>
      </c>
      <c r="N209" s="44" t="str">
        <f t="shared" si="89"/>
        <v/>
      </c>
      <c r="O209" s="44" t="str">
        <f t="shared" si="90"/>
        <v/>
      </c>
      <c r="P209" s="44" t="str">
        <f t="shared" si="91"/>
        <v/>
      </c>
      <c r="Q209" s="44"/>
      <c r="R209" s="243" t="e">
        <f t="shared" si="109"/>
        <v>#NUM!</v>
      </c>
      <c r="T209" s="187" t="str">
        <f t="shared" si="110"/>
        <v/>
      </c>
      <c r="U209" s="42" t="e">
        <f t="shared" si="92"/>
        <v>#NUM!</v>
      </c>
      <c r="V209" s="45">
        <f t="shared" si="93"/>
        <v>0</v>
      </c>
      <c r="X209" s="272" t="b">
        <f t="shared" si="114"/>
        <v>0</v>
      </c>
      <c r="Y209" s="39">
        <v>0</v>
      </c>
      <c r="AB209" s="357" t="e">
        <f t="shared" si="94"/>
        <v>#N/A</v>
      </c>
      <c r="AG209" s="307">
        <f t="shared" si="95"/>
        <v>0</v>
      </c>
      <c r="AH209" s="283">
        <f t="shared" si="96"/>
        <v>0</v>
      </c>
      <c r="AI209" t="str">
        <f t="shared" si="97"/>
        <v/>
      </c>
      <c r="AV209" s="36" t="str">
        <f t="shared" si="98"/>
        <v/>
      </c>
      <c r="AW209" s="37" t="e">
        <f t="shared" si="99"/>
        <v>#NUM!</v>
      </c>
      <c r="AX209" s="236" t="e">
        <f t="shared" si="100"/>
        <v>#NUM!</v>
      </c>
      <c r="AY209" s="237" t="e">
        <f t="shared" si="111"/>
        <v>#NUM!</v>
      </c>
      <c r="AZ209" s="238" t="e">
        <f t="shared" si="101"/>
        <v>#NUM!</v>
      </c>
      <c r="BA209" s="237" t="e">
        <f t="shared" si="102"/>
        <v>#NUM!</v>
      </c>
      <c r="BB209" s="238" t="e">
        <f t="shared" si="103"/>
        <v>#NUM!</v>
      </c>
      <c r="BC209" s="239">
        <f>IFERROR(IF(OR($E$11=Resumen!$N$6,$E$8=Resumen!$N$6),Amortización!AY209*0.16,0),"")</f>
        <v>0</v>
      </c>
      <c r="BD209" s="237">
        <f t="shared" si="104"/>
        <v>0</v>
      </c>
      <c r="BE209" s="240">
        <f t="shared" si="84"/>
        <v>0</v>
      </c>
      <c r="BF209" s="43" t="str">
        <f t="shared" si="85"/>
        <v/>
      </c>
      <c r="BH209" s="243" t="e">
        <f t="shared" si="115"/>
        <v>#NUM!</v>
      </c>
      <c r="BI209" s="3"/>
      <c r="BJ209" s="187" t="str">
        <f t="shared" si="105"/>
        <v/>
      </c>
      <c r="BK209" s="42" t="e">
        <f t="shared" si="106"/>
        <v>#NUM!</v>
      </c>
      <c r="BL209" s="45"/>
      <c r="BM209" s="44"/>
    </row>
    <row r="210" spans="3:65" ht="15.5" thickTop="1" thickBot="1" x14ac:dyDescent="0.4">
      <c r="C210" s="36" t="str">
        <f t="shared" si="107"/>
        <v/>
      </c>
      <c r="D210" s="37" t="e">
        <f t="shared" si="108"/>
        <v>#NUM!</v>
      </c>
      <c r="E210" s="236">
        <f t="shared" si="112"/>
        <v>0</v>
      </c>
      <c r="F210" s="237" t="e">
        <f t="shared" si="113"/>
        <v>#NUM!</v>
      </c>
      <c r="G210" s="238" t="e">
        <f>IF(D210="","",L209*Resumen!$L$86/1000)</f>
        <v>#NUM!</v>
      </c>
      <c r="H210" s="237" t="e">
        <f t="shared" si="86"/>
        <v>#NUM!</v>
      </c>
      <c r="I210" s="238" t="e">
        <f>IF($E$16=$V$1,0,IF(D210="","",Amortización!$AE$14))</f>
        <v>#NUM!</v>
      </c>
      <c r="J210" s="239">
        <f>IFERROR(IF(OR($E$11=Resumen!$N$6,$E$8=Resumen!$N$6),Amortización!F210*0.16,0),"")</f>
        <v>0</v>
      </c>
      <c r="K210" s="237">
        <f t="shared" si="87"/>
        <v>0</v>
      </c>
      <c r="L210" s="240">
        <f t="shared" si="88"/>
        <v>0</v>
      </c>
      <c r="M210" s="43" t="str">
        <f t="shared" si="83"/>
        <v/>
      </c>
      <c r="N210" s="44" t="str">
        <f t="shared" si="89"/>
        <v/>
      </c>
      <c r="O210" s="44" t="str">
        <f t="shared" si="90"/>
        <v/>
      </c>
      <c r="P210" s="44" t="str">
        <f t="shared" si="91"/>
        <v/>
      </c>
      <c r="Q210" s="236" t="str">
        <f>IF(OR(L209=0,L209=""),"",IF(E210&gt;=D210,0,$E$17*10%))</f>
        <v/>
      </c>
      <c r="R210" s="243" t="e">
        <f t="shared" si="109"/>
        <v>#NUM!</v>
      </c>
      <c r="T210" s="187" t="str">
        <f t="shared" si="110"/>
        <v/>
      </c>
      <c r="U210" s="42" t="e">
        <f t="shared" si="92"/>
        <v>#NUM!</v>
      </c>
      <c r="V210" s="45">
        <f t="shared" si="93"/>
        <v>0</v>
      </c>
      <c r="X210" s="272" t="b">
        <f t="shared" si="114"/>
        <v>0</v>
      </c>
      <c r="Y210" s="39">
        <v>0</v>
      </c>
      <c r="AB210" s="357" t="e">
        <f t="shared" si="94"/>
        <v>#N/A</v>
      </c>
      <c r="AG210" s="307">
        <f t="shared" si="95"/>
        <v>0</v>
      </c>
      <c r="AH210" s="283">
        <f t="shared" si="96"/>
        <v>0</v>
      </c>
      <c r="AI210" t="str">
        <f t="shared" si="97"/>
        <v/>
      </c>
      <c r="AV210" s="36" t="str">
        <f t="shared" si="98"/>
        <v/>
      </c>
      <c r="AW210" s="37" t="e">
        <f t="shared" si="99"/>
        <v>#NUM!</v>
      </c>
      <c r="AX210" s="236" t="e">
        <f t="shared" si="100"/>
        <v>#NUM!</v>
      </c>
      <c r="AY210" s="237" t="e">
        <f t="shared" si="111"/>
        <v>#NUM!</v>
      </c>
      <c r="AZ210" s="238" t="e">
        <f t="shared" si="101"/>
        <v>#NUM!</v>
      </c>
      <c r="BA210" s="237" t="e">
        <f t="shared" si="102"/>
        <v>#NUM!</v>
      </c>
      <c r="BB210" s="238" t="e">
        <f t="shared" si="103"/>
        <v>#NUM!</v>
      </c>
      <c r="BC210" s="239">
        <f>IFERROR(IF(OR($E$11=Resumen!$N$6,$E$8=Resumen!$N$6),Amortización!AY210*0.16,0),"")</f>
        <v>0</v>
      </c>
      <c r="BD210" s="237">
        <f t="shared" si="104"/>
        <v>0</v>
      </c>
      <c r="BE210" s="240">
        <f t="shared" si="84"/>
        <v>0</v>
      </c>
      <c r="BF210" s="43" t="str">
        <f t="shared" si="85"/>
        <v/>
      </c>
      <c r="BH210" s="243" t="e">
        <f t="shared" si="115"/>
        <v>#NUM!</v>
      </c>
      <c r="BI210" s="3"/>
      <c r="BJ210" s="187" t="str">
        <f t="shared" si="105"/>
        <v/>
      </c>
      <c r="BK210" s="42" t="e">
        <f t="shared" si="106"/>
        <v>#NUM!</v>
      </c>
      <c r="BL210" s="45"/>
      <c r="BM210" s="236"/>
    </row>
    <row r="211" spans="3:65" ht="15.5" thickTop="1" thickBot="1" x14ac:dyDescent="0.4">
      <c r="C211" s="36" t="str">
        <f t="shared" si="107"/>
        <v/>
      </c>
      <c r="D211" s="37" t="e">
        <f t="shared" si="108"/>
        <v>#NUM!</v>
      </c>
      <c r="E211" s="236">
        <f t="shared" si="112"/>
        <v>0</v>
      </c>
      <c r="F211" s="237" t="e">
        <f t="shared" si="113"/>
        <v>#NUM!</v>
      </c>
      <c r="G211" s="238" t="e">
        <f>IF(D211="","",L210*Resumen!$L$86/1000)</f>
        <v>#NUM!</v>
      </c>
      <c r="H211" s="237" t="e">
        <f t="shared" si="86"/>
        <v>#NUM!</v>
      </c>
      <c r="I211" s="238" t="e">
        <f>IF($E$16=$V$1,0,IF(D211="","",Amortización!$AE$14))</f>
        <v>#NUM!</v>
      </c>
      <c r="J211" s="239">
        <f>IFERROR(IF(OR($E$11=Resumen!$N$6,$E$8=Resumen!$N$6),Amortización!F211*0.16,0),"")</f>
        <v>0</v>
      </c>
      <c r="K211" s="237">
        <f t="shared" si="87"/>
        <v>0</v>
      </c>
      <c r="L211" s="240">
        <f t="shared" si="88"/>
        <v>0</v>
      </c>
      <c r="M211" s="43" t="str">
        <f t="shared" si="83"/>
        <v/>
      </c>
      <c r="N211" s="44" t="str">
        <f t="shared" si="89"/>
        <v/>
      </c>
      <c r="O211" s="44" t="str">
        <f t="shared" si="90"/>
        <v/>
      </c>
      <c r="P211" s="44" t="str">
        <f t="shared" si="91"/>
        <v/>
      </c>
      <c r="Q211" s="44"/>
      <c r="R211" s="243" t="e">
        <f t="shared" si="109"/>
        <v>#NUM!</v>
      </c>
      <c r="T211" s="187" t="str">
        <f t="shared" si="110"/>
        <v/>
      </c>
      <c r="U211" s="42" t="e">
        <f t="shared" si="92"/>
        <v>#NUM!</v>
      </c>
      <c r="V211" s="45">
        <f t="shared" si="93"/>
        <v>0</v>
      </c>
      <c r="X211" s="272" t="b">
        <f t="shared" si="114"/>
        <v>0</v>
      </c>
      <c r="Y211" s="39">
        <v>0</v>
      </c>
      <c r="AB211" s="357" t="e">
        <f t="shared" si="94"/>
        <v>#N/A</v>
      </c>
      <c r="AG211" s="307">
        <f t="shared" si="95"/>
        <v>0</v>
      </c>
      <c r="AH211" s="283">
        <f t="shared" si="96"/>
        <v>0</v>
      </c>
      <c r="AI211" t="str">
        <f t="shared" si="97"/>
        <v/>
      </c>
      <c r="AV211" s="36" t="str">
        <f t="shared" si="98"/>
        <v/>
      </c>
      <c r="AW211" s="37" t="e">
        <f t="shared" si="99"/>
        <v>#NUM!</v>
      </c>
      <c r="AX211" s="236" t="e">
        <f t="shared" si="100"/>
        <v>#NUM!</v>
      </c>
      <c r="AY211" s="237" t="e">
        <f t="shared" si="111"/>
        <v>#NUM!</v>
      </c>
      <c r="AZ211" s="238" t="e">
        <f t="shared" si="101"/>
        <v>#NUM!</v>
      </c>
      <c r="BA211" s="237" t="e">
        <f t="shared" si="102"/>
        <v>#NUM!</v>
      </c>
      <c r="BB211" s="238" t="e">
        <f t="shared" si="103"/>
        <v>#NUM!</v>
      </c>
      <c r="BC211" s="239">
        <f>IFERROR(IF(OR($E$11=Resumen!$N$6,$E$8=Resumen!$N$6),Amortización!AY211*0.16,0),"")</f>
        <v>0</v>
      </c>
      <c r="BD211" s="237">
        <f t="shared" si="104"/>
        <v>0</v>
      </c>
      <c r="BE211" s="240">
        <f t="shared" si="84"/>
        <v>0</v>
      </c>
      <c r="BF211" s="43" t="str">
        <f t="shared" si="85"/>
        <v/>
      </c>
      <c r="BH211" s="243" t="e">
        <f t="shared" si="115"/>
        <v>#NUM!</v>
      </c>
      <c r="BI211" s="3"/>
      <c r="BJ211" s="187" t="str">
        <f t="shared" si="105"/>
        <v/>
      </c>
      <c r="BK211" s="42" t="e">
        <f t="shared" si="106"/>
        <v>#NUM!</v>
      </c>
      <c r="BL211" s="45"/>
      <c r="BM211" s="44"/>
    </row>
    <row r="212" spans="3:65" ht="15.5" thickTop="1" thickBot="1" x14ac:dyDescent="0.4">
      <c r="C212" s="36" t="str">
        <f t="shared" si="107"/>
        <v/>
      </c>
      <c r="D212" s="37" t="e">
        <f t="shared" si="108"/>
        <v>#NUM!</v>
      </c>
      <c r="E212" s="236">
        <f t="shared" si="112"/>
        <v>0</v>
      </c>
      <c r="F212" s="237" t="e">
        <f t="shared" si="113"/>
        <v>#NUM!</v>
      </c>
      <c r="G212" s="238" t="e">
        <f>IF(D212="","",L211*Resumen!$L$86/1000)</f>
        <v>#NUM!</v>
      </c>
      <c r="H212" s="237" t="e">
        <f t="shared" si="86"/>
        <v>#NUM!</v>
      </c>
      <c r="I212" s="238" t="e">
        <f>IF($E$16=$V$1,0,IF(D212="","",Amortización!$AE$14))</f>
        <v>#NUM!</v>
      </c>
      <c r="J212" s="239">
        <f>IFERROR(IF(OR($E$11=Resumen!$N$6,$E$8=Resumen!$N$6),Amortización!F212*0.16,0),"")</f>
        <v>0</v>
      </c>
      <c r="K212" s="237">
        <f t="shared" si="87"/>
        <v>0</v>
      </c>
      <c r="L212" s="240">
        <f t="shared" si="88"/>
        <v>0</v>
      </c>
      <c r="M212" s="43" t="str">
        <f t="shared" si="83"/>
        <v/>
      </c>
      <c r="N212" s="44" t="str">
        <f t="shared" si="89"/>
        <v/>
      </c>
      <c r="O212" s="44" t="str">
        <f t="shared" si="90"/>
        <v/>
      </c>
      <c r="P212" s="44" t="str">
        <f t="shared" si="91"/>
        <v/>
      </c>
      <c r="Q212" s="236" t="str">
        <f>IF(OR(L211=0,L211=""),"",IF(E212&gt;=D212,0,$E$17*10%))</f>
        <v/>
      </c>
      <c r="R212" s="243" t="e">
        <f t="shared" si="109"/>
        <v>#NUM!</v>
      </c>
      <c r="T212" s="187" t="str">
        <f t="shared" si="110"/>
        <v/>
      </c>
      <c r="U212" s="42" t="e">
        <f t="shared" si="92"/>
        <v>#NUM!</v>
      </c>
      <c r="V212" s="45">
        <f t="shared" si="93"/>
        <v>0</v>
      </c>
      <c r="X212" s="272" t="b">
        <f t="shared" si="114"/>
        <v>0</v>
      </c>
      <c r="Y212" s="39">
        <v>0</v>
      </c>
      <c r="AB212" s="357" t="e">
        <f t="shared" si="94"/>
        <v>#N/A</v>
      </c>
      <c r="AG212" s="307">
        <f t="shared" si="95"/>
        <v>0</v>
      </c>
      <c r="AH212" s="283">
        <f t="shared" si="96"/>
        <v>0</v>
      </c>
      <c r="AI212" t="str">
        <f t="shared" si="97"/>
        <v/>
      </c>
      <c r="AV212" s="36" t="str">
        <f t="shared" si="98"/>
        <v/>
      </c>
      <c r="AW212" s="37" t="e">
        <f t="shared" si="99"/>
        <v>#NUM!</v>
      </c>
      <c r="AX212" s="236" t="e">
        <f t="shared" si="100"/>
        <v>#NUM!</v>
      </c>
      <c r="AY212" s="237" t="e">
        <f t="shared" si="111"/>
        <v>#NUM!</v>
      </c>
      <c r="AZ212" s="238" t="e">
        <f t="shared" si="101"/>
        <v>#NUM!</v>
      </c>
      <c r="BA212" s="237" t="e">
        <f t="shared" si="102"/>
        <v>#NUM!</v>
      </c>
      <c r="BB212" s="238" t="e">
        <f t="shared" si="103"/>
        <v>#NUM!</v>
      </c>
      <c r="BC212" s="239">
        <f>IFERROR(IF(OR($E$11=Resumen!$N$6,$E$8=Resumen!$N$6),Amortización!AY212*0.16,0),"")</f>
        <v>0</v>
      </c>
      <c r="BD212" s="237">
        <f t="shared" si="104"/>
        <v>0</v>
      </c>
      <c r="BE212" s="240">
        <f t="shared" si="84"/>
        <v>0</v>
      </c>
      <c r="BF212" s="43" t="str">
        <f t="shared" si="85"/>
        <v/>
      </c>
      <c r="BH212" s="243" t="e">
        <f t="shared" si="115"/>
        <v>#NUM!</v>
      </c>
      <c r="BI212" s="3"/>
      <c r="BJ212" s="187" t="str">
        <f t="shared" si="105"/>
        <v/>
      </c>
      <c r="BK212" s="42" t="e">
        <f t="shared" si="106"/>
        <v>#NUM!</v>
      </c>
      <c r="BL212" s="45"/>
      <c r="BM212" s="236"/>
    </row>
    <row r="213" spans="3:65" ht="15.5" thickTop="1" thickBot="1" x14ac:dyDescent="0.4">
      <c r="C213" s="36" t="str">
        <f t="shared" si="107"/>
        <v/>
      </c>
      <c r="D213" s="37" t="e">
        <f t="shared" si="108"/>
        <v>#NUM!</v>
      </c>
      <c r="E213" s="236">
        <f t="shared" si="112"/>
        <v>0</v>
      </c>
      <c r="F213" s="237" t="e">
        <f t="shared" si="113"/>
        <v>#NUM!</v>
      </c>
      <c r="G213" s="238" t="e">
        <f>IF(D213="","",L212*Resumen!$L$86/1000)</f>
        <v>#NUM!</v>
      </c>
      <c r="H213" s="237" t="e">
        <f t="shared" si="86"/>
        <v>#NUM!</v>
      </c>
      <c r="I213" s="238" t="e">
        <f>IF($E$16=$V$1,0,IF(D213="","",Amortización!$AE$14))</f>
        <v>#NUM!</v>
      </c>
      <c r="J213" s="239">
        <f>IFERROR(IF(OR($E$11=Resumen!$N$6,$E$8=Resumen!$N$6),Amortización!F213*0.16,0),"")</f>
        <v>0</v>
      </c>
      <c r="K213" s="237">
        <f t="shared" si="87"/>
        <v>0</v>
      </c>
      <c r="L213" s="240">
        <f t="shared" si="88"/>
        <v>0</v>
      </c>
      <c r="M213" s="43" t="str">
        <f t="shared" ref="M213:M260" si="116">IF(OR(L212=0,L212=""),"",0)</f>
        <v/>
      </c>
      <c r="N213" s="44" t="str">
        <f t="shared" si="89"/>
        <v/>
      </c>
      <c r="O213" s="44" t="str">
        <f t="shared" si="90"/>
        <v/>
      </c>
      <c r="P213" s="44" t="str">
        <f t="shared" si="91"/>
        <v/>
      </c>
      <c r="Q213" s="44"/>
      <c r="R213" s="243" t="e">
        <f t="shared" si="109"/>
        <v>#NUM!</v>
      </c>
      <c r="T213" s="187" t="str">
        <f t="shared" si="110"/>
        <v/>
      </c>
      <c r="U213" s="42" t="e">
        <f t="shared" si="92"/>
        <v>#NUM!</v>
      </c>
      <c r="V213" s="45">
        <f t="shared" si="93"/>
        <v>0</v>
      </c>
      <c r="X213" s="272" t="b">
        <f t="shared" si="114"/>
        <v>0</v>
      </c>
      <c r="Y213" s="39">
        <v>0</v>
      </c>
      <c r="AB213" s="357" t="e">
        <f t="shared" si="94"/>
        <v>#N/A</v>
      </c>
      <c r="AG213" s="307">
        <f t="shared" si="95"/>
        <v>0</v>
      </c>
      <c r="AH213" s="283">
        <f t="shared" si="96"/>
        <v>0</v>
      </c>
      <c r="AI213" t="str">
        <f t="shared" si="97"/>
        <v/>
      </c>
      <c r="AV213" s="36" t="str">
        <f t="shared" si="98"/>
        <v/>
      </c>
      <c r="AW213" s="37" t="e">
        <f t="shared" si="99"/>
        <v>#NUM!</v>
      </c>
      <c r="AX213" s="236" t="e">
        <f t="shared" si="100"/>
        <v>#NUM!</v>
      </c>
      <c r="AY213" s="237" t="e">
        <f t="shared" si="111"/>
        <v>#NUM!</v>
      </c>
      <c r="AZ213" s="238" t="e">
        <f t="shared" si="101"/>
        <v>#NUM!</v>
      </c>
      <c r="BA213" s="237" t="e">
        <f t="shared" si="102"/>
        <v>#NUM!</v>
      </c>
      <c r="BB213" s="238" t="e">
        <f t="shared" si="103"/>
        <v>#NUM!</v>
      </c>
      <c r="BC213" s="239">
        <f>IFERROR(IF(OR($E$11=Resumen!$N$6,$E$8=Resumen!$N$6),Amortización!AY213*0.16,0),"")</f>
        <v>0</v>
      </c>
      <c r="BD213" s="237">
        <f t="shared" si="104"/>
        <v>0</v>
      </c>
      <c r="BE213" s="240">
        <f t="shared" ref="BE213:BE262" si="117">IFERROR(IF(AW213="","",IF((AW213-AX213-BY213)&lt;1,0,AW213-AX213-BY213)),0)</f>
        <v>0</v>
      </c>
      <c r="BF213" s="43" t="str">
        <f t="shared" ref="BF213:BF260" si="118">IF(OR(BE212=0,BE212=""),"",0)</f>
        <v/>
      </c>
      <c r="BH213" s="243" t="e">
        <f t="shared" si="115"/>
        <v>#NUM!</v>
      </c>
      <c r="BI213" s="3"/>
      <c r="BJ213" s="187" t="str">
        <f t="shared" si="105"/>
        <v/>
      </c>
      <c r="BK213" s="42" t="e">
        <f t="shared" si="106"/>
        <v>#NUM!</v>
      </c>
      <c r="BL213" s="45"/>
      <c r="BM213" s="44"/>
    </row>
    <row r="214" spans="3:65" ht="15.5" thickTop="1" thickBot="1" x14ac:dyDescent="0.4">
      <c r="C214" s="36" t="str">
        <f t="shared" si="107"/>
        <v/>
      </c>
      <c r="D214" s="37" t="e">
        <f t="shared" si="108"/>
        <v>#NUM!</v>
      </c>
      <c r="E214" s="236">
        <f t="shared" si="112"/>
        <v>0</v>
      </c>
      <c r="F214" s="237" t="e">
        <f t="shared" si="113"/>
        <v>#NUM!</v>
      </c>
      <c r="G214" s="238" t="e">
        <f>IF(D214="","",L213*Resumen!$L$86/1000)</f>
        <v>#NUM!</v>
      </c>
      <c r="H214" s="237" t="e">
        <f t="shared" ref="H214:H262" si="119">IF($E$16=$V$1,0,IF(D214="","",IF($E$11="Liquidez","0",AB214)))</f>
        <v>#NUM!</v>
      </c>
      <c r="I214" s="238" t="e">
        <f>IF($E$16=$V$1,0,IF(D214="","",Amortización!$AE$14))</f>
        <v>#NUM!</v>
      </c>
      <c r="J214" s="239">
        <f>IFERROR(IF(OR($E$11=Resumen!$N$6,$E$8=Resumen!$N$6),Amortización!F214*0.16,0),"")</f>
        <v>0</v>
      </c>
      <c r="K214" s="237">
        <f t="shared" ref="K214:K262" si="120">IFERROR(IF(D214="","",E214+F214+G214+H214+I214+Y214+J214),0)</f>
        <v>0</v>
      </c>
      <c r="L214" s="240">
        <f t="shared" ref="L214:L262" si="121">IFERROR(IF(D214="","",IF((D214-E214-AI214-Q214)&lt;1,0,D214-E214-AI214-Q214)),0)</f>
        <v>0</v>
      </c>
      <c r="M214" s="43" t="str">
        <f t="shared" si="116"/>
        <v/>
      </c>
      <c r="N214" s="44" t="str">
        <f t="shared" ref="N214:N262" si="122">IF(OR(O214="",O214=0),M214,M214-O214-P214)</f>
        <v/>
      </c>
      <c r="O214" s="44" t="str">
        <f t="shared" ref="O214:O262" si="123">IF(M214="","",IF(AND($H$12="Comisión pago anticipado",C214&lt;37),M214-(M214/(1+$K$12)),0))</f>
        <v/>
      </c>
      <c r="P214" s="44" t="str">
        <f t="shared" ref="P214:P262" si="124">IF(O214="","",IF(O214=0,0,O214*0.16))</f>
        <v/>
      </c>
      <c r="Q214" s="236" t="str">
        <f>IF(OR(L213=0,L213=""),"",IF(E214&gt;=D214,0,$E$17*10%))</f>
        <v/>
      </c>
      <c r="R214" s="243" t="e">
        <f t="shared" si="109"/>
        <v>#NUM!</v>
      </c>
      <c r="T214" s="187" t="str">
        <f t="shared" si="110"/>
        <v/>
      </c>
      <c r="U214" s="42" t="e">
        <f t="shared" ref="U214:U262" si="125">IF(D214="","",E214+F214+G214+H214/1.16+I214+Q214)</f>
        <v>#NUM!</v>
      </c>
      <c r="V214" s="45">
        <f t="shared" ref="V214:V262" si="126">IF($E$16=$V$1,AI214,IF(ISNUMBER(T214),IF($E$14="Pago Fijo",PMT(R214/12,$K$11,-$K$9),X214*$K$15*$K$9/1000)+G214+AI214+Q214+H214/1.16+$AE$14,0))</f>
        <v>0</v>
      </c>
      <c r="X214" s="272" t="b">
        <f t="shared" si="114"/>
        <v>0</v>
      </c>
      <c r="Y214" s="39">
        <v>0</v>
      </c>
      <c r="AB214" s="357" t="e">
        <f t="shared" ref="AB214:AB262" si="127">IF((($K$8*0.7)*($AE$13))&gt;L213*($AE$13),($K$8*0.7)*($AE$13),($AE$13)*L213)</f>
        <v>#N/A</v>
      </c>
      <c r="AG214" s="307">
        <f t="shared" ref="AG214:AG262" si="128">IF($AH$20=0,0,IF(N214&gt;AH213,MAX(0,N214-AH213),N214))</f>
        <v>0</v>
      </c>
      <c r="AH214" s="283">
        <f t="shared" ref="AH214:AH262" si="129">IFERROR(MAX(0,AH213-N214),0)</f>
        <v>0</v>
      </c>
      <c r="AI214" t="str">
        <f t="shared" ref="AI214:AI262" si="130">IF($E$16="no",N214,IF(AH214&gt;0,0,AG214))</f>
        <v/>
      </c>
      <c r="AV214" s="36" t="str">
        <f>IF(OR(BE213="",BE213=0),"",IF(AV213+1&gt;$K$11+$X$2,"",AV213+1))</f>
        <v/>
      </c>
      <c r="AW214" s="37" t="e">
        <f t="shared" ref="AW214:AW262" si="131">IF(IF(AW213="","",AW213-AX213-BM213-BY213)&lt;0.01,"",IF(AW213="","",BE213))</f>
        <v>#NUM!</v>
      </c>
      <c r="AX214" s="236" t="e">
        <f t="shared" ref="AX214:AX262" si="132">IF($E$16=$V$1,0,IF(AW214="","",PMT($AY$10/12,$AY$11,-$AW$21)-AY214))</f>
        <v>#NUM!</v>
      </c>
      <c r="AY214" s="237" t="e">
        <f t="shared" si="111"/>
        <v>#NUM!</v>
      </c>
      <c r="AZ214" s="238" t="e">
        <f t="shared" ref="AZ214:AZ262" si="133">IF($E$16=$V$1,0,IF(AW214="","",BE213*0/1000))</f>
        <v>#NUM!</v>
      </c>
      <c r="BA214" s="237" t="e">
        <f t="shared" ref="BA214:BA262" si="134">IF($E$16=$V$1,0,IF(AW214="","",IF($E$11="Liquidez","0",0)))</f>
        <v>#NUM!</v>
      </c>
      <c r="BB214" s="238" t="e">
        <f t="shared" ref="BB214:BB262" si="135">IF($E$16=$V$1,0,IF(AW214="","",AW214*$AY$13/12))</f>
        <v>#NUM!</v>
      </c>
      <c r="BC214" s="239">
        <f>IFERROR(IF(OR($E$11=Resumen!$N$6,$E$8=Resumen!$N$6),Amortización!AY214*0.16,0),"")</f>
        <v>0</v>
      </c>
      <c r="BD214" s="237">
        <f t="shared" ref="BD214:BD262" si="136">IFERROR(IF(AW214="","",AX214+AY214+AZ214+BA214+BB214+BC214),0)</f>
        <v>0</v>
      </c>
      <c r="BE214" s="240">
        <f t="shared" si="117"/>
        <v>0</v>
      </c>
      <c r="BF214" s="43" t="str">
        <f t="shared" si="118"/>
        <v/>
      </c>
      <c r="BH214" s="243" t="e">
        <f t="shared" si="115"/>
        <v>#NUM!</v>
      </c>
      <c r="BI214" s="3"/>
      <c r="BJ214" s="187" t="str">
        <f t="shared" ref="BJ214:BJ262" si="137">AV214</f>
        <v/>
      </c>
      <c r="BK214" s="42" t="e">
        <f t="shared" ref="BK214:BK262" si="138">IF(AW214="","",AX214+AY214+AZ214+BA214/1.16+BB214/1.16)</f>
        <v>#NUM!</v>
      </c>
      <c r="BL214" s="45"/>
      <c r="BM214" s="236"/>
    </row>
    <row r="215" spans="3:65" ht="15.5" thickTop="1" thickBot="1" x14ac:dyDescent="0.4">
      <c r="C215" s="36" t="str">
        <f>IF(OR(L214="",L214=0),"",IF(C214+1&gt;$K$11+$X$2,"",C214+1))</f>
        <v/>
      </c>
      <c r="D215" s="37" t="e">
        <f t="shared" ref="D215:D262" si="139">IF(IF(D214="","",D214-E214-Q214-AI214)&lt;0.01,"",IF(D214="","",L214))</f>
        <v>#NUM!</v>
      </c>
      <c r="E215" s="236">
        <f t="shared" si="112"/>
        <v>0</v>
      </c>
      <c r="F215" s="237" t="e">
        <f t="shared" si="113"/>
        <v>#NUM!</v>
      </c>
      <c r="G215" s="238" t="e">
        <f>IF(D215="","",L214*Resumen!$L$86/1000)</f>
        <v>#NUM!</v>
      </c>
      <c r="H215" s="237" t="e">
        <f t="shared" si="119"/>
        <v>#NUM!</v>
      </c>
      <c r="I215" s="238" t="e">
        <f>IF($E$16=$V$1,0,IF(D215="","",Amortización!$AE$14))</f>
        <v>#NUM!</v>
      </c>
      <c r="J215" s="239">
        <f>IFERROR(IF(OR($E$11=Resumen!$N$6,$E$8=Resumen!$N$6),Amortización!F215*0.16,0),"")</f>
        <v>0</v>
      </c>
      <c r="K215" s="237">
        <f t="shared" si="120"/>
        <v>0</v>
      </c>
      <c r="L215" s="240">
        <f>IFERROR(IF(D215="","",IF((D215-E215-AI215-Q215)&lt;1,0,D215-E215-AI215-Q215)),0)</f>
        <v>0</v>
      </c>
      <c r="M215" s="43" t="str">
        <f t="shared" si="116"/>
        <v/>
      </c>
      <c r="N215" s="44" t="str">
        <f t="shared" si="122"/>
        <v/>
      </c>
      <c r="O215" s="44" t="str">
        <f t="shared" si="123"/>
        <v/>
      </c>
      <c r="P215" s="44" t="str">
        <f t="shared" si="124"/>
        <v/>
      </c>
      <c r="Q215" s="44"/>
      <c r="R215" s="243" t="e">
        <f t="shared" ref="R215:R260" si="140">IF(D215="","",R214)</f>
        <v>#NUM!</v>
      </c>
      <c r="T215" s="187" t="str">
        <f t="shared" ref="T215:T262" si="141">C215</f>
        <v/>
      </c>
      <c r="U215" s="42" t="e">
        <f t="shared" si="125"/>
        <v>#NUM!</v>
      </c>
      <c r="V215" s="45">
        <f t="shared" si="126"/>
        <v>0</v>
      </c>
      <c r="X215" s="272" t="b">
        <f t="shared" si="114"/>
        <v>0</v>
      </c>
      <c r="Y215" s="39">
        <v>0</v>
      </c>
      <c r="AB215" s="357" t="e">
        <f t="shared" si="127"/>
        <v>#N/A</v>
      </c>
      <c r="AG215" s="307">
        <f t="shared" si="128"/>
        <v>0</v>
      </c>
      <c r="AH215" s="283">
        <f t="shared" si="129"/>
        <v>0</v>
      </c>
      <c r="AI215" t="str">
        <f t="shared" si="130"/>
        <v/>
      </c>
      <c r="AV215" s="36" t="str">
        <f>IF(OR(BE214="",BE214=0),"",IF(AV214+1&gt;$K$11+$X$2,"",AV214+1))</f>
        <v/>
      </c>
      <c r="AW215" s="37" t="e">
        <f t="shared" si="131"/>
        <v>#NUM!</v>
      </c>
      <c r="AX215" s="236" t="e">
        <f t="shared" si="132"/>
        <v>#NUM!</v>
      </c>
      <c r="AY215" s="237" t="e">
        <f t="shared" si="111"/>
        <v>#NUM!</v>
      </c>
      <c r="AZ215" s="238" t="e">
        <f t="shared" si="133"/>
        <v>#NUM!</v>
      </c>
      <c r="BA215" s="237" t="e">
        <f t="shared" si="134"/>
        <v>#NUM!</v>
      </c>
      <c r="BB215" s="238" t="e">
        <f t="shared" si="135"/>
        <v>#NUM!</v>
      </c>
      <c r="BC215" s="239">
        <f>IFERROR(IF(OR($E$11=Resumen!$N$6,$E$8=Resumen!$N$6),Amortización!AY215*0.16,0),"")</f>
        <v>0</v>
      </c>
      <c r="BD215" s="237">
        <f t="shared" si="136"/>
        <v>0</v>
      </c>
      <c r="BE215" s="240">
        <f t="shared" si="117"/>
        <v>0</v>
      </c>
      <c r="BF215" s="43" t="str">
        <f t="shared" si="118"/>
        <v/>
      </c>
      <c r="BH215" s="243" t="e">
        <f t="shared" si="115"/>
        <v>#NUM!</v>
      </c>
      <c r="BI215" s="3"/>
      <c r="BJ215" s="187" t="str">
        <f t="shared" si="137"/>
        <v/>
      </c>
      <c r="BK215" s="42" t="e">
        <f t="shared" si="138"/>
        <v>#NUM!</v>
      </c>
      <c r="BL215" s="45"/>
      <c r="BM215" s="44"/>
    </row>
    <row r="216" spans="3:65" ht="15.5" thickTop="1" thickBot="1" x14ac:dyDescent="0.4">
      <c r="C216" s="36" t="str">
        <f t="shared" ref="C216:C279" si="142">IF(OR(L215="",L215=0),"",IF(C215+1&gt;$K$11+$X$2,"",C215+1))</f>
        <v/>
      </c>
      <c r="D216" s="37" t="e">
        <f t="shared" si="139"/>
        <v>#NUM!</v>
      </c>
      <c r="E216" s="236">
        <f t="shared" si="112"/>
        <v>0</v>
      </c>
      <c r="F216" s="237" t="e">
        <f t="shared" si="113"/>
        <v>#NUM!</v>
      </c>
      <c r="G216" s="238" t="e">
        <f>IF(D216="","",L215*Resumen!$L$86/1000)</f>
        <v>#NUM!</v>
      </c>
      <c r="H216" s="237" t="e">
        <f t="shared" si="119"/>
        <v>#NUM!</v>
      </c>
      <c r="I216" s="238" t="e">
        <f>IF($E$16=$V$1,0,IF(D216="","",Amortización!$AE$14))</f>
        <v>#NUM!</v>
      </c>
      <c r="J216" s="239">
        <f>IFERROR(IF(OR($E$11=Resumen!$N$6,$E$8=Resumen!$N$6),Amortización!F216*0.16,0),"")</f>
        <v>0</v>
      </c>
      <c r="K216" s="237">
        <f t="shared" si="120"/>
        <v>0</v>
      </c>
      <c r="L216" s="240">
        <f t="shared" si="121"/>
        <v>0</v>
      </c>
      <c r="M216" s="43" t="str">
        <f t="shared" si="116"/>
        <v/>
      </c>
      <c r="N216" s="44" t="str">
        <f t="shared" si="122"/>
        <v/>
      </c>
      <c r="O216" s="44" t="str">
        <f t="shared" si="123"/>
        <v/>
      </c>
      <c r="P216" s="44" t="str">
        <f t="shared" si="124"/>
        <v/>
      </c>
      <c r="Q216" s="236" t="str">
        <f>IF(OR(L215=0,L215=""),"",IF(E216&gt;=D216,0,$E$17*10%))</f>
        <v/>
      </c>
      <c r="R216" s="243" t="e">
        <f t="shared" si="140"/>
        <v>#NUM!</v>
      </c>
      <c r="T216" s="187" t="str">
        <f t="shared" si="141"/>
        <v/>
      </c>
      <c r="U216" s="42" t="e">
        <f t="shared" si="125"/>
        <v>#NUM!</v>
      </c>
      <c r="V216" s="45">
        <f t="shared" si="126"/>
        <v>0</v>
      </c>
      <c r="X216" s="272" t="b">
        <f t="shared" si="114"/>
        <v>0</v>
      </c>
      <c r="Y216" s="39">
        <v>0</v>
      </c>
      <c r="AB216" s="357" t="e">
        <f t="shared" si="127"/>
        <v>#N/A</v>
      </c>
      <c r="AG216" s="307">
        <f t="shared" si="128"/>
        <v>0</v>
      </c>
      <c r="AH216" s="283">
        <f t="shared" si="129"/>
        <v>0</v>
      </c>
      <c r="AI216" t="str">
        <f t="shared" si="130"/>
        <v/>
      </c>
      <c r="AV216" s="36" t="str">
        <f t="shared" ref="AV216:AV262" si="143">IF(OR(BE215="",BE215=0),"",IF(AV215+1&gt;$K$11+$X$2,"",AV215+1))</f>
        <v/>
      </c>
      <c r="AW216" s="37" t="e">
        <f t="shared" si="131"/>
        <v>#NUM!</v>
      </c>
      <c r="AX216" s="236" t="e">
        <f t="shared" si="132"/>
        <v>#NUM!</v>
      </c>
      <c r="AY216" s="237" t="e">
        <f t="shared" ref="AY216:AY262" si="144">IF(AW216="","",AW216*(BH216/12))</f>
        <v>#NUM!</v>
      </c>
      <c r="AZ216" s="238" t="e">
        <f t="shared" si="133"/>
        <v>#NUM!</v>
      </c>
      <c r="BA216" s="237" t="e">
        <f t="shared" si="134"/>
        <v>#NUM!</v>
      </c>
      <c r="BB216" s="238" t="e">
        <f t="shared" si="135"/>
        <v>#NUM!</v>
      </c>
      <c r="BC216" s="239">
        <f>IFERROR(IF(OR($E$11=Resumen!$N$6,$E$8=Resumen!$N$6),Amortización!AY216*0.16,0),"")</f>
        <v>0</v>
      </c>
      <c r="BD216" s="237">
        <f t="shared" si="136"/>
        <v>0</v>
      </c>
      <c r="BE216" s="240">
        <f t="shared" si="117"/>
        <v>0</v>
      </c>
      <c r="BF216" s="43" t="str">
        <f t="shared" si="118"/>
        <v/>
      </c>
      <c r="BH216" s="243" t="e">
        <f t="shared" si="115"/>
        <v>#NUM!</v>
      </c>
      <c r="BI216" s="3"/>
      <c r="BJ216" s="187" t="str">
        <f t="shared" si="137"/>
        <v/>
      </c>
      <c r="BK216" s="42" t="e">
        <f t="shared" si="138"/>
        <v>#NUM!</v>
      </c>
      <c r="BL216" s="45"/>
      <c r="BM216" s="236"/>
    </row>
    <row r="217" spans="3:65" ht="15.5" thickTop="1" thickBot="1" x14ac:dyDescent="0.4">
      <c r="C217" s="36" t="str">
        <f t="shared" si="142"/>
        <v/>
      </c>
      <c r="D217" s="37" t="e">
        <f t="shared" si="139"/>
        <v>#NUM!</v>
      </c>
      <c r="E217" s="236">
        <f t="shared" ref="E217:E262" si="145">IFERROR(IF($E$14&amp;$E$16=$X$4,PMT(R217/12,$K$11,-$K$9)-F217,IF(D217="","",IF($E$14="Pago Fijo",MIN(IF($E$15="Mensualidad",-PMT(R217/12,$K$11-C216,D217)-F217,-PMT(R217/12,$K$11,$K$9)-F217),D217),MIN(X217*$K$9*$K$15/1000-F217,D217)))),0)</f>
        <v>0</v>
      </c>
      <c r="F217" s="237" t="e">
        <f t="shared" si="113"/>
        <v>#NUM!</v>
      </c>
      <c r="G217" s="238" t="e">
        <f>IF(D217="","",L216*Resumen!$L$86/1000)</f>
        <v>#NUM!</v>
      </c>
      <c r="H217" s="237" t="e">
        <f t="shared" si="119"/>
        <v>#NUM!</v>
      </c>
      <c r="I217" s="238" t="e">
        <f>IF($E$16=$V$1,0,IF(D217="","",Amortización!$AE$14))</f>
        <v>#NUM!</v>
      </c>
      <c r="J217" s="239">
        <f>IFERROR(IF(OR($E$11=Resumen!$N$6,$E$8=Resumen!$N$6),Amortización!F217*0.16,0),"")</f>
        <v>0</v>
      </c>
      <c r="K217" s="237">
        <f t="shared" si="120"/>
        <v>0</v>
      </c>
      <c r="L217" s="240">
        <f t="shared" si="121"/>
        <v>0</v>
      </c>
      <c r="M217" s="43" t="str">
        <f t="shared" si="116"/>
        <v/>
      </c>
      <c r="N217" s="44" t="str">
        <f t="shared" si="122"/>
        <v/>
      </c>
      <c r="O217" s="44" t="str">
        <f t="shared" si="123"/>
        <v/>
      </c>
      <c r="P217" s="44" t="str">
        <f t="shared" si="124"/>
        <v/>
      </c>
      <c r="Q217" s="44"/>
      <c r="R217" s="243" t="e">
        <f t="shared" si="140"/>
        <v>#NUM!</v>
      </c>
      <c r="T217" s="187" t="str">
        <f t="shared" si="141"/>
        <v/>
      </c>
      <c r="U217" s="42" t="e">
        <f t="shared" si="125"/>
        <v>#NUM!</v>
      </c>
      <c r="V217" s="45">
        <f t="shared" si="126"/>
        <v>0</v>
      </c>
      <c r="X217" s="272" t="b">
        <f t="shared" si="114"/>
        <v>0</v>
      </c>
      <c r="Y217" s="39">
        <v>0</v>
      </c>
      <c r="AB217" s="357" t="e">
        <f t="shared" si="127"/>
        <v>#N/A</v>
      </c>
      <c r="AG217" s="307">
        <f t="shared" si="128"/>
        <v>0</v>
      </c>
      <c r="AH217" s="283">
        <f t="shared" si="129"/>
        <v>0</v>
      </c>
      <c r="AI217" t="str">
        <f t="shared" si="130"/>
        <v/>
      </c>
      <c r="AV217" s="36" t="str">
        <f t="shared" si="143"/>
        <v/>
      </c>
      <c r="AW217" s="37" t="e">
        <f t="shared" si="131"/>
        <v>#NUM!</v>
      </c>
      <c r="AX217" s="236" t="e">
        <f t="shared" si="132"/>
        <v>#NUM!</v>
      </c>
      <c r="AY217" s="237" t="e">
        <f t="shared" si="144"/>
        <v>#NUM!</v>
      </c>
      <c r="AZ217" s="238" t="e">
        <f t="shared" si="133"/>
        <v>#NUM!</v>
      </c>
      <c r="BA217" s="237" t="e">
        <f t="shared" si="134"/>
        <v>#NUM!</v>
      </c>
      <c r="BB217" s="238" t="e">
        <f t="shared" si="135"/>
        <v>#NUM!</v>
      </c>
      <c r="BC217" s="239">
        <f>IFERROR(IF(OR($E$11=Resumen!$N$6,$E$8=Resumen!$N$6),Amortización!AY217*0.16,0),"")</f>
        <v>0</v>
      </c>
      <c r="BD217" s="237">
        <f t="shared" si="136"/>
        <v>0</v>
      </c>
      <c r="BE217" s="240">
        <f t="shared" si="117"/>
        <v>0</v>
      </c>
      <c r="BF217" s="43" t="str">
        <f t="shared" si="118"/>
        <v/>
      </c>
      <c r="BH217" s="243" t="e">
        <f t="shared" si="115"/>
        <v>#NUM!</v>
      </c>
      <c r="BI217" s="3"/>
      <c r="BJ217" s="187" t="str">
        <f t="shared" si="137"/>
        <v/>
      </c>
      <c r="BK217" s="42" t="e">
        <f t="shared" si="138"/>
        <v>#NUM!</v>
      </c>
      <c r="BL217" s="45"/>
      <c r="BM217" s="44"/>
    </row>
    <row r="218" spans="3:65" ht="15.5" thickTop="1" thickBot="1" x14ac:dyDescent="0.4">
      <c r="C218" s="36" t="str">
        <f t="shared" si="142"/>
        <v/>
      </c>
      <c r="D218" s="37" t="e">
        <f t="shared" si="139"/>
        <v>#NUM!</v>
      </c>
      <c r="E218" s="236">
        <f t="shared" si="145"/>
        <v>0</v>
      </c>
      <c r="F218" s="237" t="e">
        <f t="shared" ref="F218:F260" si="146">IF(D218="","",D218*(R218/12))</f>
        <v>#NUM!</v>
      </c>
      <c r="G218" s="238" t="e">
        <f>IF(D218="","",L217*Resumen!$L$86/1000)</f>
        <v>#NUM!</v>
      </c>
      <c r="H218" s="237" t="e">
        <f t="shared" si="119"/>
        <v>#NUM!</v>
      </c>
      <c r="I218" s="238" t="e">
        <f>IF($E$16=$V$1,0,IF(D218="","",Amortización!$AE$14))</f>
        <v>#NUM!</v>
      </c>
      <c r="J218" s="239">
        <f>IFERROR(IF(OR($E$11=Resumen!$N$6,$E$8=Resumen!$N$6),Amortización!F218*0.16,0),"")</f>
        <v>0</v>
      </c>
      <c r="K218" s="237">
        <f t="shared" si="120"/>
        <v>0</v>
      </c>
      <c r="L218" s="240">
        <f t="shared" si="121"/>
        <v>0</v>
      </c>
      <c r="M218" s="43" t="str">
        <f t="shared" si="116"/>
        <v/>
      </c>
      <c r="N218" s="44" t="str">
        <f t="shared" si="122"/>
        <v/>
      </c>
      <c r="O218" s="44" t="str">
        <f t="shared" si="123"/>
        <v/>
      </c>
      <c r="P218" s="44" t="str">
        <f t="shared" si="124"/>
        <v/>
      </c>
      <c r="Q218" s="236" t="str">
        <f>IF(OR(L217=0,L217=""),"",IF(E218&gt;=D218,0,$E$17*10%))</f>
        <v/>
      </c>
      <c r="R218" s="243" t="e">
        <f t="shared" si="140"/>
        <v>#NUM!</v>
      </c>
      <c r="T218" s="187" t="str">
        <f t="shared" si="141"/>
        <v/>
      </c>
      <c r="U218" s="42" t="e">
        <f t="shared" si="125"/>
        <v>#NUM!</v>
      </c>
      <c r="V218" s="45">
        <f t="shared" si="126"/>
        <v>0</v>
      </c>
      <c r="X218" s="272" t="b">
        <f t="shared" si="114"/>
        <v>0</v>
      </c>
      <c r="Y218" s="39">
        <v>0</v>
      </c>
      <c r="AB218" s="357" t="e">
        <f t="shared" si="127"/>
        <v>#N/A</v>
      </c>
      <c r="AG218" s="307">
        <f t="shared" si="128"/>
        <v>0</v>
      </c>
      <c r="AH218" s="283">
        <f t="shared" si="129"/>
        <v>0</v>
      </c>
      <c r="AI218" t="str">
        <f t="shared" si="130"/>
        <v/>
      </c>
      <c r="AV218" s="36" t="str">
        <f t="shared" si="143"/>
        <v/>
      </c>
      <c r="AW218" s="37" t="e">
        <f t="shared" si="131"/>
        <v>#NUM!</v>
      </c>
      <c r="AX218" s="236" t="e">
        <f t="shared" si="132"/>
        <v>#NUM!</v>
      </c>
      <c r="AY218" s="237" t="e">
        <f t="shared" si="144"/>
        <v>#NUM!</v>
      </c>
      <c r="AZ218" s="238" t="e">
        <f t="shared" si="133"/>
        <v>#NUM!</v>
      </c>
      <c r="BA218" s="237" t="e">
        <f t="shared" si="134"/>
        <v>#NUM!</v>
      </c>
      <c r="BB218" s="238" t="e">
        <f t="shared" si="135"/>
        <v>#NUM!</v>
      </c>
      <c r="BC218" s="239">
        <f>IFERROR(IF(OR($E$11=Resumen!$N$6,$E$8=Resumen!$N$6),Amortización!AY218*0.16,0),"")</f>
        <v>0</v>
      </c>
      <c r="BD218" s="237">
        <f t="shared" si="136"/>
        <v>0</v>
      </c>
      <c r="BE218" s="240">
        <f t="shared" si="117"/>
        <v>0</v>
      </c>
      <c r="BF218" s="43" t="str">
        <f t="shared" si="118"/>
        <v/>
      </c>
      <c r="BH218" s="243" t="e">
        <f t="shared" si="115"/>
        <v>#NUM!</v>
      </c>
      <c r="BI218" s="3"/>
      <c r="BJ218" s="187" t="str">
        <f t="shared" si="137"/>
        <v/>
      </c>
      <c r="BK218" s="42" t="e">
        <f t="shared" si="138"/>
        <v>#NUM!</v>
      </c>
      <c r="BL218" s="45"/>
      <c r="BM218" s="236"/>
    </row>
    <row r="219" spans="3:65" ht="15.5" thickTop="1" thickBot="1" x14ac:dyDescent="0.4">
      <c r="C219" s="36" t="str">
        <f t="shared" si="142"/>
        <v/>
      </c>
      <c r="D219" s="37" t="e">
        <f t="shared" si="139"/>
        <v>#NUM!</v>
      </c>
      <c r="E219" s="236">
        <f t="shared" si="145"/>
        <v>0</v>
      </c>
      <c r="F219" s="237" t="e">
        <f t="shared" si="146"/>
        <v>#NUM!</v>
      </c>
      <c r="G219" s="238" t="e">
        <f>IF(D219="","",L218*Resumen!$L$86/1000)</f>
        <v>#NUM!</v>
      </c>
      <c r="H219" s="237" t="e">
        <f t="shared" si="119"/>
        <v>#NUM!</v>
      </c>
      <c r="I219" s="238" t="e">
        <f>IF($E$16=$V$1,0,IF(D219="","",Amortización!$AE$14))</f>
        <v>#NUM!</v>
      </c>
      <c r="J219" s="239">
        <f>IFERROR(IF(OR($E$11=Resumen!$N$6,$E$8=Resumen!$N$6),Amortización!F219*0.16,0),"")</f>
        <v>0</v>
      </c>
      <c r="K219" s="237">
        <f t="shared" si="120"/>
        <v>0</v>
      </c>
      <c r="L219" s="240">
        <f t="shared" si="121"/>
        <v>0</v>
      </c>
      <c r="M219" s="43" t="str">
        <f t="shared" si="116"/>
        <v/>
      </c>
      <c r="N219" s="44" t="str">
        <f t="shared" si="122"/>
        <v/>
      </c>
      <c r="O219" s="44" t="str">
        <f t="shared" si="123"/>
        <v/>
      </c>
      <c r="P219" s="44" t="str">
        <f t="shared" si="124"/>
        <v/>
      </c>
      <c r="Q219" s="44"/>
      <c r="R219" s="243" t="e">
        <f t="shared" si="140"/>
        <v>#NUM!</v>
      </c>
      <c r="T219" s="187" t="str">
        <f t="shared" si="141"/>
        <v/>
      </c>
      <c r="U219" s="42" t="e">
        <f t="shared" si="125"/>
        <v>#NUM!</v>
      </c>
      <c r="V219" s="45">
        <f t="shared" si="126"/>
        <v>0</v>
      </c>
      <c r="X219" s="272" t="b">
        <f t="shared" si="114"/>
        <v>0</v>
      </c>
      <c r="Y219" s="39">
        <v>0</v>
      </c>
      <c r="AB219" s="357" t="e">
        <f t="shared" si="127"/>
        <v>#N/A</v>
      </c>
      <c r="AG219" s="307">
        <f t="shared" si="128"/>
        <v>0</v>
      </c>
      <c r="AH219" s="283">
        <f t="shared" si="129"/>
        <v>0</v>
      </c>
      <c r="AI219" t="str">
        <f t="shared" si="130"/>
        <v/>
      </c>
      <c r="AV219" s="36" t="str">
        <f t="shared" si="143"/>
        <v/>
      </c>
      <c r="AW219" s="37" t="e">
        <f t="shared" si="131"/>
        <v>#NUM!</v>
      </c>
      <c r="AX219" s="236" t="e">
        <f t="shared" si="132"/>
        <v>#NUM!</v>
      </c>
      <c r="AY219" s="237" t="e">
        <f t="shared" si="144"/>
        <v>#NUM!</v>
      </c>
      <c r="AZ219" s="238" t="e">
        <f t="shared" si="133"/>
        <v>#NUM!</v>
      </c>
      <c r="BA219" s="237" t="e">
        <f t="shared" si="134"/>
        <v>#NUM!</v>
      </c>
      <c r="BB219" s="238" t="e">
        <f t="shared" si="135"/>
        <v>#NUM!</v>
      </c>
      <c r="BC219" s="239">
        <f>IFERROR(IF(OR($E$11=Resumen!$N$6,$E$8=Resumen!$N$6),Amortización!AY219*0.16,0),"")</f>
        <v>0</v>
      </c>
      <c r="BD219" s="237">
        <f t="shared" si="136"/>
        <v>0</v>
      </c>
      <c r="BE219" s="240">
        <f t="shared" si="117"/>
        <v>0</v>
      </c>
      <c r="BF219" s="43" t="str">
        <f t="shared" si="118"/>
        <v/>
      </c>
      <c r="BH219" s="243" t="e">
        <f t="shared" si="115"/>
        <v>#NUM!</v>
      </c>
      <c r="BI219" s="3"/>
      <c r="BJ219" s="187" t="str">
        <f t="shared" si="137"/>
        <v/>
      </c>
      <c r="BK219" s="42" t="e">
        <f t="shared" si="138"/>
        <v>#NUM!</v>
      </c>
      <c r="BL219" s="45"/>
      <c r="BM219" s="44"/>
    </row>
    <row r="220" spans="3:65" ht="15.5" thickTop="1" thickBot="1" x14ac:dyDescent="0.4">
      <c r="C220" s="36" t="str">
        <f t="shared" si="142"/>
        <v/>
      </c>
      <c r="D220" s="37" t="e">
        <f t="shared" si="139"/>
        <v>#NUM!</v>
      </c>
      <c r="E220" s="236">
        <f t="shared" si="145"/>
        <v>0</v>
      </c>
      <c r="F220" s="237" t="e">
        <f t="shared" si="146"/>
        <v>#NUM!</v>
      </c>
      <c r="G220" s="238" t="e">
        <f>IF(D220="","",L219*Resumen!$L$86/1000)</f>
        <v>#NUM!</v>
      </c>
      <c r="H220" s="237" t="e">
        <f t="shared" si="119"/>
        <v>#NUM!</v>
      </c>
      <c r="I220" s="238" t="e">
        <f>IF($E$16=$V$1,0,IF(D220="","",Amortización!$AE$14))</f>
        <v>#NUM!</v>
      </c>
      <c r="J220" s="239">
        <f>IFERROR(IF(OR($E$11=Resumen!$N$6,$E$8=Resumen!$N$6),Amortización!F220*0.16,0),"")</f>
        <v>0</v>
      </c>
      <c r="K220" s="237">
        <f t="shared" si="120"/>
        <v>0</v>
      </c>
      <c r="L220" s="240">
        <f t="shared" si="121"/>
        <v>0</v>
      </c>
      <c r="M220" s="43" t="str">
        <f t="shared" si="116"/>
        <v/>
      </c>
      <c r="N220" s="44" t="str">
        <f t="shared" si="122"/>
        <v/>
      </c>
      <c r="O220" s="44" t="str">
        <f t="shared" si="123"/>
        <v/>
      </c>
      <c r="P220" s="44" t="str">
        <f t="shared" si="124"/>
        <v/>
      </c>
      <c r="Q220" s="236" t="str">
        <f>IF(OR(L219=0,L219=""),"",IF(E220&gt;=D220,0,$E$17*10%))</f>
        <v/>
      </c>
      <c r="R220" s="243" t="e">
        <f t="shared" si="140"/>
        <v>#NUM!</v>
      </c>
      <c r="T220" s="187" t="str">
        <f t="shared" si="141"/>
        <v/>
      </c>
      <c r="U220" s="42" t="e">
        <f t="shared" si="125"/>
        <v>#NUM!</v>
      </c>
      <c r="V220" s="45">
        <f t="shared" si="126"/>
        <v>0</v>
      </c>
      <c r="X220" s="272" t="b">
        <f t="shared" si="114"/>
        <v>0</v>
      </c>
      <c r="Y220" s="39">
        <v>0</v>
      </c>
      <c r="AB220" s="357" t="e">
        <f t="shared" si="127"/>
        <v>#N/A</v>
      </c>
      <c r="AG220" s="307">
        <f t="shared" si="128"/>
        <v>0</v>
      </c>
      <c r="AH220" s="283">
        <f t="shared" si="129"/>
        <v>0</v>
      </c>
      <c r="AI220" t="str">
        <f t="shared" si="130"/>
        <v/>
      </c>
      <c r="AV220" s="36" t="str">
        <f t="shared" si="143"/>
        <v/>
      </c>
      <c r="AW220" s="37" t="e">
        <f t="shared" si="131"/>
        <v>#NUM!</v>
      </c>
      <c r="AX220" s="236" t="e">
        <f t="shared" si="132"/>
        <v>#NUM!</v>
      </c>
      <c r="AY220" s="237" t="e">
        <f t="shared" si="144"/>
        <v>#NUM!</v>
      </c>
      <c r="AZ220" s="238" t="e">
        <f t="shared" si="133"/>
        <v>#NUM!</v>
      </c>
      <c r="BA220" s="237" t="e">
        <f t="shared" si="134"/>
        <v>#NUM!</v>
      </c>
      <c r="BB220" s="238" t="e">
        <f t="shared" si="135"/>
        <v>#NUM!</v>
      </c>
      <c r="BC220" s="239">
        <f>IFERROR(IF(OR($E$11=Resumen!$N$6,$E$8=Resumen!$N$6),Amortización!AY220*0.16,0),"")</f>
        <v>0</v>
      </c>
      <c r="BD220" s="237">
        <f t="shared" si="136"/>
        <v>0</v>
      </c>
      <c r="BE220" s="240">
        <f t="shared" si="117"/>
        <v>0</v>
      </c>
      <c r="BF220" s="43" t="str">
        <f t="shared" si="118"/>
        <v/>
      </c>
      <c r="BH220" s="243" t="e">
        <f t="shared" si="115"/>
        <v>#NUM!</v>
      </c>
      <c r="BI220" s="3"/>
      <c r="BJ220" s="187" t="str">
        <f t="shared" si="137"/>
        <v/>
      </c>
      <c r="BK220" s="42" t="e">
        <f t="shared" si="138"/>
        <v>#NUM!</v>
      </c>
      <c r="BL220" s="45"/>
      <c r="BM220" s="236"/>
    </row>
    <row r="221" spans="3:65" ht="15.5" thickTop="1" thickBot="1" x14ac:dyDescent="0.4">
      <c r="C221" s="36" t="str">
        <f t="shared" si="142"/>
        <v/>
      </c>
      <c r="D221" s="37" t="e">
        <f t="shared" si="139"/>
        <v>#NUM!</v>
      </c>
      <c r="E221" s="236">
        <f t="shared" si="145"/>
        <v>0</v>
      </c>
      <c r="F221" s="237" t="e">
        <f t="shared" si="146"/>
        <v>#NUM!</v>
      </c>
      <c r="G221" s="238" t="e">
        <f>IF(D221="","",L220*Resumen!$L$86/1000)</f>
        <v>#NUM!</v>
      </c>
      <c r="H221" s="237" t="e">
        <f t="shared" si="119"/>
        <v>#NUM!</v>
      </c>
      <c r="I221" s="238" t="e">
        <f>IF($E$16=$V$1,0,IF(D221="","",Amortización!$AE$14))</f>
        <v>#NUM!</v>
      </c>
      <c r="J221" s="239">
        <f>IFERROR(IF(OR($E$11=Resumen!$N$6,$E$8=Resumen!$N$6),Amortización!F221*0.16,0),"")</f>
        <v>0</v>
      </c>
      <c r="K221" s="237">
        <f t="shared" si="120"/>
        <v>0</v>
      </c>
      <c r="L221" s="240">
        <f t="shared" si="121"/>
        <v>0</v>
      </c>
      <c r="M221" s="43" t="str">
        <f t="shared" si="116"/>
        <v/>
      </c>
      <c r="N221" s="44" t="str">
        <f t="shared" si="122"/>
        <v/>
      </c>
      <c r="O221" s="44" t="str">
        <f t="shared" si="123"/>
        <v/>
      </c>
      <c r="P221" s="44" t="str">
        <f t="shared" si="124"/>
        <v/>
      </c>
      <c r="Q221" s="44"/>
      <c r="R221" s="243" t="e">
        <f t="shared" si="140"/>
        <v>#NUM!</v>
      </c>
      <c r="T221" s="187" t="str">
        <f t="shared" si="141"/>
        <v/>
      </c>
      <c r="U221" s="42" t="e">
        <f t="shared" si="125"/>
        <v>#NUM!</v>
      </c>
      <c r="V221" s="45">
        <f t="shared" si="126"/>
        <v>0</v>
      </c>
      <c r="X221" s="272" t="b">
        <f t="shared" si="114"/>
        <v>0</v>
      </c>
      <c r="Y221" s="39">
        <v>0</v>
      </c>
      <c r="AB221" s="357" t="e">
        <f t="shared" si="127"/>
        <v>#N/A</v>
      </c>
      <c r="AG221" s="307">
        <f t="shared" si="128"/>
        <v>0</v>
      </c>
      <c r="AH221" s="283">
        <f t="shared" si="129"/>
        <v>0</v>
      </c>
      <c r="AI221" t="str">
        <f t="shared" si="130"/>
        <v/>
      </c>
      <c r="AV221" s="36" t="str">
        <f t="shared" si="143"/>
        <v/>
      </c>
      <c r="AW221" s="37" t="e">
        <f t="shared" si="131"/>
        <v>#NUM!</v>
      </c>
      <c r="AX221" s="236" t="e">
        <f t="shared" si="132"/>
        <v>#NUM!</v>
      </c>
      <c r="AY221" s="237" t="e">
        <f t="shared" si="144"/>
        <v>#NUM!</v>
      </c>
      <c r="AZ221" s="238" t="e">
        <f t="shared" si="133"/>
        <v>#NUM!</v>
      </c>
      <c r="BA221" s="237" t="e">
        <f t="shared" si="134"/>
        <v>#NUM!</v>
      </c>
      <c r="BB221" s="238" t="e">
        <f t="shared" si="135"/>
        <v>#NUM!</v>
      </c>
      <c r="BC221" s="239">
        <f>IFERROR(IF(OR($E$11=Resumen!$N$6,$E$8=Resumen!$N$6),Amortización!AY221*0.16,0),"")</f>
        <v>0</v>
      </c>
      <c r="BD221" s="237">
        <f t="shared" si="136"/>
        <v>0</v>
      </c>
      <c r="BE221" s="240">
        <f t="shared" si="117"/>
        <v>0</v>
      </c>
      <c r="BF221" s="43" t="str">
        <f t="shared" si="118"/>
        <v/>
      </c>
      <c r="BH221" s="243" t="e">
        <f t="shared" si="115"/>
        <v>#NUM!</v>
      </c>
      <c r="BI221" s="3"/>
      <c r="BJ221" s="187" t="str">
        <f t="shared" si="137"/>
        <v/>
      </c>
      <c r="BK221" s="42" t="e">
        <f t="shared" si="138"/>
        <v>#NUM!</v>
      </c>
      <c r="BL221" s="45"/>
      <c r="BM221" s="44"/>
    </row>
    <row r="222" spans="3:65" ht="15.5" thickTop="1" thickBot="1" x14ac:dyDescent="0.4">
      <c r="C222" s="36" t="str">
        <f t="shared" si="142"/>
        <v/>
      </c>
      <c r="D222" s="37" t="e">
        <f t="shared" si="139"/>
        <v>#NUM!</v>
      </c>
      <c r="E222" s="236">
        <f t="shared" si="145"/>
        <v>0</v>
      </c>
      <c r="F222" s="237" t="e">
        <f t="shared" si="146"/>
        <v>#NUM!</v>
      </c>
      <c r="G222" s="238" t="e">
        <f>IF(D222="","",L221*Resumen!$L$86/1000)</f>
        <v>#NUM!</v>
      </c>
      <c r="H222" s="237" t="e">
        <f t="shared" si="119"/>
        <v>#NUM!</v>
      </c>
      <c r="I222" s="238" t="e">
        <f>IF($E$16=$V$1,0,IF(D222="","",Amortización!$AE$14))</f>
        <v>#NUM!</v>
      </c>
      <c r="J222" s="239">
        <f>IFERROR(IF(OR($E$11=Resumen!$N$6,$E$8=Resumen!$N$6),Amortización!F222*0.16,0),"")</f>
        <v>0</v>
      </c>
      <c r="K222" s="237">
        <f t="shared" si="120"/>
        <v>0</v>
      </c>
      <c r="L222" s="240">
        <f t="shared" si="121"/>
        <v>0</v>
      </c>
      <c r="M222" s="43" t="str">
        <f t="shared" si="116"/>
        <v/>
      </c>
      <c r="N222" s="44" t="str">
        <f t="shared" si="122"/>
        <v/>
      </c>
      <c r="O222" s="44" t="str">
        <f t="shared" si="123"/>
        <v/>
      </c>
      <c r="P222" s="44" t="str">
        <f t="shared" si="124"/>
        <v/>
      </c>
      <c r="Q222" s="236" t="str">
        <f>IF(OR(L221=0,L221=""),"",IF(E222&gt;=D222,0,$E$17*10%))</f>
        <v/>
      </c>
      <c r="R222" s="243" t="e">
        <f t="shared" si="140"/>
        <v>#NUM!</v>
      </c>
      <c r="T222" s="187" t="str">
        <f t="shared" si="141"/>
        <v/>
      </c>
      <c r="U222" s="42" t="e">
        <f t="shared" si="125"/>
        <v>#NUM!</v>
      </c>
      <c r="V222" s="45">
        <f t="shared" si="126"/>
        <v>0</v>
      </c>
      <c r="X222" s="272" t="b">
        <f t="shared" si="114"/>
        <v>0</v>
      </c>
      <c r="Y222" s="39">
        <v>0</v>
      </c>
      <c r="AB222" s="357" t="e">
        <f t="shared" si="127"/>
        <v>#N/A</v>
      </c>
      <c r="AG222" s="307">
        <f t="shared" si="128"/>
        <v>0</v>
      </c>
      <c r="AH222" s="283">
        <f t="shared" si="129"/>
        <v>0</v>
      </c>
      <c r="AI222" t="str">
        <f t="shared" si="130"/>
        <v/>
      </c>
      <c r="AV222" s="36" t="str">
        <f t="shared" si="143"/>
        <v/>
      </c>
      <c r="AW222" s="37" t="e">
        <f t="shared" si="131"/>
        <v>#NUM!</v>
      </c>
      <c r="AX222" s="236" t="e">
        <f t="shared" si="132"/>
        <v>#NUM!</v>
      </c>
      <c r="AY222" s="237" t="e">
        <f t="shared" si="144"/>
        <v>#NUM!</v>
      </c>
      <c r="AZ222" s="238" t="e">
        <f t="shared" si="133"/>
        <v>#NUM!</v>
      </c>
      <c r="BA222" s="237" t="e">
        <f t="shared" si="134"/>
        <v>#NUM!</v>
      </c>
      <c r="BB222" s="238" t="e">
        <f t="shared" si="135"/>
        <v>#NUM!</v>
      </c>
      <c r="BC222" s="239">
        <f>IFERROR(IF(OR($E$11=Resumen!$N$6,$E$8=Resumen!$N$6),Amortización!AY222*0.16,0),"")</f>
        <v>0</v>
      </c>
      <c r="BD222" s="237">
        <f t="shared" si="136"/>
        <v>0</v>
      </c>
      <c r="BE222" s="240">
        <f t="shared" si="117"/>
        <v>0</v>
      </c>
      <c r="BF222" s="43" t="str">
        <f t="shared" si="118"/>
        <v/>
      </c>
      <c r="BH222" s="243" t="e">
        <f t="shared" si="115"/>
        <v>#NUM!</v>
      </c>
      <c r="BI222" s="3"/>
      <c r="BJ222" s="187" t="str">
        <f t="shared" si="137"/>
        <v/>
      </c>
      <c r="BK222" s="42" t="e">
        <f t="shared" si="138"/>
        <v>#NUM!</v>
      </c>
      <c r="BL222" s="45"/>
      <c r="BM222" s="236"/>
    </row>
    <row r="223" spans="3:65" ht="15.5" thickTop="1" thickBot="1" x14ac:dyDescent="0.4">
      <c r="C223" s="36" t="str">
        <f t="shared" si="142"/>
        <v/>
      </c>
      <c r="D223" s="37" t="e">
        <f t="shared" si="139"/>
        <v>#NUM!</v>
      </c>
      <c r="E223" s="236">
        <f t="shared" si="145"/>
        <v>0</v>
      </c>
      <c r="F223" s="237" t="e">
        <f t="shared" si="146"/>
        <v>#NUM!</v>
      </c>
      <c r="G223" s="238" t="e">
        <f>IF(D223="","",L222*Resumen!$L$86/1000)</f>
        <v>#NUM!</v>
      </c>
      <c r="H223" s="237" t="e">
        <f t="shared" si="119"/>
        <v>#NUM!</v>
      </c>
      <c r="I223" s="238" t="e">
        <f>IF($E$16=$V$1,0,IF(D223="","",Amortización!$AE$14))</f>
        <v>#NUM!</v>
      </c>
      <c r="J223" s="239">
        <f>IFERROR(IF(OR($E$11=Resumen!$N$6,$E$8=Resumen!$N$6),Amortización!F223*0.16,0),"")</f>
        <v>0</v>
      </c>
      <c r="K223" s="237">
        <f t="shared" si="120"/>
        <v>0</v>
      </c>
      <c r="L223" s="240">
        <f t="shared" si="121"/>
        <v>0</v>
      </c>
      <c r="M223" s="43" t="str">
        <f t="shared" si="116"/>
        <v/>
      </c>
      <c r="N223" s="44" t="str">
        <f t="shared" si="122"/>
        <v/>
      </c>
      <c r="O223" s="44" t="str">
        <f t="shared" si="123"/>
        <v/>
      </c>
      <c r="P223" s="44" t="str">
        <f t="shared" si="124"/>
        <v/>
      </c>
      <c r="Q223" s="44"/>
      <c r="R223" s="243" t="e">
        <f t="shared" si="140"/>
        <v>#NUM!</v>
      </c>
      <c r="T223" s="187" t="str">
        <f t="shared" si="141"/>
        <v/>
      </c>
      <c r="U223" s="42" t="e">
        <f t="shared" si="125"/>
        <v>#NUM!</v>
      </c>
      <c r="V223" s="45">
        <f t="shared" si="126"/>
        <v>0</v>
      </c>
      <c r="X223" s="272" t="b">
        <f t="shared" si="114"/>
        <v>0</v>
      </c>
      <c r="Y223" s="39">
        <v>0</v>
      </c>
      <c r="AB223" s="357" t="e">
        <f t="shared" si="127"/>
        <v>#N/A</v>
      </c>
      <c r="AG223" s="307">
        <f t="shared" si="128"/>
        <v>0</v>
      </c>
      <c r="AH223" s="283">
        <f t="shared" si="129"/>
        <v>0</v>
      </c>
      <c r="AI223" t="str">
        <f t="shared" si="130"/>
        <v/>
      </c>
      <c r="AV223" s="36" t="str">
        <f t="shared" si="143"/>
        <v/>
      </c>
      <c r="AW223" s="37" t="e">
        <f t="shared" si="131"/>
        <v>#NUM!</v>
      </c>
      <c r="AX223" s="236" t="e">
        <f t="shared" si="132"/>
        <v>#NUM!</v>
      </c>
      <c r="AY223" s="237" t="e">
        <f t="shared" si="144"/>
        <v>#NUM!</v>
      </c>
      <c r="AZ223" s="238" t="e">
        <f t="shared" si="133"/>
        <v>#NUM!</v>
      </c>
      <c r="BA223" s="237" t="e">
        <f t="shared" si="134"/>
        <v>#NUM!</v>
      </c>
      <c r="BB223" s="238" t="e">
        <f t="shared" si="135"/>
        <v>#NUM!</v>
      </c>
      <c r="BC223" s="239">
        <f>IFERROR(IF(OR($E$11=Resumen!$N$6,$E$8=Resumen!$N$6),Amortización!AY223*0.16,0),"")</f>
        <v>0</v>
      </c>
      <c r="BD223" s="237">
        <f t="shared" si="136"/>
        <v>0</v>
      </c>
      <c r="BE223" s="240">
        <f t="shared" si="117"/>
        <v>0</v>
      </c>
      <c r="BF223" s="43" t="str">
        <f t="shared" si="118"/>
        <v/>
      </c>
      <c r="BH223" s="243" t="e">
        <f t="shared" si="115"/>
        <v>#NUM!</v>
      </c>
      <c r="BI223" s="3"/>
      <c r="BJ223" s="187" t="str">
        <f t="shared" si="137"/>
        <v/>
      </c>
      <c r="BK223" s="42" t="e">
        <f t="shared" si="138"/>
        <v>#NUM!</v>
      </c>
      <c r="BL223" s="45"/>
      <c r="BM223" s="44"/>
    </row>
    <row r="224" spans="3:65" ht="15.5" thickTop="1" thickBot="1" x14ac:dyDescent="0.4">
      <c r="C224" s="36" t="str">
        <f t="shared" si="142"/>
        <v/>
      </c>
      <c r="D224" s="37" t="e">
        <f t="shared" si="139"/>
        <v>#NUM!</v>
      </c>
      <c r="E224" s="236">
        <f t="shared" si="145"/>
        <v>0</v>
      </c>
      <c r="F224" s="237" t="e">
        <f t="shared" si="146"/>
        <v>#NUM!</v>
      </c>
      <c r="G224" s="238" t="e">
        <f>IF(D224="","",L223*Resumen!$L$86/1000)</f>
        <v>#NUM!</v>
      </c>
      <c r="H224" s="237" t="e">
        <f t="shared" si="119"/>
        <v>#NUM!</v>
      </c>
      <c r="I224" s="238" t="e">
        <f>IF($E$16=$V$1,0,IF(D224="","",Amortización!$AE$14))</f>
        <v>#NUM!</v>
      </c>
      <c r="J224" s="239">
        <f>IFERROR(IF(OR($E$11=Resumen!$N$6,$E$8=Resumen!$N$6),Amortización!F224*0.16,0),"")</f>
        <v>0</v>
      </c>
      <c r="K224" s="237">
        <f t="shared" si="120"/>
        <v>0</v>
      </c>
      <c r="L224" s="240">
        <f t="shared" si="121"/>
        <v>0</v>
      </c>
      <c r="M224" s="43" t="str">
        <f t="shared" si="116"/>
        <v/>
      </c>
      <c r="N224" s="44" t="str">
        <f t="shared" si="122"/>
        <v/>
      </c>
      <c r="O224" s="44" t="str">
        <f t="shared" si="123"/>
        <v/>
      </c>
      <c r="P224" s="44" t="str">
        <f t="shared" si="124"/>
        <v/>
      </c>
      <c r="Q224" s="236" t="str">
        <f>IF(OR(L223=0,L223=""),"",IF(E224&gt;=D224,0,$E$17*10%))</f>
        <v/>
      </c>
      <c r="R224" s="243" t="e">
        <f t="shared" si="140"/>
        <v>#NUM!</v>
      </c>
      <c r="T224" s="187" t="str">
        <f t="shared" si="141"/>
        <v/>
      </c>
      <c r="U224" s="42" t="e">
        <f t="shared" si="125"/>
        <v>#NUM!</v>
      </c>
      <c r="V224" s="45">
        <f t="shared" si="126"/>
        <v>0</v>
      </c>
      <c r="X224" s="272" t="b">
        <f t="shared" si="114"/>
        <v>0</v>
      </c>
      <c r="Y224" s="39">
        <v>0</v>
      </c>
      <c r="AB224" s="357" t="e">
        <f t="shared" si="127"/>
        <v>#N/A</v>
      </c>
      <c r="AG224" s="307">
        <f t="shared" si="128"/>
        <v>0</v>
      </c>
      <c r="AH224" s="283">
        <f t="shared" si="129"/>
        <v>0</v>
      </c>
      <c r="AI224" t="str">
        <f t="shared" si="130"/>
        <v/>
      </c>
      <c r="AV224" s="36" t="str">
        <f t="shared" si="143"/>
        <v/>
      </c>
      <c r="AW224" s="37" t="e">
        <f t="shared" si="131"/>
        <v>#NUM!</v>
      </c>
      <c r="AX224" s="236" t="e">
        <f t="shared" si="132"/>
        <v>#NUM!</v>
      </c>
      <c r="AY224" s="237" t="e">
        <f t="shared" si="144"/>
        <v>#NUM!</v>
      </c>
      <c r="AZ224" s="238" t="e">
        <f t="shared" si="133"/>
        <v>#NUM!</v>
      </c>
      <c r="BA224" s="237" t="e">
        <f t="shared" si="134"/>
        <v>#NUM!</v>
      </c>
      <c r="BB224" s="238" t="e">
        <f t="shared" si="135"/>
        <v>#NUM!</v>
      </c>
      <c r="BC224" s="239">
        <f>IFERROR(IF(OR($E$11=Resumen!$N$6,$E$8=Resumen!$N$6),Amortización!AY224*0.16,0),"")</f>
        <v>0</v>
      </c>
      <c r="BD224" s="237">
        <f t="shared" si="136"/>
        <v>0</v>
      </c>
      <c r="BE224" s="240">
        <f t="shared" si="117"/>
        <v>0</v>
      </c>
      <c r="BF224" s="43" t="str">
        <f t="shared" si="118"/>
        <v/>
      </c>
      <c r="BH224" s="243" t="e">
        <f t="shared" si="115"/>
        <v>#NUM!</v>
      </c>
      <c r="BI224" s="3"/>
      <c r="BJ224" s="187" t="str">
        <f t="shared" si="137"/>
        <v/>
      </c>
      <c r="BK224" s="42" t="e">
        <f t="shared" si="138"/>
        <v>#NUM!</v>
      </c>
      <c r="BL224" s="45"/>
      <c r="BM224" s="236"/>
    </row>
    <row r="225" spans="3:65" ht="15.5" thickTop="1" thickBot="1" x14ac:dyDescent="0.4">
      <c r="C225" s="36" t="str">
        <f t="shared" si="142"/>
        <v/>
      </c>
      <c r="D225" s="37" t="e">
        <f t="shared" si="139"/>
        <v>#NUM!</v>
      </c>
      <c r="E225" s="236">
        <f t="shared" si="145"/>
        <v>0</v>
      </c>
      <c r="F225" s="237" t="e">
        <f t="shared" si="146"/>
        <v>#NUM!</v>
      </c>
      <c r="G225" s="238" t="e">
        <f>IF(D225="","",L224*Resumen!$L$86/1000)</f>
        <v>#NUM!</v>
      </c>
      <c r="H225" s="237" t="e">
        <f t="shared" si="119"/>
        <v>#NUM!</v>
      </c>
      <c r="I225" s="238" t="e">
        <f>IF($E$16=$V$1,0,IF(D225="","",Amortización!$AE$14))</f>
        <v>#NUM!</v>
      </c>
      <c r="J225" s="239">
        <f>IFERROR(IF(OR($E$11=Resumen!$N$6,$E$8=Resumen!$N$6),Amortización!F225*0.16,0),"")</f>
        <v>0</v>
      </c>
      <c r="K225" s="237">
        <f t="shared" si="120"/>
        <v>0</v>
      </c>
      <c r="L225" s="240">
        <f t="shared" si="121"/>
        <v>0</v>
      </c>
      <c r="M225" s="43" t="str">
        <f t="shared" si="116"/>
        <v/>
      </c>
      <c r="N225" s="44" t="str">
        <f t="shared" si="122"/>
        <v/>
      </c>
      <c r="O225" s="44" t="str">
        <f t="shared" si="123"/>
        <v/>
      </c>
      <c r="P225" s="44" t="str">
        <f t="shared" si="124"/>
        <v/>
      </c>
      <c r="Q225" s="44"/>
      <c r="R225" s="243" t="e">
        <f t="shared" si="140"/>
        <v>#NUM!</v>
      </c>
      <c r="T225" s="187" t="str">
        <f t="shared" si="141"/>
        <v/>
      </c>
      <c r="U225" s="42" t="e">
        <f t="shared" si="125"/>
        <v>#NUM!</v>
      </c>
      <c r="V225" s="45">
        <f t="shared" si="126"/>
        <v>0</v>
      </c>
      <c r="X225" s="272" t="b">
        <f t="shared" si="114"/>
        <v>0</v>
      </c>
      <c r="Y225" s="39">
        <v>0</v>
      </c>
      <c r="AB225" s="357" t="e">
        <f t="shared" si="127"/>
        <v>#N/A</v>
      </c>
      <c r="AG225" s="307">
        <f t="shared" si="128"/>
        <v>0</v>
      </c>
      <c r="AH225" s="283">
        <f t="shared" si="129"/>
        <v>0</v>
      </c>
      <c r="AI225" t="str">
        <f t="shared" si="130"/>
        <v/>
      </c>
      <c r="AV225" s="36" t="str">
        <f t="shared" si="143"/>
        <v/>
      </c>
      <c r="AW225" s="37" t="e">
        <f t="shared" si="131"/>
        <v>#NUM!</v>
      </c>
      <c r="AX225" s="236" t="e">
        <f t="shared" si="132"/>
        <v>#NUM!</v>
      </c>
      <c r="AY225" s="237" t="e">
        <f t="shared" si="144"/>
        <v>#NUM!</v>
      </c>
      <c r="AZ225" s="238" t="e">
        <f t="shared" si="133"/>
        <v>#NUM!</v>
      </c>
      <c r="BA225" s="237" t="e">
        <f t="shared" si="134"/>
        <v>#NUM!</v>
      </c>
      <c r="BB225" s="238" t="e">
        <f t="shared" si="135"/>
        <v>#NUM!</v>
      </c>
      <c r="BC225" s="239">
        <f>IFERROR(IF(OR($E$11=Resumen!$N$6,$E$8=Resumen!$N$6),Amortización!AY225*0.16,0),"")</f>
        <v>0</v>
      </c>
      <c r="BD225" s="237">
        <f t="shared" si="136"/>
        <v>0</v>
      </c>
      <c r="BE225" s="240">
        <f t="shared" si="117"/>
        <v>0</v>
      </c>
      <c r="BF225" s="43" t="str">
        <f t="shared" si="118"/>
        <v/>
      </c>
      <c r="BH225" s="243" t="e">
        <f t="shared" si="115"/>
        <v>#NUM!</v>
      </c>
      <c r="BI225" s="3"/>
      <c r="BJ225" s="187" t="str">
        <f t="shared" si="137"/>
        <v/>
      </c>
      <c r="BK225" s="42" t="e">
        <f t="shared" si="138"/>
        <v>#NUM!</v>
      </c>
      <c r="BL225" s="45"/>
      <c r="BM225" s="44"/>
    </row>
    <row r="226" spans="3:65" ht="15.5" thickTop="1" thickBot="1" x14ac:dyDescent="0.4">
      <c r="C226" s="36" t="str">
        <f t="shared" si="142"/>
        <v/>
      </c>
      <c r="D226" s="37" t="e">
        <f t="shared" si="139"/>
        <v>#NUM!</v>
      </c>
      <c r="E226" s="236">
        <f t="shared" si="145"/>
        <v>0</v>
      </c>
      <c r="F226" s="237" t="e">
        <f t="shared" si="146"/>
        <v>#NUM!</v>
      </c>
      <c r="G226" s="238" t="e">
        <f>IF(D226="","",L225*Resumen!$L$86/1000)</f>
        <v>#NUM!</v>
      </c>
      <c r="H226" s="237" t="e">
        <f t="shared" si="119"/>
        <v>#NUM!</v>
      </c>
      <c r="I226" s="238" t="e">
        <f>IF($E$16=$V$1,0,IF(D226="","",Amortización!$AE$14))</f>
        <v>#NUM!</v>
      </c>
      <c r="J226" s="239">
        <f>IFERROR(IF(OR($E$11=Resumen!$N$6,$E$8=Resumen!$N$6),Amortización!F226*0.16,0),"")</f>
        <v>0</v>
      </c>
      <c r="K226" s="237">
        <f t="shared" si="120"/>
        <v>0</v>
      </c>
      <c r="L226" s="240">
        <f t="shared" si="121"/>
        <v>0</v>
      </c>
      <c r="M226" s="43" t="str">
        <f t="shared" si="116"/>
        <v/>
      </c>
      <c r="N226" s="44" t="str">
        <f t="shared" si="122"/>
        <v/>
      </c>
      <c r="O226" s="44" t="str">
        <f t="shared" si="123"/>
        <v/>
      </c>
      <c r="P226" s="44" t="str">
        <f t="shared" si="124"/>
        <v/>
      </c>
      <c r="Q226" s="236" t="str">
        <f>IF(OR(L225=0,L225=""),"",IF(E226&gt;=D226,0,$E$17*10%))</f>
        <v/>
      </c>
      <c r="R226" s="243" t="e">
        <f t="shared" si="140"/>
        <v>#NUM!</v>
      </c>
      <c r="T226" s="187" t="str">
        <f t="shared" si="141"/>
        <v/>
      </c>
      <c r="U226" s="42" t="e">
        <f t="shared" si="125"/>
        <v>#NUM!</v>
      </c>
      <c r="V226" s="45">
        <f t="shared" si="126"/>
        <v>0</v>
      </c>
      <c r="X226" s="272" t="b">
        <f t="shared" si="114"/>
        <v>0</v>
      </c>
      <c r="Y226" s="39">
        <v>0</v>
      </c>
      <c r="AB226" s="357" t="e">
        <f t="shared" si="127"/>
        <v>#N/A</v>
      </c>
      <c r="AG226" s="307">
        <f t="shared" si="128"/>
        <v>0</v>
      </c>
      <c r="AH226" s="283">
        <f t="shared" si="129"/>
        <v>0</v>
      </c>
      <c r="AI226" t="str">
        <f t="shared" si="130"/>
        <v/>
      </c>
      <c r="AV226" s="36" t="str">
        <f t="shared" si="143"/>
        <v/>
      </c>
      <c r="AW226" s="37" t="e">
        <f t="shared" si="131"/>
        <v>#NUM!</v>
      </c>
      <c r="AX226" s="236" t="e">
        <f t="shared" si="132"/>
        <v>#NUM!</v>
      </c>
      <c r="AY226" s="237" t="e">
        <f t="shared" si="144"/>
        <v>#NUM!</v>
      </c>
      <c r="AZ226" s="238" t="e">
        <f t="shared" si="133"/>
        <v>#NUM!</v>
      </c>
      <c r="BA226" s="237" t="e">
        <f t="shared" si="134"/>
        <v>#NUM!</v>
      </c>
      <c r="BB226" s="238" t="e">
        <f t="shared" si="135"/>
        <v>#NUM!</v>
      </c>
      <c r="BC226" s="239">
        <f>IFERROR(IF(OR($E$11=Resumen!$N$6,$E$8=Resumen!$N$6),Amortización!AY226*0.16,0),"")</f>
        <v>0</v>
      </c>
      <c r="BD226" s="237">
        <f t="shared" si="136"/>
        <v>0</v>
      </c>
      <c r="BE226" s="240">
        <f t="shared" si="117"/>
        <v>0</v>
      </c>
      <c r="BF226" s="43" t="str">
        <f t="shared" si="118"/>
        <v/>
      </c>
      <c r="BH226" s="243" t="e">
        <f t="shared" si="115"/>
        <v>#NUM!</v>
      </c>
      <c r="BI226" s="3"/>
      <c r="BJ226" s="187" t="str">
        <f t="shared" si="137"/>
        <v/>
      </c>
      <c r="BK226" s="42" t="e">
        <f t="shared" si="138"/>
        <v>#NUM!</v>
      </c>
      <c r="BL226" s="45"/>
      <c r="BM226" s="236"/>
    </row>
    <row r="227" spans="3:65" ht="15.5" thickTop="1" thickBot="1" x14ac:dyDescent="0.4">
      <c r="C227" s="36" t="str">
        <f t="shared" si="142"/>
        <v/>
      </c>
      <c r="D227" s="37" t="e">
        <f t="shared" si="139"/>
        <v>#NUM!</v>
      </c>
      <c r="E227" s="236">
        <f t="shared" si="145"/>
        <v>0</v>
      </c>
      <c r="F227" s="237" t="e">
        <f t="shared" si="146"/>
        <v>#NUM!</v>
      </c>
      <c r="G227" s="238" t="e">
        <f>IF(D227="","",L226*Resumen!$L$86/1000)</f>
        <v>#NUM!</v>
      </c>
      <c r="H227" s="237" t="e">
        <f t="shared" si="119"/>
        <v>#NUM!</v>
      </c>
      <c r="I227" s="238" t="e">
        <f>IF($E$16=$V$1,0,IF(D227="","",Amortización!$AE$14))</f>
        <v>#NUM!</v>
      </c>
      <c r="J227" s="239">
        <f>IFERROR(IF(OR($E$11=Resumen!$N$6,$E$8=Resumen!$N$6),Amortización!F227*0.16,0),"")</f>
        <v>0</v>
      </c>
      <c r="K227" s="237">
        <f t="shared" si="120"/>
        <v>0</v>
      </c>
      <c r="L227" s="240">
        <f t="shared" si="121"/>
        <v>0</v>
      </c>
      <c r="M227" s="43" t="str">
        <f t="shared" si="116"/>
        <v/>
      </c>
      <c r="N227" s="44" t="str">
        <f t="shared" si="122"/>
        <v/>
      </c>
      <c r="O227" s="44" t="str">
        <f t="shared" si="123"/>
        <v/>
      </c>
      <c r="P227" s="44" t="str">
        <f t="shared" si="124"/>
        <v/>
      </c>
      <c r="Q227" s="44"/>
      <c r="R227" s="243" t="e">
        <f t="shared" si="140"/>
        <v>#NUM!</v>
      </c>
      <c r="T227" s="187" t="str">
        <f t="shared" si="141"/>
        <v/>
      </c>
      <c r="U227" s="42" t="e">
        <f t="shared" si="125"/>
        <v>#NUM!</v>
      </c>
      <c r="V227" s="45">
        <f t="shared" si="126"/>
        <v>0</v>
      </c>
      <c r="X227" s="272" t="b">
        <f t="shared" si="114"/>
        <v>0</v>
      </c>
      <c r="Y227" s="39">
        <v>0</v>
      </c>
      <c r="AB227" s="357" t="e">
        <f t="shared" si="127"/>
        <v>#N/A</v>
      </c>
      <c r="AG227" s="307">
        <f t="shared" si="128"/>
        <v>0</v>
      </c>
      <c r="AH227" s="283">
        <f t="shared" si="129"/>
        <v>0</v>
      </c>
      <c r="AI227" t="str">
        <f t="shared" si="130"/>
        <v/>
      </c>
      <c r="AV227" s="36" t="str">
        <f t="shared" si="143"/>
        <v/>
      </c>
      <c r="AW227" s="37" t="e">
        <f t="shared" si="131"/>
        <v>#NUM!</v>
      </c>
      <c r="AX227" s="236" t="e">
        <f t="shared" si="132"/>
        <v>#NUM!</v>
      </c>
      <c r="AY227" s="237" t="e">
        <f t="shared" si="144"/>
        <v>#NUM!</v>
      </c>
      <c r="AZ227" s="238" t="e">
        <f t="shared" si="133"/>
        <v>#NUM!</v>
      </c>
      <c r="BA227" s="237" t="e">
        <f t="shared" si="134"/>
        <v>#NUM!</v>
      </c>
      <c r="BB227" s="238" t="e">
        <f t="shared" si="135"/>
        <v>#NUM!</v>
      </c>
      <c r="BC227" s="239">
        <f>IFERROR(IF(OR($E$11=Resumen!$N$6,$E$8=Resumen!$N$6),Amortización!AY227*0.16,0),"")</f>
        <v>0</v>
      </c>
      <c r="BD227" s="237">
        <f t="shared" si="136"/>
        <v>0</v>
      </c>
      <c r="BE227" s="240">
        <f t="shared" si="117"/>
        <v>0</v>
      </c>
      <c r="BF227" s="43" t="str">
        <f t="shared" si="118"/>
        <v/>
      </c>
      <c r="BH227" s="243" t="e">
        <f t="shared" si="115"/>
        <v>#NUM!</v>
      </c>
      <c r="BI227" s="3"/>
      <c r="BJ227" s="187" t="str">
        <f t="shared" si="137"/>
        <v/>
      </c>
      <c r="BK227" s="42" t="e">
        <f t="shared" si="138"/>
        <v>#NUM!</v>
      </c>
      <c r="BL227" s="45"/>
      <c r="BM227" s="44"/>
    </row>
    <row r="228" spans="3:65" ht="15.5" thickTop="1" thickBot="1" x14ac:dyDescent="0.4">
      <c r="C228" s="36" t="str">
        <f t="shared" si="142"/>
        <v/>
      </c>
      <c r="D228" s="37" t="e">
        <f t="shared" si="139"/>
        <v>#NUM!</v>
      </c>
      <c r="E228" s="236">
        <f t="shared" si="145"/>
        <v>0</v>
      </c>
      <c r="F228" s="237" t="e">
        <f t="shared" si="146"/>
        <v>#NUM!</v>
      </c>
      <c r="G228" s="238" t="e">
        <f>IF(D228="","",L227*Resumen!$L$86/1000)</f>
        <v>#NUM!</v>
      </c>
      <c r="H228" s="237" t="e">
        <f t="shared" si="119"/>
        <v>#NUM!</v>
      </c>
      <c r="I228" s="238" t="e">
        <f>IF($E$16=$V$1,0,IF(D228="","",Amortización!$AE$14))</f>
        <v>#NUM!</v>
      </c>
      <c r="J228" s="239">
        <f>IFERROR(IF(OR($E$11=Resumen!$N$6,$E$8=Resumen!$N$6),Amortización!F228*0.16,0),"")</f>
        <v>0</v>
      </c>
      <c r="K228" s="237">
        <f t="shared" si="120"/>
        <v>0</v>
      </c>
      <c r="L228" s="240">
        <f t="shared" si="121"/>
        <v>0</v>
      </c>
      <c r="M228" s="43" t="str">
        <f t="shared" si="116"/>
        <v/>
      </c>
      <c r="N228" s="44" t="str">
        <f t="shared" si="122"/>
        <v/>
      </c>
      <c r="O228" s="44" t="str">
        <f t="shared" si="123"/>
        <v/>
      </c>
      <c r="P228" s="44" t="str">
        <f t="shared" si="124"/>
        <v/>
      </c>
      <c r="Q228" s="236" t="str">
        <f>IF(OR(L227=0,L227=""),"",IF(E228&gt;=D228,0,$E$17*10%))</f>
        <v/>
      </c>
      <c r="R228" s="243" t="e">
        <f t="shared" si="140"/>
        <v>#NUM!</v>
      </c>
      <c r="T228" s="187" t="str">
        <f t="shared" si="141"/>
        <v/>
      </c>
      <c r="U228" s="42" t="e">
        <f t="shared" si="125"/>
        <v>#NUM!</v>
      </c>
      <c r="V228" s="45">
        <f t="shared" si="126"/>
        <v>0</v>
      </c>
      <c r="X228" s="272" t="b">
        <f t="shared" si="114"/>
        <v>0</v>
      </c>
      <c r="Y228" s="39">
        <v>0</v>
      </c>
      <c r="AB228" s="357" t="e">
        <f t="shared" si="127"/>
        <v>#N/A</v>
      </c>
      <c r="AG228" s="307">
        <f t="shared" si="128"/>
        <v>0</v>
      </c>
      <c r="AH228" s="283">
        <f t="shared" si="129"/>
        <v>0</v>
      </c>
      <c r="AI228" t="str">
        <f t="shared" si="130"/>
        <v/>
      </c>
      <c r="AV228" s="36" t="str">
        <f t="shared" si="143"/>
        <v/>
      </c>
      <c r="AW228" s="37" t="e">
        <f t="shared" si="131"/>
        <v>#NUM!</v>
      </c>
      <c r="AX228" s="236" t="e">
        <f t="shared" si="132"/>
        <v>#NUM!</v>
      </c>
      <c r="AY228" s="237" t="e">
        <f t="shared" si="144"/>
        <v>#NUM!</v>
      </c>
      <c r="AZ228" s="238" t="e">
        <f t="shared" si="133"/>
        <v>#NUM!</v>
      </c>
      <c r="BA228" s="237" t="e">
        <f t="shared" si="134"/>
        <v>#NUM!</v>
      </c>
      <c r="BB228" s="238" t="e">
        <f t="shared" si="135"/>
        <v>#NUM!</v>
      </c>
      <c r="BC228" s="239">
        <f>IFERROR(IF(OR($E$11=Resumen!$N$6,$E$8=Resumen!$N$6),Amortización!AY228*0.16,0),"")</f>
        <v>0</v>
      </c>
      <c r="BD228" s="237">
        <f t="shared" si="136"/>
        <v>0</v>
      </c>
      <c r="BE228" s="240">
        <f t="shared" si="117"/>
        <v>0</v>
      </c>
      <c r="BF228" s="43" t="str">
        <f t="shared" si="118"/>
        <v/>
      </c>
      <c r="BH228" s="243" t="e">
        <f t="shared" si="115"/>
        <v>#NUM!</v>
      </c>
      <c r="BI228" s="3"/>
      <c r="BJ228" s="187" t="str">
        <f t="shared" si="137"/>
        <v/>
      </c>
      <c r="BK228" s="42" t="e">
        <f t="shared" si="138"/>
        <v>#NUM!</v>
      </c>
      <c r="BL228" s="45"/>
      <c r="BM228" s="236"/>
    </row>
    <row r="229" spans="3:65" ht="15.5" thickTop="1" thickBot="1" x14ac:dyDescent="0.4">
      <c r="C229" s="36" t="str">
        <f t="shared" si="142"/>
        <v/>
      </c>
      <c r="D229" s="37" t="e">
        <f t="shared" si="139"/>
        <v>#NUM!</v>
      </c>
      <c r="E229" s="236">
        <f t="shared" si="145"/>
        <v>0</v>
      </c>
      <c r="F229" s="237" t="e">
        <f t="shared" si="146"/>
        <v>#NUM!</v>
      </c>
      <c r="G229" s="238" t="e">
        <f>IF(D229="","",L228*Resumen!$L$86/1000)</f>
        <v>#NUM!</v>
      </c>
      <c r="H229" s="237" t="e">
        <f t="shared" si="119"/>
        <v>#NUM!</v>
      </c>
      <c r="I229" s="238" t="e">
        <f>IF($E$16=$V$1,0,IF(D229="","",Amortización!$AE$14))</f>
        <v>#NUM!</v>
      </c>
      <c r="J229" s="239">
        <f>IFERROR(IF(OR($E$11=Resumen!$N$6,$E$8=Resumen!$N$6),Amortización!F229*0.16,0),"")</f>
        <v>0</v>
      </c>
      <c r="K229" s="237">
        <f t="shared" si="120"/>
        <v>0</v>
      </c>
      <c r="L229" s="240">
        <f t="shared" si="121"/>
        <v>0</v>
      </c>
      <c r="M229" s="43" t="str">
        <f t="shared" si="116"/>
        <v/>
      </c>
      <c r="N229" s="44" t="str">
        <f t="shared" si="122"/>
        <v/>
      </c>
      <c r="O229" s="44" t="str">
        <f t="shared" si="123"/>
        <v/>
      </c>
      <c r="P229" s="44" t="str">
        <f t="shared" si="124"/>
        <v/>
      </c>
      <c r="Q229" s="44"/>
      <c r="R229" s="243" t="e">
        <f t="shared" si="140"/>
        <v>#NUM!</v>
      </c>
      <c r="T229" s="187" t="str">
        <f t="shared" si="141"/>
        <v/>
      </c>
      <c r="U229" s="42" t="e">
        <f t="shared" si="125"/>
        <v>#NUM!</v>
      </c>
      <c r="V229" s="45">
        <f t="shared" si="126"/>
        <v>0</v>
      </c>
      <c r="X229" s="272" t="b">
        <f t="shared" ref="X229:X292" si="147">IF(OR(AND($E$8="Adquisicion",$E$9="Premier"),AND($E$8="Exclusiva",$E$9="Premier"),AND($E$8="Nomina Especial",$E$9="Premier")),X217*1.019,IF(OR(AND($E$8="Adquisicion",$E$9="No Premier"),AND($E$8="Exclusiva",$E$9="No Premier"),AND($E$8="Nomina Especial",$E$9="No Premier")),X217*1.019,IF($E$8="Pago de Hipoteca",X217*1.019)))</f>
        <v>0</v>
      </c>
      <c r="Y229" s="39">
        <v>0</v>
      </c>
      <c r="AB229" s="357" t="e">
        <f t="shared" si="127"/>
        <v>#N/A</v>
      </c>
      <c r="AG229" s="307">
        <f t="shared" si="128"/>
        <v>0</v>
      </c>
      <c r="AH229" s="283">
        <f t="shared" si="129"/>
        <v>0</v>
      </c>
      <c r="AI229" t="str">
        <f t="shared" si="130"/>
        <v/>
      </c>
      <c r="AV229" s="36" t="str">
        <f t="shared" si="143"/>
        <v/>
      </c>
      <c r="AW229" s="37" t="e">
        <f t="shared" si="131"/>
        <v>#NUM!</v>
      </c>
      <c r="AX229" s="236" t="e">
        <f t="shared" si="132"/>
        <v>#NUM!</v>
      </c>
      <c r="AY229" s="237" t="e">
        <f t="shared" si="144"/>
        <v>#NUM!</v>
      </c>
      <c r="AZ229" s="238" t="e">
        <f t="shared" si="133"/>
        <v>#NUM!</v>
      </c>
      <c r="BA229" s="237" t="e">
        <f t="shared" si="134"/>
        <v>#NUM!</v>
      </c>
      <c r="BB229" s="238" t="e">
        <f t="shared" si="135"/>
        <v>#NUM!</v>
      </c>
      <c r="BC229" s="239">
        <f>IFERROR(IF(OR($E$11=Resumen!$N$6,$E$8=Resumen!$N$6),Amortización!AY229*0.16,0),"")</f>
        <v>0</v>
      </c>
      <c r="BD229" s="237">
        <f t="shared" si="136"/>
        <v>0</v>
      </c>
      <c r="BE229" s="240">
        <f t="shared" si="117"/>
        <v>0</v>
      </c>
      <c r="BF229" s="43" t="str">
        <f t="shared" si="118"/>
        <v/>
      </c>
      <c r="BH229" s="243" t="e">
        <f t="shared" si="115"/>
        <v>#NUM!</v>
      </c>
      <c r="BI229" s="3"/>
      <c r="BJ229" s="187" t="str">
        <f t="shared" si="137"/>
        <v/>
      </c>
      <c r="BK229" s="42" t="e">
        <f t="shared" si="138"/>
        <v>#NUM!</v>
      </c>
      <c r="BL229" s="45"/>
      <c r="BM229" s="44"/>
    </row>
    <row r="230" spans="3:65" ht="15.5" thickTop="1" thickBot="1" x14ac:dyDescent="0.4">
      <c r="C230" s="36" t="str">
        <f t="shared" si="142"/>
        <v/>
      </c>
      <c r="D230" s="37" t="e">
        <f t="shared" si="139"/>
        <v>#NUM!</v>
      </c>
      <c r="E230" s="236">
        <f t="shared" si="145"/>
        <v>0</v>
      </c>
      <c r="F230" s="237" t="e">
        <f t="shared" si="146"/>
        <v>#NUM!</v>
      </c>
      <c r="G230" s="238" t="e">
        <f>IF(D230="","",L229*Resumen!$L$86/1000)</f>
        <v>#NUM!</v>
      </c>
      <c r="H230" s="237" t="e">
        <f t="shared" si="119"/>
        <v>#NUM!</v>
      </c>
      <c r="I230" s="238" t="e">
        <f>IF($E$16=$V$1,0,IF(D230="","",Amortización!$AE$14))</f>
        <v>#NUM!</v>
      </c>
      <c r="J230" s="239">
        <f>IFERROR(IF(OR($E$11=Resumen!$N$6,$E$8=Resumen!$N$6),Amortización!F230*0.16,0),"")</f>
        <v>0</v>
      </c>
      <c r="K230" s="237">
        <f t="shared" si="120"/>
        <v>0</v>
      </c>
      <c r="L230" s="240">
        <f t="shared" si="121"/>
        <v>0</v>
      </c>
      <c r="M230" s="43" t="str">
        <f t="shared" si="116"/>
        <v/>
      </c>
      <c r="N230" s="44" t="str">
        <f t="shared" si="122"/>
        <v/>
      </c>
      <c r="O230" s="44" t="str">
        <f t="shared" si="123"/>
        <v/>
      </c>
      <c r="P230" s="44" t="str">
        <f t="shared" si="124"/>
        <v/>
      </c>
      <c r="Q230" s="236" t="str">
        <f>IF(OR(L229=0,L229=""),"",IF(E230&gt;=D230,0,$E$17*10%))</f>
        <v/>
      </c>
      <c r="R230" s="243" t="e">
        <f t="shared" si="140"/>
        <v>#NUM!</v>
      </c>
      <c r="T230" s="187" t="str">
        <f t="shared" si="141"/>
        <v/>
      </c>
      <c r="U230" s="42" t="e">
        <f t="shared" si="125"/>
        <v>#NUM!</v>
      </c>
      <c r="V230" s="45">
        <f t="shared" si="126"/>
        <v>0</v>
      </c>
      <c r="X230" s="272" t="b">
        <f t="shared" si="147"/>
        <v>0</v>
      </c>
      <c r="Y230" s="39">
        <v>0</v>
      </c>
      <c r="AB230" s="357" t="e">
        <f t="shared" si="127"/>
        <v>#N/A</v>
      </c>
      <c r="AG230" s="307">
        <f t="shared" si="128"/>
        <v>0</v>
      </c>
      <c r="AH230" s="283">
        <f t="shared" si="129"/>
        <v>0</v>
      </c>
      <c r="AI230" t="str">
        <f t="shared" si="130"/>
        <v/>
      </c>
      <c r="AV230" s="36" t="str">
        <f t="shared" si="143"/>
        <v/>
      </c>
      <c r="AW230" s="37" t="e">
        <f t="shared" si="131"/>
        <v>#NUM!</v>
      </c>
      <c r="AX230" s="236" t="e">
        <f t="shared" si="132"/>
        <v>#NUM!</v>
      </c>
      <c r="AY230" s="237" t="e">
        <f t="shared" si="144"/>
        <v>#NUM!</v>
      </c>
      <c r="AZ230" s="238" t="e">
        <f t="shared" si="133"/>
        <v>#NUM!</v>
      </c>
      <c r="BA230" s="237" t="e">
        <f t="shared" si="134"/>
        <v>#NUM!</v>
      </c>
      <c r="BB230" s="238" t="e">
        <f t="shared" si="135"/>
        <v>#NUM!</v>
      </c>
      <c r="BC230" s="239">
        <f>IFERROR(IF(OR($E$11=Resumen!$N$6,$E$8=Resumen!$N$6),Amortización!AY230*0.16,0),"")</f>
        <v>0</v>
      </c>
      <c r="BD230" s="237">
        <f t="shared" si="136"/>
        <v>0</v>
      </c>
      <c r="BE230" s="240">
        <f t="shared" si="117"/>
        <v>0</v>
      </c>
      <c r="BF230" s="43" t="str">
        <f t="shared" si="118"/>
        <v/>
      </c>
      <c r="BH230" s="243" t="e">
        <f t="shared" si="115"/>
        <v>#NUM!</v>
      </c>
      <c r="BI230" s="3"/>
      <c r="BJ230" s="187" t="str">
        <f t="shared" si="137"/>
        <v/>
      </c>
      <c r="BK230" s="42" t="e">
        <f t="shared" si="138"/>
        <v>#NUM!</v>
      </c>
      <c r="BL230" s="45"/>
      <c r="BM230" s="236"/>
    </row>
    <row r="231" spans="3:65" ht="15.5" thickTop="1" thickBot="1" x14ac:dyDescent="0.4">
      <c r="C231" s="36" t="str">
        <f t="shared" si="142"/>
        <v/>
      </c>
      <c r="D231" s="37" t="e">
        <f t="shared" si="139"/>
        <v>#NUM!</v>
      </c>
      <c r="E231" s="236">
        <f t="shared" si="145"/>
        <v>0</v>
      </c>
      <c r="F231" s="237" t="e">
        <f t="shared" si="146"/>
        <v>#NUM!</v>
      </c>
      <c r="G231" s="238" t="e">
        <f>IF(D231="","",L230*Resumen!$L$86/1000)</f>
        <v>#NUM!</v>
      </c>
      <c r="H231" s="237" t="e">
        <f t="shared" si="119"/>
        <v>#NUM!</v>
      </c>
      <c r="I231" s="238" t="e">
        <f>IF($E$16=$V$1,0,IF(D231="","",Amortización!$AE$14))</f>
        <v>#NUM!</v>
      </c>
      <c r="J231" s="239">
        <f>IFERROR(IF(OR($E$11=Resumen!$N$6,$E$8=Resumen!$N$6),Amortización!F231*0.16,0),"")</f>
        <v>0</v>
      </c>
      <c r="K231" s="237">
        <f t="shared" si="120"/>
        <v>0</v>
      </c>
      <c r="L231" s="240">
        <f t="shared" si="121"/>
        <v>0</v>
      </c>
      <c r="M231" s="43" t="str">
        <f t="shared" si="116"/>
        <v/>
      </c>
      <c r="N231" s="44" t="str">
        <f t="shared" si="122"/>
        <v/>
      </c>
      <c r="O231" s="44" t="str">
        <f t="shared" si="123"/>
        <v/>
      </c>
      <c r="P231" s="44" t="str">
        <f t="shared" si="124"/>
        <v/>
      </c>
      <c r="Q231" s="44"/>
      <c r="R231" s="243" t="e">
        <f t="shared" si="140"/>
        <v>#NUM!</v>
      </c>
      <c r="T231" s="187" t="str">
        <f t="shared" si="141"/>
        <v/>
      </c>
      <c r="U231" s="42" t="e">
        <f t="shared" si="125"/>
        <v>#NUM!</v>
      </c>
      <c r="V231" s="45">
        <f t="shared" si="126"/>
        <v>0</v>
      </c>
      <c r="X231" s="272" t="b">
        <f t="shared" si="147"/>
        <v>0</v>
      </c>
      <c r="Y231" s="39">
        <v>0</v>
      </c>
      <c r="AB231" s="357" t="e">
        <f t="shared" si="127"/>
        <v>#N/A</v>
      </c>
      <c r="AG231" s="307">
        <f t="shared" si="128"/>
        <v>0</v>
      </c>
      <c r="AH231" s="283">
        <f t="shared" si="129"/>
        <v>0</v>
      </c>
      <c r="AI231" t="str">
        <f t="shared" si="130"/>
        <v/>
      </c>
      <c r="AV231" s="36" t="str">
        <f t="shared" si="143"/>
        <v/>
      </c>
      <c r="AW231" s="37" t="e">
        <f t="shared" si="131"/>
        <v>#NUM!</v>
      </c>
      <c r="AX231" s="236" t="e">
        <f t="shared" si="132"/>
        <v>#NUM!</v>
      </c>
      <c r="AY231" s="237" t="e">
        <f t="shared" si="144"/>
        <v>#NUM!</v>
      </c>
      <c r="AZ231" s="238" t="e">
        <f t="shared" si="133"/>
        <v>#NUM!</v>
      </c>
      <c r="BA231" s="237" t="e">
        <f t="shared" si="134"/>
        <v>#NUM!</v>
      </c>
      <c r="BB231" s="238" t="e">
        <f t="shared" si="135"/>
        <v>#NUM!</v>
      </c>
      <c r="BC231" s="239">
        <f>IFERROR(IF(OR($E$11=Resumen!$N$6,$E$8=Resumen!$N$6),Amortización!AY231*0.16,0),"")</f>
        <v>0</v>
      </c>
      <c r="BD231" s="237">
        <f t="shared" si="136"/>
        <v>0</v>
      </c>
      <c r="BE231" s="240">
        <f t="shared" si="117"/>
        <v>0</v>
      </c>
      <c r="BF231" s="43" t="str">
        <f t="shared" si="118"/>
        <v/>
      </c>
      <c r="BH231" s="243" t="e">
        <f t="shared" si="115"/>
        <v>#NUM!</v>
      </c>
      <c r="BI231" s="3"/>
      <c r="BJ231" s="187" t="str">
        <f t="shared" si="137"/>
        <v/>
      </c>
      <c r="BK231" s="42" t="e">
        <f t="shared" si="138"/>
        <v>#NUM!</v>
      </c>
      <c r="BL231" s="45"/>
      <c r="BM231" s="44"/>
    </row>
    <row r="232" spans="3:65" ht="15.5" thickTop="1" thickBot="1" x14ac:dyDescent="0.4">
      <c r="C232" s="36" t="str">
        <f t="shared" si="142"/>
        <v/>
      </c>
      <c r="D232" s="37" t="e">
        <f t="shared" si="139"/>
        <v>#NUM!</v>
      </c>
      <c r="E232" s="236">
        <f t="shared" si="145"/>
        <v>0</v>
      </c>
      <c r="F232" s="237" t="e">
        <f t="shared" si="146"/>
        <v>#NUM!</v>
      </c>
      <c r="G232" s="238" t="e">
        <f>IF(D232="","",L231*Resumen!$L$86/1000)</f>
        <v>#NUM!</v>
      </c>
      <c r="H232" s="237" t="e">
        <f t="shared" si="119"/>
        <v>#NUM!</v>
      </c>
      <c r="I232" s="238" t="e">
        <f>IF($E$16=$V$1,0,IF(D232="","",Amortización!$AE$14))</f>
        <v>#NUM!</v>
      </c>
      <c r="J232" s="239">
        <f>IFERROR(IF(OR($E$11=Resumen!$N$6,$E$8=Resumen!$N$6),Amortización!F232*0.16,0),"")</f>
        <v>0</v>
      </c>
      <c r="K232" s="237">
        <f t="shared" si="120"/>
        <v>0</v>
      </c>
      <c r="L232" s="240">
        <f t="shared" si="121"/>
        <v>0</v>
      </c>
      <c r="M232" s="43" t="str">
        <f t="shared" si="116"/>
        <v/>
      </c>
      <c r="N232" s="44" t="str">
        <f t="shared" si="122"/>
        <v/>
      </c>
      <c r="O232" s="44" t="str">
        <f t="shared" si="123"/>
        <v/>
      </c>
      <c r="P232" s="44" t="str">
        <f t="shared" si="124"/>
        <v/>
      </c>
      <c r="Q232" s="236" t="str">
        <f>IF(OR(L231=0,L231=""),"",IF(E232&gt;=D232,0,$E$17*10%))</f>
        <v/>
      </c>
      <c r="R232" s="243" t="e">
        <f t="shared" si="140"/>
        <v>#NUM!</v>
      </c>
      <c r="T232" s="187" t="str">
        <f t="shared" si="141"/>
        <v/>
      </c>
      <c r="U232" s="42" t="e">
        <f t="shared" si="125"/>
        <v>#NUM!</v>
      </c>
      <c r="V232" s="45">
        <f t="shared" si="126"/>
        <v>0</v>
      </c>
      <c r="X232" s="272" t="b">
        <f t="shared" si="147"/>
        <v>0</v>
      </c>
      <c r="Y232" s="39">
        <v>0</v>
      </c>
      <c r="AB232" s="357" t="e">
        <f t="shared" si="127"/>
        <v>#N/A</v>
      </c>
      <c r="AG232" s="307">
        <f t="shared" si="128"/>
        <v>0</v>
      </c>
      <c r="AH232" s="283">
        <f t="shared" si="129"/>
        <v>0</v>
      </c>
      <c r="AI232" t="str">
        <f t="shared" si="130"/>
        <v/>
      </c>
      <c r="AV232" s="36" t="str">
        <f t="shared" si="143"/>
        <v/>
      </c>
      <c r="AW232" s="37" t="e">
        <f t="shared" si="131"/>
        <v>#NUM!</v>
      </c>
      <c r="AX232" s="236" t="e">
        <f t="shared" si="132"/>
        <v>#NUM!</v>
      </c>
      <c r="AY232" s="237" t="e">
        <f t="shared" si="144"/>
        <v>#NUM!</v>
      </c>
      <c r="AZ232" s="238" t="e">
        <f t="shared" si="133"/>
        <v>#NUM!</v>
      </c>
      <c r="BA232" s="237" t="e">
        <f t="shared" si="134"/>
        <v>#NUM!</v>
      </c>
      <c r="BB232" s="238" t="e">
        <f t="shared" si="135"/>
        <v>#NUM!</v>
      </c>
      <c r="BC232" s="239">
        <f>IFERROR(IF(OR($E$11=Resumen!$N$6,$E$8=Resumen!$N$6),Amortización!AY232*0.16,0),"")</f>
        <v>0</v>
      </c>
      <c r="BD232" s="237">
        <f t="shared" si="136"/>
        <v>0</v>
      </c>
      <c r="BE232" s="240">
        <f t="shared" si="117"/>
        <v>0</v>
      </c>
      <c r="BF232" s="43" t="str">
        <f t="shared" si="118"/>
        <v/>
      </c>
      <c r="BH232" s="243" t="e">
        <f t="shared" si="115"/>
        <v>#NUM!</v>
      </c>
      <c r="BI232" s="3"/>
      <c r="BJ232" s="187" t="str">
        <f t="shared" si="137"/>
        <v/>
      </c>
      <c r="BK232" s="42" t="e">
        <f t="shared" si="138"/>
        <v>#NUM!</v>
      </c>
      <c r="BL232" s="45"/>
      <c r="BM232" s="236"/>
    </row>
    <row r="233" spans="3:65" ht="15.5" thickTop="1" thickBot="1" x14ac:dyDescent="0.4">
      <c r="C233" s="36" t="str">
        <f t="shared" si="142"/>
        <v/>
      </c>
      <c r="D233" s="37" t="e">
        <f t="shared" si="139"/>
        <v>#NUM!</v>
      </c>
      <c r="E233" s="236">
        <f t="shared" si="145"/>
        <v>0</v>
      </c>
      <c r="F233" s="237" t="e">
        <f t="shared" si="146"/>
        <v>#NUM!</v>
      </c>
      <c r="G233" s="238" t="e">
        <f>IF(D233="","",L232*Resumen!$L$86/1000)</f>
        <v>#NUM!</v>
      </c>
      <c r="H233" s="237" t="e">
        <f t="shared" si="119"/>
        <v>#NUM!</v>
      </c>
      <c r="I233" s="238" t="e">
        <f>IF($E$16=$V$1,0,IF(D233="","",Amortización!$AE$14))</f>
        <v>#NUM!</v>
      </c>
      <c r="J233" s="239">
        <f>IFERROR(IF(OR($E$11=Resumen!$N$6,$E$8=Resumen!$N$6),Amortización!F233*0.16,0),"")</f>
        <v>0</v>
      </c>
      <c r="K233" s="237">
        <f t="shared" si="120"/>
        <v>0</v>
      </c>
      <c r="L233" s="240">
        <f t="shared" si="121"/>
        <v>0</v>
      </c>
      <c r="M233" s="43" t="str">
        <f t="shared" si="116"/>
        <v/>
      </c>
      <c r="N233" s="44" t="str">
        <f t="shared" si="122"/>
        <v/>
      </c>
      <c r="O233" s="44" t="str">
        <f t="shared" si="123"/>
        <v/>
      </c>
      <c r="P233" s="44" t="str">
        <f t="shared" si="124"/>
        <v/>
      </c>
      <c r="Q233" s="44"/>
      <c r="R233" s="243" t="e">
        <f t="shared" si="140"/>
        <v>#NUM!</v>
      </c>
      <c r="T233" s="187" t="str">
        <f t="shared" si="141"/>
        <v/>
      </c>
      <c r="U233" s="42" t="e">
        <f t="shared" si="125"/>
        <v>#NUM!</v>
      </c>
      <c r="V233" s="45">
        <f t="shared" si="126"/>
        <v>0</v>
      </c>
      <c r="X233" s="272" t="b">
        <f t="shared" si="147"/>
        <v>0</v>
      </c>
      <c r="Y233" s="39">
        <v>0</v>
      </c>
      <c r="AB233" s="357" t="e">
        <f t="shared" si="127"/>
        <v>#N/A</v>
      </c>
      <c r="AG233" s="307">
        <f t="shared" si="128"/>
        <v>0</v>
      </c>
      <c r="AH233" s="283">
        <f t="shared" si="129"/>
        <v>0</v>
      </c>
      <c r="AI233" t="str">
        <f t="shared" si="130"/>
        <v/>
      </c>
      <c r="AV233" s="36" t="str">
        <f t="shared" si="143"/>
        <v/>
      </c>
      <c r="AW233" s="37" t="e">
        <f t="shared" si="131"/>
        <v>#NUM!</v>
      </c>
      <c r="AX233" s="236" t="e">
        <f t="shared" si="132"/>
        <v>#NUM!</v>
      </c>
      <c r="AY233" s="237" t="e">
        <f t="shared" si="144"/>
        <v>#NUM!</v>
      </c>
      <c r="AZ233" s="238" t="e">
        <f t="shared" si="133"/>
        <v>#NUM!</v>
      </c>
      <c r="BA233" s="237" t="e">
        <f t="shared" si="134"/>
        <v>#NUM!</v>
      </c>
      <c r="BB233" s="238" t="e">
        <f t="shared" si="135"/>
        <v>#NUM!</v>
      </c>
      <c r="BC233" s="239">
        <f>IFERROR(IF(OR($E$11=Resumen!$N$6,$E$8=Resumen!$N$6),Amortización!AY233*0.16,0),"")</f>
        <v>0</v>
      </c>
      <c r="BD233" s="237">
        <f t="shared" si="136"/>
        <v>0</v>
      </c>
      <c r="BE233" s="240">
        <f t="shared" si="117"/>
        <v>0</v>
      </c>
      <c r="BF233" s="43" t="str">
        <f t="shared" si="118"/>
        <v/>
      </c>
      <c r="BH233" s="243" t="e">
        <f t="shared" si="115"/>
        <v>#NUM!</v>
      </c>
      <c r="BI233" s="3"/>
      <c r="BJ233" s="187" t="str">
        <f t="shared" si="137"/>
        <v/>
      </c>
      <c r="BK233" s="42" t="e">
        <f t="shared" si="138"/>
        <v>#NUM!</v>
      </c>
      <c r="BL233" s="45"/>
      <c r="BM233" s="44"/>
    </row>
    <row r="234" spans="3:65" ht="15.5" thickTop="1" thickBot="1" x14ac:dyDescent="0.4">
      <c r="C234" s="36" t="str">
        <f t="shared" si="142"/>
        <v/>
      </c>
      <c r="D234" s="37" t="e">
        <f t="shared" si="139"/>
        <v>#NUM!</v>
      </c>
      <c r="E234" s="236">
        <f t="shared" si="145"/>
        <v>0</v>
      </c>
      <c r="F234" s="237" t="e">
        <f t="shared" si="146"/>
        <v>#NUM!</v>
      </c>
      <c r="G234" s="238" t="e">
        <f>IF(D234="","",L233*Resumen!$L$86/1000)</f>
        <v>#NUM!</v>
      </c>
      <c r="H234" s="237" t="e">
        <f t="shared" si="119"/>
        <v>#NUM!</v>
      </c>
      <c r="I234" s="238" t="e">
        <f>IF($E$16=$V$1,0,IF(D234="","",Amortización!$AE$14))</f>
        <v>#NUM!</v>
      </c>
      <c r="J234" s="239">
        <f>IFERROR(IF(OR($E$11=Resumen!$N$6,$E$8=Resumen!$N$6),Amortización!F234*0.16,0),"")</f>
        <v>0</v>
      </c>
      <c r="K234" s="237">
        <f t="shared" si="120"/>
        <v>0</v>
      </c>
      <c r="L234" s="240">
        <f t="shared" si="121"/>
        <v>0</v>
      </c>
      <c r="M234" s="43" t="str">
        <f t="shared" si="116"/>
        <v/>
      </c>
      <c r="N234" s="44" t="str">
        <f t="shared" si="122"/>
        <v/>
      </c>
      <c r="O234" s="44" t="str">
        <f t="shared" si="123"/>
        <v/>
      </c>
      <c r="P234" s="44" t="str">
        <f t="shared" si="124"/>
        <v/>
      </c>
      <c r="Q234" s="236" t="str">
        <f>IF(OR(L233=0,L233=""),"",IF(E234&gt;=D234,0,$E$17*10%))</f>
        <v/>
      </c>
      <c r="R234" s="243" t="e">
        <f t="shared" si="140"/>
        <v>#NUM!</v>
      </c>
      <c r="T234" s="187" t="str">
        <f t="shared" si="141"/>
        <v/>
      </c>
      <c r="U234" s="42" t="e">
        <f t="shared" si="125"/>
        <v>#NUM!</v>
      </c>
      <c r="V234" s="45">
        <f t="shared" si="126"/>
        <v>0</v>
      </c>
      <c r="X234" s="272" t="b">
        <f t="shared" si="147"/>
        <v>0</v>
      </c>
      <c r="Y234" s="39">
        <v>0</v>
      </c>
      <c r="AB234" s="357" t="e">
        <f t="shared" si="127"/>
        <v>#N/A</v>
      </c>
      <c r="AG234" s="307">
        <f t="shared" si="128"/>
        <v>0</v>
      </c>
      <c r="AH234" s="283">
        <f t="shared" si="129"/>
        <v>0</v>
      </c>
      <c r="AI234" t="str">
        <f t="shared" si="130"/>
        <v/>
      </c>
      <c r="AV234" s="36" t="str">
        <f t="shared" si="143"/>
        <v/>
      </c>
      <c r="AW234" s="37" t="e">
        <f t="shared" si="131"/>
        <v>#NUM!</v>
      </c>
      <c r="AX234" s="236" t="e">
        <f t="shared" si="132"/>
        <v>#NUM!</v>
      </c>
      <c r="AY234" s="237" t="e">
        <f t="shared" si="144"/>
        <v>#NUM!</v>
      </c>
      <c r="AZ234" s="238" t="e">
        <f t="shared" si="133"/>
        <v>#NUM!</v>
      </c>
      <c r="BA234" s="237" t="e">
        <f t="shared" si="134"/>
        <v>#NUM!</v>
      </c>
      <c r="BB234" s="238" t="e">
        <f t="shared" si="135"/>
        <v>#NUM!</v>
      </c>
      <c r="BC234" s="239">
        <f>IFERROR(IF(OR($E$11=Resumen!$N$6,$E$8=Resumen!$N$6),Amortización!AY234*0.16,0),"")</f>
        <v>0</v>
      </c>
      <c r="BD234" s="237">
        <f t="shared" si="136"/>
        <v>0</v>
      </c>
      <c r="BE234" s="240">
        <f t="shared" si="117"/>
        <v>0</v>
      </c>
      <c r="BF234" s="43" t="str">
        <f t="shared" si="118"/>
        <v/>
      </c>
      <c r="BH234" s="243" t="e">
        <f t="shared" si="115"/>
        <v>#NUM!</v>
      </c>
      <c r="BI234" s="3"/>
      <c r="BJ234" s="187" t="str">
        <f t="shared" si="137"/>
        <v/>
      </c>
      <c r="BK234" s="42" t="e">
        <f t="shared" si="138"/>
        <v>#NUM!</v>
      </c>
      <c r="BL234" s="45"/>
      <c r="BM234" s="236"/>
    </row>
    <row r="235" spans="3:65" ht="15.5" thickTop="1" thickBot="1" x14ac:dyDescent="0.4">
      <c r="C235" s="36" t="str">
        <f t="shared" si="142"/>
        <v/>
      </c>
      <c r="D235" s="37" t="e">
        <f t="shared" si="139"/>
        <v>#NUM!</v>
      </c>
      <c r="E235" s="236">
        <f t="shared" si="145"/>
        <v>0</v>
      </c>
      <c r="F235" s="237" t="e">
        <f t="shared" si="146"/>
        <v>#NUM!</v>
      </c>
      <c r="G235" s="238" t="e">
        <f>IF(D235="","",L234*Resumen!$L$86/1000)</f>
        <v>#NUM!</v>
      </c>
      <c r="H235" s="237" t="e">
        <f t="shared" si="119"/>
        <v>#NUM!</v>
      </c>
      <c r="I235" s="238" t="e">
        <f>IF($E$16=$V$1,0,IF(D235="","",Amortización!$AE$14))</f>
        <v>#NUM!</v>
      </c>
      <c r="J235" s="239">
        <f>IFERROR(IF(OR($E$11=Resumen!$N$6,$E$8=Resumen!$N$6),Amortización!F235*0.16,0),"")</f>
        <v>0</v>
      </c>
      <c r="K235" s="237">
        <f t="shared" si="120"/>
        <v>0</v>
      </c>
      <c r="L235" s="240">
        <f t="shared" si="121"/>
        <v>0</v>
      </c>
      <c r="M235" s="43" t="str">
        <f t="shared" si="116"/>
        <v/>
      </c>
      <c r="N235" s="44" t="str">
        <f t="shared" si="122"/>
        <v/>
      </c>
      <c r="O235" s="44" t="str">
        <f t="shared" si="123"/>
        <v/>
      </c>
      <c r="P235" s="44" t="str">
        <f t="shared" si="124"/>
        <v/>
      </c>
      <c r="Q235" s="44"/>
      <c r="R235" s="243" t="e">
        <f t="shared" si="140"/>
        <v>#NUM!</v>
      </c>
      <c r="T235" s="187" t="str">
        <f t="shared" si="141"/>
        <v/>
      </c>
      <c r="U235" s="42" t="e">
        <f t="shared" si="125"/>
        <v>#NUM!</v>
      </c>
      <c r="V235" s="45">
        <f t="shared" si="126"/>
        <v>0</v>
      </c>
      <c r="X235" s="272" t="b">
        <f t="shared" si="147"/>
        <v>0</v>
      </c>
      <c r="Y235" s="39">
        <v>0</v>
      </c>
      <c r="AB235" s="357" t="e">
        <f t="shared" si="127"/>
        <v>#N/A</v>
      </c>
      <c r="AG235" s="307">
        <f t="shared" si="128"/>
        <v>0</v>
      </c>
      <c r="AH235" s="283">
        <f t="shared" si="129"/>
        <v>0</v>
      </c>
      <c r="AI235" t="str">
        <f t="shared" si="130"/>
        <v/>
      </c>
      <c r="AV235" s="36" t="str">
        <f t="shared" si="143"/>
        <v/>
      </c>
      <c r="AW235" s="37" t="e">
        <f t="shared" si="131"/>
        <v>#NUM!</v>
      </c>
      <c r="AX235" s="236" t="e">
        <f t="shared" si="132"/>
        <v>#NUM!</v>
      </c>
      <c r="AY235" s="237" t="e">
        <f t="shared" si="144"/>
        <v>#NUM!</v>
      </c>
      <c r="AZ235" s="238" t="e">
        <f t="shared" si="133"/>
        <v>#NUM!</v>
      </c>
      <c r="BA235" s="237" t="e">
        <f t="shared" si="134"/>
        <v>#NUM!</v>
      </c>
      <c r="BB235" s="238" t="e">
        <f t="shared" si="135"/>
        <v>#NUM!</v>
      </c>
      <c r="BC235" s="239">
        <f>IFERROR(IF(OR($E$11=Resumen!$N$6,$E$8=Resumen!$N$6),Amortización!AY235*0.16,0),"")</f>
        <v>0</v>
      </c>
      <c r="BD235" s="237">
        <f t="shared" si="136"/>
        <v>0</v>
      </c>
      <c r="BE235" s="240">
        <f t="shared" si="117"/>
        <v>0</v>
      </c>
      <c r="BF235" s="43" t="str">
        <f t="shared" si="118"/>
        <v/>
      </c>
      <c r="BH235" s="243" t="e">
        <f t="shared" si="115"/>
        <v>#NUM!</v>
      </c>
      <c r="BI235" s="3"/>
      <c r="BJ235" s="187" t="str">
        <f t="shared" si="137"/>
        <v/>
      </c>
      <c r="BK235" s="42" t="e">
        <f t="shared" si="138"/>
        <v>#NUM!</v>
      </c>
      <c r="BL235" s="45"/>
      <c r="BM235" s="44"/>
    </row>
    <row r="236" spans="3:65" ht="15.5" thickTop="1" thickBot="1" x14ac:dyDescent="0.4">
      <c r="C236" s="36" t="str">
        <f t="shared" si="142"/>
        <v/>
      </c>
      <c r="D236" s="37" t="e">
        <f t="shared" si="139"/>
        <v>#NUM!</v>
      </c>
      <c r="E236" s="236">
        <f t="shared" si="145"/>
        <v>0</v>
      </c>
      <c r="F236" s="237" t="e">
        <f t="shared" si="146"/>
        <v>#NUM!</v>
      </c>
      <c r="G236" s="238" t="e">
        <f>IF(D236="","",L235*Resumen!$L$86/1000)</f>
        <v>#NUM!</v>
      </c>
      <c r="H236" s="237" t="e">
        <f t="shared" si="119"/>
        <v>#NUM!</v>
      </c>
      <c r="I236" s="238" t="e">
        <f>IF($E$16=$V$1,0,IF(D236="","",Amortización!$AE$14))</f>
        <v>#NUM!</v>
      </c>
      <c r="J236" s="239">
        <f>IFERROR(IF(OR($E$11=Resumen!$N$6,$E$8=Resumen!$N$6),Amortización!F236*0.16,0),"")</f>
        <v>0</v>
      </c>
      <c r="K236" s="237">
        <f t="shared" si="120"/>
        <v>0</v>
      </c>
      <c r="L236" s="240">
        <f t="shared" si="121"/>
        <v>0</v>
      </c>
      <c r="M236" s="43" t="str">
        <f t="shared" si="116"/>
        <v/>
      </c>
      <c r="N236" s="44" t="str">
        <f t="shared" si="122"/>
        <v/>
      </c>
      <c r="O236" s="44" t="str">
        <f t="shared" si="123"/>
        <v/>
      </c>
      <c r="P236" s="44" t="str">
        <f t="shared" si="124"/>
        <v/>
      </c>
      <c r="Q236" s="236" t="str">
        <f>IF(OR(L235=0,L235=""),"",IF(E236&gt;=D236,0,$E$17*10%))</f>
        <v/>
      </c>
      <c r="R236" s="243" t="e">
        <f t="shared" si="140"/>
        <v>#NUM!</v>
      </c>
      <c r="T236" s="187" t="str">
        <f t="shared" si="141"/>
        <v/>
      </c>
      <c r="U236" s="42" t="e">
        <f t="shared" si="125"/>
        <v>#NUM!</v>
      </c>
      <c r="V236" s="45">
        <f t="shared" si="126"/>
        <v>0</v>
      </c>
      <c r="X236" s="272" t="b">
        <f t="shared" si="147"/>
        <v>0</v>
      </c>
      <c r="Y236" s="39">
        <v>0</v>
      </c>
      <c r="AB236" s="357" t="e">
        <f t="shared" si="127"/>
        <v>#N/A</v>
      </c>
      <c r="AG236" s="307">
        <f t="shared" si="128"/>
        <v>0</v>
      </c>
      <c r="AH236" s="283">
        <f t="shared" si="129"/>
        <v>0</v>
      </c>
      <c r="AI236" t="str">
        <f t="shared" si="130"/>
        <v/>
      </c>
      <c r="AV236" s="36" t="str">
        <f t="shared" si="143"/>
        <v/>
      </c>
      <c r="AW236" s="37" t="e">
        <f t="shared" si="131"/>
        <v>#NUM!</v>
      </c>
      <c r="AX236" s="236" t="e">
        <f t="shared" si="132"/>
        <v>#NUM!</v>
      </c>
      <c r="AY236" s="237" t="e">
        <f t="shared" si="144"/>
        <v>#NUM!</v>
      </c>
      <c r="AZ236" s="238" t="e">
        <f t="shared" si="133"/>
        <v>#NUM!</v>
      </c>
      <c r="BA236" s="237" t="e">
        <f t="shared" si="134"/>
        <v>#NUM!</v>
      </c>
      <c r="BB236" s="238" t="e">
        <f t="shared" si="135"/>
        <v>#NUM!</v>
      </c>
      <c r="BC236" s="239">
        <f>IFERROR(IF(OR($E$11=Resumen!$N$6,$E$8=Resumen!$N$6),Amortización!AY236*0.16,0),"")</f>
        <v>0</v>
      </c>
      <c r="BD236" s="237">
        <f t="shared" si="136"/>
        <v>0</v>
      </c>
      <c r="BE236" s="240">
        <f t="shared" si="117"/>
        <v>0</v>
      </c>
      <c r="BF236" s="43" t="str">
        <f t="shared" si="118"/>
        <v/>
      </c>
      <c r="BH236" s="243" t="e">
        <f t="shared" si="115"/>
        <v>#NUM!</v>
      </c>
      <c r="BI236" s="3"/>
      <c r="BJ236" s="187" t="str">
        <f t="shared" si="137"/>
        <v/>
      </c>
      <c r="BK236" s="42" t="e">
        <f t="shared" si="138"/>
        <v>#NUM!</v>
      </c>
      <c r="BL236" s="45"/>
      <c r="BM236" s="236"/>
    </row>
    <row r="237" spans="3:65" ht="15.5" thickTop="1" thickBot="1" x14ac:dyDescent="0.4">
      <c r="C237" s="36" t="str">
        <f t="shared" si="142"/>
        <v/>
      </c>
      <c r="D237" s="37" t="e">
        <f t="shared" si="139"/>
        <v>#NUM!</v>
      </c>
      <c r="E237" s="236">
        <f t="shared" si="145"/>
        <v>0</v>
      </c>
      <c r="F237" s="237" t="e">
        <f t="shared" si="146"/>
        <v>#NUM!</v>
      </c>
      <c r="G237" s="238" t="e">
        <f>IF(D237="","",L236*Resumen!$L$86/1000)</f>
        <v>#NUM!</v>
      </c>
      <c r="H237" s="237" t="e">
        <f t="shared" si="119"/>
        <v>#NUM!</v>
      </c>
      <c r="I237" s="238" t="e">
        <f>IF($E$16=$V$1,0,IF(D237="","",Amortización!$AE$14))</f>
        <v>#NUM!</v>
      </c>
      <c r="J237" s="239">
        <f>IFERROR(IF(OR($E$11=Resumen!$N$6,$E$8=Resumen!$N$6),Amortización!F237*0.16,0),"")</f>
        <v>0</v>
      </c>
      <c r="K237" s="237">
        <f t="shared" si="120"/>
        <v>0</v>
      </c>
      <c r="L237" s="240">
        <f t="shared" si="121"/>
        <v>0</v>
      </c>
      <c r="M237" s="43" t="str">
        <f t="shared" si="116"/>
        <v/>
      </c>
      <c r="N237" s="44" t="str">
        <f t="shared" si="122"/>
        <v/>
      </c>
      <c r="O237" s="44" t="str">
        <f t="shared" si="123"/>
        <v/>
      </c>
      <c r="P237" s="44" t="str">
        <f t="shared" si="124"/>
        <v/>
      </c>
      <c r="Q237" s="44"/>
      <c r="R237" s="243" t="e">
        <f t="shared" si="140"/>
        <v>#NUM!</v>
      </c>
      <c r="T237" s="187" t="str">
        <f t="shared" si="141"/>
        <v/>
      </c>
      <c r="U237" s="42" t="e">
        <f t="shared" si="125"/>
        <v>#NUM!</v>
      </c>
      <c r="V237" s="45">
        <f t="shared" si="126"/>
        <v>0</v>
      </c>
      <c r="X237" s="272" t="b">
        <f t="shared" si="147"/>
        <v>0</v>
      </c>
      <c r="Y237" s="39">
        <v>0</v>
      </c>
      <c r="AB237" s="357" t="e">
        <f t="shared" si="127"/>
        <v>#N/A</v>
      </c>
      <c r="AG237" s="307">
        <f t="shared" si="128"/>
        <v>0</v>
      </c>
      <c r="AH237" s="283">
        <f t="shared" si="129"/>
        <v>0</v>
      </c>
      <c r="AI237" t="str">
        <f t="shared" si="130"/>
        <v/>
      </c>
      <c r="AV237" s="36" t="str">
        <f t="shared" si="143"/>
        <v/>
      </c>
      <c r="AW237" s="37" t="e">
        <f t="shared" si="131"/>
        <v>#NUM!</v>
      </c>
      <c r="AX237" s="236" t="e">
        <f t="shared" si="132"/>
        <v>#NUM!</v>
      </c>
      <c r="AY237" s="237" t="e">
        <f t="shared" si="144"/>
        <v>#NUM!</v>
      </c>
      <c r="AZ237" s="238" t="e">
        <f t="shared" si="133"/>
        <v>#NUM!</v>
      </c>
      <c r="BA237" s="237" t="e">
        <f t="shared" si="134"/>
        <v>#NUM!</v>
      </c>
      <c r="BB237" s="238" t="e">
        <f t="shared" si="135"/>
        <v>#NUM!</v>
      </c>
      <c r="BC237" s="239">
        <f>IFERROR(IF(OR($E$11=Resumen!$N$6,$E$8=Resumen!$N$6),Amortización!AY237*0.16,0),"")</f>
        <v>0</v>
      </c>
      <c r="BD237" s="237">
        <f t="shared" si="136"/>
        <v>0</v>
      </c>
      <c r="BE237" s="240">
        <f t="shared" si="117"/>
        <v>0</v>
      </c>
      <c r="BF237" s="43" t="str">
        <f t="shared" si="118"/>
        <v/>
      </c>
      <c r="BH237" s="243" t="e">
        <f t="shared" si="115"/>
        <v>#NUM!</v>
      </c>
      <c r="BI237" s="3"/>
      <c r="BJ237" s="187" t="str">
        <f t="shared" si="137"/>
        <v/>
      </c>
      <c r="BK237" s="42" t="e">
        <f t="shared" si="138"/>
        <v>#NUM!</v>
      </c>
      <c r="BL237" s="45"/>
      <c r="BM237" s="44"/>
    </row>
    <row r="238" spans="3:65" ht="15.5" thickTop="1" thickBot="1" x14ac:dyDescent="0.4">
      <c r="C238" s="36" t="str">
        <f t="shared" si="142"/>
        <v/>
      </c>
      <c r="D238" s="37" t="e">
        <f t="shared" si="139"/>
        <v>#NUM!</v>
      </c>
      <c r="E238" s="236">
        <f t="shared" si="145"/>
        <v>0</v>
      </c>
      <c r="F238" s="237" t="e">
        <f t="shared" si="146"/>
        <v>#NUM!</v>
      </c>
      <c r="G238" s="238" t="e">
        <f>IF(D238="","",L237*Resumen!$L$86/1000)</f>
        <v>#NUM!</v>
      </c>
      <c r="H238" s="237" t="e">
        <f t="shared" si="119"/>
        <v>#NUM!</v>
      </c>
      <c r="I238" s="238" t="e">
        <f>IF($E$16=$V$1,0,IF(D238="","",Amortización!$AE$14))</f>
        <v>#NUM!</v>
      </c>
      <c r="J238" s="239">
        <f>IFERROR(IF(OR($E$11=Resumen!$N$6,$E$8=Resumen!$N$6),Amortización!F238*0.16,0),"")</f>
        <v>0</v>
      </c>
      <c r="K238" s="237">
        <f t="shared" si="120"/>
        <v>0</v>
      </c>
      <c r="L238" s="240">
        <f t="shared" si="121"/>
        <v>0</v>
      </c>
      <c r="M238" s="43" t="str">
        <f t="shared" si="116"/>
        <v/>
      </c>
      <c r="N238" s="44" t="str">
        <f t="shared" si="122"/>
        <v/>
      </c>
      <c r="O238" s="44" t="str">
        <f t="shared" si="123"/>
        <v/>
      </c>
      <c r="P238" s="44" t="str">
        <f t="shared" si="124"/>
        <v/>
      </c>
      <c r="Q238" s="236" t="str">
        <f>IF(OR(L237=0,L237=""),"",IF(E238&gt;=D238,0,$E$17*10%))</f>
        <v/>
      </c>
      <c r="R238" s="243" t="e">
        <f t="shared" si="140"/>
        <v>#NUM!</v>
      </c>
      <c r="T238" s="187" t="str">
        <f t="shared" si="141"/>
        <v/>
      </c>
      <c r="U238" s="42" t="e">
        <f t="shared" si="125"/>
        <v>#NUM!</v>
      </c>
      <c r="V238" s="45">
        <f t="shared" si="126"/>
        <v>0</v>
      </c>
      <c r="X238" s="272" t="b">
        <f t="shared" si="147"/>
        <v>0</v>
      </c>
      <c r="Y238" s="39">
        <v>0</v>
      </c>
      <c r="AB238" s="357" t="e">
        <f t="shared" si="127"/>
        <v>#N/A</v>
      </c>
      <c r="AG238" s="307">
        <f t="shared" si="128"/>
        <v>0</v>
      </c>
      <c r="AH238" s="283">
        <f t="shared" si="129"/>
        <v>0</v>
      </c>
      <c r="AI238" t="str">
        <f t="shared" si="130"/>
        <v/>
      </c>
      <c r="AV238" s="36" t="str">
        <f t="shared" si="143"/>
        <v/>
      </c>
      <c r="AW238" s="37" t="e">
        <f t="shared" si="131"/>
        <v>#NUM!</v>
      </c>
      <c r="AX238" s="236" t="e">
        <f t="shared" si="132"/>
        <v>#NUM!</v>
      </c>
      <c r="AY238" s="237" t="e">
        <f t="shared" si="144"/>
        <v>#NUM!</v>
      </c>
      <c r="AZ238" s="238" t="e">
        <f t="shared" si="133"/>
        <v>#NUM!</v>
      </c>
      <c r="BA238" s="237" t="e">
        <f t="shared" si="134"/>
        <v>#NUM!</v>
      </c>
      <c r="BB238" s="238" t="e">
        <f t="shared" si="135"/>
        <v>#NUM!</v>
      </c>
      <c r="BC238" s="239">
        <f>IFERROR(IF(OR($E$11=Resumen!$N$6,$E$8=Resumen!$N$6),Amortización!AY238*0.16,0),"")</f>
        <v>0</v>
      </c>
      <c r="BD238" s="237">
        <f t="shared" si="136"/>
        <v>0</v>
      </c>
      <c r="BE238" s="240">
        <f t="shared" si="117"/>
        <v>0</v>
      </c>
      <c r="BF238" s="43" t="str">
        <f t="shared" si="118"/>
        <v/>
      </c>
      <c r="BH238" s="243" t="e">
        <f t="shared" ref="BH238:BH262" si="148">IF(AW238="","",BH237)</f>
        <v>#NUM!</v>
      </c>
      <c r="BI238" s="3"/>
      <c r="BJ238" s="187" t="str">
        <f t="shared" si="137"/>
        <v/>
      </c>
      <c r="BK238" s="42" t="e">
        <f t="shared" si="138"/>
        <v>#NUM!</v>
      </c>
      <c r="BL238" s="45"/>
      <c r="BM238" s="236"/>
    </row>
    <row r="239" spans="3:65" ht="15.5" thickTop="1" thickBot="1" x14ac:dyDescent="0.4">
      <c r="C239" s="36" t="str">
        <f t="shared" si="142"/>
        <v/>
      </c>
      <c r="D239" s="37" t="e">
        <f t="shared" si="139"/>
        <v>#NUM!</v>
      </c>
      <c r="E239" s="236">
        <f t="shared" si="145"/>
        <v>0</v>
      </c>
      <c r="F239" s="237" t="e">
        <f t="shared" si="146"/>
        <v>#NUM!</v>
      </c>
      <c r="G239" s="238" t="e">
        <f>IF(D239="","",L238*Resumen!$L$86/1000)</f>
        <v>#NUM!</v>
      </c>
      <c r="H239" s="237" t="e">
        <f t="shared" si="119"/>
        <v>#NUM!</v>
      </c>
      <c r="I239" s="238" t="e">
        <f>IF($E$16=$V$1,0,IF(D239="","",Amortización!$AE$14))</f>
        <v>#NUM!</v>
      </c>
      <c r="J239" s="239">
        <f>IFERROR(IF(OR($E$11=Resumen!$N$6,$E$8=Resumen!$N$6),Amortización!F239*0.16,0),"")</f>
        <v>0</v>
      </c>
      <c r="K239" s="237">
        <f t="shared" si="120"/>
        <v>0</v>
      </c>
      <c r="L239" s="240">
        <f t="shared" si="121"/>
        <v>0</v>
      </c>
      <c r="M239" s="43" t="str">
        <f t="shared" si="116"/>
        <v/>
      </c>
      <c r="N239" s="44" t="str">
        <f t="shared" si="122"/>
        <v/>
      </c>
      <c r="O239" s="44" t="str">
        <f t="shared" si="123"/>
        <v/>
      </c>
      <c r="P239" s="44" t="str">
        <f t="shared" si="124"/>
        <v/>
      </c>
      <c r="Q239" s="44"/>
      <c r="R239" s="243" t="e">
        <f t="shared" si="140"/>
        <v>#NUM!</v>
      </c>
      <c r="T239" s="187" t="str">
        <f t="shared" si="141"/>
        <v/>
      </c>
      <c r="U239" s="42" t="e">
        <f t="shared" si="125"/>
        <v>#NUM!</v>
      </c>
      <c r="V239" s="45">
        <f t="shared" si="126"/>
        <v>0</v>
      </c>
      <c r="X239" s="272" t="b">
        <f t="shared" si="147"/>
        <v>0</v>
      </c>
      <c r="Y239" s="39">
        <v>0</v>
      </c>
      <c r="AB239" s="357" t="e">
        <f t="shared" si="127"/>
        <v>#N/A</v>
      </c>
      <c r="AG239" s="307">
        <f t="shared" si="128"/>
        <v>0</v>
      </c>
      <c r="AH239" s="283">
        <f t="shared" si="129"/>
        <v>0</v>
      </c>
      <c r="AI239" t="str">
        <f t="shared" si="130"/>
        <v/>
      </c>
      <c r="AV239" s="36" t="str">
        <f t="shared" si="143"/>
        <v/>
      </c>
      <c r="AW239" s="37" t="e">
        <f t="shared" si="131"/>
        <v>#NUM!</v>
      </c>
      <c r="AX239" s="236" t="e">
        <f t="shared" si="132"/>
        <v>#NUM!</v>
      </c>
      <c r="AY239" s="237" t="e">
        <f t="shared" si="144"/>
        <v>#NUM!</v>
      </c>
      <c r="AZ239" s="238" t="e">
        <f t="shared" si="133"/>
        <v>#NUM!</v>
      </c>
      <c r="BA239" s="237" t="e">
        <f t="shared" si="134"/>
        <v>#NUM!</v>
      </c>
      <c r="BB239" s="238" t="e">
        <f t="shared" si="135"/>
        <v>#NUM!</v>
      </c>
      <c r="BC239" s="239">
        <f>IFERROR(IF(OR($E$11=Resumen!$N$6,$E$8=Resumen!$N$6),Amortización!AY239*0.16,0),"")</f>
        <v>0</v>
      </c>
      <c r="BD239" s="237">
        <f t="shared" si="136"/>
        <v>0</v>
      </c>
      <c r="BE239" s="240">
        <f t="shared" si="117"/>
        <v>0</v>
      </c>
      <c r="BF239" s="43" t="str">
        <f t="shared" si="118"/>
        <v/>
      </c>
      <c r="BH239" s="243" t="e">
        <f t="shared" si="148"/>
        <v>#NUM!</v>
      </c>
      <c r="BI239" s="3"/>
      <c r="BJ239" s="187" t="str">
        <f t="shared" si="137"/>
        <v/>
      </c>
      <c r="BK239" s="42" t="e">
        <f t="shared" si="138"/>
        <v>#NUM!</v>
      </c>
      <c r="BL239" s="45"/>
      <c r="BM239" s="44"/>
    </row>
    <row r="240" spans="3:65" ht="15.5" thickTop="1" thickBot="1" x14ac:dyDescent="0.4">
      <c r="C240" s="36" t="str">
        <f t="shared" si="142"/>
        <v/>
      </c>
      <c r="D240" s="37" t="e">
        <f t="shared" si="139"/>
        <v>#NUM!</v>
      </c>
      <c r="E240" s="236">
        <f t="shared" si="145"/>
        <v>0</v>
      </c>
      <c r="F240" s="237" t="e">
        <f t="shared" si="146"/>
        <v>#NUM!</v>
      </c>
      <c r="G240" s="238" t="e">
        <f>IF(D240="","",L239*Resumen!$L$86/1000)</f>
        <v>#NUM!</v>
      </c>
      <c r="H240" s="237" t="e">
        <f t="shared" si="119"/>
        <v>#NUM!</v>
      </c>
      <c r="I240" s="238" t="e">
        <f>IF($E$16=$V$1,0,IF(D240="","",Amortización!$AE$14))</f>
        <v>#NUM!</v>
      </c>
      <c r="J240" s="239">
        <f>IFERROR(IF(OR($E$11=Resumen!$N$6,$E$8=Resumen!$N$6),Amortización!F240*0.16,0),"")</f>
        <v>0</v>
      </c>
      <c r="K240" s="237">
        <f t="shared" si="120"/>
        <v>0</v>
      </c>
      <c r="L240" s="240">
        <f t="shared" si="121"/>
        <v>0</v>
      </c>
      <c r="M240" s="43" t="str">
        <f t="shared" si="116"/>
        <v/>
      </c>
      <c r="N240" s="44" t="str">
        <f t="shared" si="122"/>
        <v/>
      </c>
      <c r="O240" s="44" t="str">
        <f t="shared" si="123"/>
        <v/>
      </c>
      <c r="P240" s="44" t="str">
        <f t="shared" si="124"/>
        <v/>
      </c>
      <c r="Q240" s="236" t="str">
        <f>IF(OR(L239=0,L239=""),"",IF(E240&gt;=D240,0,$E$17*10%))</f>
        <v/>
      </c>
      <c r="R240" s="243" t="e">
        <f t="shared" si="140"/>
        <v>#NUM!</v>
      </c>
      <c r="T240" s="187" t="str">
        <f t="shared" si="141"/>
        <v/>
      </c>
      <c r="U240" s="42" t="e">
        <f t="shared" si="125"/>
        <v>#NUM!</v>
      </c>
      <c r="V240" s="45">
        <f t="shared" si="126"/>
        <v>0</v>
      </c>
      <c r="X240" s="272" t="b">
        <f t="shared" si="147"/>
        <v>0</v>
      </c>
      <c r="Y240" s="39">
        <v>0</v>
      </c>
      <c r="AB240" s="357" t="e">
        <f t="shared" si="127"/>
        <v>#N/A</v>
      </c>
      <c r="AG240" s="307">
        <f t="shared" si="128"/>
        <v>0</v>
      </c>
      <c r="AH240" s="283">
        <f t="shared" si="129"/>
        <v>0</v>
      </c>
      <c r="AI240" t="str">
        <f t="shared" si="130"/>
        <v/>
      </c>
      <c r="AV240" s="36" t="str">
        <f t="shared" si="143"/>
        <v/>
      </c>
      <c r="AW240" s="37" t="e">
        <f t="shared" si="131"/>
        <v>#NUM!</v>
      </c>
      <c r="AX240" s="236" t="e">
        <f t="shared" si="132"/>
        <v>#NUM!</v>
      </c>
      <c r="AY240" s="237" t="e">
        <f t="shared" si="144"/>
        <v>#NUM!</v>
      </c>
      <c r="AZ240" s="238" t="e">
        <f t="shared" si="133"/>
        <v>#NUM!</v>
      </c>
      <c r="BA240" s="237" t="e">
        <f t="shared" si="134"/>
        <v>#NUM!</v>
      </c>
      <c r="BB240" s="238" t="e">
        <f t="shared" si="135"/>
        <v>#NUM!</v>
      </c>
      <c r="BC240" s="239">
        <f>IFERROR(IF(OR($E$11=Resumen!$N$6,$E$8=Resumen!$N$6),Amortización!AY240*0.16,0),"")</f>
        <v>0</v>
      </c>
      <c r="BD240" s="237">
        <f t="shared" si="136"/>
        <v>0</v>
      </c>
      <c r="BE240" s="240">
        <f t="shared" si="117"/>
        <v>0</v>
      </c>
      <c r="BF240" s="43" t="str">
        <f t="shared" si="118"/>
        <v/>
      </c>
      <c r="BH240" s="243" t="e">
        <f t="shared" si="148"/>
        <v>#NUM!</v>
      </c>
      <c r="BI240" s="3"/>
      <c r="BJ240" s="187" t="str">
        <f t="shared" si="137"/>
        <v/>
      </c>
      <c r="BK240" s="42" t="e">
        <f t="shared" si="138"/>
        <v>#NUM!</v>
      </c>
      <c r="BL240" s="45"/>
      <c r="BM240" s="236"/>
    </row>
    <row r="241" spans="3:65" ht="15.5" thickTop="1" thickBot="1" x14ac:dyDescent="0.4">
      <c r="C241" s="36" t="str">
        <f t="shared" si="142"/>
        <v/>
      </c>
      <c r="D241" s="37" t="e">
        <f t="shared" si="139"/>
        <v>#NUM!</v>
      </c>
      <c r="E241" s="236">
        <f t="shared" si="145"/>
        <v>0</v>
      </c>
      <c r="F241" s="237" t="e">
        <f t="shared" si="146"/>
        <v>#NUM!</v>
      </c>
      <c r="G241" s="238" t="e">
        <f>IF(D241="","",L240*Resumen!$L$86/1000)</f>
        <v>#NUM!</v>
      </c>
      <c r="H241" s="237" t="e">
        <f t="shared" si="119"/>
        <v>#NUM!</v>
      </c>
      <c r="I241" s="238" t="e">
        <f>IF($E$16=$V$1,0,IF(D241="","",Amortización!$AE$14))</f>
        <v>#NUM!</v>
      </c>
      <c r="J241" s="239">
        <f>IFERROR(IF(OR($E$11=Resumen!$N$6,$E$8=Resumen!$N$6),Amortización!F241*0.16,0),"")</f>
        <v>0</v>
      </c>
      <c r="K241" s="237">
        <f t="shared" si="120"/>
        <v>0</v>
      </c>
      <c r="L241" s="240">
        <f t="shared" si="121"/>
        <v>0</v>
      </c>
      <c r="M241" s="43" t="str">
        <f t="shared" si="116"/>
        <v/>
      </c>
      <c r="N241" s="44" t="str">
        <f t="shared" si="122"/>
        <v/>
      </c>
      <c r="O241" s="44" t="str">
        <f t="shared" si="123"/>
        <v/>
      </c>
      <c r="P241" s="44" t="str">
        <f t="shared" si="124"/>
        <v/>
      </c>
      <c r="Q241" s="44"/>
      <c r="R241" s="243" t="e">
        <f t="shared" si="140"/>
        <v>#NUM!</v>
      </c>
      <c r="T241" s="187" t="str">
        <f t="shared" si="141"/>
        <v/>
      </c>
      <c r="U241" s="42" t="e">
        <f t="shared" si="125"/>
        <v>#NUM!</v>
      </c>
      <c r="V241" s="45">
        <f t="shared" si="126"/>
        <v>0</v>
      </c>
      <c r="X241" s="272" t="b">
        <f t="shared" si="147"/>
        <v>0</v>
      </c>
      <c r="Y241" s="39">
        <v>0</v>
      </c>
      <c r="AB241" s="357" t="e">
        <f t="shared" si="127"/>
        <v>#N/A</v>
      </c>
      <c r="AG241" s="307">
        <f t="shared" si="128"/>
        <v>0</v>
      </c>
      <c r="AH241" s="283">
        <f t="shared" si="129"/>
        <v>0</v>
      </c>
      <c r="AI241" t="str">
        <f t="shared" si="130"/>
        <v/>
      </c>
      <c r="AV241" s="36" t="str">
        <f t="shared" si="143"/>
        <v/>
      </c>
      <c r="AW241" s="37" t="e">
        <f t="shared" si="131"/>
        <v>#NUM!</v>
      </c>
      <c r="AX241" s="236" t="e">
        <f t="shared" si="132"/>
        <v>#NUM!</v>
      </c>
      <c r="AY241" s="237" t="e">
        <f t="shared" si="144"/>
        <v>#NUM!</v>
      </c>
      <c r="AZ241" s="238" t="e">
        <f t="shared" si="133"/>
        <v>#NUM!</v>
      </c>
      <c r="BA241" s="237" t="e">
        <f t="shared" si="134"/>
        <v>#NUM!</v>
      </c>
      <c r="BB241" s="238" t="e">
        <f t="shared" si="135"/>
        <v>#NUM!</v>
      </c>
      <c r="BC241" s="239">
        <f>IFERROR(IF(OR($E$11=Resumen!$N$6,$E$8=Resumen!$N$6),Amortización!AY241*0.16,0),"")</f>
        <v>0</v>
      </c>
      <c r="BD241" s="237">
        <f t="shared" si="136"/>
        <v>0</v>
      </c>
      <c r="BE241" s="240">
        <f t="shared" si="117"/>
        <v>0</v>
      </c>
      <c r="BF241" s="43" t="str">
        <f t="shared" si="118"/>
        <v/>
      </c>
      <c r="BH241" s="243" t="e">
        <f t="shared" si="148"/>
        <v>#NUM!</v>
      </c>
      <c r="BI241" s="3"/>
      <c r="BJ241" s="187" t="str">
        <f t="shared" si="137"/>
        <v/>
      </c>
      <c r="BK241" s="42" t="e">
        <f t="shared" si="138"/>
        <v>#NUM!</v>
      </c>
      <c r="BL241" s="45"/>
      <c r="BM241" s="44"/>
    </row>
    <row r="242" spans="3:65" ht="15.5" thickTop="1" thickBot="1" x14ac:dyDescent="0.4">
      <c r="C242" s="36" t="str">
        <f t="shared" si="142"/>
        <v/>
      </c>
      <c r="D242" s="37" t="e">
        <f t="shared" si="139"/>
        <v>#NUM!</v>
      </c>
      <c r="E242" s="236">
        <f t="shared" si="145"/>
        <v>0</v>
      </c>
      <c r="F242" s="237" t="e">
        <f t="shared" si="146"/>
        <v>#NUM!</v>
      </c>
      <c r="G242" s="238" t="e">
        <f>IF(D242="","",L241*Resumen!$L$86/1000)</f>
        <v>#NUM!</v>
      </c>
      <c r="H242" s="237" t="e">
        <f t="shared" si="119"/>
        <v>#NUM!</v>
      </c>
      <c r="I242" s="238" t="e">
        <f>IF($E$16=$V$1,0,IF(D242="","",Amortización!$AE$14))</f>
        <v>#NUM!</v>
      </c>
      <c r="J242" s="239">
        <f>IFERROR(IF(OR($E$11=Resumen!$N$6,$E$8=Resumen!$N$6),Amortización!F242*0.16,0),"")</f>
        <v>0</v>
      </c>
      <c r="K242" s="237">
        <f t="shared" si="120"/>
        <v>0</v>
      </c>
      <c r="L242" s="240">
        <f t="shared" si="121"/>
        <v>0</v>
      </c>
      <c r="M242" s="43" t="str">
        <f t="shared" si="116"/>
        <v/>
      </c>
      <c r="N242" s="44" t="str">
        <f t="shared" si="122"/>
        <v/>
      </c>
      <c r="O242" s="44" t="str">
        <f t="shared" si="123"/>
        <v/>
      </c>
      <c r="P242" s="44" t="str">
        <f t="shared" si="124"/>
        <v/>
      </c>
      <c r="Q242" s="236" t="str">
        <f>IF(OR(L241=0,L241=""),"",IF(E242&gt;=D242,0,$E$17*10%))</f>
        <v/>
      </c>
      <c r="R242" s="243" t="e">
        <f t="shared" si="140"/>
        <v>#NUM!</v>
      </c>
      <c r="T242" s="187" t="str">
        <f t="shared" si="141"/>
        <v/>
      </c>
      <c r="U242" s="42" t="e">
        <f t="shared" si="125"/>
        <v>#NUM!</v>
      </c>
      <c r="V242" s="45">
        <f t="shared" si="126"/>
        <v>0</v>
      </c>
      <c r="X242" s="272" t="b">
        <f t="shared" si="147"/>
        <v>0</v>
      </c>
      <c r="Y242" s="39">
        <v>0</v>
      </c>
      <c r="AB242" s="357" t="e">
        <f t="shared" si="127"/>
        <v>#N/A</v>
      </c>
      <c r="AG242" s="307">
        <f t="shared" si="128"/>
        <v>0</v>
      </c>
      <c r="AH242" s="283">
        <f t="shared" si="129"/>
        <v>0</v>
      </c>
      <c r="AI242" t="str">
        <f t="shared" si="130"/>
        <v/>
      </c>
      <c r="AV242" s="36" t="str">
        <f t="shared" si="143"/>
        <v/>
      </c>
      <c r="AW242" s="37" t="e">
        <f t="shared" si="131"/>
        <v>#NUM!</v>
      </c>
      <c r="AX242" s="236" t="e">
        <f t="shared" si="132"/>
        <v>#NUM!</v>
      </c>
      <c r="AY242" s="237" t="e">
        <f t="shared" si="144"/>
        <v>#NUM!</v>
      </c>
      <c r="AZ242" s="238" t="e">
        <f t="shared" si="133"/>
        <v>#NUM!</v>
      </c>
      <c r="BA242" s="237" t="e">
        <f t="shared" si="134"/>
        <v>#NUM!</v>
      </c>
      <c r="BB242" s="238" t="e">
        <f t="shared" si="135"/>
        <v>#NUM!</v>
      </c>
      <c r="BC242" s="239">
        <f>IFERROR(IF(OR($E$11=Resumen!$N$6,$E$8=Resumen!$N$6),Amortización!AY242*0.16,0),"")</f>
        <v>0</v>
      </c>
      <c r="BD242" s="237">
        <f t="shared" si="136"/>
        <v>0</v>
      </c>
      <c r="BE242" s="240">
        <f t="shared" si="117"/>
        <v>0</v>
      </c>
      <c r="BF242" s="43" t="str">
        <f t="shared" si="118"/>
        <v/>
      </c>
      <c r="BH242" s="243" t="e">
        <f t="shared" si="148"/>
        <v>#NUM!</v>
      </c>
      <c r="BI242" s="3"/>
      <c r="BJ242" s="187" t="str">
        <f t="shared" si="137"/>
        <v/>
      </c>
      <c r="BK242" s="42" t="e">
        <f t="shared" si="138"/>
        <v>#NUM!</v>
      </c>
      <c r="BL242" s="45"/>
      <c r="BM242" s="236"/>
    </row>
    <row r="243" spans="3:65" ht="15.5" thickTop="1" thickBot="1" x14ac:dyDescent="0.4">
      <c r="C243" s="36" t="str">
        <f t="shared" si="142"/>
        <v/>
      </c>
      <c r="D243" s="37" t="e">
        <f t="shared" si="139"/>
        <v>#NUM!</v>
      </c>
      <c r="E243" s="236">
        <f t="shared" si="145"/>
        <v>0</v>
      </c>
      <c r="F243" s="237" t="e">
        <f t="shared" si="146"/>
        <v>#NUM!</v>
      </c>
      <c r="G243" s="238" t="e">
        <f>IF(D243="","",L242*Resumen!$L$86/1000)</f>
        <v>#NUM!</v>
      </c>
      <c r="H243" s="237" t="e">
        <f t="shared" si="119"/>
        <v>#NUM!</v>
      </c>
      <c r="I243" s="238" t="e">
        <f>IF($E$16=$V$1,0,IF(D243="","",Amortización!$AE$14))</f>
        <v>#NUM!</v>
      </c>
      <c r="J243" s="239">
        <f>IFERROR(IF(OR($E$11=Resumen!$N$6,$E$8=Resumen!$N$6),Amortización!F243*0.16,0),"")</f>
        <v>0</v>
      </c>
      <c r="K243" s="237">
        <f t="shared" si="120"/>
        <v>0</v>
      </c>
      <c r="L243" s="240">
        <f t="shared" si="121"/>
        <v>0</v>
      </c>
      <c r="M243" s="43" t="str">
        <f t="shared" si="116"/>
        <v/>
      </c>
      <c r="N243" s="44" t="str">
        <f t="shared" si="122"/>
        <v/>
      </c>
      <c r="O243" s="44" t="str">
        <f t="shared" si="123"/>
        <v/>
      </c>
      <c r="P243" s="44" t="str">
        <f t="shared" si="124"/>
        <v/>
      </c>
      <c r="Q243" s="44"/>
      <c r="R243" s="243" t="e">
        <f t="shared" si="140"/>
        <v>#NUM!</v>
      </c>
      <c r="T243" s="187" t="str">
        <f t="shared" si="141"/>
        <v/>
      </c>
      <c r="U243" s="42" t="e">
        <f t="shared" si="125"/>
        <v>#NUM!</v>
      </c>
      <c r="V243" s="45">
        <f t="shared" si="126"/>
        <v>0</v>
      </c>
      <c r="X243" s="272" t="b">
        <f t="shared" si="147"/>
        <v>0</v>
      </c>
      <c r="Y243" s="39">
        <v>0</v>
      </c>
      <c r="AB243" s="357" t="e">
        <f t="shared" si="127"/>
        <v>#N/A</v>
      </c>
      <c r="AG243" s="307">
        <f t="shared" si="128"/>
        <v>0</v>
      </c>
      <c r="AH243" s="283">
        <f t="shared" si="129"/>
        <v>0</v>
      </c>
      <c r="AI243" t="str">
        <f t="shared" si="130"/>
        <v/>
      </c>
      <c r="AV243" s="36" t="str">
        <f t="shared" si="143"/>
        <v/>
      </c>
      <c r="AW243" s="37" t="e">
        <f t="shared" si="131"/>
        <v>#NUM!</v>
      </c>
      <c r="AX243" s="236" t="e">
        <f t="shared" si="132"/>
        <v>#NUM!</v>
      </c>
      <c r="AY243" s="237" t="e">
        <f t="shared" si="144"/>
        <v>#NUM!</v>
      </c>
      <c r="AZ243" s="238" t="e">
        <f t="shared" si="133"/>
        <v>#NUM!</v>
      </c>
      <c r="BA243" s="237" t="e">
        <f t="shared" si="134"/>
        <v>#NUM!</v>
      </c>
      <c r="BB243" s="238" t="e">
        <f t="shared" si="135"/>
        <v>#NUM!</v>
      </c>
      <c r="BC243" s="239">
        <f>IFERROR(IF(OR($E$11=Resumen!$N$6,$E$8=Resumen!$N$6),Amortización!AY243*0.16,0),"")</f>
        <v>0</v>
      </c>
      <c r="BD243" s="237">
        <f t="shared" si="136"/>
        <v>0</v>
      </c>
      <c r="BE243" s="240">
        <f t="shared" si="117"/>
        <v>0</v>
      </c>
      <c r="BF243" s="43" t="str">
        <f t="shared" si="118"/>
        <v/>
      </c>
      <c r="BH243" s="243" t="e">
        <f t="shared" si="148"/>
        <v>#NUM!</v>
      </c>
      <c r="BI243" s="3"/>
      <c r="BJ243" s="187" t="str">
        <f t="shared" si="137"/>
        <v/>
      </c>
      <c r="BK243" s="42" t="e">
        <f t="shared" si="138"/>
        <v>#NUM!</v>
      </c>
      <c r="BL243" s="45"/>
      <c r="BM243" s="44"/>
    </row>
    <row r="244" spans="3:65" ht="15.5" thickTop="1" thickBot="1" x14ac:dyDescent="0.4">
      <c r="C244" s="36" t="str">
        <f t="shared" si="142"/>
        <v/>
      </c>
      <c r="D244" s="37" t="e">
        <f t="shared" si="139"/>
        <v>#NUM!</v>
      </c>
      <c r="E244" s="236">
        <f t="shared" si="145"/>
        <v>0</v>
      </c>
      <c r="F244" s="237" t="e">
        <f t="shared" si="146"/>
        <v>#NUM!</v>
      </c>
      <c r="G244" s="238" t="e">
        <f>IF(D244="","",L243*Resumen!$L$86/1000)</f>
        <v>#NUM!</v>
      </c>
      <c r="H244" s="237" t="e">
        <f t="shared" si="119"/>
        <v>#NUM!</v>
      </c>
      <c r="I244" s="238" t="e">
        <f>IF($E$16=$V$1,0,IF(D244="","",Amortización!$AE$14))</f>
        <v>#NUM!</v>
      </c>
      <c r="J244" s="239">
        <f>IFERROR(IF(OR($E$11=Resumen!$N$6,$E$8=Resumen!$N$6),Amortización!F244*0.16,0),"")</f>
        <v>0</v>
      </c>
      <c r="K244" s="237">
        <f t="shared" si="120"/>
        <v>0</v>
      </c>
      <c r="L244" s="240">
        <f t="shared" si="121"/>
        <v>0</v>
      </c>
      <c r="M244" s="43" t="str">
        <f t="shared" si="116"/>
        <v/>
      </c>
      <c r="N244" s="44" t="str">
        <f t="shared" si="122"/>
        <v/>
      </c>
      <c r="O244" s="44" t="str">
        <f t="shared" si="123"/>
        <v/>
      </c>
      <c r="P244" s="44" t="str">
        <f t="shared" si="124"/>
        <v/>
      </c>
      <c r="Q244" s="236" t="str">
        <f>IF(OR(L243=0,L243=""),"",IF(E244&gt;=D244,0,$E$17*10%))</f>
        <v/>
      </c>
      <c r="R244" s="243" t="e">
        <f t="shared" si="140"/>
        <v>#NUM!</v>
      </c>
      <c r="T244" s="187" t="str">
        <f t="shared" si="141"/>
        <v/>
      </c>
      <c r="U244" s="42" t="e">
        <f t="shared" si="125"/>
        <v>#NUM!</v>
      </c>
      <c r="V244" s="45">
        <f t="shared" si="126"/>
        <v>0</v>
      </c>
      <c r="X244" s="272" t="b">
        <f t="shared" si="147"/>
        <v>0</v>
      </c>
      <c r="Y244" s="39">
        <v>0</v>
      </c>
      <c r="AB244" s="357" t="e">
        <f t="shared" si="127"/>
        <v>#N/A</v>
      </c>
      <c r="AG244" s="307">
        <f t="shared" si="128"/>
        <v>0</v>
      </c>
      <c r="AH244" s="283">
        <f t="shared" si="129"/>
        <v>0</v>
      </c>
      <c r="AI244" t="str">
        <f t="shared" si="130"/>
        <v/>
      </c>
      <c r="AV244" s="36" t="str">
        <f t="shared" si="143"/>
        <v/>
      </c>
      <c r="AW244" s="37" t="e">
        <f t="shared" si="131"/>
        <v>#NUM!</v>
      </c>
      <c r="AX244" s="236" t="e">
        <f t="shared" si="132"/>
        <v>#NUM!</v>
      </c>
      <c r="AY244" s="237" t="e">
        <f t="shared" si="144"/>
        <v>#NUM!</v>
      </c>
      <c r="AZ244" s="238" t="e">
        <f t="shared" si="133"/>
        <v>#NUM!</v>
      </c>
      <c r="BA244" s="237" t="e">
        <f t="shared" si="134"/>
        <v>#NUM!</v>
      </c>
      <c r="BB244" s="238" t="e">
        <f t="shared" si="135"/>
        <v>#NUM!</v>
      </c>
      <c r="BC244" s="239">
        <f>IFERROR(IF(OR($E$11=Resumen!$N$6,$E$8=Resumen!$N$6),Amortización!AY244*0.16,0),"")</f>
        <v>0</v>
      </c>
      <c r="BD244" s="237">
        <f t="shared" si="136"/>
        <v>0</v>
      </c>
      <c r="BE244" s="240">
        <f t="shared" si="117"/>
        <v>0</v>
      </c>
      <c r="BF244" s="43" t="str">
        <f t="shared" si="118"/>
        <v/>
      </c>
      <c r="BH244" s="243" t="e">
        <f t="shared" si="148"/>
        <v>#NUM!</v>
      </c>
      <c r="BI244" s="3"/>
      <c r="BJ244" s="187" t="str">
        <f t="shared" si="137"/>
        <v/>
      </c>
      <c r="BK244" s="42" t="e">
        <f t="shared" si="138"/>
        <v>#NUM!</v>
      </c>
      <c r="BL244" s="45"/>
      <c r="BM244" s="236"/>
    </row>
    <row r="245" spans="3:65" ht="15.5" thickTop="1" thickBot="1" x14ac:dyDescent="0.4">
      <c r="C245" s="36" t="str">
        <f t="shared" si="142"/>
        <v/>
      </c>
      <c r="D245" s="37" t="e">
        <f t="shared" si="139"/>
        <v>#NUM!</v>
      </c>
      <c r="E245" s="236">
        <f t="shared" si="145"/>
        <v>0</v>
      </c>
      <c r="F245" s="237" t="e">
        <f t="shared" si="146"/>
        <v>#NUM!</v>
      </c>
      <c r="G245" s="238" t="e">
        <f>IF(D245="","",L244*Resumen!$L$86/1000)</f>
        <v>#NUM!</v>
      </c>
      <c r="H245" s="237" t="e">
        <f t="shared" si="119"/>
        <v>#NUM!</v>
      </c>
      <c r="I245" s="238" t="e">
        <f>IF($E$16=$V$1,0,IF(D245="","",Amortización!$AE$14))</f>
        <v>#NUM!</v>
      </c>
      <c r="J245" s="239">
        <f>IFERROR(IF(OR($E$11=Resumen!$N$6,$E$8=Resumen!$N$6),Amortización!F245*0.16,0),"")</f>
        <v>0</v>
      </c>
      <c r="K245" s="237">
        <f t="shared" si="120"/>
        <v>0</v>
      </c>
      <c r="L245" s="240">
        <f t="shared" si="121"/>
        <v>0</v>
      </c>
      <c r="M245" s="43" t="str">
        <f t="shared" si="116"/>
        <v/>
      </c>
      <c r="N245" s="44" t="str">
        <f t="shared" si="122"/>
        <v/>
      </c>
      <c r="O245" s="44" t="str">
        <f t="shared" si="123"/>
        <v/>
      </c>
      <c r="P245" s="44" t="str">
        <f t="shared" si="124"/>
        <v/>
      </c>
      <c r="Q245" s="44"/>
      <c r="R245" s="243" t="e">
        <f t="shared" si="140"/>
        <v>#NUM!</v>
      </c>
      <c r="T245" s="187" t="str">
        <f t="shared" si="141"/>
        <v/>
      </c>
      <c r="U245" s="42" t="e">
        <f t="shared" si="125"/>
        <v>#NUM!</v>
      </c>
      <c r="V245" s="45">
        <f t="shared" si="126"/>
        <v>0</v>
      </c>
      <c r="X245" s="272" t="b">
        <f t="shared" si="147"/>
        <v>0</v>
      </c>
      <c r="Y245" s="39">
        <v>0</v>
      </c>
      <c r="AB245" s="357" t="e">
        <f t="shared" si="127"/>
        <v>#N/A</v>
      </c>
      <c r="AG245" s="307">
        <f t="shared" si="128"/>
        <v>0</v>
      </c>
      <c r="AH245" s="283">
        <f t="shared" si="129"/>
        <v>0</v>
      </c>
      <c r="AI245" t="str">
        <f t="shared" si="130"/>
        <v/>
      </c>
      <c r="AV245" s="36" t="str">
        <f t="shared" si="143"/>
        <v/>
      </c>
      <c r="AW245" s="37" t="e">
        <f t="shared" si="131"/>
        <v>#NUM!</v>
      </c>
      <c r="AX245" s="236" t="e">
        <f t="shared" si="132"/>
        <v>#NUM!</v>
      </c>
      <c r="AY245" s="237" t="e">
        <f t="shared" si="144"/>
        <v>#NUM!</v>
      </c>
      <c r="AZ245" s="238" t="e">
        <f t="shared" si="133"/>
        <v>#NUM!</v>
      </c>
      <c r="BA245" s="237" t="e">
        <f t="shared" si="134"/>
        <v>#NUM!</v>
      </c>
      <c r="BB245" s="238" t="e">
        <f t="shared" si="135"/>
        <v>#NUM!</v>
      </c>
      <c r="BC245" s="239">
        <f>IFERROR(IF(OR($E$11=Resumen!$N$6,$E$8=Resumen!$N$6),Amortización!AY245*0.16,0),"")</f>
        <v>0</v>
      </c>
      <c r="BD245" s="237">
        <f t="shared" si="136"/>
        <v>0</v>
      </c>
      <c r="BE245" s="240">
        <f t="shared" si="117"/>
        <v>0</v>
      </c>
      <c r="BF245" s="43" t="str">
        <f t="shared" si="118"/>
        <v/>
      </c>
      <c r="BH245" s="243" t="e">
        <f t="shared" si="148"/>
        <v>#NUM!</v>
      </c>
      <c r="BI245" s="3"/>
      <c r="BJ245" s="187" t="str">
        <f t="shared" si="137"/>
        <v/>
      </c>
      <c r="BK245" s="42" t="e">
        <f t="shared" si="138"/>
        <v>#NUM!</v>
      </c>
      <c r="BL245" s="45"/>
      <c r="BM245" s="44"/>
    </row>
    <row r="246" spans="3:65" ht="15.5" thickTop="1" thickBot="1" x14ac:dyDescent="0.4">
      <c r="C246" s="36" t="str">
        <f t="shared" si="142"/>
        <v/>
      </c>
      <c r="D246" s="37" t="e">
        <f t="shared" si="139"/>
        <v>#NUM!</v>
      </c>
      <c r="E246" s="236">
        <f t="shared" si="145"/>
        <v>0</v>
      </c>
      <c r="F246" s="237" t="e">
        <f t="shared" si="146"/>
        <v>#NUM!</v>
      </c>
      <c r="G246" s="238" t="e">
        <f>IF(D246="","",L245*Resumen!$L$86/1000)</f>
        <v>#NUM!</v>
      </c>
      <c r="H246" s="237" t="e">
        <f t="shared" si="119"/>
        <v>#NUM!</v>
      </c>
      <c r="I246" s="238" t="e">
        <f>IF($E$16=$V$1,0,IF(D246="","",Amortización!$AE$14))</f>
        <v>#NUM!</v>
      </c>
      <c r="J246" s="239">
        <f>IFERROR(IF(OR($E$11=Resumen!$N$6,$E$8=Resumen!$N$6),Amortización!F246*0.16,0),"")</f>
        <v>0</v>
      </c>
      <c r="K246" s="237">
        <f t="shared" si="120"/>
        <v>0</v>
      </c>
      <c r="L246" s="240">
        <f t="shared" si="121"/>
        <v>0</v>
      </c>
      <c r="M246" s="43" t="str">
        <f t="shared" si="116"/>
        <v/>
      </c>
      <c r="N246" s="44" t="str">
        <f t="shared" si="122"/>
        <v/>
      </c>
      <c r="O246" s="44" t="str">
        <f t="shared" si="123"/>
        <v/>
      </c>
      <c r="P246" s="44" t="str">
        <f t="shared" si="124"/>
        <v/>
      </c>
      <c r="Q246" s="236" t="str">
        <f>IF(OR(L245=0,L245=""),"",IF(E246&gt;=D246,0,$E$17*10%))</f>
        <v/>
      </c>
      <c r="R246" s="243" t="e">
        <f t="shared" si="140"/>
        <v>#NUM!</v>
      </c>
      <c r="T246" s="187" t="str">
        <f t="shared" si="141"/>
        <v/>
      </c>
      <c r="U246" s="42" t="e">
        <f t="shared" si="125"/>
        <v>#NUM!</v>
      </c>
      <c r="V246" s="45">
        <f t="shared" si="126"/>
        <v>0</v>
      </c>
      <c r="X246" s="272" t="b">
        <f t="shared" si="147"/>
        <v>0</v>
      </c>
      <c r="Y246" s="39">
        <v>0</v>
      </c>
      <c r="AB246" s="357" t="e">
        <f t="shared" si="127"/>
        <v>#N/A</v>
      </c>
      <c r="AG246" s="307">
        <f t="shared" si="128"/>
        <v>0</v>
      </c>
      <c r="AH246" s="283">
        <f t="shared" si="129"/>
        <v>0</v>
      </c>
      <c r="AI246" t="str">
        <f t="shared" si="130"/>
        <v/>
      </c>
      <c r="AV246" s="36" t="str">
        <f t="shared" si="143"/>
        <v/>
      </c>
      <c r="AW246" s="37" t="e">
        <f t="shared" si="131"/>
        <v>#NUM!</v>
      </c>
      <c r="AX246" s="236" t="e">
        <f t="shared" si="132"/>
        <v>#NUM!</v>
      </c>
      <c r="AY246" s="237" t="e">
        <f t="shared" si="144"/>
        <v>#NUM!</v>
      </c>
      <c r="AZ246" s="238" t="e">
        <f t="shared" si="133"/>
        <v>#NUM!</v>
      </c>
      <c r="BA246" s="237" t="e">
        <f t="shared" si="134"/>
        <v>#NUM!</v>
      </c>
      <c r="BB246" s="238" t="e">
        <f t="shared" si="135"/>
        <v>#NUM!</v>
      </c>
      <c r="BC246" s="239">
        <f>IFERROR(IF(OR($E$11=Resumen!$N$6,$E$8=Resumen!$N$6),Amortización!AY246*0.16,0),"")</f>
        <v>0</v>
      </c>
      <c r="BD246" s="237">
        <f t="shared" si="136"/>
        <v>0</v>
      </c>
      <c r="BE246" s="240">
        <f t="shared" si="117"/>
        <v>0</v>
      </c>
      <c r="BF246" s="43" t="str">
        <f t="shared" si="118"/>
        <v/>
      </c>
      <c r="BH246" s="243" t="e">
        <f t="shared" si="148"/>
        <v>#NUM!</v>
      </c>
      <c r="BI246" s="3"/>
      <c r="BJ246" s="187" t="str">
        <f t="shared" si="137"/>
        <v/>
      </c>
      <c r="BK246" s="42" t="e">
        <f t="shared" si="138"/>
        <v>#NUM!</v>
      </c>
      <c r="BL246" s="45"/>
      <c r="BM246" s="236"/>
    </row>
    <row r="247" spans="3:65" ht="15.5" thickTop="1" thickBot="1" x14ac:dyDescent="0.4">
      <c r="C247" s="36" t="str">
        <f t="shared" si="142"/>
        <v/>
      </c>
      <c r="D247" s="37" t="e">
        <f t="shared" si="139"/>
        <v>#NUM!</v>
      </c>
      <c r="E247" s="236">
        <f t="shared" si="145"/>
        <v>0</v>
      </c>
      <c r="F247" s="237" t="e">
        <f t="shared" si="146"/>
        <v>#NUM!</v>
      </c>
      <c r="G247" s="238" t="e">
        <f>IF(D247="","",L246*Resumen!$L$86/1000)</f>
        <v>#NUM!</v>
      </c>
      <c r="H247" s="237" t="e">
        <f t="shared" si="119"/>
        <v>#NUM!</v>
      </c>
      <c r="I247" s="238" t="e">
        <f>IF($E$16=$V$1,0,IF(D247="","",Amortización!$AE$14))</f>
        <v>#NUM!</v>
      </c>
      <c r="J247" s="239">
        <f>IFERROR(IF(OR($E$11=Resumen!$N$6,$E$8=Resumen!$N$6),Amortización!F247*0.16,0),"")</f>
        <v>0</v>
      </c>
      <c r="K247" s="237">
        <f t="shared" si="120"/>
        <v>0</v>
      </c>
      <c r="L247" s="240">
        <f t="shared" si="121"/>
        <v>0</v>
      </c>
      <c r="M247" s="43" t="str">
        <f t="shared" si="116"/>
        <v/>
      </c>
      <c r="N247" s="44" t="str">
        <f t="shared" si="122"/>
        <v/>
      </c>
      <c r="O247" s="44" t="str">
        <f t="shared" si="123"/>
        <v/>
      </c>
      <c r="P247" s="44" t="str">
        <f t="shared" si="124"/>
        <v/>
      </c>
      <c r="Q247" s="44"/>
      <c r="R247" s="243" t="e">
        <f t="shared" si="140"/>
        <v>#NUM!</v>
      </c>
      <c r="T247" s="187" t="str">
        <f t="shared" si="141"/>
        <v/>
      </c>
      <c r="U247" s="42" t="e">
        <f t="shared" si="125"/>
        <v>#NUM!</v>
      </c>
      <c r="V247" s="45">
        <f t="shared" si="126"/>
        <v>0</v>
      </c>
      <c r="X247" s="272" t="b">
        <f t="shared" si="147"/>
        <v>0</v>
      </c>
      <c r="Y247" s="39">
        <v>0</v>
      </c>
      <c r="AB247" s="357" t="e">
        <f t="shared" si="127"/>
        <v>#N/A</v>
      </c>
      <c r="AG247" s="307">
        <f t="shared" si="128"/>
        <v>0</v>
      </c>
      <c r="AH247" s="283">
        <f t="shared" si="129"/>
        <v>0</v>
      </c>
      <c r="AI247" t="str">
        <f t="shared" si="130"/>
        <v/>
      </c>
      <c r="AV247" s="36" t="str">
        <f t="shared" si="143"/>
        <v/>
      </c>
      <c r="AW247" s="37" t="e">
        <f t="shared" si="131"/>
        <v>#NUM!</v>
      </c>
      <c r="AX247" s="236" t="e">
        <f t="shared" si="132"/>
        <v>#NUM!</v>
      </c>
      <c r="AY247" s="237" t="e">
        <f t="shared" si="144"/>
        <v>#NUM!</v>
      </c>
      <c r="AZ247" s="238" t="e">
        <f t="shared" si="133"/>
        <v>#NUM!</v>
      </c>
      <c r="BA247" s="237" t="e">
        <f t="shared" si="134"/>
        <v>#NUM!</v>
      </c>
      <c r="BB247" s="238" t="e">
        <f t="shared" si="135"/>
        <v>#NUM!</v>
      </c>
      <c r="BC247" s="239">
        <f>IFERROR(IF(OR($E$11=Resumen!$N$6,$E$8=Resumen!$N$6),Amortización!AY247*0.16,0),"")</f>
        <v>0</v>
      </c>
      <c r="BD247" s="237">
        <f t="shared" si="136"/>
        <v>0</v>
      </c>
      <c r="BE247" s="240">
        <f t="shared" si="117"/>
        <v>0</v>
      </c>
      <c r="BF247" s="43" t="str">
        <f t="shared" si="118"/>
        <v/>
      </c>
      <c r="BH247" s="243" t="e">
        <f t="shared" si="148"/>
        <v>#NUM!</v>
      </c>
      <c r="BI247" s="3"/>
      <c r="BJ247" s="187" t="str">
        <f t="shared" si="137"/>
        <v/>
      </c>
      <c r="BK247" s="42" t="e">
        <f t="shared" si="138"/>
        <v>#NUM!</v>
      </c>
      <c r="BL247" s="45"/>
      <c r="BM247" s="44"/>
    </row>
    <row r="248" spans="3:65" ht="15.5" thickTop="1" thickBot="1" x14ac:dyDescent="0.4">
      <c r="C248" s="36" t="str">
        <f t="shared" si="142"/>
        <v/>
      </c>
      <c r="D248" s="37" t="e">
        <f t="shared" si="139"/>
        <v>#NUM!</v>
      </c>
      <c r="E248" s="236">
        <f t="shared" si="145"/>
        <v>0</v>
      </c>
      <c r="F248" s="237" t="e">
        <f t="shared" si="146"/>
        <v>#NUM!</v>
      </c>
      <c r="G248" s="238" t="e">
        <f>IF(D248="","",L247*Resumen!$L$86/1000)</f>
        <v>#NUM!</v>
      </c>
      <c r="H248" s="237" t="e">
        <f t="shared" si="119"/>
        <v>#NUM!</v>
      </c>
      <c r="I248" s="238" t="e">
        <f>IF($E$16=$V$1,0,IF(D248="","",Amortización!$AE$14))</f>
        <v>#NUM!</v>
      </c>
      <c r="J248" s="239">
        <f>IFERROR(IF(OR($E$11=Resumen!$N$6,$E$8=Resumen!$N$6),Amortización!F248*0.16,0),"")</f>
        <v>0</v>
      </c>
      <c r="K248" s="237">
        <f t="shared" si="120"/>
        <v>0</v>
      </c>
      <c r="L248" s="240">
        <f t="shared" si="121"/>
        <v>0</v>
      </c>
      <c r="M248" s="43" t="str">
        <f t="shared" si="116"/>
        <v/>
      </c>
      <c r="N248" s="44" t="str">
        <f t="shared" si="122"/>
        <v/>
      </c>
      <c r="O248" s="44" t="str">
        <f t="shared" si="123"/>
        <v/>
      </c>
      <c r="P248" s="44" t="str">
        <f t="shared" si="124"/>
        <v/>
      </c>
      <c r="Q248" s="236" t="str">
        <f>IF(OR(L247=0,L247=""),"",IF(E248&gt;=D248,0,$E$17*10%))</f>
        <v/>
      </c>
      <c r="R248" s="243" t="e">
        <f t="shared" si="140"/>
        <v>#NUM!</v>
      </c>
      <c r="T248" s="187" t="str">
        <f t="shared" si="141"/>
        <v/>
      </c>
      <c r="U248" s="42" t="e">
        <f t="shared" si="125"/>
        <v>#NUM!</v>
      </c>
      <c r="V248" s="45">
        <f t="shared" si="126"/>
        <v>0</v>
      </c>
      <c r="X248" s="272" t="b">
        <f t="shared" si="147"/>
        <v>0</v>
      </c>
      <c r="Y248" s="39">
        <v>0</v>
      </c>
      <c r="AB248" s="357" t="e">
        <f t="shared" si="127"/>
        <v>#N/A</v>
      </c>
      <c r="AG248" s="307">
        <f t="shared" si="128"/>
        <v>0</v>
      </c>
      <c r="AH248" s="283">
        <f t="shared" si="129"/>
        <v>0</v>
      </c>
      <c r="AI248" t="str">
        <f t="shared" si="130"/>
        <v/>
      </c>
      <c r="AV248" s="36" t="str">
        <f t="shared" si="143"/>
        <v/>
      </c>
      <c r="AW248" s="37" t="e">
        <f t="shared" si="131"/>
        <v>#NUM!</v>
      </c>
      <c r="AX248" s="236" t="e">
        <f t="shared" si="132"/>
        <v>#NUM!</v>
      </c>
      <c r="AY248" s="237" t="e">
        <f t="shared" si="144"/>
        <v>#NUM!</v>
      </c>
      <c r="AZ248" s="238" t="e">
        <f t="shared" si="133"/>
        <v>#NUM!</v>
      </c>
      <c r="BA248" s="237" t="e">
        <f t="shared" si="134"/>
        <v>#NUM!</v>
      </c>
      <c r="BB248" s="238" t="e">
        <f t="shared" si="135"/>
        <v>#NUM!</v>
      </c>
      <c r="BC248" s="239">
        <f>IFERROR(IF(OR($E$11=Resumen!$N$6,$E$8=Resumen!$N$6),Amortización!AY248*0.16,0),"")</f>
        <v>0</v>
      </c>
      <c r="BD248" s="237">
        <f t="shared" si="136"/>
        <v>0</v>
      </c>
      <c r="BE248" s="240">
        <f t="shared" si="117"/>
        <v>0</v>
      </c>
      <c r="BF248" s="43" t="str">
        <f t="shared" si="118"/>
        <v/>
      </c>
      <c r="BH248" s="243" t="e">
        <f t="shared" si="148"/>
        <v>#NUM!</v>
      </c>
      <c r="BI248" s="3"/>
      <c r="BJ248" s="187" t="str">
        <f t="shared" si="137"/>
        <v/>
      </c>
      <c r="BK248" s="42" t="e">
        <f t="shared" si="138"/>
        <v>#NUM!</v>
      </c>
      <c r="BL248" s="45"/>
      <c r="BM248" s="236"/>
    </row>
    <row r="249" spans="3:65" ht="15.5" thickTop="1" thickBot="1" x14ac:dyDescent="0.4">
      <c r="C249" s="36" t="str">
        <f t="shared" si="142"/>
        <v/>
      </c>
      <c r="D249" s="37" t="e">
        <f t="shared" si="139"/>
        <v>#NUM!</v>
      </c>
      <c r="E249" s="236">
        <f t="shared" si="145"/>
        <v>0</v>
      </c>
      <c r="F249" s="237" t="e">
        <f t="shared" si="146"/>
        <v>#NUM!</v>
      </c>
      <c r="G249" s="238" t="e">
        <f>IF(D249="","",L248*Resumen!$L$86/1000)</f>
        <v>#NUM!</v>
      </c>
      <c r="H249" s="237" t="e">
        <f t="shared" si="119"/>
        <v>#NUM!</v>
      </c>
      <c r="I249" s="238" t="e">
        <f>IF($E$16=$V$1,0,IF(D249="","",Amortización!$AE$14))</f>
        <v>#NUM!</v>
      </c>
      <c r="J249" s="239">
        <f>IFERROR(IF(OR($E$11=Resumen!$N$6,$E$8=Resumen!$N$6),Amortización!F249*0.16,0),"")</f>
        <v>0</v>
      </c>
      <c r="K249" s="237">
        <f t="shared" si="120"/>
        <v>0</v>
      </c>
      <c r="L249" s="240">
        <f t="shared" si="121"/>
        <v>0</v>
      </c>
      <c r="M249" s="43" t="str">
        <f t="shared" si="116"/>
        <v/>
      </c>
      <c r="N249" s="44" t="str">
        <f t="shared" si="122"/>
        <v/>
      </c>
      <c r="O249" s="44" t="str">
        <f t="shared" si="123"/>
        <v/>
      </c>
      <c r="P249" s="44" t="str">
        <f t="shared" si="124"/>
        <v/>
      </c>
      <c r="Q249" s="44"/>
      <c r="R249" s="243" t="e">
        <f t="shared" si="140"/>
        <v>#NUM!</v>
      </c>
      <c r="T249" s="187" t="str">
        <f t="shared" si="141"/>
        <v/>
      </c>
      <c r="U249" s="42" t="e">
        <f t="shared" si="125"/>
        <v>#NUM!</v>
      </c>
      <c r="V249" s="45">
        <f t="shared" si="126"/>
        <v>0</v>
      </c>
      <c r="X249" s="272" t="b">
        <f t="shared" si="147"/>
        <v>0</v>
      </c>
      <c r="Y249" s="39">
        <v>0</v>
      </c>
      <c r="AB249" s="357" t="e">
        <f t="shared" si="127"/>
        <v>#N/A</v>
      </c>
      <c r="AG249" s="307">
        <f t="shared" si="128"/>
        <v>0</v>
      </c>
      <c r="AH249" s="283">
        <f t="shared" si="129"/>
        <v>0</v>
      </c>
      <c r="AI249" t="str">
        <f t="shared" si="130"/>
        <v/>
      </c>
      <c r="AV249" s="36" t="str">
        <f t="shared" si="143"/>
        <v/>
      </c>
      <c r="AW249" s="37" t="e">
        <f t="shared" si="131"/>
        <v>#NUM!</v>
      </c>
      <c r="AX249" s="236" t="e">
        <f t="shared" si="132"/>
        <v>#NUM!</v>
      </c>
      <c r="AY249" s="237" t="e">
        <f t="shared" si="144"/>
        <v>#NUM!</v>
      </c>
      <c r="AZ249" s="238" t="e">
        <f t="shared" si="133"/>
        <v>#NUM!</v>
      </c>
      <c r="BA249" s="237" t="e">
        <f t="shared" si="134"/>
        <v>#NUM!</v>
      </c>
      <c r="BB249" s="238" t="e">
        <f t="shared" si="135"/>
        <v>#NUM!</v>
      </c>
      <c r="BC249" s="239">
        <f>IFERROR(IF(OR($E$11=Resumen!$N$6,$E$8=Resumen!$N$6),Amortización!AY249*0.16,0),"")</f>
        <v>0</v>
      </c>
      <c r="BD249" s="237">
        <f t="shared" si="136"/>
        <v>0</v>
      </c>
      <c r="BE249" s="240">
        <f t="shared" si="117"/>
        <v>0</v>
      </c>
      <c r="BF249" s="43" t="str">
        <f t="shared" si="118"/>
        <v/>
      </c>
      <c r="BH249" s="243" t="e">
        <f t="shared" si="148"/>
        <v>#NUM!</v>
      </c>
      <c r="BI249" s="3"/>
      <c r="BJ249" s="187" t="str">
        <f t="shared" si="137"/>
        <v/>
      </c>
      <c r="BK249" s="42" t="e">
        <f t="shared" si="138"/>
        <v>#NUM!</v>
      </c>
      <c r="BL249" s="45"/>
      <c r="BM249" s="44"/>
    </row>
    <row r="250" spans="3:65" ht="15.5" thickTop="1" thickBot="1" x14ac:dyDescent="0.4">
      <c r="C250" s="36" t="str">
        <f t="shared" si="142"/>
        <v/>
      </c>
      <c r="D250" s="37" t="e">
        <f t="shared" si="139"/>
        <v>#NUM!</v>
      </c>
      <c r="E250" s="236">
        <f t="shared" si="145"/>
        <v>0</v>
      </c>
      <c r="F250" s="237" t="e">
        <f t="shared" si="146"/>
        <v>#NUM!</v>
      </c>
      <c r="G250" s="238" t="e">
        <f>IF(D250="","",L249*Resumen!$L$86/1000)</f>
        <v>#NUM!</v>
      </c>
      <c r="H250" s="237" t="e">
        <f t="shared" si="119"/>
        <v>#NUM!</v>
      </c>
      <c r="I250" s="238" t="e">
        <f>IF($E$16=$V$1,0,IF(D250="","",Amortización!$AE$14))</f>
        <v>#NUM!</v>
      </c>
      <c r="J250" s="239">
        <f>IFERROR(IF(OR($E$11=Resumen!$N$6,$E$8=Resumen!$N$6),Amortización!F250*0.16,0),"")</f>
        <v>0</v>
      </c>
      <c r="K250" s="237">
        <f t="shared" si="120"/>
        <v>0</v>
      </c>
      <c r="L250" s="240">
        <f t="shared" si="121"/>
        <v>0</v>
      </c>
      <c r="M250" s="43" t="str">
        <f t="shared" si="116"/>
        <v/>
      </c>
      <c r="N250" s="44" t="str">
        <f t="shared" si="122"/>
        <v/>
      </c>
      <c r="O250" s="44" t="str">
        <f t="shared" si="123"/>
        <v/>
      </c>
      <c r="P250" s="44" t="str">
        <f t="shared" si="124"/>
        <v/>
      </c>
      <c r="Q250" s="236" t="str">
        <f>IF(OR(L249=0,L249=""),"",IF(E250&gt;=D250,0,$E$17*10%))</f>
        <v/>
      </c>
      <c r="R250" s="243" t="e">
        <f t="shared" si="140"/>
        <v>#NUM!</v>
      </c>
      <c r="T250" s="187" t="str">
        <f t="shared" si="141"/>
        <v/>
      </c>
      <c r="U250" s="42" t="e">
        <f t="shared" si="125"/>
        <v>#NUM!</v>
      </c>
      <c r="V250" s="45">
        <f t="shared" si="126"/>
        <v>0</v>
      </c>
      <c r="X250" s="272" t="b">
        <f t="shared" si="147"/>
        <v>0</v>
      </c>
      <c r="Y250" s="39">
        <v>0</v>
      </c>
      <c r="AB250" s="357" t="e">
        <f t="shared" si="127"/>
        <v>#N/A</v>
      </c>
      <c r="AG250" s="307">
        <f t="shared" si="128"/>
        <v>0</v>
      </c>
      <c r="AH250" s="283">
        <f t="shared" si="129"/>
        <v>0</v>
      </c>
      <c r="AI250" t="str">
        <f t="shared" si="130"/>
        <v/>
      </c>
      <c r="AV250" s="36" t="str">
        <f t="shared" si="143"/>
        <v/>
      </c>
      <c r="AW250" s="37" t="e">
        <f t="shared" si="131"/>
        <v>#NUM!</v>
      </c>
      <c r="AX250" s="236" t="e">
        <f t="shared" si="132"/>
        <v>#NUM!</v>
      </c>
      <c r="AY250" s="237" t="e">
        <f t="shared" si="144"/>
        <v>#NUM!</v>
      </c>
      <c r="AZ250" s="238" t="e">
        <f t="shared" si="133"/>
        <v>#NUM!</v>
      </c>
      <c r="BA250" s="237" t="e">
        <f t="shared" si="134"/>
        <v>#NUM!</v>
      </c>
      <c r="BB250" s="238" t="e">
        <f t="shared" si="135"/>
        <v>#NUM!</v>
      </c>
      <c r="BC250" s="239">
        <f>IFERROR(IF(OR($E$11=Resumen!$N$6,$E$8=Resumen!$N$6),Amortización!AY250*0.16,0),"")</f>
        <v>0</v>
      </c>
      <c r="BD250" s="237">
        <f t="shared" si="136"/>
        <v>0</v>
      </c>
      <c r="BE250" s="240">
        <f t="shared" si="117"/>
        <v>0</v>
      </c>
      <c r="BF250" s="43" t="str">
        <f t="shared" si="118"/>
        <v/>
      </c>
      <c r="BH250" s="243" t="e">
        <f t="shared" si="148"/>
        <v>#NUM!</v>
      </c>
      <c r="BI250" s="3"/>
      <c r="BJ250" s="187" t="str">
        <f t="shared" si="137"/>
        <v/>
      </c>
      <c r="BK250" s="42" t="e">
        <f t="shared" si="138"/>
        <v>#NUM!</v>
      </c>
      <c r="BL250" s="45"/>
      <c r="BM250" s="236"/>
    </row>
    <row r="251" spans="3:65" ht="15.5" thickTop="1" thickBot="1" x14ac:dyDescent="0.4">
      <c r="C251" s="36" t="str">
        <f t="shared" si="142"/>
        <v/>
      </c>
      <c r="D251" s="37" t="e">
        <f t="shared" si="139"/>
        <v>#NUM!</v>
      </c>
      <c r="E251" s="236">
        <f t="shared" si="145"/>
        <v>0</v>
      </c>
      <c r="F251" s="237" t="e">
        <f t="shared" si="146"/>
        <v>#NUM!</v>
      </c>
      <c r="G251" s="238" t="e">
        <f>IF(D251="","",L250*Resumen!$L$86/1000)</f>
        <v>#NUM!</v>
      </c>
      <c r="H251" s="237" t="e">
        <f t="shared" si="119"/>
        <v>#NUM!</v>
      </c>
      <c r="I251" s="238" t="e">
        <f>IF($E$16=$V$1,0,IF(D251="","",Amortización!$AE$14))</f>
        <v>#NUM!</v>
      </c>
      <c r="J251" s="239">
        <f>IFERROR(IF(OR($E$11=Resumen!$N$6,$E$8=Resumen!$N$6),Amortización!F251*0.16,0),"")</f>
        <v>0</v>
      </c>
      <c r="K251" s="237">
        <f t="shared" si="120"/>
        <v>0</v>
      </c>
      <c r="L251" s="240">
        <f t="shared" si="121"/>
        <v>0</v>
      </c>
      <c r="M251" s="43" t="str">
        <f t="shared" si="116"/>
        <v/>
      </c>
      <c r="N251" s="44" t="str">
        <f t="shared" si="122"/>
        <v/>
      </c>
      <c r="O251" s="44" t="str">
        <f t="shared" si="123"/>
        <v/>
      </c>
      <c r="P251" s="44" t="str">
        <f t="shared" si="124"/>
        <v/>
      </c>
      <c r="Q251" s="44"/>
      <c r="R251" s="243" t="e">
        <f t="shared" si="140"/>
        <v>#NUM!</v>
      </c>
      <c r="T251" s="187" t="str">
        <f t="shared" si="141"/>
        <v/>
      </c>
      <c r="U251" s="42" t="e">
        <f t="shared" si="125"/>
        <v>#NUM!</v>
      </c>
      <c r="V251" s="45">
        <f t="shared" si="126"/>
        <v>0</v>
      </c>
      <c r="X251" s="272" t="b">
        <f t="shared" si="147"/>
        <v>0</v>
      </c>
      <c r="Y251" s="39">
        <v>0</v>
      </c>
      <c r="AB251" s="357" t="e">
        <f t="shared" si="127"/>
        <v>#N/A</v>
      </c>
      <c r="AG251" s="307">
        <f t="shared" si="128"/>
        <v>0</v>
      </c>
      <c r="AH251" s="283">
        <f t="shared" si="129"/>
        <v>0</v>
      </c>
      <c r="AI251" t="str">
        <f t="shared" si="130"/>
        <v/>
      </c>
      <c r="AV251" s="36" t="str">
        <f t="shared" si="143"/>
        <v/>
      </c>
      <c r="AW251" s="37" t="e">
        <f t="shared" si="131"/>
        <v>#NUM!</v>
      </c>
      <c r="AX251" s="236" t="e">
        <f t="shared" si="132"/>
        <v>#NUM!</v>
      </c>
      <c r="AY251" s="237" t="e">
        <f t="shared" si="144"/>
        <v>#NUM!</v>
      </c>
      <c r="AZ251" s="238" t="e">
        <f t="shared" si="133"/>
        <v>#NUM!</v>
      </c>
      <c r="BA251" s="237" t="e">
        <f t="shared" si="134"/>
        <v>#NUM!</v>
      </c>
      <c r="BB251" s="238" t="e">
        <f t="shared" si="135"/>
        <v>#NUM!</v>
      </c>
      <c r="BC251" s="239">
        <f>IFERROR(IF(OR($E$11=Resumen!$N$6,$E$8=Resumen!$N$6),Amortización!AY251*0.16,0),"")</f>
        <v>0</v>
      </c>
      <c r="BD251" s="237">
        <f t="shared" si="136"/>
        <v>0</v>
      </c>
      <c r="BE251" s="240">
        <f t="shared" si="117"/>
        <v>0</v>
      </c>
      <c r="BF251" s="43" t="str">
        <f t="shared" si="118"/>
        <v/>
      </c>
      <c r="BH251" s="243" t="e">
        <f t="shared" si="148"/>
        <v>#NUM!</v>
      </c>
      <c r="BI251" s="3"/>
      <c r="BJ251" s="187" t="str">
        <f t="shared" si="137"/>
        <v/>
      </c>
      <c r="BK251" s="42" t="e">
        <f t="shared" si="138"/>
        <v>#NUM!</v>
      </c>
      <c r="BL251" s="45"/>
      <c r="BM251" s="44"/>
    </row>
    <row r="252" spans="3:65" ht="15.5" thickTop="1" thickBot="1" x14ac:dyDescent="0.4">
      <c r="C252" s="36" t="str">
        <f t="shared" si="142"/>
        <v/>
      </c>
      <c r="D252" s="37" t="e">
        <f t="shared" si="139"/>
        <v>#NUM!</v>
      </c>
      <c r="E252" s="236">
        <f t="shared" si="145"/>
        <v>0</v>
      </c>
      <c r="F252" s="237" t="e">
        <f t="shared" si="146"/>
        <v>#NUM!</v>
      </c>
      <c r="G252" s="238" t="e">
        <f>IF(D252="","",L251*Resumen!$L$86/1000)</f>
        <v>#NUM!</v>
      </c>
      <c r="H252" s="237" t="e">
        <f t="shared" si="119"/>
        <v>#NUM!</v>
      </c>
      <c r="I252" s="238" t="e">
        <f>IF($E$16=$V$1,0,IF(D252="","",Amortización!$AE$14))</f>
        <v>#NUM!</v>
      </c>
      <c r="J252" s="239">
        <f>IFERROR(IF(OR($E$11=Resumen!$N$6,$E$8=Resumen!$N$6),Amortización!F252*0.16,0),"")</f>
        <v>0</v>
      </c>
      <c r="K252" s="237">
        <f t="shared" si="120"/>
        <v>0</v>
      </c>
      <c r="L252" s="240">
        <f t="shared" si="121"/>
        <v>0</v>
      </c>
      <c r="M252" s="43" t="str">
        <f t="shared" si="116"/>
        <v/>
      </c>
      <c r="N252" s="44" t="str">
        <f t="shared" si="122"/>
        <v/>
      </c>
      <c r="O252" s="44" t="str">
        <f t="shared" si="123"/>
        <v/>
      </c>
      <c r="P252" s="44" t="str">
        <f t="shared" si="124"/>
        <v/>
      </c>
      <c r="Q252" s="236" t="str">
        <f>IF(OR(L251=0,L251=""),"",IF(E252&gt;=D252,0,$E$17*10%))</f>
        <v/>
      </c>
      <c r="R252" s="243" t="e">
        <f t="shared" si="140"/>
        <v>#NUM!</v>
      </c>
      <c r="T252" s="187" t="str">
        <f t="shared" si="141"/>
        <v/>
      </c>
      <c r="U252" s="42" t="e">
        <f t="shared" si="125"/>
        <v>#NUM!</v>
      </c>
      <c r="V252" s="45">
        <f t="shared" si="126"/>
        <v>0</v>
      </c>
      <c r="X252" s="272" t="b">
        <f t="shared" si="147"/>
        <v>0</v>
      </c>
      <c r="Y252" s="39">
        <v>0</v>
      </c>
      <c r="AB252" s="357" t="e">
        <f t="shared" si="127"/>
        <v>#N/A</v>
      </c>
      <c r="AG252" s="307">
        <f t="shared" si="128"/>
        <v>0</v>
      </c>
      <c r="AH252" s="283">
        <f t="shared" si="129"/>
        <v>0</v>
      </c>
      <c r="AI252" t="str">
        <f t="shared" si="130"/>
        <v/>
      </c>
      <c r="AV252" s="36" t="str">
        <f t="shared" si="143"/>
        <v/>
      </c>
      <c r="AW252" s="37" t="e">
        <f t="shared" si="131"/>
        <v>#NUM!</v>
      </c>
      <c r="AX252" s="236" t="e">
        <f t="shared" si="132"/>
        <v>#NUM!</v>
      </c>
      <c r="AY252" s="237" t="e">
        <f t="shared" si="144"/>
        <v>#NUM!</v>
      </c>
      <c r="AZ252" s="238" t="e">
        <f t="shared" si="133"/>
        <v>#NUM!</v>
      </c>
      <c r="BA252" s="237" t="e">
        <f t="shared" si="134"/>
        <v>#NUM!</v>
      </c>
      <c r="BB252" s="238" t="e">
        <f t="shared" si="135"/>
        <v>#NUM!</v>
      </c>
      <c r="BC252" s="239">
        <f>IFERROR(IF(OR($E$11=Resumen!$N$6,$E$8=Resumen!$N$6),Amortización!AY252*0.16,0),"")</f>
        <v>0</v>
      </c>
      <c r="BD252" s="237">
        <f t="shared" si="136"/>
        <v>0</v>
      </c>
      <c r="BE252" s="240">
        <f t="shared" si="117"/>
        <v>0</v>
      </c>
      <c r="BF252" s="43" t="str">
        <f t="shared" si="118"/>
        <v/>
      </c>
      <c r="BH252" s="243" t="e">
        <f t="shared" si="148"/>
        <v>#NUM!</v>
      </c>
      <c r="BI252" s="3"/>
      <c r="BJ252" s="187" t="str">
        <f t="shared" si="137"/>
        <v/>
      </c>
      <c r="BK252" s="42" t="e">
        <f t="shared" si="138"/>
        <v>#NUM!</v>
      </c>
      <c r="BL252" s="45"/>
      <c r="BM252" s="236"/>
    </row>
    <row r="253" spans="3:65" ht="15.5" thickTop="1" thickBot="1" x14ac:dyDescent="0.4">
      <c r="C253" s="36" t="str">
        <f t="shared" si="142"/>
        <v/>
      </c>
      <c r="D253" s="37" t="e">
        <f t="shared" si="139"/>
        <v>#NUM!</v>
      </c>
      <c r="E253" s="236">
        <f t="shared" si="145"/>
        <v>0</v>
      </c>
      <c r="F253" s="237" t="e">
        <f t="shared" si="146"/>
        <v>#NUM!</v>
      </c>
      <c r="G253" s="238" t="e">
        <f>IF(D253="","",L252*Resumen!$L$86/1000)</f>
        <v>#NUM!</v>
      </c>
      <c r="H253" s="237" t="e">
        <f t="shared" si="119"/>
        <v>#NUM!</v>
      </c>
      <c r="I253" s="238" t="e">
        <f>IF($E$16=$V$1,0,IF(D253="","",Amortización!$AE$14))</f>
        <v>#NUM!</v>
      </c>
      <c r="J253" s="239">
        <f>IFERROR(IF(OR($E$11=Resumen!$N$6,$E$8=Resumen!$N$6),Amortización!F253*0.16,0),"")</f>
        <v>0</v>
      </c>
      <c r="K253" s="237">
        <f t="shared" si="120"/>
        <v>0</v>
      </c>
      <c r="L253" s="240">
        <f t="shared" si="121"/>
        <v>0</v>
      </c>
      <c r="M253" s="43" t="str">
        <f t="shared" si="116"/>
        <v/>
      </c>
      <c r="N253" s="44" t="str">
        <f t="shared" si="122"/>
        <v/>
      </c>
      <c r="O253" s="44" t="str">
        <f t="shared" si="123"/>
        <v/>
      </c>
      <c r="P253" s="44" t="str">
        <f t="shared" si="124"/>
        <v/>
      </c>
      <c r="Q253" s="44"/>
      <c r="R253" s="243" t="e">
        <f t="shared" si="140"/>
        <v>#NUM!</v>
      </c>
      <c r="T253" s="187" t="str">
        <f t="shared" si="141"/>
        <v/>
      </c>
      <c r="U253" s="42" t="e">
        <f t="shared" si="125"/>
        <v>#NUM!</v>
      </c>
      <c r="V253" s="45">
        <f t="shared" si="126"/>
        <v>0</v>
      </c>
      <c r="X253" s="272" t="b">
        <f t="shared" si="147"/>
        <v>0</v>
      </c>
      <c r="Y253" s="39">
        <v>0</v>
      </c>
      <c r="AB253" s="357" t="e">
        <f t="shared" si="127"/>
        <v>#N/A</v>
      </c>
      <c r="AG253" s="307">
        <f t="shared" si="128"/>
        <v>0</v>
      </c>
      <c r="AH253" s="283">
        <f t="shared" si="129"/>
        <v>0</v>
      </c>
      <c r="AI253" t="str">
        <f t="shared" si="130"/>
        <v/>
      </c>
      <c r="AV253" s="36" t="str">
        <f t="shared" si="143"/>
        <v/>
      </c>
      <c r="AW253" s="37" t="e">
        <f t="shared" si="131"/>
        <v>#NUM!</v>
      </c>
      <c r="AX253" s="236" t="e">
        <f t="shared" si="132"/>
        <v>#NUM!</v>
      </c>
      <c r="AY253" s="237" t="e">
        <f t="shared" si="144"/>
        <v>#NUM!</v>
      </c>
      <c r="AZ253" s="238" t="e">
        <f t="shared" si="133"/>
        <v>#NUM!</v>
      </c>
      <c r="BA253" s="237" t="e">
        <f t="shared" si="134"/>
        <v>#NUM!</v>
      </c>
      <c r="BB253" s="238" t="e">
        <f t="shared" si="135"/>
        <v>#NUM!</v>
      </c>
      <c r="BC253" s="239">
        <f>IFERROR(IF(OR($E$11=Resumen!$N$6,$E$8=Resumen!$N$6),Amortización!AY253*0.16,0),"")</f>
        <v>0</v>
      </c>
      <c r="BD253" s="237">
        <f t="shared" si="136"/>
        <v>0</v>
      </c>
      <c r="BE253" s="240">
        <f t="shared" si="117"/>
        <v>0</v>
      </c>
      <c r="BF253" s="43" t="str">
        <f t="shared" si="118"/>
        <v/>
      </c>
      <c r="BH253" s="243" t="e">
        <f t="shared" si="148"/>
        <v>#NUM!</v>
      </c>
      <c r="BI253" s="3"/>
      <c r="BJ253" s="187" t="str">
        <f t="shared" si="137"/>
        <v/>
      </c>
      <c r="BK253" s="42" t="e">
        <f t="shared" si="138"/>
        <v>#NUM!</v>
      </c>
      <c r="BL253" s="45"/>
      <c r="BM253" s="44"/>
    </row>
    <row r="254" spans="3:65" ht="15.5" thickTop="1" thickBot="1" x14ac:dyDescent="0.4">
      <c r="C254" s="36" t="str">
        <f t="shared" si="142"/>
        <v/>
      </c>
      <c r="D254" s="37" t="e">
        <f t="shared" si="139"/>
        <v>#NUM!</v>
      </c>
      <c r="E254" s="236">
        <f t="shared" si="145"/>
        <v>0</v>
      </c>
      <c r="F254" s="237" t="e">
        <f t="shared" si="146"/>
        <v>#NUM!</v>
      </c>
      <c r="G254" s="238" t="e">
        <f>IF(D254="","",L253*Resumen!$L$86/1000)</f>
        <v>#NUM!</v>
      </c>
      <c r="H254" s="237" t="e">
        <f t="shared" si="119"/>
        <v>#NUM!</v>
      </c>
      <c r="I254" s="238" t="e">
        <f>IF($E$16=$V$1,0,IF(D254="","",Amortización!$AE$14))</f>
        <v>#NUM!</v>
      </c>
      <c r="J254" s="239">
        <f>IFERROR(IF(OR($E$11=Resumen!$N$6,$E$8=Resumen!$N$6),Amortización!F254*0.16,0),"")</f>
        <v>0</v>
      </c>
      <c r="K254" s="237">
        <f t="shared" si="120"/>
        <v>0</v>
      </c>
      <c r="L254" s="240">
        <f t="shared" si="121"/>
        <v>0</v>
      </c>
      <c r="M254" s="43" t="str">
        <f t="shared" si="116"/>
        <v/>
      </c>
      <c r="N254" s="44" t="str">
        <f t="shared" si="122"/>
        <v/>
      </c>
      <c r="O254" s="44" t="str">
        <f t="shared" si="123"/>
        <v/>
      </c>
      <c r="P254" s="44" t="str">
        <f t="shared" si="124"/>
        <v/>
      </c>
      <c r="Q254" s="236" t="str">
        <f>IF(OR(L253=0,L253=""),"",IF(E254&gt;=D254,0,$E$17*10%))</f>
        <v/>
      </c>
      <c r="R254" s="243" t="e">
        <f t="shared" si="140"/>
        <v>#NUM!</v>
      </c>
      <c r="T254" s="187" t="str">
        <f t="shared" si="141"/>
        <v/>
      </c>
      <c r="U254" s="42" t="e">
        <f t="shared" si="125"/>
        <v>#NUM!</v>
      </c>
      <c r="V254" s="45">
        <f t="shared" si="126"/>
        <v>0</v>
      </c>
      <c r="X254" s="272" t="b">
        <f t="shared" si="147"/>
        <v>0</v>
      </c>
      <c r="Y254" s="39">
        <v>0</v>
      </c>
      <c r="AB254" s="357" t="e">
        <f t="shared" si="127"/>
        <v>#N/A</v>
      </c>
      <c r="AG254" s="307">
        <f t="shared" si="128"/>
        <v>0</v>
      </c>
      <c r="AH254" s="283">
        <f t="shared" si="129"/>
        <v>0</v>
      </c>
      <c r="AI254" t="str">
        <f t="shared" si="130"/>
        <v/>
      </c>
      <c r="AV254" s="36" t="str">
        <f t="shared" si="143"/>
        <v/>
      </c>
      <c r="AW254" s="37" t="e">
        <f t="shared" si="131"/>
        <v>#NUM!</v>
      </c>
      <c r="AX254" s="236" t="e">
        <f t="shared" si="132"/>
        <v>#NUM!</v>
      </c>
      <c r="AY254" s="237" t="e">
        <f t="shared" si="144"/>
        <v>#NUM!</v>
      </c>
      <c r="AZ254" s="238" t="e">
        <f t="shared" si="133"/>
        <v>#NUM!</v>
      </c>
      <c r="BA254" s="237" t="e">
        <f t="shared" si="134"/>
        <v>#NUM!</v>
      </c>
      <c r="BB254" s="238" t="e">
        <f t="shared" si="135"/>
        <v>#NUM!</v>
      </c>
      <c r="BC254" s="239">
        <f>IFERROR(IF(OR($E$11=Resumen!$N$6,$E$8=Resumen!$N$6),Amortización!AY254*0.16,0),"")</f>
        <v>0</v>
      </c>
      <c r="BD254" s="237">
        <f t="shared" si="136"/>
        <v>0</v>
      </c>
      <c r="BE254" s="240">
        <f t="shared" si="117"/>
        <v>0</v>
      </c>
      <c r="BF254" s="43" t="str">
        <f t="shared" si="118"/>
        <v/>
      </c>
      <c r="BH254" s="243" t="e">
        <f t="shared" si="148"/>
        <v>#NUM!</v>
      </c>
      <c r="BI254" s="3"/>
      <c r="BJ254" s="187" t="str">
        <f t="shared" si="137"/>
        <v/>
      </c>
      <c r="BK254" s="42" t="e">
        <f t="shared" si="138"/>
        <v>#NUM!</v>
      </c>
      <c r="BL254" s="45"/>
      <c r="BM254" s="236"/>
    </row>
    <row r="255" spans="3:65" ht="15.5" thickTop="1" thickBot="1" x14ac:dyDescent="0.4">
      <c r="C255" s="36" t="str">
        <f t="shared" si="142"/>
        <v/>
      </c>
      <c r="D255" s="37" t="e">
        <f t="shared" si="139"/>
        <v>#NUM!</v>
      </c>
      <c r="E255" s="236">
        <f t="shared" si="145"/>
        <v>0</v>
      </c>
      <c r="F255" s="237" t="e">
        <f t="shared" si="146"/>
        <v>#NUM!</v>
      </c>
      <c r="G255" s="238" t="e">
        <f>IF(D255="","",L254*Resumen!$L$86/1000)</f>
        <v>#NUM!</v>
      </c>
      <c r="H255" s="237" t="e">
        <f t="shared" si="119"/>
        <v>#NUM!</v>
      </c>
      <c r="I255" s="238" t="e">
        <f>IF($E$16=$V$1,0,IF(D255="","",Amortización!$AE$14))</f>
        <v>#NUM!</v>
      </c>
      <c r="J255" s="239">
        <f>IFERROR(IF(OR($E$11=Resumen!$N$6,$E$8=Resumen!$N$6),Amortización!F255*0.16,0),"")</f>
        <v>0</v>
      </c>
      <c r="K255" s="237">
        <f t="shared" si="120"/>
        <v>0</v>
      </c>
      <c r="L255" s="240">
        <f t="shared" si="121"/>
        <v>0</v>
      </c>
      <c r="M255" s="43" t="str">
        <f t="shared" si="116"/>
        <v/>
      </c>
      <c r="N255" s="44" t="str">
        <f t="shared" si="122"/>
        <v/>
      </c>
      <c r="O255" s="44" t="str">
        <f t="shared" si="123"/>
        <v/>
      </c>
      <c r="P255" s="44" t="str">
        <f t="shared" si="124"/>
        <v/>
      </c>
      <c r="Q255" s="44"/>
      <c r="R255" s="243" t="e">
        <f t="shared" si="140"/>
        <v>#NUM!</v>
      </c>
      <c r="T255" s="187" t="str">
        <f t="shared" si="141"/>
        <v/>
      </c>
      <c r="U255" s="42" t="e">
        <f t="shared" si="125"/>
        <v>#NUM!</v>
      </c>
      <c r="V255" s="45">
        <f t="shared" si="126"/>
        <v>0</v>
      </c>
      <c r="X255" s="272" t="b">
        <f t="shared" si="147"/>
        <v>0</v>
      </c>
      <c r="Y255" s="39">
        <v>0</v>
      </c>
      <c r="AB255" s="357" t="e">
        <f t="shared" si="127"/>
        <v>#N/A</v>
      </c>
      <c r="AG255" s="307">
        <f t="shared" si="128"/>
        <v>0</v>
      </c>
      <c r="AH255" s="283">
        <f t="shared" si="129"/>
        <v>0</v>
      </c>
      <c r="AI255" t="str">
        <f t="shared" si="130"/>
        <v/>
      </c>
      <c r="AV255" s="36" t="str">
        <f t="shared" si="143"/>
        <v/>
      </c>
      <c r="AW255" s="37" t="e">
        <f t="shared" si="131"/>
        <v>#NUM!</v>
      </c>
      <c r="AX255" s="236" t="e">
        <f t="shared" si="132"/>
        <v>#NUM!</v>
      </c>
      <c r="AY255" s="237" t="e">
        <f t="shared" si="144"/>
        <v>#NUM!</v>
      </c>
      <c r="AZ255" s="238" t="e">
        <f t="shared" si="133"/>
        <v>#NUM!</v>
      </c>
      <c r="BA255" s="237" t="e">
        <f t="shared" si="134"/>
        <v>#NUM!</v>
      </c>
      <c r="BB255" s="238" t="e">
        <f t="shared" si="135"/>
        <v>#NUM!</v>
      </c>
      <c r="BC255" s="239">
        <f>IFERROR(IF(OR($E$11=Resumen!$N$6,$E$8=Resumen!$N$6),Amortización!AY255*0.16,0),"")</f>
        <v>0</v>
      </c>
      <c r="BD255" s="237">
        <f t="shared" si="136"/>
        <v>0</v>
      </c>
      <c r="BE255" s="240">
        <f t="shared" si="117"/>
        <v>0</v>
      </c>
      <c r="BF255" s="43" t="str">
        <f t="shared" si="118"/>
        <v/>
      </c>
      <c r="BH255" s="243" t="e">
        <f t="shared" si="148"/>
        <v>#NUM!</v>
      </c>
      <c r="BI255" s="3"/>
      <c r="BJ255" s="187" t="str">
        <f t="shared" si="137"/>
        <v/>
      </c>
      <c r="BK255" s="42" t="e">
        <f t="shared" si="138"/>
        <v>#NUM!</v>
      </c>
      <c r="BL255" s="45"/>
      <c r="BM255" s="44"/>
    </row>
    <row r="256" spans="3:65" ht="15.5" thickTop="1" thickBot="1" x14ac:dyDescent="0.4">
      <c r="C256" s="36" t="str">
        <f t="shared" si="142"/>
        <v/>
      </c>
      <c r="D256" s="37" t="e">
        <f t="shared" si="139"/>
        <v>#NUM!</v>
      </c>
      <c r="E256" s="236">
        <f t="shared" si="145"/>
        <v>0</v>
      </c>
      <c r="F256" s="237" t="e">
        <f t="shared" si="146"/>
        <v>#NUM!</v>
      </c>
      <c r="G256" s="238" t="e">
        <f>IF(D256="","",L255*Resumen!$L$86/1000)</f>
        <v>#NUM!</v>
      </c>
      <c r="H256" s="237" t="e">
        <f t="shared" si="119"/>
        <v>#NUM!</v>
      </c>
      <c r="I256" s="238" t="e">
        <f>IF($E$16=$V$1,0,IF(D256="","",Amortización!$AE$14))</f>
        <v>#NUM!</v>
      </c>
      <c r="J256" s="239">
        <f>IFERROR(IF(OR($E$11=Resumen!$N$6,$E$8=Resumen!$N$6),Amortización!F256*0.16,0),"")</f>
        <v>0</v>
      </c>
      <c r="K256" s="237">
        <f t="shared" si="120"/>
        <v>0</v>
      </c>
      <c r="L256" s="240">
        <f t="shared" si="121"/>
        <v>0</v>
      </c>
      <c r="M256" s="43" t="str">
        <f t="shared" si="116"/>
        <v/>
      </c>
      <c r="N256" s="44" t="str">
        <f t="shared" si="122"/>
        <v/>
      </c>
      <c r="O256" s="44" t="str">
        <f t="shared" si="123"/>
        <v/>
      </c>
      <c r="P256" s="44" t="str">
        <f t="shared" si="124"/>
        <v/>
      </c>
      <c r="Q256" s="236" t="str">
        <f>IF(OR(L255=0,L255=""),"",IF(E256&gt;=D256,0,$E$17*10%))</f>
        <v/>
      </c>
      <c r="R256" s="243" t="e">
        <f t="shared" si="140"/>
        <v>#NUM!</v>
      </c>
      <c r="T256" s="187" t="str">
        <f t="shared" si="141"/>
        <v/>
      </c>
      <c r="U256" s="42" t="e">
        <f t="shared" si="125"/>
        <v>#NUM!</v>
      </c>
      <c r="V256" s="45">
        <f t="shared" si="126"/>
        <v>0</v>
      </c>
      <c r="X256" s="272" t="b">
        <f t="shared" si="147"/>
        <v>0</v>
      </c>
      <c r="Y256" s="39">
        <v>0</v>
      </c>
      <c r="AB256" s="357" t="e">
        <f t="shared" si="127"/>
        <v>#N/A</v>
      </c>
      <c r="AG256" s="307">
        <f t="shared" si="128"/>
        <v>0</v>
      </c>
      <c r="AH256" s="283">
        <f t="shared" si="129"/>
        <v>0</v>
      </c>
      <c r="AI256" t="str">
        <f t="shared" si="130"/>
        <v/>
      </c>
      <c r="AV256" s="36" t="str">
        <f t="shared" si="143"/>
        <v/>
      </c>
      <c r="AW256" s="37" t="e">
        <f t="shared" si="131"/>
        <v>#NUM!</v>
      </c>
      <c r="AX256" s="236" t="e">
        <f t="shared" si="132"/>
        <v>#NUM!</v>
      </c>
      <c r="AY256" s="237" t="e">
        <f t="shared" si="144"/>
        <v>#NUM!</v>
      </c>
      <c r="AZ256" s="238" t="e">
        <f t="shared" si="133"/>
        <v>#NUM!</v>
      </c>
      <c r="BA256" s="237" t="e">
        <f t="shared" si="134"/>
        <v>#NUM!</v>
      </c>
      <c r="BB256" s="238" t="e">
        <f t="shared" si="135"/>
        <v>#NUM!</v>
      </c>
      <c r="BC256" s="239">
        <f>IFERROR(IF(OR($E$11=Resumen!$N$6,$E$8=Resumen!$N$6),Amortización!AY256*0.16,0),"")</f>
        <v>0</v>
      </c>
      <c r="BD256" s="237">
        <f t="shared" si="136"/>
        <v>0</v>
      </c>
      <c r="BE256" s="240">
        <f t="shared" si="117"/>
        <v>0</v>
      </c>
      <c r="BF256" s="43" t="str">
        <f t="shared" si="118"/>
        <v/>
      </c>
      <c r="BH256" s="243" t="e">
        <f t="shared" si="148"/>
        <v>#NUM!</v>
      </c>
      <c r="BI256" s="3"/>
      <c r="BJ256" s="187" t="str">
        <f t="shared" si="137"/>
        <v/>
      </c>
      <c r="BK256" s="42" t="e">
        <f t="shared" si="138"/>
        <v>#NUM!</v>
      </c>
      <c r="BL256" s="45"/>
      <c r="BM256" s="236"/>
    </row>
    <row r="257" spans="3:65" ht="15.5" thickTop="1" thickBot="1" x14ac:dyDescent="0.4">
      <c r="C257" s="36" t="str">
        <f t="shared" si="142"/>
        <v/>
      </c>
      <c r="D257" s="37" t="e">
        <f t="shared" si="139"/>
        <v>#NUM!</v>
      </c>
      <c r="E257" s="236">
        <f t="shared" si="145"/>
        <v>0</v>
      </c>
      <c r="F257" s="237" t="e">
        <f t="shared" si="146"/>
        <v>#NUM!</v>
      </c>
      <c r="G257" s="238" t="e">
        <f>IF(D257="","",L256*Resumen!$L$86/1000)</f>
        <v>#NUM!</v>
      </c>
      <c r="H257" s="237" t="e">
        <f t="shared" si="119"/>
        <v>#NUM!</v>
      </c>
      <c r="I257" s="238" t="e">
        <f>IF($E$16=$V$1,0,IF(D257="","",Amortización!$AE$14))</f>
        <v>#NUM!</v>
      </c>
      <c r="J257" s="239">
        <f>IFERROR(IF(OR($E$11=Resumen!$N$6,$E$8=Resumen!$N$6),Amortización!F257*0.16,0),"")</f>
        <v>0</v>
      </c>
      <c r="K257" s="237">
        <f t="shared" si="120"/>
        <v>0</v>
      </c>
      <c r="L257" s="240">
        <f t="shared" si="121"/>
        <v>0</v>
      </c>
      <c r="M257" s="43" t="str">
        <f t="shared" si="116"/>
        <v/>
      </c>
      <c r="N257" s="44" t="str">
        <f t="shared" si="122"/>
        <v/>
      </c>
      <c r="O257" s="44" t="str">
        <f t="shared" si="123"/>
        <v/>
      </c>
      <c r="P257" s="44" t="str">
        <f t="shared" si="124"/>
        <v/>
      </c>
      <c r="Q257" s="44"/>
      <c r="R257" s="243" t="e">
        <f t="shared" si="140"/>
        <v>#NUM!</v>
      </c>
      <c r="T257" s="187" t="str">
        <f t="shared" si="141"/>
        <v/>
      </c>
      <c r="U257" s="42" t="e">
        <f t="shared" si="125"/>
        <v>#NUM!</v>
      </c>
      <c r="V257" s="45">
        <f t="shared" si="126"/>
        <v>0</v>
      </c>
      <c r="X257" s="272" t="b">
        <f t="shared" si="147"/>
        <v>0</v>
      </c>
      <c r="Y257" s="39">
        <v>0</v>
      </c>
      <c r="AB257" s="357" t="e">
        <f t="shared" si="127"/>
        <v>#N/A</v>
      </c>
      <c r="AG257" s="307">
        <f t="shared" si="128"/>
        <v>0</v>
      </c>
      <c r="AH257" s="283">
        <f t="shared" si="129"/>
        <v>0</v>
      </c>
      <c r="AI257" t="str">
        <f t="shared" si="130"/>
        <v/>
      </c>
      <c r="AV257" s="36" t="str">
        <f t="shared" si="143"/>
        <v/>
      </c>
      <c r="AW257" s="37" t="e">
        <f t="shared" si="131"/>
        <v>#NUM!</v>
      </c>
      <c r="AX257" s="236" t="e">
        <f t="shared" si="132"/>
        <v>#NUM!</v>
      </c>
      <c r="AY257" s="237" t="e">
        <f t="shared" si="144"/>
        <v>#NUM!</v>
      </c>
      <c r="AZ257" s="238" t="e">
        <f t="shared" si="133"/>
        <v>#NUM!</v>
      </c>
      <c r="BA257" s="237" t="e">
        <f t="shared" si="134"/>
        <v>#NUM!</v>
      </c>
      <c r="BB257" s="238" t="e">
        <f t="shared" si="135"/>
        <v>#NUM!</v>
      </c>
      <c r="BC257" s="239">
        <f>IFERROR(IF(OR($E$11=Resumen!$N$6,$E$8=Resumen!$N$6),Amortización!AY257*0.16,0),"")</f>
        <v>0</v>
      </c>
      <c r="BD257" s="237">
        <f t="shared" si="136"/>
        <v>0</v>
      </c>
      <c r="BE257" s="240">
        <f t="shared" si="117"/>
        <v>0</v>
      </c>
      <c r="BF257" s="43" t="str">
        <f t="shared" si="118"/>
        <v/>
      </c>
      <c r="BH257" s="243" t="e">
        <f t="shared" si="148"/>
        <v>#NUM!</v>
      </c>
      <c r="BI257" s="3"/>
      <c r="BJ257" s="187" t="str">
        <f t="shared" si="137"/>
        <v/>
      </c>
      <c r="BK257" s="42" t="e">
        <f t="shared" si="138"/>
        <v>#NUM!</v>
      </c>
      <c r="BL257" s="45"/>
      <c r="BM257" s="44"/>
    </row>
    <row r="258" spans="3:65" ht="15.5" thickTop="1" thickBot="1" x14ac:dyDescent="0.4">
      <c r="C258" s="36" t="str">
        <f t="shared" si="142"/>
        <v/>
      </c>
      <c r="D258" s="37" t="e">
        <f t="shared" si="139"/>
        <v>#NUM!</v>
      </c>
      <c r="E258" s="236">
        <f t="shared" si="145"/>
        <v>0</v>
      </c>
      <c r="F258" s="237" t="e">
        <f t="shared" si="146"/>
        <v>#NUM!</v>
      </c>
      <c r="G258" s="238" t="e">
        <f>IF(D258="","",L257*Resumen!$L$86/1000)</f>
        <v>#NUM!</v>
      </c>
      <c r="H258" s="237" t="e">
        <f t="shared" si="119"/>
        <v>#NUM!</v>
      </c>
      <c r="I258" s="238" t="e">
        <f>IF($E$16=$V$1,0,IF(D258="","",Amortización!$AE$14))</f>
        <v>#NUM!</v>
      </c>
      <c r="J258" s="239">
        <f>IFERROR(IF(OR($E$11=Resumen!$N$6,$E$8=Resumen!$N$6),Amortización!F258*0.16,0),"")</f>
        <v>0</v>
      </c>
      <c r="K258" s="237">
        <f t="shared" si="120"/>
        <v>0</v>
      </c>
      <c r="L258" s="240">
        <f t="shared" si="121"/>
        <v>0</v>
      </c>
      <c r="M258" s="43" t="str">
        <f t="shared" si="116"/>
        <v/>
      </c>
      <c r="N258" s="44" t="str">
        <f t="shared" si="122"/>
        <v/>
      </c>
      <c r="O258" s="44" t="str">
        <f t="shared" si="123"/>
        <v/>
      </c>
      <c r="P258" s="44" t="str">
        <f t="shared" si="124"/>
        <v/>
      </c>
      <c r="Q258" s="236" t="str">
        <f>IF(OR(L257=0,L257=""),"",IF(E258&gt;=D258,0,$E$17*10%))</f>
        <v/>
      </c>
      <c r="R258" s="243" t="e">
        <f t="shared" si="140"/>
        <v>#NUM!</v>
      </c>
      <c r="T258" s="187" t="str">
        <f t="shared" si="141"/>
        <v/>
      </c>
      <c r="U258" s="42" t="e">
        <f t="shared" si="125"/>
        <v>#NUM!</v>
      </c>
      <c r="V258" s="45">
        <f t="shared" si="126"/>
        <v>0</v>
      </c>
      <c r="X258" s="272" t="b">
        <f t="shared" si="147"/>
        <v>0</v>
      </c>
      <c r="Y258" s="39">
        <v>0</v>
      </c>
      <c r="AB258" s="357" t="e">
        <f t="shared" si="127"/>
        <v>#N/A</v>
      </c>
      <c r="AG258" s="307">
        <f t="shared" si="128"/>
        <v>0</v>
      </c>
      <c r="AH258" s="283">
        <f t="shared" si="129"/>
        <v>0</v>
      </c>
      <c r="AI258" t="str">
        <f t="shared" si="130"/>
        <v/>
      </c>
      <c r="AV258" s="36" t="str">
        <f t="shared" si="143"/>
        <v/>
      </c>
      <c r="AW258" s="37" t="e">
        <f t="shared" si="131"/>
        <v>#NUM!</v>
      </c>
      <c r="AX258" s="236" t="e">
        <f t="shared" si="132"/>
        <v>#NUM!</v>
      </c>
      <c r="AY258" s="237" t="e">
        <f t="shared" si="144"/>
        <v>#NUM!</v>
      </c>
      <c r="AZ258" s="238" t="e">
        <f t="shared" si="133"/>
        <v>#NUM!</v>
      </c>
      <c r="BA258" s="237" t="e">
        <f t="shared" si="134"/>
        <v>#NUM!</v>
      </c>
      <c r="BB258" s="238" t="e">
        <f t="shared" si="135"/>
        <v>#NUM!</v>
      </c>
      <c r="BC258" s="239">
        <f>IFERROR(IF(OR($E$11=Resumen!$N$6,$E$8=Resumen!$N$6),Amortización!AY258*0.16,0),"")</f>
        <v>0</v>
      </c>
      <c r="BD258" s="237">
        <f t="shared" si="136"/>
        <v>0</v>
      </c>
      <c r="BE258" s="240">
        <f t="shared" si="117"/>
        <v>0</v>
      </c>
      <c r="BF258" s="43" t="str">
        <f t="shared" si="118"/>
        <v/>
      </c>
      <c r="BH258" s="243" t="e">
        <f t="shared" si="148"/>
        <v>#NUM!</v>
      </c>
      <c r="BI258" s="3"/>
      <c r="BJ258" s="187" t="str">
        <f t="shared" si="137"/>
        <v/>
      </c>
      <c r="BK258" s="42" t="e">
        <f t="shared" si="138"/>
        <v>#NUM!</v>
      </c>
      <c r="BL258" s="45"/>
      <c r="BM258" s="236"/>
    </row>
    <row r="259" spans="3:65" ht="15.5" thickTop="1" thickBot="1" x14ac:dyDescent="0.4">
      <c r="C259" s="36" t="str">
        <f t="shared" si="142"/>
        <v/>
      </c>
      <c r="D259" s="37" t="e">
        <f t="shared" si="139"/>
        <v>#NUM!</v>
      </c>
      <c r="E259" s="236">
        <f t="shared" si="145"/>
        <v>0</v>
      </c>
      <c r="F259" s="237" t="e">
        <f t="shared" si="146"/>
        <v>#NUM!</v>
      </c>
      <c r="G259" s="238" t="e">
        <f>IF(D259="","",L258*Resumen!$L$86/1000)</f>
        <v>#NUM!</v>
      </c>
      <c r="H259" s="237" t="e">
        <f t="shared" si="119"/>
        <v>#NUM!</v>
      </c>
      <c r="I259" s="238" t="e">
        <f>IF($E$16=$V$1,0,IF(D259="","",Amortización!$AE$14))</f>
        <v>#NUM!</v>
      </c>
      <c r="J259" s="239">
        <f>IFERROR(IF(OR($E$11=Resumen!$N$6,$E$8=Resumen!$N$6),Amortización!F259*0.16,0),"")</f>
        <v>0</v>
      </c>
      <c r="K259" s="237">
        <f t="shared" si="120"/>
        <v>0</v>
      </c>
      <c r="L259" s="240">
        <f t="shared" si="121"/>
        <v>0</v>
      </c>
      <c r="M259" s="43" t="str">
        <f t="shared" si="116"/>
        <v/>
      </c>
      <c r="N259" s="44" t="str">
        <f t="shared" si="122"/>
        <v/>
      </c>
      <c r="O259" s="44" t="str">
        <f t="shared" si="123"/>
        <v/>
      </c>
      <c r="P259" s="44" t="str">
        <f t="shared" si="124"/>
        <v/>
      </c>
      <c r="Q259" s="44"/>
      <c r="R259" s="243" t="e">
        <f t="shared" si="140"/>
        <v>#NUM!</v>
      </c>
      <c r="T259" s="187" t="str">
        <f t="shared" si="141"/>
        <v/>
      </c>
      <c r="U259" s="42" t="e">
        <f t="shared" si="125"/>
        <v>#NUM!</v>
      </c>
      <c r="V259" s="45">
        <f t="shared" si="126"/>
        <v>0</v>
      </c>
      <c r="X259" s="272" t="b">
        <f t="shared" si="147"/>
        <v>0</v>
      </c>
      <c r="Y259" s="39">
        <v>0</v>
      </c>
      <c r="AB259" s="357" t="e">
        <f t="shared" si="127"/>
        <v>#N/A</v>
      </c>
      <c r="AG259" s="307">
        <f t="shared" si="128"/>
        <v>0</v>
      </c>
      <c r="AH259" s="283">
        <f t="shared" si="129"/>
        <v>0</v>
      </c>
      <c r="AI259" t="str">
        <f t="shared" si="130"/>
        <v/>
      </c>
      <c r="AV259" s="36" t="str">
        <f t="shared" si="143"/>
        <v/>
      </c>
      <c r="AW259" s="37" t="e">
        <f t="shared" si="131"/>
        <v>#NUM!</v>
      </c>
      <c r="AX259" s="236" t="e">
        <f t="shared" si="132"/>
        <v>#NUM!</v>
      </c>
      <c r="AY259" s="237" t="e">
        <f t="shared" si="144"/>
        <v>#NUM!</v>
      </c>
      <c r="AZ259" s="238" t="e">
        <f t="shared" si="133"/>
        <v>#NUM!</v>
      </c>
      <c r="BA259" s="237" t="e">
        <f t="shared" si="134"/>
        <v>#NUM!</v>
      </c>
      <c r="BB259" s="238" t="e">
        <f t="shared" si="135"/>
        <v>#NUM!</v>
      </c>
      <c r="BC259" s="239">
        <f>IFERROR(IF(OR($E$11=Resumen!$N$6,$E$8=Resumen!$N$6),Amortización!AY259*0.16,0),"")</f>
        <v>0</v>
      </c>
      <c r="BD259" s="237">
        <f t="shared" si="136"/>
        <v>0</v>
      </c>
      <c r="BE259" s="240">
        <f t="shared" si="117"/>
        <v>0</v>
      </c>
      <c r="BF259" s="43" t="str">
        <f t="shared" si="118"/>
        <v/>
      </c>
      <c r="BH259" s="243" t="e">
        <f t="shared" si="148"/>
        <v>#NUM!</v>
      </c>
      <c r="BI259" s="3"/>
      <c r="BJ259" s="187" t="str">
        <f t="shared" si="137"/>
        <v/>
      </c>
      <c r="BK259" s="42" t="e">
        <f t="shared" si="138"/>
        <v>#NUM!</v>
      </c>
      <c r="BL259" s="45"/>
      <c r="BM259" s="44"/>
    </row>
    <row r="260" spans="3:65" ht="15.5" thickTop="1" thickBot="1" x14ac:dyDescent="0.4">
      <c r="C260" s="36" t="str">
        <f t="shared" si="142"/>
        <v/>
      </c>
      <c r="D260" s="37" t="e">
        <f t="shared" si="139"/>
        <v>#NUM!</v>
      </c>
      <c r="E260" s="236">
        <f t="shared" si="145"/>
        <v>0</v>
      </c>
      <c r="F260" s="237" t="e">
        <f t="shared" si="146"/>
        <v>#NUM!</v>
      </c>
      <c r="G260" s="238" t="e">
        <f>IF(D260="","",L259*Resumen!$L$86/1000)</f>
        <v>#NUM!</v>
      </c>
      <c r="H260" s="237" t="e">
        <f t="shared" si="119"/>
        <v>#NUM!</v>
      </c>
      <c r="I260" s="238" t="e">
        <f>IF($E$16=$V$1,0,IF(D260="","",Amortización!$AE$14))</f>
        <v>#NUM!</v>
      </c>
      <c r="J260" s="239">
        <f>IFERROR(IF(OR($E$11=Resumen!$N$6,$E$8=Resumen!$N$6),Amortización!F260*0.16,0),"")</f>
        <v>0</v>
      </c>
      <c r="K260" s="237">
        <f t="shared" si="120"/>
        <v>0</v>
      </c>
      <c r="L260" s="240">
        <f t="shared" si="121"/>
        <v>0</v>
      </c>
      <c r="M260" s="46" t="str">
        <f t="shared" si="116"/>
        <v/>
      </c>
      <c r="N260" s="44" t="str">
        <f t="shared" si="122"/>
        <v/>
      </c>
      <c r="O260" s="44" t="str">
        <f t="shared" si="123"/>
        <v/>
      </c>
      <c r="P260" s="44" t="str">
        <f t="shared" si="124"/>
        <v/>
      </c>
      <c r="Q260" s="238" t="str">
        <f>IF(OR(L259=0,L259=""),"",IF(E260&gt;=D260,0,$E$17*10%))</f>
        <v/>
      </c>
      <c r="R260" s="243" t="e">
        <f t="shared" si="140"/>
        <v>#NUM!</v>
      </c>
      <c r="S260" s="17"/>
      <c r="T260" s="187" t="str">
        <f t="shared" si="141"/>
        <v/>
      </c>
      <c r="U260" s="42" t="e">
        <f t="shared" si="125"/>
        <v>#NUM!</v>
      </c>
      <c r="V260" s="45">
        <f t="shared" si="126"/>
        <v>0</v>
      </c>
      <c r="W260" s="47"/>
      <c r="X260" s="272" t="b">
        <f t="shared" si="147"/>
        <v>0</v>
      </c>
      <c r="Y260" s="39">
        <v>0</v>
      </c>
      <c r="AB260" s="357" t="e">
        <f t="shared" si="127"/>
        <v>#N/A</v>
      </c>
      <c r="AG260" s="307">
        <f t="shared" si="128"/>
        <v>0</v>
      </c>
      <c r="AH260" s="283">
        <f t="shared" si="129"/>
        <v>0</v>
      </c>
      <c r="AI260" t="str">
        <f t="shared" si="130"/>
        <v/>
      </c>
      <c r="AV260" s="36" t="str">
        <f t="shared" si="143"/>
        <v/>
      </c>
      <c r="AW260" s="37" t="e">
        <f t="shared" si="131"/>
        <v>#NUM!</v>
      </c>
      <c r="AX260" s="236" t="e">
        <f t="shared" si="132"/>
        <v>#NUM!</v>
      </c>
      <c r="AY260" s="237" t="e">
        <f t="shared" si="144"/>
        <v>#NUM!</v>
      </c>
      <c r="AZ260" s="238" t="e">
        <f t="shared" si="133"/>
        <v>#NUM!</v>
      </c>
      <c r="BA260" s="237" t="e">
        <f t="shared" si="134"/>
        <v>#NUM!</v>
      </c>
      <c r="BB260" s="238" t="e">
        <f t="shared" si="135"/>
        <v>#NUM!</v>
      </c>
      <c r="BC260" s="239">
        <f>IFERROR(IF(OR($E$11=Resumen!$N$6,$E$8=Resumen!$N$6),Amortización!AY260*0.16,0),"")</f>
        <v>0</v>
      </c>
      <c r="BD260" s="237">
        <f t="shared" si="136"/>
        <v>0</v>
      </c>
      <c r="BE260" s="240">
        <f t="shared" si="117"/>
        <v>0</v>
      </c>
      <c r="BF260" s="46" t="str">
        <f t="shared" si="118"/>
        <v/>
      </c>
      <c r="BH260" s="243" t="e">
        <f t="shared" si="148"/>
        <v>#NUM!</v>
      </c>
      <c r="BI260" s="17"/>
      <c r="BJ260" s="187" t="str">
        <f t="shared" si="137"/>
        <v/>
      </c>
      <c r="BK260" s="42" t="e">
        <f t="shared" si="138"/>
        <v>#NUM!</v>
      </c>
      <c r="BL260" s="45"/>
      <c r="BM260" s="238"/>
    </row>
    <row r="261" spans="3:65" ht="15.5" thickTop="1" thickBot="1" x14ac:dyDescent="0.4">
      <c r="C261" s="36" t="str">
        <f t="shared" si="142"/>
        <v/>
      </c>
      <c r="D261" s="37" t="e">
        <f t="shared" si="139"/>
        <v>#NUM!</v>
      </c>
      <c r="E261" s="236">
        <f t="shared" si="145"/>
        <v>0</v>
      </c>
      <c r="F261" s="237" t="e">
        <f>IF(D261="","",D261*(R261/12))</f>
        <v>#NUM!</v>
      </c>
      <c r="G261" s="238" t="e">
        <f>IF(D261="","",L260*Resumen!$L$86/1000)</f>
        <v>#NUM!</v>
      </c>
      <c r="H261" s="237" t="e">
        <f t="shared" si="119"/>
        <v>#NUM!</v>
      </c>
      <c r="I261" s="238" t="e">
        <f>IF($E$16=$V$1,0,IF(D261="","",Amortización!$AE$14))</f>
        <v>#NUM!</v>
      </c>
      <c r="J261" s="239">
        <f>IFERROR(IF(OR($E$11=Resumen!$N$6,$E$8=Resumen!$N$6),Amortización!F261*0.16,0),"")</f>
        <v>0</v>
      </c>
      <c r="K261" s="237">
        <f t="shared" si="120"/>
        <v>0</v>
      </c>
      <c r="L261" s="240">
        <f t="shared" si="121"/>
        <v>0</v>
      </c>
      <c r="M261" s="46" t="str">
        <f>IF(OR(L260=0,L260=""),"",0)</f>
        <v/>
      </c>
      <c r="N261" s="44" t="str">
        <f t="shared" si="122"/>
        <v/>
      </c>
      <c r="O261" s="44" t="str">
        <f t="shared" si="123"/>
        <v/>
      </c>
      <c r="P261" s="44" t="str">
        <f t="shared" si="124"/>
        <v/>
      </c>
      <c r="Q261" s="238" t="str">
        <f>IF(OR(L260=0,L260=""),"",IF(E261&gt;=D261,0,$E$17*10%))</f>
        <v/>
      </c>
      <c r="R261" s="243" t="e">
        <f>IF(D261="","",R260)</f>
        <v>#NUM!</v>
      </c>
      <c r="S261" s="17"/>
      <c r="T261" s="187" t="str">
        <f t="shared" si="141"/>
        <v/>
      </c>
      <c r="U261" s="42" t="e">
        <f t="shared" si="125"/>
        <v>#NUM!</v>
      </c>
      <c r="V261" s="45">
        <f t="shared" si="126"/>
        <v>0</v>
      </c>
      <c r="W261" s="47"/>
      <c r="X261" s="272" t="b">
        <f t="shared" si="147"/>
        <v>0</v>
      </c>
      <c r="Y261" s="39">
        <v>0</v>
      </c>
      <c r="AB261" s="357" t="e">
        <f t="shared" si="127"/>
        <v>#N/A</v>
      </c>
      <c r="AG261" s="307">
        <f t="shared" si="128"/>
        <v>0</v>
      </c>
      <c r="AH261" s="283">
        <f t="shared" si="129"/>
        <v>0</v>
      </c>
      <c r="AI261" t="str">
        <f t="shared" si="130"/>
        <v/>
      </c>
      <c r="AV261" s="36" t="str">
        <f t="shared" si="143"/>
        <v/>
      </c>
      <c r="AW261" s="37" t="e">
        <f t="shared" si="131"/>
        <v>#NUM!</v>
      </c>
      <c r="AX261" s="236" t="e">
        <f t="shared" si="132"/>
        <v>#NUM!</v>
      </c>
      <c r="AY261" s="237" t="e">
        <f t="shared" si="144"/>
        <v>#NUM!</v>
      </c>
      <c r="AZ261" s="238" t="e">
        <f t="shared" si="133"/>
        <v>#NUM!</v>
      </c>
      <c r="BA261" s="237" t="e">
        <f t="shared" si="134"/>
        <v>#NUM!</v>
      </c>
      <c r="BB261" s="238" t="e">
        <f t="shared" si="135"/>
        <v>#NUM!</v>
      </c>
      <c r="BC261" s="239">
        <f>IFERROR(IF(OR($E$11=Resumen!$N$6,$E$8=Resumen!$N$6),Amortización!AY261*0.16,0),"")</f>
        <v>0</v>
      </c>
      <c r="BD261" s="237">
        <f t="shared" si="136"/>
        <v>0</v>
      </c>
      <c r="BE261" s="240">
        <f t="shared" si="117"/>
        <v>0</v>
      </c>
      <c r="BF261" s="46" t="str">
        <f>IF(OR(BE260=0,BE260=""),"",0)</f>
        <v/>
      </c>
      <c r="BH261" s="243" t="e">
        <f t="shared" si="148"/>
        <v>#NUM!</v>
      </c>
      <c r="BI261" s="17"/>
      <c r="BJ261" s="187" t="str">
        <f t="shared" si="137"/>
        <v/>
      </c>
      <c r="BK261" s="42" t="e">
        <f t="shared" si="138"/>
        <v>#NUM!</v>
      </c>
      <c r="BL261" s="45"/>
      <c r="BM261" s="238"/>
    </row>
    <row r="262" spans="3:65" ht="15.5" thickTop="1" thickBot="1" x14ac:dyDescent="0.4">
      <c r="C262" s="36" t="str">
        <f t="shared" si="142"/>
        <v/>
      </c>
      <c r="D262" s="37" t="e">
        <f t="shared" si="139"/>
        <v>#NUM!</v>
      </c>
      <c r="E262" s="236">
        <f t="shared" si="145"/>
        <v>0</v>
      </c>
      <c r="F262" s="237" t="e">
        <f>IF(D262="","",D262*(R262/12))</f>
        <v>#NUM!</v>
      </c>
      <c r="G262" s="238" t="e">
        <f>IF(D262="","",L261*Resumen!$L$86/1000)</f>
        <v>#NUM!</v>
      </c>
      <c r="H262" s="237" t="e">
        <f t="shared" si="119"/>
        <v>#NUM!</v>
      </c>
      <c r="I262" s="238" t="e">
        <f>IF($E$16=$V$1,0,IF(D262="","",Amortización!$AE$14))</f>
        <v>#NUM!</v>
      </c>
      <c r="J262" s="239">
        <f>IFERROR(IF(OR($E$11=Resumen!$N$6,$E$8=Resumen!$N$6),Amortización!F262*0.16,0),"")</f>
        <v>0</v>
      </c>
      <c r="K262" s="237">
        <f t="shared" si="120"/>
        <v>0</v>
      </c>
      <c r="L262" s="240">
        <f t="shared" si="121"/>
        <v>0</v>
      </c>
      <c r="M262" s="46" t="str">
        <f>IF(OR(L261=0,L261=""),"",0)</f>
        <v/>
      </c>
      <c r="N262" s="44" t="str">
        <f t="shared" si="122"/>
        <v/>
      </c>
      <c r="O262" s="44" t="str">
        <f t="shared" si="123"/>
        <v/>
      </c>
      <c r="P262" s="44" t="str">
        <f t="shared" si="124"/>
        <v/>
      </c>
      <c r="Q262" s="238" t="str">
        <f>IF(OR(L261=0,L261=""),"",IF(E262&gt;=D262,0,$E$17*10%))</f>
        <v/>
      </c>
      <c r="R262" s="243" t="e">
        <f>IF(D262="","",R261)</f>
        <v>#NUM!</v>
      </c>
      <c r="S262" s="17"/>
      <c r="T262" s="187" t="str">
        <f t="shared" si="141"/>
        <v/>
      </c>
      <c r="U262" s="42" t="e">
        <f t="shared" si="125"/>
        <v>#NUM!</v>
      </c>
      <c r="V262" s="45">
        <f t="shared" si="126"/>
        <v>0</v>
      </c>
      <c r="W262" s="47"/>
      <c r="X262" s="272" t="b">
        <f t="shared" si="147"/>
        <v>0</v>
      </c>
      <c r="Y262" s="39">
        <v>0</v>
      </c>
      <c r="AB262" s="357" t="e">
        <f t="shared" si="127"/>
        <v>#N/A</v>
      </c>
      <c r="AG262" s="307">
        <f t="shared" si="128"/>
        <v>0</v>
      </c>
      <c r="AH262" s="283">
        <f t="shared" si="129"/>
        <v>0</v>
      </c>
      <c r="AI262" t="str">
        <f t="shared" si="130"/>
        <v/>
      </c>
      <c r="AV262" s="36" t="str">
        <f t="shared" si="143"/>
        <v/>
      </c>
      <c r="AW262" s="37" t="e">
        <f t="shared" si="131"/>
        <v>#NUM!</v>
      </c>
      <c r="AX262" s="236" t="e">
        <f t="shared" si="132"/>
        <v>#NUM!</v>
      </c>
      <c r="AY262" s="237" t="e">
        <f t="shared" si="144"/>
        <v>#NUM!</v>
      </c>
      <c r="AZ262" s="238" t="e">
        <f t="shared" si="133"/>
        <v>#NUM!</v>
      </c>
      <c r="BA262" s="237" t="e">
        <f t="shared" si="134"/>
        <v>#NUM!</v>
      </c>
      <c r="BB262" s="238" t="e">
        <f t="shared" si="135"/>
        <v>#NUM!</v>
      </c>
      <c r="BC262" s="239">
        <f>IFERROR(IF(OR($E$11=Resumen!$N$6,$E$8=Resumen!$N$6),Amortización!AY262*0.16,0),"")</f>
        <v>0</v>
      </c>
      <c r="BD262" s="237">
        <f t="shared" si="136"/>
        <v>0</v>
      </c>
      <c r="BE262" s="240">
        <f t="shared" si="117"/>
        <v>0</v>
      </c>
      <c r="BF262" s="46" t="str">
        <f>IF(OR(BE261=0,BE261=""),"",0)</f>
        <v/>
      </c>
      <c r="BH262" s="243" t="e">
        <f t="shared" si="148"/>
        <v>#NUM!</v>
      </c>
      <c r="BI262" s="17"/>
      <c r="BJ262" s="187" t="str">
        <f t="shared" si="137"/>
        <v/>
      </c>
      <c r="BK262" s="42" t="e">
        <f t="shared" si="138"/>
        <v>#NUM!</v>
      </c>
      <c r="BL262" s="45"/>
      <c r="BM262" s="238"/>
    </row>
    <row r="263" spans="3:65" ht="15.5" thickTop="1" thickBot="1" x14ac:dyDescent="0.4">
      <c r="C263" s="36" t="str">
        <f t="shared" si="142"/>
        <v/>
      </c>
      <c r="D263" s="37" t="e">
        <f t="shared" ref="D263:D320" si="149">IF(IF(D262="","",D262-E262-Q262-AI262)&lt;0.01,"",IF(D262="","",L262))</f>
        <v>#NUM!</v>
      </c>
      <c r="E263" s="236">
        <f t="shared" ref="E263:E320" si="150">IFERROR(IF($E$14&amp;$E$16=$X$4,PMT(R263/12,$K$11,-$K$9)-F263,IF(D263="","",IF($E$14="Pago Fijo",MIN(IF($E$15="Mensualidad",-PMT(R263/12,$K$11-C262,D263)-F263,-PMT(R263/12,$K$11,$K$9)-F263),D263),MIN(X263*$K$9*$K$15/1000-F263,D263)))),0)</f>
        <v>0</v>
      </c>
      <c r="F263" s="237" t="e">
        <f t="shared" ref="F263:F320" si="151">IF(D263="","",D263*(R263/12))</f>
        <v>#NUM!</v>
      </c>
      <c r="G263" s="238" t="e">
        <f>IF(D263="","",L262*Resumen!$L$86/1000)</f>
        <v>#NUM!</v>
      </c>
      <c r="H263" s="237" t="e">
        <f t="shared" ref="H263:H320" si="152">IF($E$16=$V$1,0,IF(D263="","",IF($E$11="Liquidez","0",AB263)))</f>
        <v>#NUM!</v>
      </c>
      <c r="I263" s="238" t="e">
        <f>IF($E$16=$V$1,0,IF(D263="","",Amortización!$AE$14))</f>
        <v>#NUM!</v>
      </c>
      <c r="J263" s="239">
        <f>IFERROR(IF(OR($E$11=Resumen!$N$6,$E$8=Resumen!$N$6),Amortización!F263*0.16,0),"")</f>
        <v>0</v>
      </c>
      <c r="K263" s="237">
        <f t="shared" ref="K263:K320" si="153">IFERROR(IF(D263="","",E263+F263+G263+H263+I263+Y263+J263),0)</f>
        <v>0</v>
      </c>
      <c r="L263" s="240">
        <f t="shared" ref="L263:L320" si="154">IFERROR(IF(D263="","",IF((D263-E263-AI263-Q263)&lt;1,0,D263-E263-AI263-Q263)),0)</f>
        <v>0</v>
      </c>
      <c r="M263" s="46" t="str">
        <f t="shared" ref="M263:M320" si="155">IF(OR(L262=0,L262=""),"",0)</f>
        <v/>
      </c>
      <c r="N263" s="44" t="str">
        <f t="shared" ref="N263:N320" si="156">IF(OR(O263="",O263=0),M263,M263-O263-P263)</f>
        <v/>
      </c>
      <c r="O263" s="44" t="str">
        <f t="shared" ref="O263:O320" si="157">IF(M263="","",IF(AND($H$12="Comisión pago anticipado",C263&lt;37),M263-(M263/(1+$K$12)),0))</f>
        <v/>
      </c>
      <c r="P263" s="44" t="str">
        <f t="shared" ref="P263:P320" si="158">IF(O263="","",IF(O263=0,0,O263*0.16))</f>
        <v/>
      </c>
      <c r="Q263" s="238" t="str">
        <f t="shared" ref="Q263:Q320" si="159">IF(OR(L262=0,L262=""),"",IF(E263&gt;=D263,0,$E$17*10%))</f>
        <v/>
      </c>
      <c r="R263" s="243" t="e">
        <f t="shared" ref="R263:R320" si="160">IF(D263="","",R262)</f>
        <v>#NUM!</v>
      </c>
      <c r="S263" s="17"/>
      <c r="T263" s="187" t="str">
        <f t="shared" ref="T263:T320" si="161">C263</f>
        <v/>
      </c>
      <c r="U263" s="42" t="e">
        <f t="shared" ref="U263:U320" si="162">IF(D263="","",E263+F263+G263+H263/1.16+I263+Q263)</f>
        <v>#NUM!</v>
      </c>
      <c r="V263" s="45">
        <f t="shared" ref="V263:V320" si="163">IF($E$16=$V$1,AI263,IF(ISNUMBER(T263),IF($E$14="Pago Fijo",PMT(R263/12,$K$11,-$K$9),X263*$K$15*$K$9/1000)+G263+AI263+Q263+H263/1.16+$AE$14,0))</f>
        <v>0</v>
      </c>
      <c r="W263" s="47"/>
      <c r="X263" s="272" t="b">
        <f t="shared" si="147"/>
        <v>0</v>
      </c>
      <c r="Y263" s="39">
        <v>0</v>
      </c>
      <c r="AB263" s="357" t="e">
        <f t="shared" ref="AB263:AB320" si="164">IF((($K$8*0.7)*($AE$13))&gt;L262*($AE$13),($K$8*0.7)*($AE$13),($AE$13)*L262)</f>
        <v>#N/A</v>
      </c>
      <c r="AG263" s="307">
        <f t="shared" ref="AG263:AG320" si="165">IF($AH$20=0,0,IF(N263&gt;AH262,MAX(0,N263-AH262),N263))</f>
        <v>0</v>
      </c>
      <c r="AH263" s="283">
        <f t="shared" ref="AH263:AH320" si="166">IFERROR(MAX(0,AH262-N263),0)</f>
        <v>0</v>
      </c>
      <c r="AI263" t="str">
        <f t="shared" ref="AI263:AI320" si="167">IF($E$16="no",N263,IF(AH263&gt;0,0,AG263))</f>
        <v/>
      </c>
      <c r="AV263" s="36"/>
      <c r="AW263" s="37"/>
      <c r="AX263" s="236"/>
      <c r="AY263" s="237"/>
      <c r="AZ263" s="238"/>
      <c r="BA263" s="237"/>
      <c r="BB263" s="238"/>
      <c r="BC263" s="239"/>
      <c r="BD263" s="237"/>
      <c r="BE263" s="240"/>
      <c r="BF263" s="46" t="str">
        <f t="shared" ref="BF263:BF320" si="168">IF(OR(BE262=0,BE262=""),"",0)</f>
        <v/>
      </c>
      <c r="BH263" s="243"/>
      <c r="BI263" s="17"/>
      <c r="BJ263" s="187"/>
      <c r="BK263" s="42"/>
      <c r="BL263" s="45"/>
      <c r="BM263" s="238"/>
    </row>
    <row r="264" spans="3:65" ht="15.5" thickTop="1" thickBot="1" x14ac:dyDescent="0.4">
      <c r="C264" s="36" t="str">
        <f t="shared" si="142"/>
        <v/>
      </c>
      <c r="D264" s="37" t="e">
        <f t="shared" si="149"/>
        <v>#NUM!</v>
      </c>
      <c r="E264" s="236">
        <f t="shared" si="150"/>
        <v>0</v>
      </c>
      <c r="F264" s="237" t="e">
        <f t="shared" si="151"/>
        <v>#NUM!</v>
      </c>
      <c r="G264" s="238" t="e">
        <f>IF(D264="","",L263*Resumen!$L$86/1000)</f>
        <v>#NUM!</v>
      </c>
      <c r="H264" s="237" t="e">
        <f t="shared" si="152"/>
        <v>#NUM!</v>
      </c>
      <c r="I264" s="238" t="e">
        <f>IF($E$16=$V$1,0,IF(D264="","",Amortización!$AE$14))</f>
        <v>#NUM!</v>
      </c>
      <c r="J264" s="239">
        <f>IFERROR(IF(OR($E$11=Resumen!$N$6,$E$8=Resumen!$N$6),Amortización!F264*0.16,0),"")</f>
        <v>0</v>
      </c>
      <c r="K264" s="237">
        <f t="shared" si="153"/>
        <v>0</v>
      </c>
      <c r="L264" s="240">
        <f t="shared" si="154"/>
        <v>0</v>
      </c>
      <c r="M264" s="46" t="str">
        <f t="shared" si="155"/>
        <v/>
      </c>
      <c r="N264" s="44" t="str">
        <f t="shared" si="156"/>
        <v/>
      </c>
      <c r="O264" s="44" t="str">
        <f t="shared" si="157"/>
        <v/>
      </c>
      <c r="P264" s="44" t="str">
        <f t="shared" si="158"/>
        <v/>
      </c>
      <c r="Q264" s="238" t="str">
        <f t="shared" si="159"/>
        <v/>
      </c>
      <c r="R264" s="243" t="e">
        <f t="shared" si="160"/>
        <v>#NUM!</v>
      </c>
      <c r="S264" s="17"/>
      <c r="T264" s="187" t="str">
        <f t="shared" si="161"/>
        <v/>
      </c>
      <c r="U264" s="42" t="e">
        <f t="shared" si="162"/>
        <v>#NUM!</v>
      </c>
      <c r="V264" s="45">
        <f t="shared" si="163"/>
        <v>0</v>
      </c>
      <c r="W264" s="47"/>
      <c r="X264" s="272" t="b">
        <f t="shared" si="147"/>
        <v>0</v>
      </c>
      <c r="Y264" s="39">
        <v>0</v>
      </c>
      <c r="AB264" s="357" t="e">
        <f t="shared" si="164"/>
        <v>#N/A</v>
      </c>
      <c r="AG264" s="307">
        <f t="shared" si="165"/>
        <v>0</v>
      </c>
      <c r="AH264" s="283">
        <f t="shared" si="166"/>
        <v>0</v>
      </c>
      <c r="AI264" t="str">
        <f t="shared" si="167"/>
        <v/>
      </c>
      <c r="AV264" s="36"/>
      <c r="AW264" s="37"/>
      <c r="AX264" s="236"/>
      <c r="AY264" s="237"/>
      <c r="AZ264" s="238"/>
      <c r="BA264" s="237"/>
      <c r="BB264" s="238"/>
      <c r="BC264" s="239"/>
      <c r="BD264" s="237"/>
      <c r="BE264" s="240"/>
      <c r="BF264" s="46" t="str">
        <f t="shared" si="168"/>
        <v/>
      </c>
      <c r="BH264" s="243"/>
      <c r="BI264" s="17"/>
      <c r="BJ264" s="187"/>
      <c r="BK264" s="42"/>
      <c r="BL264" s="45"/>
      <c r="BM264" s="238"/>
    </row>
    <row r="265" spans="3:65" ht="15.5" thickTop="1" thickBot="1" x14ac:dyDescent="0.4">
      <c r="C265" s="36" t="str">
        <f t="shared" si="142"/>
        <v/>
      </c>
      <c r="D265" s="37" t="e">
        <f t="shared" si="149"/>
        <v>#NUM!</v>
      </c>
      <c r="E265" s="236">
        <f t="shared" si="150"/>
        <v>0</v>
      </c>
      <c r="F265" s="237" t="e">
        <f t="shared" si="151"/>
        <v>#NUM!</v>
      </c>
      <c r="G265" s="238" t="e">
        <f>IF(D265="","",L264*Resumen!$L$86/1000)</f>
        <v>#NUM!</v>
      </c>
      <c r="H265" s="237" t="e">
        <f t="shared" si="152"/>
        <v>#NUM!</v>
      </c>
      <c r="I265" s="238" t="e">
        <f>IF($E$16=$V$1,0,IF(D265="","",Amortización!$AE$14))</f>
        <v>#NUM!</v>
      </c>
      <c r="J265" s="239">
        <f>IFERROR(IF(OR($E$11=Resumen!$N$6,$E$8=Resumen!$N$6),Amortización!F265*0.16,0),"")</f>
        <v>0</v>
      </c>
      <c r="K265" s="237">
        <f t="shared" si="153"/>
        <v>0</v>
      </c>
      <c r="L265" s="240">
        <f t="shared" si="154"/>
        <v>0</v>
      </c>
      <c r="M265" s="46" t="str">
        <f t="shared" si="155"/>
        <v/>
      </c>
      <c r="N265" s="44" t="str">
        <f t="shared" si="156"/>
        <v/>
      </c>
      <c r="O265" s="44" t="str">
        <f t="shared" si="157"/>
        <v/>
      </c>
      <c r="P265" s="44" t="str">
        <f t="shared" si="158"/>
        <v/>
      </c>
      <c r="Q265" s="238" t="str">
        <f t="shared" si="159"/>
        <v/>
      </c>
      <c r="R265" s="243" t="e">
        <f t="shared" si="160"/>
        <v>#NUM!</v>
      </c>
      <c r="S265" s="17"/>
      <c r="T265" s="187" t="str">
        <f t="shared" si="161"/>
        <v/>
      </c>
      <c r="U265" s="42" t="e">
        <f t="shared" si="162"/>
        <v>#NUM!</v>
      </c>
      <c r="V265" s="45">
        <f t="shared" si="163"/>
        <v>0</v>
      </c>
      <c r="W265" s="47"/>
      <c r="X265" s="272" t="b">
        <f t="shared" si="147"/>
        <v>0</v>
      </c>
      <c r="Y265" s="39">
        <v>0</v>
      </c>
      <c r="AB265" s="357" t="e">
        <f t="shared" si="164"/>
        <v>#N/A</v>
      </c>
      <c r="AG265" s="307">
        <f t="shared" si="165"/>
        <v>0</v>
      </c>
      <c r="AH265" s="283">
        <f t="shared" si="166"/>
        <v>0</v>
      </c>
      <c r="AI265" t="str">
        <f t="shared" si="167"/>
        <v/>
      </c>
      <c r="AV265" s="36"/>
      <c r="AW265" s="37"/>
      <c r="AX265" s="236"/>
      <c r="AY265" s="237"/>
      <c r="AZ265" s="238"/>
      <c r="BA265" s="237"/>
      <c r="BB265" s="238"/>
      <c r="BC265" s="239"/>
      <c r="BD265" s="237"/>
      <c r="BE265" s="240"/>
      <c r="BF265" s="46" t="str">
        <f t="shared" si="168"/>
        <v/>
      </c>
      <c r="BH265" s="243"/>
      <c r="BI265" s="17"/>
      <c r="BJ265" s="187"/>
      <c r="BK265" s="42"/>
      <c r="BL265" s="45"/>
      <c r="BM265" s="238"/>
    </row>
    <row r="266" spans="3:65" ht="15.5" thickTop="1" thickBot="1" x14ac:dyDescent="0.4">
      <c r="C266" s="36" t="str">
        <f t="shared" si="142"/>
        <v/>
      </c>
      <c r="D266" s="37" t="e">
        <f t="shared" si="149"/>
        <v>#NUM!</v>
      </c>
      <c r="E266" s="236">
        <f t="shared" si="150"/>
        <v>0</v>
      </c>
      <c r="F266" s="237" t="e">
        <f t="shared" si="151"/>
        <v>#NUM!</v>
      </c>
      <c r="G266" s="238" t="e">
        <f>IF(D266="","",L265*Resumen!$L$86/1000)</f>
        <v>#NUM!</v>
      </c>
      <c r="H266" s="237" t="e">
        <f t="shared" si="152"/>
        <v>#NUM!</v>
      </c>
      <c r="I266" s="238" t="e">
        <f>IF($E$16=$V$1,0,IF(D266="","",Amortización!$AE$14))</f>
        <v>#NUM!</v>
      </c>
      <c r="J266" s="239">
        <f>IFERROR(IF(OR($E$11=Resumen!$N$6,$E$8=Resumen!$N$6),Amortización!F266*0.16,0),"")</f>
        <v>0</v>
      </c>
      <c r="K266" s="237">
        <f t="shared" si="153"/>
        <v>0</v>
      </c>
      <c r="L266" s="240">
        <f t="shared" si="154"/>
        <v>0</v>
      </c>
      <c r="M266" s="46" t="str">
        <f t="shared" si="155"/>
        <v/>
      </c>
      <c r="N266" s="44" t="str">
        <f t="shared" si="156"/>
        <v/>
      </c>
      <c r="O266" s="44" t="str">
        <f t="shared" si="157"/>
        <v/>
      </c>
      <c r="P266" s="44" t="str">
        <f t="shared" si="158"/>
        <v/>
      </c>
      <c r="Q266" s="238" t="str">
        <f t="shared" si="159"/>
        <v/>
      </c>
      <c r="R266" s="243" t="e">
        <f t="shared" si="160"/>
        <v>#NUM!</v>
      </c>
      <c r="S266" s="17"/>
      <c r="T266" s="187" t="str">
        <f t="shared" si="161"/>
        <v/>
      </c>
      <c r="U266" s="42" t="e">
        <f t="shared" si="162"/>
        <v>#NUM!</v>
      </c>
      <c r="V266" s="45">
        <f t="shared" si="163"/>
        <v>0</v>
      </c>
      <c r="W266" s="47"/>
      <c r="X266" s="272" t="b">
        <f t="shared" si="147"/>
        <v>0</v>
      </c>
      <c r="Y266" s="39">
        <v>0</v>
      </c>
      <c r="AB266" s="357" t="e">
        <f t="shared" si="164"/>
        <v>#N/A</v>
      </c>
      <c r="AG266" s="307">
        <f t="shared" si="165"/>
        <v>0</v>
      </c>
      <c r="AH266" s="283">
        <f t="shared" si="166"/>
        <v>0</v>
      </c>
      <c r="AI266" t="str">
        <f t="shared" si="167"/>
        <v/>
      </c>
      <c r="AV266" s="36"/>
      <c r="AW266" s="37"/>
      <c r="AX266" s="236"/>
      <c r="AY266" s="237"/>
      <c r="AZ266" s="238"/>
      <c r="BA266" s="237"/>
      <c r="BB266" s="238"/>
      <c r="BC266" s="239"/>
      <c r="BD266" s="237"/>
      <c r="BE266" s="240"/>
      <c r="BF266" s="46" t="str">
        <f t="shared" si="168"/>
        <v/>
      </c>
      <c r="BH266" s="243"/>
      <c r="BI266" s="17"/>
      <c r="BJ266" s="187"/>
      <c r="BK266" s="42"/>
      <c r="BL266" s="45"/>
      <c r="BM266" s="238"/>
    </row>
    <row r="267" spans="3:65" ht="15.5" thickTop="1" thickBot="1" x14ac:dyDescent="0.4">
      <c r="C267" s="36" t="str">
        <f t="shared" si="142"/>
        <v/>
      </c>
      <c r="D267" s="37" t="e">
        <f t="shared" si="149"/>
        <v>#NUM!</v>
      </c>
      <c r="E267" s="236">
        <f t="shared" si="150"/>
        <v>0</v>
      </c>
      <c r="F267" s="237" t="e">
        <f t="shared" si="151"/>
        <v>#NUM!</v>
      </c>
      <c r="G267" s="238" t="e">
        <f>IF(D267="","",L266*Resumen!$L$86/1000)</f>
        <v>#NUM!</v>
      </c>
      <c r="H267" s="237" t="e">
        <f t="shared" si="152"/>
        <v>#NUM!</v>
      </c>
      <c r="I267" s="238" t="e">
        <f>IF($E$16=$V$1,0,IF(D267="","",Amortización!$AE$14))</f>
        <v>#NUM!</v>
      </c>
      <c r="J267" s="239">
        <f>IFERROR(IF(OR($E$11=Resumen!$N$6,$E$8=Resumen!$N$6),Amortización!F267*0.16,0),"")</f>
        <v>0</v>
      </c>
      <c r="K267" s="237">
        <f t="shared" si="153"/>
        <v>0</v>
      </c>
      <c r="L267" s="240">
        <f t="shared" si="154"/>
        <v>0</v>
      </c>
      <c r="M267" s="46" t="str">
        <f t="shared" si="155"/>
        <v/>
      </c>
      <c r="N267" s="44" t="str">
        <f t="shared" si="156"/>
        <v/>
      </c>
      <c r="O267" s="44" t="str">
        <f t="shared" si="157"/>
        <v/>
      </c>
      <c r="P267" s="44" t="str">
        <f t="shared" si="158"/>
        <v/>
      </c>
      <c r="Q267" s="238" t="str">
        <f t="shared" si="159"/>
        <v/>
      </c>
      <c r="R267" s="243" t="e">
        <f t="shared" si="160"/>
        <v>#NUM!</v>
      </c>
      <c r="S267" s="17"/>
      <c r="T267" s="187" t="str">
        <f t="shared" si="161"/>
        <v/>
      </c>
      <c r="U267" s="42" t="e">
        <f t="shared" si="162"/>
        <v>#NUM!</v>
      </c>
      <c r="V267" s="45">
        <f t="shared" si="163"/>
        <v>0</v>
      </c>
      <c r="W267" s="47"/>
      <c r="X267" s="272" t="b">
        <f t="shared" si="147"/>
        <v>0</v>
      </c>
      <c r="Y267" s="39">
        <v>0</v>
      </c>
      <c r="AB267" s="357" t="e">
        <f t="shared" si="164"/>
        <v>#N/A</v>
      </c>
      <c r="AG267" s="307">
        <f t="shared" si="165"/>
        <v>0</v>
      </c>
      <c r="AH267" s="283">
        <f t="shared" si="166"/>
        <v>0</v>
      </c>
      <c r="AI267" t="str">
        <f t="shared" si="167"/>
        <v/>
      </c>
      <c r="AV267" s="36"/>
      <c r="AW267" s="37"/>
      <c r="AX267" s="236"/>
      <c r="AY267" s="237"/>
      <c r="AZ267" s="238"/>
      <c r="BA267" s="237"/>
      <c r="BB267" s="238"/>
      <c r="BC267" s="239"/>
      <c r="BD267" s="237"/>
      <c r="BE267" s="240"/>
      <c r="BF267" s="46" t="str">
        <f t="shared" si="168"/>
        <v/>
      </c>
      <c r="BH267" s="243"/>
      <c r="BI267" s="17"/>
      <c r="BJ267" s="187"/>
      <c r="BK267" s="42"/>
      <c r="BL267" s="45"/>
      <c r="BM267" s="238"/>
    </row>
    <row r="268" spans="3:65" ht="15.5" thickTop="1" thickBot="1" x14ac:dyDescent="0.4">
      <c r="C268" s="36" t="str">
        <f t="shared" si="142"/>
        <v/>
      </c>
      <c r="D268" s="37" t="e">
        <f t="shared" si="149"/>
        <v>#NUM!</v>
      </c>
      <c r="E268" s="236">
        <f t="shared" si="150"/>
        <v>0</v>
      </c>
      <c r="F268" s="237" t="e">
        <f t="shared" si="151"/>
        <v>#NUM!</v>
      </c>
      <c r="G268" s="238" t="e">
        <f>IF(D268="","",L267*Resumen!$L$86/1000)</f>
        <v>#NUM!</v>
      </c>
      <c r="H268" s="237" t="e">
        <f t="shared" si="152"/>
        <v>#NUM!</v>
      </c>
      <c r="I268" s="238" t="e">
        <f>IF($E$16=$V$1,0,IF(D268="","",Amortización!$AE$14))</f>
        <v>#NUM!</v>
      </c>
      <c r="J268" s="239">
        <f>IFERROR(IF(OR($E$11=Resumen!$N$6,$E$8=Resumen!$N$6),Amortización!F268*0.16,0),"")</f>
        <v>0</v>
      </c>
      <c r="K268" s="237">
        <f t="shared" si="153"/>
        <v>0</v>
      </c>
      <c r="L268" s="240">
        <f t="shared" si="154"/>
        <v>0</v>
      </c>
      <c r="M268" s="46" t="str">
        <f t="shared" si="155"/>
        <v/>
      </c>
      <c r="N268" s="44" t="str">
        <f t="shared" si="156"/>
        <v/>
      </c>
      <c r="O268" s="44" t="str">
        <f t="shared" si="157"/>
        <v/>
      </c>
      <c r="P268" s="44" t="str">
        <f t="shared" si="158"/>
        <v/>
      </c>
      <c r="Q268" s="238" t="str">
        <f t="shared" si="159"/>
        <v/>
      </c>
      <c r="R268" s="243" t="e">
        <f t="shared" si="160"/>
        <v>#NUM!</v>
      </c>
      <c r="S268" s="17"/>
      <c r="T268" s="187" t="str">
        <f t="shared" si="161"/>
        <v/>
      </c>
      <c r="U268" s="42" t="e">
        <f t="shared" si="162"/>
        <v>#NUM!</v>
      </c>
      <c r="V268" s="45">
        <f t="shared" si="163"/>
        <v>0</v>
      </c>
      <c r="W268" s="47"/>
      <c r="X268" s="272" t="b">
        <f t="shared" si="147"/>
        <v>0</v>
      </c>
      <c r="Y268" s="39">
        <v>0</v>
      </c>
      <c r="AB268" s="357" t="e">
        <f t="shared" si="164"/>
        <v>#N/A</v>
      </c>
      <c r="AG268" s="307">
        <f t="shared" si="165"/>
        <v>0</v>
      </c>
      <c r="AH268" s="283">
        <f t="shared" si="166"/>
        <v>0</v>
      </c>
      <c r="AI268" t="str">
        <f t="shared" si="167"/>
        <v/>
      </c>
      <c r="AV268" s="36"/>
      <c r="AW268" s="37"/>
      <c r="AX268" s="236"/>
      <c r="AY268" s="237"/>
      <c r="AZ268" s="238"/>
      <c r="BA268" s="237"/>
      <c r="BB268" s="238"/>
      <c r="BC268" s="239"/>
      <c r="BD268" s="237"/>
      <c r="BE268" s="240"/>
      <c r="BF268" s="46" t="str">
        <f t="shared" si="168"/>
        <v/>
      </c>
      <c r="BH268" s="243"/>
      <c r="BI268" s="17"/>
      <c r="BJ268" s="187"/>
      <c r="BK268" s="42"/>
      <c r="BL268" s="45"/>
      <c r="BM268" s="238"/>
    </row>
    <row r="269" spans="3:65" ht="15.5" thickTop="1" thickBot="1" x14ac:dyDescent="0.4">
      <c r="C269" s="36" t="str">
        <f t="shared" si="142"/>
        <v/>
      </c>
      <c r="D269" s="37" t="e">
        <f t="shared" si="149"/>
        <v>#NUM!</v>
      </c>
      <c r="E269" s="236">
        <f t="shared" si="150"/>
        <v>0</v>
      </c>
      <c r="F269" s="237" t="e">
        <f t="shared" si="151"/>
        <v>#NUM!</v>
      </c>
      <c r="G269" s="238" t="e">
        <f>IF(D269="","",L268*Resumen!$L$86/1000)</f>
        <v>#NUM!</v>
      </c>
      <c r="H269" s="237" t="e">
        <f t="shared" si="152"/>
        <v>#NUM!</v>
      </c>
      <c r="I269" s="238" t="e">
        <f>IF($E$16=$V$1,0,IF(D269="","",Amortización!$AE$14))</f>
        <v>#NUM!</v>
      </c>
      <c r="J269" s="239">
        <f>IFERROR(IF(OR($E$11=Resumen!$N$6,$E$8=Resumen!$N$6),Amortización!F269*0.16,0),"")</f>
        <v>0</v>
      </c>
      <c r="K269" s="237">
        <f t="shared" si="153"/>
        <v>0</v>
      </c>
      <c r="L269" s="240">
        <f t="shared" si="154"/>
        <v>0</v>
      </c>
      <c r="M269" s="46" t="str">
        <f t="shared" si="155"/>
        <v/>
      </c>
      <c r="N269" s="44" t="str">
        <f t="shared" si="156"/>
        <v/>
      </c>
      <c r="O269" s="44" t="str">
        <f t="shared" si="157"/>
        <v/>
      </c>
      <c r="P269" s="44" t="str">
        <f t="shared" si="158"/>
        <v/>
      </c>
      <c r="Q269" s="238" t="str">
        <f t="shared" si="159"/>
        <v/>
      </c>
      <c r="R269" s="243" t="e">
        <f t="shared" si="160"/>
        <v>#NUM!</v>
      </c>
      <c r="S269" s="17"/>
      <c r="T269" s="187" t="str">
        <f t="shared" si="161"/>
        <v/>
      </c>
      <c r="U269" s="42" t="e">
        <f t="shared" si="162"/>
        <v>#NUM!</v>
      </c>
      <c r="V269" s="45">
        <f t="shared" si="163"/>
        <v>0</v>
      </c>
      <c r="W269" s="47"/>
      <c r="X269" s="272" t="b">
        <f t="shared" si="147"/>
        <v>0</v>
      </c>
      <c r="Y269" s="39">
        <v>0</v>
      </c>
      <c r="AB269" s="357" t="e">
        <f t="shared" si="164"/>
        <v>#N/A</v>
      </c>
      <c r="AG269" s="307">
        <f t="shared" si="165"/>
        <v>0</v>
      </c>
      <c r="AH269" s="283">
        <f t="shared" si="166"/>
        <v>0</v>
      </c>
      <c r="AI269" t="str">
        <f t="shared" si="167"/>
        <v/>
      </c>
      <c r="AV269" s="36"/>
      <c r="AW269" s="37"/>
      <c r="AX269" s="236"/>
      <c r="AY269" s="237"/>
      <c r="AZ269" s="238"/>
      <c r="BA269" s="237"/>
      <c r="BB269" s="238"/>
      <c r="BC269" s="239"/>
      <c r="BD269" s="237"/>
      <c r="BE269" s="240"/>
      <c r="BF269" s="46" t="str">
        <f t="shared" si="168"/>
        <v/>
      </c>
      <c r="BH269" s="243"/>
      <c r="BI269" s="17"/>
      <c r="BJ269" s="187"/>
      <c r="BK269" s="42"/>
      <c r="BL269" s="45"/>
      <c r="BM269" s="238"/>
    </row>
    <row r="270" spans="3:65" ht="15.5" thickTop="1" thickBot="1" x14ac:dyDescent="0.4">
      <c r="C270" s="36" t="str">
        <f t="shared" si="142"/>
        <v/>
      </c>
      <c r="D270" s="37" t="e">
        <f t="shared" si="149"/>
        <v>#NUM!</v>
      </c>
      <c r="E270" s="236">
        <f t="shared" si="150"/>
        <v>0</v>
      </c>
      <c r="F270" s="237" t="e">
        <f t="shared" si="151"/>
        <v>#NUM!</v>
      </c>
      <c r="G270" s="238" t="e">
        <f>IF(D270="","",L269*Resumen!$L$86/1000)</f>
        <v>#NUM!</v>
      </c>
      <c r="H270" s="237" t="e">
        <f t="shared" si="152"/>
        <v>#NUM!</v>
      </c>
      <c r="I270" s="238" t="e">
        <f>IF($E$16=$V$1,0,IF(D270="","",Amortización!$AE$14))</f>
        <v>#NUM!</v>
      </c>
      <c r="J270" s="239">
        <f>IFERROR(IF(OR($E$11=Resumen!$N$6,$E$8=Resumen!$N$6),Amortización!F270*0.16,0),"")</f>
        <v>0</v>
      </c>
      <c r="K270" s="237">
        <f t="shared" si="153"/>
        <v>0</v>
      </c>
      <c r="L270" s="240">
        <f t="shared" si="154"/>
        <v>0</v>
      </c>
      <c r="M270" s="46" t="str">
        <f t="shared" si="155"/>
        <v/>
      </c>
      <c r="N270" s="44" t="str">
        <f t="shared" si="156"/>
        <v/>
      </c>
      <c r="O270" s="44" t="str">
        <f t="shared" si="157"/>
        <v/>
      </c>
      <c r="P270" s="44" t="str">
        <f t="shared" si="158"/>
        <v/>
      </c>
      <c r="Q270" s="238" t="str">
        <f t="shared" si="159"/>
        <v/>
      </c>
      <c r="R270" s="243" t="e">
        <f t="shared" si="160"/>
        <v>#NUM!</v>
      </c>
      <c r="S270" s="17"/>
      <c r="T270" s="187" t="str">
        <f t="shared" si="161"/>
        <v/>
      </c>
      <c r="U270" s="42" t="e">
        <f t="shared" si="162"/>
        <v>#NUM!</v>
      </c>
      <c r="V270" s="45">
        <f t="shared" si="163"/>
        <v>0</v>
      </c>
      <c r="W270" s="47"/>
      <c r="X270" s="272" t="b">
        <f t="shared" si="147"/>
        <v>0</v>
      </c>
      <c r="Y270" s="39">
        <v>0</v>
      </c>
      <c r="AB270" s="357" t="e">
        <f t="shared" si="164"/>
        <v>#N/A</v>
      </c>
      <c r="AG270" s="307">
        <f t="shared" si="165"/>
        <v>0</v>
      </c>
      <c r="AH270" s="283">
        <f t="shared" si="166"/>
        <v>0</v>
      </c>
      <c r="AI270" t="str">
        <f t="shared" si="167"/>
        <v/>
      </c>
      <c r="AV270" s="36"/>
      <c r="AW270" s="37"/>
      <c r="AX270" s="236"/>
      <c r="AY270" s="237"/>
      <c r="AZ270" s="238"/>
      <c r="BA270" s="237"/>
      <c r="BB270" s="238"/>
      <c r="BC270" s="239"/>
      <c r="BD270" s="237"/>
      <c r="BE270" s="240"/>
      <c r="BF270" s="46" t="str">
        <f t="shared" si="168"/>
        <v/>
      </c>
      <c r="BH270" s="243"/>
      <c r="BI270" s="17"/>
      <c r="BJ270" s="187"/>
      <c r="BK270" s="42"/>
      <c r="BL270" s="45"/>
      <c r="BM270" s="238"/>
    </row>
    <row r="271" spans="3:65" ht="15.5" thickTop="1" thickBot="1" x14ac:dyDescent="0.4">
      <c r="C271" s="36" t="str">
        <f t="shared" si="142"/>
        <v/>
      </c>
      <c r="D271" s="37" t="e">
        <f t="shared" si="149"/>
        <v>#NUM!</v>
      </c>
      <c r="E271" s="236">
        <f t="shared" si="150"/>
        <v>0</v>
      </c>
      <c r="F271" s="237" t="e">
        <f t="shared" si="151"/>
        <v>#NUM!</v>
      </c>
      <c r="G271" s="238" t="e">
        <f>IF(D271="","",L270*Resumen!$L$86/1000)</f>
        <v>#NUM!</v>
      </c>
      <c r="H271" s="237" t="e">
        <f t="shared" si="152"/>
        <v>#NUM!</v>
      </c>
      <c r="I271" s="238" t="e">
        <f>IF($E$16=$V$1,0,IF(D271="","",Amortización!$AE$14))</f>
        <v>#NUM!</v>
      </c>
      <c r="J271" s="239">
        <f>IFERROR(IF(OR($E$11=Resumen!$N$6,$E$8=Resumen!$N$6),Amortización!F271*0.16,0),"")</f>
        <v>0</v>
      </c>
      <c r="K271" s="237">
        <f t="shared" si="153"/>
        <v>0</v>
      </c>
      <c r="L271" s="240">
        <f t="shared" si="154"/>
        <v>0</v>
      </c>
      <c r="M271" s="46" t="str">
        <f t="shared" si="155"/>
        <v/>
      </c>
      <c r="N271" s="44" t="str">
        <f t="shared" si="156"/>
        <v/>
      </c>
      <c r="O271" s="44" t="str">
        <f t="shared" si="157"/>
        <v/>
      </c>
      <c r="P271" s="44" t="str">
        <f t="shared" si="158"/>
        <v/>
      </c>
      <c r="Q271" s="238" t="str">
        <f t="shared" si="159"/>
        <v/>
      </c>
      <c r="R271" s="243" t="e">
        <f t="shared" si="160"/>
        <v>#NUM!</v>
      </c>
      <c r="S271" s="17"/>
      <c r="T271" s="187" t="str">
        <f t="shared" si="161"/>
        <v/>
      </c>
      <c r="U271" s="42" t="e">
        <f t="shared" si="162"/>
        <v>#NUM!</v>
      </c>
      <c r="V271" s="45">
        <f t="shared" si="163"/>
        <v>0</v>
      </c>
      <c r="W271" s="47"/>
      <c r="X271" s="272" t="b">
        <f t="shared" si="147"/>
        <v>0</v>
      </c>
      <c r="Y271" s="39">
        <v>0</v>
      </c>
      <c r="AB271" s="357" t="e">
        <f t="shared" si="164"/>
        <v>#N/A</v>
      </c>
      <c r="AG271" s="307">
        <f t="shared" si="165"/>
        <v>0</v>
      </c>
      <c r="AH271" s="283">
        <f t="shared" si="166"/>
        <v>0</v>
      </c>
      <c r="AI271" t="str">
        <f t="shared" si="167"/>
        <v/>
      </c>
      <c r="AV271" s="36"/>
      <c r="AW271" s="37"/>
      <c r="AX271" s="236"/>
      <c r="AY271" s="237"/>
      <c r="AZ271" s="238"/>
      <c r="BA271" s="237"/>
      <c r="BB271" s="238"/>
      <c r="BC271" s="239"/>
      <c r="BD271" s="237"/>
      <c r="BE271" s="240"/>
      <c r="BF271" s="46" t="str">
        <f t="shared" si="168"/>
        <v/>
      </c>
      <c r="BH271" s="243"/>
      <c r="BI271" s="17"/>
      <c r="BJ271" s="187"/>
      <c r="BK271" s="42"/>
      <c r="BL271" s="45"/>
      <c r="BM271" s="238"/>
    </row>
    <row r="272" spans="3:65" ht="15.5" thickTop="1" thickBot="1" x14ac:dyDescent="0.4">
      <c r="C272" s="36" t="str">
        <f t="shared" si="142"/>
        <v/>
      </c>
      <c r="D272" s="37" t="e">
        <f t="shared" si="149"/>
        <v>#NUM!</v>
      </c>
      <c r="E272" s="236">
        <f t="shared" si="150"/>
        <v>0</v>
      </c>
      <c r="F272" s="237" t="e">
        <f t="shared" si="151"/>
        <v>#NUM!</v>
      </c>
      <c r="G272" s="238" t="e">
        <f>IF(D272="","",L271*Resumen!$L$86/1000)</f>
        <v>#NUM!</v>
      </c>
      <c r="H272" s="237" t="e">
        <f t="shared" si="152"/>
        <v>#NUM!</v>
      </c>
      <c r="I272" s="238" t="e">
        <f>IF($E$16=$V$1,0,IF(D272="","",Amortización!$AE$14))</f>
        <v>#NUM!</v>
      </c>
      <c r="J272" s="239">
        <f>IFERROR(IF(OR($E$11=Resumen!$N$6,$E$8=Resumen!$N$6),Amortización!F272*0.16,0),"")</f>
        <v>0</v>
      </c>
      <c r="K272" s="237">
        <f t="shared" si="153"/>
        <v>0</v>
      </c>
      <c r="L272" s="240">
        <f t="shared" si="154"/>
        <v>0</v>
      </c>
      <c r="M272" s="46" t="str">
        <f t="shared" si="155"/>
        <v/>
      </c>
      <c r="N272" s="44" t="str">
        <f t="shared" si="156"/>
        <v/>
      </c>
      <c r="O272" s="44" t="str">
        <f t="shared" si="157"/>
        <v/>
      </c>
      <c r="P272" s="44" t="str">
        <f t="shared" si="158"/>
        <v/>
      </c>
      <c r="Q272" s="238" t="str">
        <f t="shared" si="159"/>
        <v/>
      </c>
      <c r="R272" s="243" t="e">
        <f t="shared" si="160"/>
        <v>#NUM!</v>
      </c>
      <c r="S272" s="17"/>
      <c r="T272" s="187" t="str">
        <f t="shared" si="161"/>
        <v/>
      </c>
      <c r="U272" s="42" t="e">
        <f t="shared" si="162"/>
        <v>#NUM!</v>
      </c>
      <c r="V272" s="45">
        <f t="shared" si="163"/>
        <v>0</v>
      </c>
      <c r="W272" s="47"/>
      <c r="X272" s="272" t="b">
        <f t="shared" si="147"/>
        <v>0</v>
      </c>
      <c r="Y272" s="39">
        <v>0</v>
      </c>
      <c r="AB272" s="357" t="e">
        <f t="shared" si="164"/>
        <v>#N/A</v>
      </c>
      <c r="AG272" s="307">
        <f t="shared" si="165"/>
        <v>0</v>
      </c>
      <c r="AH272" s="283">
        <f t="shared" si="166"/>
        <v>0</v>
      </c>
      <c r="AI272" t="str">
        <f t="shared" si="167"/>
        <v/>
      </c>
      <c r="AV272" s="36"/>
      <c r="AW272" s="37"/>
      <c r="AX272" s="236"/>
      <c r="AY272" s="237"/>
      <c r="AZ272" s="238"/>
      <c r="BA272" s="237"/>
      <c r="BB272" s="238"/>
      <c r="BC272" s="239"/>
      <c r="BD272" s="237"/>
      <c r="BE272" s="240"/>
      <c r="BF272" s="46" t="str">
        <f t="shared" si="168"/>
        <v/>
      </c>
      <c r="BH272" s="243"/>
      <c r="BI272" s="17"/>
      <c r="BJ272" s="187"/>
      <c r="BK272" s="42"/>
      <c r="BL272" s="45"/>
      <c r="BM272" s="238"/>
    </row>
    <row r="273" spans="3:65" ht="15.5" thickTop="1" thickBot="1" x14ac:dyDescent="0.4">
      <c r="C273" s="36" t="str">
        <f t="shared" si="142"/>
        <v/>
      </c>
      <c r="D273" s="37" t="e">
        <f t="shared" si="149"/>
        <v>#NUM!</v>
      </c>
      <c r="E273" s="236">
        <f t="shared" si="150"/>
        <v>0</v>
      </c>
      <c r="F273" s="237" t="e">
        <f t="shared" si="151"/>
        <v>#NUM!</v>
      </c>
      <c r="G273" s="238" t="e">
        <f>IF(D273="","",L272*Resumen!$L$86/1000)</f>
        <v>#NUM!</v>
      </c>
      <c r="H273" s="237" t="e">
        <f t="shared" si="152"/>
        <v>#NUM!</v>
      </c>
      <c r="I273" s="238" t="e">
        <f>IF($E$16=$V$1,0,IF(D273="","",Amortización!$AE$14))</f>
        <v>#NUM!</v>
      </c>
      <c r="J273" s="239">
        <f>IFERROR(IF(OR($E$11=Resumen!$N$6,$E$8=Resumen!$N$6),Amortización!F273*0.16,0),"")</f>
        <v>0</v>
      </c>
      <c r="K273" s="237">
        <f t="shared" si="153"/>
        <v>0</v>
      </c>
      <c r="L273" s="240">
        <f t="shared" si="154"/>
        <v>0</v>
      </c>
      <c r="M273" s="46" t="str">
        <f t="shared" si="155"/>
        <v/>
      </c>
      <c r="N273" s="44" t="str">
        <f t="shared" si="156"/>
        <v/>
      </c>
      <c r="O273" s="44" t="str">
        <f t="shared" si="157"/>
        <v/>
      </c>
      <c r="P273" s="44" t="str">
        <f t="shared" si="158"/>
        <v/>
      </c>
      <c r="Q273" s="238" t="str">
        <f t="shared" si="159"/>
        <v/>
      </c>
      <c r="R273" s="243" t="e">
        <f t="shared" si="160"/>
        <v>#NUM!</v>
      </c>
      <c r="S273" s="17"/>
      <c r="T273" s="187" t="str">
        <f t="shared" si="161"/>
        <v/>
      </c>
      <c r="U273" s="42" t="e">
        <f t="shared" si="162"/>
        <v>#NUM!</v>
      </c>
      <c r="V273" s="45">
        <f t="shared" si="163"/>
        <v>0</v>
      </c>
      <c r="W273" s="47"/>
      <c r="X273" s="272" t="b">
        <f t="shared" si="147"/>
        <v>0</v>
      </c>
      <c r="Y273" s="39">
        <v>0</v>
      </c>
      <c r="AB273" s="357" t="e">
        <f t="shared" si="164"/>
        <v>#N/A</v>
      </c>
      <c r="AG273" s="307">
        <f t="shared" si="165"/>
        <v>0</v>
      </c>
      <c r="AH273" s="283">
        <f t="shared" si="166"/>
        <v>0</v>
      </c>
      <c r="AI273" t="str">
        <f t="shared" si="167"/>
        <v/>
      </c>
      <c r="AV273" s="36"/>
      <c r="AW273" s="37"/>
      <c r="AX273" s="236"/>
      <c r="AY273" s="237"/>
      <c r="AZ273" s="238"/>
      <c r="BA273" s="237"/>
      <c r="BB273" s="238"/>
      <c r="BC273" s="239"/>
      <c r="BD273" s="237"/>
      <c r="BE273" s="240"/>
      <c r="BF273" s="46" t="str">
        <f t="shared" si="168"/>
        <v/>
      </c>
      <c r="BH273" s="243"/>
      <c r="BI273" s="17"/>
      <c r="BJ273" s="187"/>
      <c r="BK273" s="42"/>
      <c r="BL273" s="45"/>
      <c r="BM273" s="238"/>
    </row>
    <row r="274" spans="3:65" ht="15.5" thickTop="1" thickBot="1" x14ac:dyDescent="0.4">
      <c r="C274" s="36" t="str">
        <f t="shared" si="142"/>
        <v/>
      </c>
      <c r="D274" s="37" t="e">
        <f t="shared" si="149"/>
        <v>#NUM!</v>
      </c>
      <c r="E274" s="236">
        <f t="shared" si="150"/>
        <v>0</v>
      </c>
      <c r="F274" s="237" t="e">
        <f t="shared" si="151"/>
        <v>#NUM!</v>
      </c>
      <c r="G274" s="238" t="e">
        <f>IF(D274="","",L273*Resumen!$L$86/1000)</f>
        <v>#NUM!</v>
      </c>
      <c r="H274" s="237" t="e">
        <f t="shared" si="152"/>
        <v>#NUM!</v>
      </c>
      <c r="I274" s="238" t="e">
        <f>IF($E$16=$V$1,0,IF(D274="","",Amortización!$AE$14))</f>
        <v>#NUM!</v>
      </c>
      <c r="J274" s="239">
        <f>IFERROR(IF(OR($E$11=Resumen!$N$6,$E$8=Resumen!$N$6),Amortización!F274*0.16,0),"")</f>
        <v>0</v>
      </c>
      <c r="K274" s="237">
        <f t="shared" si="153"/>
        <v>0</v>
      </c>
      <c r="L274" s="240">
        <f t="shared" si="154"/>
        <v>0</v>
      </c>
      <c r="M274" s="46" t="str">
        <f t="shared" si="155"/>
        <v/>
      </c>
      <c r="N274" s="44" t="str">
        <f t="shared" si="156"/>
        <v/>
      </c>
      <c r="O274" s="44" t="str">
        <f t="shared" si="157"/>
        <v/>
      </c>
      <c r="P274" s="44" t="str">
        <f t="shared" si="158"/>
        <v/>
      </c>
      <c r="Q274" s="238" t="str">
        <f t="shared" si="159"/>
        <v/>
      </c>
      <c r="R274" s="243" t="e">
        <f t="shared" si="160"/>
        <v>#NUM!</v>
      </c>
      <c r="S274" s="17"/>
      <c r="T274" s="187" t="str">
        <f t="shared" si="161"/>
        <v/>
      </c>
      <c r="U274" s="42" t="e">
        <f t="shared" si="162"/>
        <v>#NUM!</v>
      </c>
      <c r="V274" s="45">
        <f t="shared" si="163"/>
        <v>0</v>
      </c>
      <c r="W274" s="47"/>
      <c r="X274" s="272" t="b">
        <f t="shared" si="147"/>
        <v>0</v>
      </c>
      <c r="Y274" s="39">
        <v>0</v>
      </c>
      <c r="AB274" s="357" t="e">
        <f t="shared" si="164"/>
        <v>#N/A</v>
      </c>
      <c r="AG274" s="307">
        <f t="shared" si="165"/>
        <v>0</v>
      </c>
      <c r="AH274" s="283">
        <f t="shared" si="166"/>
        <v>0</v>
      </c>
      <c r="AI274" t="str">
        <f t="shared" si="167"/>
        <v/>
      </c>
      <c r="AV274" s="36"/>
      <c r="AW274" s="37"/>
      <c r="AX274" s="236"/>
      <c r="AY274" s="237"/>
      <c r="AZ274" s="238"/>
      <c r="BA274" s="237"/>
      <c r="BB274" s="238"/>
      <c r="BC274" s="239"/>
      <c r="BD274" s="237"/>
      <c r="BE274" s="240"/>
      <c r="BF274" s="46" t="str">
        <f t="shared" si="168"/>
        <v/>
      </c>
      <c r="BH274" s="243"/>
      <c r="BI274" s="17"/>
      <c r="BJ274" s="187"/>
      <c r="BK274" s="42"/>
      <c r="BL274" s="45"/>
      <c r="BM274" s="238"/>
    </row>
    <row r="275" spans="3:65" ht="15.5" thickTop="1" thickBot="1" x14ac:dyDescent="0.4">
      <c r="C275" s="36" t="str">
        <f t="shared" si="142"/>
        <v/>
      </c>
      <c r="D275" s="37" t="e">
        <f t="shared" si="149"/>
        <v>#NUM!</v>
      </c>
      <c r="E275" s="236">
        <f t="shared" si="150"/>
        <v>0</v>
      </c>
      <c r="F275" s="237" t="e">
        <f t="shared" si="151"/>
        <v>#NUM!</v>
      </c>
      <c r="G275" s="238" t="e">
        <f>IF(D275="","",L274*Resumen!$L$86/1000)</f>
        <v>#NUM!</v>
      </c>
      <c r="H275" s="237" t="e">
        <f t="shared" si="152"/>
        <v>#NUM!</v>
      </c>
      <c r="I275" s="238" t="e">
        <f>IF($E$16=$V$1,0,IF(D275="","",Amortización!$AE$14))</f>
        <v>#NUM!</v>
      </c>
      <c r="J275" s="239">
        <f>IFERROR(IF(OR($E$11=Resumen!$N$6,$E$8=Resumen!$N$6),Amortización!F275*0.16,0),"")</f>
        <v>0</v>
      </c>
      <c r="K275" s="237">
        <f t="shared" si="153"/>
        <v>0</v>
      </c>
      <c r="L275" s="240">
        <f t="shared" si="154"/>
        <v>0</v>
      </c>
      <c r="M275" s="46" t="str">
        <f t="shared" si="155"/>
        <v/>
      </c>
      <c r="N275" s="44" t="str">
        <f t="shared" si="156"/>
        <v/>
      </c>
      <c r="O275" s="44" t="str">
        <f t="shared" si="157"/>
        <v/>
      </c>
      <c r="P275" s="44" t="str">
        <f t="shared" si="158"/>
        <v/>
      </c>
      <c r="Q275" s="238" t="str">
        <f t="shared" si="159"/>
        <v/>
      </c>
      <c r="R275" s="243" t="e">
        <f t="shared" si="160"/>
        <v>#NUM!</v>
      </c>
      <c r="S275" s="17"/>
      <c r="T275" s="187" t="str">
        <f t="shared" si="161"/>
        <v/>
      </c>
      <c r="U275" s="42" t="e">
        <f t="shared" si="162"/>
        <v>#NUM!</v>
      </c>
      <c r="V275" s="45">
        <f t="shared" si="163"/>
        <v>0</v>
      </c>
      <c r="W275" s="47"/>
      <c r="X275" s="272" t="b">
        <f t="shared" si="147"/>
        <v>0</v>
      </c>
      <c r="Y275" s="39">
        <v>0</v>
      </c>
      <c r="AB275" s="357" t="e">
        <f t="shared" si="164"/>
        <v>#N/A</v>
      </c>
      <c r="AG275" s="307">
        <f t="shared" si="165"/>
        <v>0</v>
      </c>
      <c r="AH275" s="283">
        <f t="shared" si="166"/>
        <v>0</v>
      </c>
      <c r="AI275" t="str">
        <f t="shared" si="167"/>
        <v/>
      </c>
      <c r="AV275" s="36"/>
      <c r="AW275" s="37"/>
      <c r="AX275" s="236"/>
      <c r="AY275" s="237"/>
      <c r="AZ275" s="238"/>
      <c r="BA275" s="237"/>
      <c r="BB275" s="238"/>
      <c r="BC275" s="239"/>
      <c r="BD275" s="237"/>
      <c r="BE275" s="240"/>
      <c r="BF275" s="46" t="str">
        <f t="shared" si="168"/>
        <v/>
      </c>
      <c r="BH275" s="243"/>
      <c r="BI275" s="17"/>
      <c r="BJ275" s="187"/>
      <c r="BK275" s="42"/>
      <c r="BL275" s="45"/>
      <c r="BM275" s="238"/>
    </row>
    <row r="276" spans="3:65" ht="15.5" thickTop="1" thickBot="1" x14ac:dyDescent="0.4">
      <c r="C276" s="36" t="str">
        <f t="shared" si="142"/>
        <v/>
      </c>
      <c r="D276" s="37" t="e">
        <f t="shared" si="149"/>
        <v>#NUM!</v>
      </c>
      <c r="E276" s="236">
        <f t="shared" si="150"/>
        <v>0</v>
      </c>
      <c r="F276" s="237" t="e">
        <f t="shared" si="151"/>
        <v>#NUM!</v>
      </c>
      <c r="G276" s="238" t="e">
        <f>IF(D276="","",L275*Resumen!$L$86/1000)</f>
        <v>#NUM!</v>
      </c>
      <c r="H276" s="237" t="e">
        <f t="shared" si="152"/>
        <v>#NUM!</v>
      </c>
      <c r="I276" s="238" t="e">
        <f>IF($E$16=$V$1,0,IF(D276="","",Amortización!$AE$14))</f>
        <v>#NUM!</v>
      </c>
      <c r="J276" s="239">
        <f>IFERROR(IF(OR($E$11=Resumen!$N$6,$E$8=Resumen!$N$6),Amortización!F276*0.16,0),"")</f>
        <v>0</v>
      </c>
      <c r="K276" s="237">
        <f t="shared" si="153"/>
        <v>0</v>
      </c>
      <c r="L276" s="240">
        <f t="shared" si="154"/>
        <v>0</v>
      </c>
      <c r="M276" s="46" t="str">
        <f t="shared" si="155"/>
        <v/>
      </c>
      <c r="N276" s="44" t="str">
        <f t="shared" si="156"/>
        <v/>
      </c>
      <c r="O276" s="44" t="str">
        <f t="shared" si="157"/>
        <v/>
      </c>
      <c r="P276" s="44" t="str">
        <f t="shared" si="158"/>
        <v/>
      </c>
      <c r="Q276" s="238" t="str">
        <f t="shared" si="159"/>
        <v/>
      </c>
      <c r="R276" s="243" t="e">
        <f t="shared" si="160"/>
        <v>#NUM!</v>
      </c>
      <c r="S276" s="17"/>
      <c r="T276" s="187" t="str">
        <f t="shared" si="161"/>
        <v/>
      </c>
      <c r="U276" s="42" t="e">
        <f t="shared" si="162"/>
        <v>#NUM!</v>
      </c>
      <c r="V276" s="45">
        <f t="shared" si="163"/>
        <v>0</v>
      </c>
      <c r="W276" s="47"/>
      <c r="X276" s="272" t="b">
        <f t="shared" si="147"/>
        <v>0</v>
      </c>
      <c r="Y276" s="39">
        <v>0</v>
      </c>
      <c r="AB276" s="357" t="e">
        <f t="shared" si="164"/>
        <v>#N/A</v>
      </c>
      <c r="AG276" s="307">
        <f t="shared" si="165"/>
        <v>0</v>
      </c>
      <c r="AH276" s="283">
        <f t="shared" si="166"/>
        <v>0</v>
      </c>
      <c r="AI276" t="str">
        <f t="shared" si="167"/>
        <v/>
      </c>
      <c r="AV276" s="36"/>
      <c r="AW276" s="37"/>
      <c r="AX276" s="236"/>
      <c r="AY276" s="237"/>
      <c r="AZ276" s="238"/>
      <c r="BA276" s="237"/>
      <c r="BB276" s="238"/>
      <c r="BC276" s="239"/>
      <c r="BD276" s="237"/>
      <c r="BE276" s="240"/>
      <c r="BF276" s="46" t="str">
        <f t="shared" si="168"/>
        <v/>
      </c>
      <c r="BH276" s="243"/>
      <c r="BI276" s="17"/>
      <c r="BJ276" s="187"/>
      <c r="BK276" s="42"/>
      <c r="BL276" s="45"/>
      <c r="BM276" s="238"/>
    </row>
    <row r="277" spans="3:65" ht="15.5" thickTop="1" thickBot="1" x14ac:dyDescent="0.4">
      <c r="C277" s="36" t="str">
        <f t="shared" si="142"/>
        <v/>
      </c>
      <c r="D277" s="37" t="e">
        <f t="shared" si="149"/>
        <v>#NUM!</v>
      </c>
      <c r="E277" s="236">
        <f t="shared" si="150"/>
        <v>0</v>
      </c>
      <c r="F277" s="237" t="e">
        <f t="shared" si="151"/>
        <v>#NUM!</v>
      </c>
      <c r="G277" s="238" t="e">
        <f>IF(D277="","",L276*Resumen!$L$86/1000)</f>
        <v>#NUM!</v>
      </c>
      <c r="H277" s="237" t="e">
        <f t="shared" si="152"/>
        <v>#NUM!</v>
      </c>
      <c r="I277" s="238" t="e">
        <f>IF($E$16=$V$1,0,IF(D277="","",Amortización!$AE$14))</f>
        <v>#NUM!</v>
      </c>
      <c r="J277" s="239">
        <f>IFERROR(IF(OR($E$11=Resumen!$N$6,$E$8=Resumen!$N$6),Amortización!F277*0.16,0),"")</f>
        <v>0</v>
      </c>
      <c r="K277" s="237">
        <f t="shared" si="153"/>
        <v>0</v>
      </c>
      <c r="L277" s="240">
        <f t="shared" si="154"/>
        <v>0</v>
      </c>
      <c r="M277" s="46" t="str">
        <f t="shared" si="155"/>
        <v/>
      </c>
      <c r="N277" s="44" t="str">
        <f t="shared" si="156"/>
        <v/>
      </c>
      <c r="O277" s="44" t="str">
        <f t="shared" si="157"/>
        <v/>
      </c>
      <c r="P277" s="44" t="str">
        <f t="shared" si="158"/>
        <v/>
      </c>
      <c r="Q277" s="238" t="str">
        <f t="shared" si="159"/>
        <v/>
      </c>
      <c r="R277" s="243" t="e">
        <f t="shared" si="160"/>
        <v>#NUM!</v>
      </c>
      <c r="S277" s="17"/>
      <c r="T277" s="187" t="str">
        <f t="shared" si="161"/>
        <v/>
      </c>
      <c r="U277" s="42" t="e">
        <f t="shared" si="162"/>
        <v>#NUM!</v>
      </c>
      <c r="V277" s="45">
        <f t="shared" si="163"/>
        <v>0</v>
      </c>
      <c r="W277" s="47"/>
      <c r="X277" s="272" t="b">
        <f t="shared" si="147"/>
        <v>0</v>
      </c>
      <c r="Y277" s="39">
        <v>0</v>
      </c>
      <c r="AB277" s="357" t="e">
        <f t="shared" si="164"/>
        <v>#N/A</v>
      </c>
      <c r="AG277" s="307">
        <f t="shared" si="165"/>
        <v>0</v>
      </c>
      <c r="AH277" s="283">
        <f t="shared" si="166"/>
        <v>0</v>
      </c>
      <c r="AI277" t="str">
        <f t="shared" si="167"/>
        <v/>
      </c>
      <c r="AV277" s="36"/>
      <c r="AW277" s="37"/>
      <c r="AX277" s="236"/>
      <c r="AY277" s="237"/>
      <c r="AZ277" s="238"/>
      <c r="BA277" s="237"/>
      <c r="BB277" s="238"/>
      <c r="BC277" s="239"/>
      <c r="BD277" s="237"/>
      <c r="BE277" s="240"/>
      <c r="BF277" s="46" t="str">
        <f t="shared" si="168"/>
        <v/>
      </c>
      <c r="BH277" s="243"/>
      <c r="BI277" s="17"/>
      <c r="BJ277" s="187"/>
      <c r="BK277" s="42"/>
      <c r="BL277" s="45"/>
      <c r="BM277" s="238"/>
    </row>
    <row r="278" spans="3:65" ht="15.5" thickTop="1" thickBot="1" x14ac:dyDescent="0.4">
      <c r="C278" s="36" t="str">
        <f t="shared" si="142"/>
        <v/>
      </c>
      <c r="D278" s="37" t="e">
        <f t="shared" si="149"/>
        <v>#NUM!</v>
      </c>
      <c r="E278" s="236">
        <f t="shared" si="150"/>
        <v>0</v>
      </c>
      <c r="F278" s="237" t="e">
        <f t="shared" si="151"/>
        <v>#NUM!</v>
      </c>
      <c r="G278" s="238" t="e">
        <f>IF(D278="","",L277*Resumen!$L$86/1000)</f>
        <v>#NUM!</v>
      </c>
      <c r="H278" s="237" t="e">
        <f t="shared" si="152"/>
        <v>#NUM!</v>
      </c>
      <c r="I278" s="238" t="e">
        <f>IF($E$16=$V$1,0,IF(D278="","",Amortización!$AE$14))</f>
        <v>#NUM!</v>
      </c>
      <c r="J278" s="239">
        <f>IFERROR(IF(OR($E$11=Resumen!$N$6,$E$8=Resumen!$N$6),Amortización!F278*0.16,0),"")</f>
        <v>0</v>
      </c>
      <c r="K278" s="237">
        <f t="shared" si="153"/>
        <v>0</v>
      </c>
      <c r="L278" s="240">
        <f t="shared" si="154"/>
        <v>0</v>
      </c>
      <c r="M278" s="46" t="str">
        <f t="shared" si="155"/>
        <v/>
      </c>
      <c r="N278" s="44" t="str">
        <f t="shared" si="156"/>
        <v/>
      </c>
      <c r="O278" s="44" t="str">
        <f t="shared" si="157"/>
        <v/>
      </c>
      <c r="P278" s="44" t="str">
        <f t="shared" si="158"/>
        <v/>
      </c>
      <c r="Q278" s="238" t="str">
        <f t="shared" si="159"/>
        <v/>
      </c>
      <c r="R278" s="243" t="e">
        <f t="shared" si="160"/>
        <v>#NUM!</v>
      </c>
      <c r="S278" s="17"/>
      <c r="T278" s="187" t="str">
        <f t="shared" si="161"/>
        <v/>
      </c>
      <c r="U278" s="42" t="e">
        <f t="shared" si="162"/>
        <v>#NUM!</v>
      </c>
      <c r="V278" s="45">
        <f t="shared" si="163"/>
        <v>0</v>
      </c>
      <c r="W278" s="47"/>
      <c r="X278" s="272" t="b">
        <f t="shared" si="147"/>
        <v>0</v>
      </c>
      <c r="Y278" s="39">
        <v>0</v>
      </c>
      <c r="AB278" s="357" t="e">
        <f t="shared" si="164"/>
        <v>#N/A</v>
      </c>
      <c r="AG278" s="307">
        <f t="shared" si="165"/>
        <v>0</v>
      </c>
      <c r="AH278" s="283">
        <f t="shared" si="166"/>
        <v>0</v>
      </c>
      <c r="AI278" t="str">
        <f t="shared" si="167"/>
        <v/>
      </c>
      <c r="AV278" s="36"/>
      <c r="AW278" s="37"/>
      <c r="AX278" s="236"/>
      <c r="AY278" s="237"/>
      <c r="AZ278" s="238"/>
      <c r="BA278" s="237"/>
      <c r="BB278" s="238"/>
      <c r="BC278" s="239"/>
      <c r="BD278" s="237"/>
      <c r="BE278" s="240"/>
      <c r="BF278" s="46" t="str">
        <f t="shared" si="168"/>
        <v/>
      </c>
      <c r="BH278" s="243"/>
      <c r="BI278" s="17"/>
      <c r="BJ278" s="187"/>
      <c r="BK278" s="42"/>
      <c r="BL278" s="45"/>
      <c r="BM278" s="238"/>
    </row>
    <row r="279" spans="3:65" ht="15.5" thickTop="1" thickBot="1" x14ac:dyDescent="0.4">
      <c r="C279" s="36" t="str">
        <f t="shared" si="142"/>
        <v/>
      </c>
      <c r="D279" s="37" t="e">
        <f t="shared" si="149"/>
        <v>#NUM!</v>
      </c>
      <c r="E279" s="236">
        <f t="shared" si="150"/>
        <v>0</v>
      </c>
      <c r="F279" s="237" t="e">
        <f t="shared" si="151"/>
        <v>#NUM!</v>
      </c>
      <c r="G279" s="238" t="e">
        <f>IF(D279="","",L278*Resumen!$L$86/1000)</f>
        <v>#NUM!</v>
      </c>
      <c r="H279" s="237" t="e">
        <f t="shared" si="152"/>
        <v>#NUM!</v>
      </c>
      <c r="I279" s="238" t="e">
        <f>IF($E$16=$V$1,0,IF(D279="","",Amortización!$AE$14))</f>
        <v>#NUM!</v>
      </c>
      <c r="J279" s="239">
        <f>IFERROR(IF(OR($E$11=Resumen!$N$6,$E$8=Resumen!$N$6),Amortización!F279*0.16,0),"")</f>
        <v>0</v>
      </c>
      <c r="K279" s="237">
        <f t="shared" si="153"/>
        <v>0</v>
      </c>
      <c r="L279" s="240">
        <f t="shared" si="154"/>
        <v>0</v>
      </c>
      <c r="M279" s="46" t="str">
        <f t="shared" si="155"/>
        <v/>
      </c>
      <c r="N279" s="44" t="str">
        <f t="shared" si="156"/>
        <v/>
      </c>
      <c r="O279" s="44" t="str">
        <f t="shared" si="157"/>
        <v/>
      </c>
      <c r="P279" s="44" t="str">
        <f t="shared" si="158"/>
        <v/>
      </c>
      <c r="Q279" s="238" t="str">
        <f t="shared" si="159"/>
        <v/>
      </c>
      <c r="R279" s="243" t="e">
        <f t="shared" si="160"/>
        <v>#NUM!</v>
      </c>
      <c r="S279" s="17"/>
      <c r="T279" s="187" t="str">
        <f t="shared" si="161"/>
        <v/>
      </c>
      <c r="U279" s="42" t="e">
        <f t="shared" si="162"/>
        <v>#NUM!</v>
      </c>
      <c r="V279" s="45">
        <f t="shared" si="163"/>
        <v>0</v>
      </c>
      <c r="W279" s="47"/>
      <c r="X279" s="272" t="b">
        <f t="shared" si="147"/>
        <v>0</v>
      </c>
      <c r="Y279" s="39">
        <v>0</v>
      </c>
      <c r="AB279" s="357" t="e">
        <f t="shared" si="164"/>
        <v>#N/A</v>
      </c>
      <c r="AG279" s="307">
        <f t="shared" si="165"/>
        <v>0</v>
      </c>
      <c r="AH279" s="283">
        <f t="shared" si="166"/>
        <v>0</v>
      </c>
      <c r="AI279" t="str">
        <f t="shared" si="167"/>
        <v/>
      </c>
      <c r="AV279" s="36"/>
      <c r="AW279" s="37"/>
      <c r="AX279" s="236"/>
      <c r="AY279" s="237"/>
      <c r="AZ279" s="238"/>
      <c r="BA279" s="237"/>
      <c r="BB279" s="238"/>
      <c r="BC279" s="239"/>
      <c r="BD279" s="237"/>
      <c r="BE279" s="240"/>
      <c r="BF279" s="46" t="str">
        <f t="shared" si="168"/>
        <v/>
      </c>
      <c r="BH279" s="243"/>
      <c r="BI279" s="17"/>
      <c r="BJ279" s="187"/>
      <c r="BK279" s="42"/>
      <c r="BL279" s="45"/>
      <c r="BM279" s="238"/>
    </row>
    <row r="280" spans="3:65" ht="15.5" thickTop="1" thickBot="1" x14ac:dyDescent="0.4">
      <c r="C280" s="36" t="str">
        <f t="shared" ref="C280:C320" si="169">IF(OR(L279="",L279=0),"",IF(C279+1&gt;$K$11+$X$2,"",C279+1))</f>
        <v/>
      </c>
      <c r="D280" s="37" t="e">
        <f t="shared" si="149"/>
        <v>#NUM!</v>
      </c>
      <c r="E280" s="236">
        <f t="shared" si="150"/>
        <v>0</v>
      </c>
      <c r="F280" s="237" t="e">
        <f t="shared" si="151"/>
        <v>#NUM!</v>
      </c>
      <c r="G280" s="238" t="e">
        <f>IF(D280="","",L279*Resumen!$L$86/1000)</f>
        <v>#NUM!</v>
      </c>
      <c r="H280" s="237" t="e">
        <f t="shared" si="152"/>
        <v>#NUM!</v>
      </c>
      <c r="I280" s="238" t="e">
        <f>IF($E$16=$V$1,0,IF(D280="","",Amortización!$AE$14))</f>
        <v>#NUM!</v>
      </c>
      <c r="J280" s="239">
        <f>IFERROR(IF(OR($E$11=Resumen!$N$6,$E$8=Resumen!$N$6),Amortización!F280*0.16,0),"")</f>
        <v>0</v>
      </c>
      <c r="K280" s="237">
        <f t="shared" si="153"/>
        <v>0</v>
      </c>
      <c r="L280" s="240">
        <f t="shared" si="154"/>
        <v>0</v>
      </c>
      <c r="M280" s="46" t="str">
        <f t="shared" si="155"/>
        <v/>
      </c>
      <c r="N280" s="44" t="str">
        <f t="shared" si="156"/>
        <v/>
      </c>
      <c r="O280" s="44" t="str">
        <f t="shared" si="157"/>
        <v/>
      </c>
      <c r="P280" s="44" t="str">
        <f t="shared" si="158"/>
        <v/>
      </c>
      <c r="Q280" s="238" t="str">
        <f t="shared" si="159"/>
        <v/>
      </c>
      <c r="R280" s="243" t="e">
        <f t="shared" si="160"/>
        <v>#NUM!</v>
      </c>
      <c r="S280" s="17"/>
      <c r="T280" s="187" t="str">
        <f t="shared" si="161"/>
        <v/>
      </c>
      <c r="U280" s="42" t="e">
        <f t="shared" si="162"/>
        <v>#NUM!</v>
      </c>
      <c r="V280" s="45">
        <f t="shared" si="163"/>
        <v>0</v>
      </c>
      <c r="W280" s="47"/>
      <c r="X280" s="272" t="b">
        <f t="shared" si="147"/>
        <v>0</v>
      </c>
      <c r="Y280" s="39">
        <v>0</v>
      </c>
      <c r="AB280" s="357" t="e">
        <f t="shared" si="164"/>
        <v>#N/A</v>
      </c>
      <c r="AG280" s="307">
        <f t="shared" si="165"/>
        <v>0</v>
      </c>
      <c r="AH280" s="283">
        <f t="shared" si="166"/>
        <v>0</v>
      </c>
      <c r="AI280" t="str">
        <f t="shared" si="167"/>
        <v/>
      </c>
      <c r="AV280" s="36"/>
      <c r="AW280" s="37"/>
      <c r="AX280" s="236"/>
      <c r="AY280" s="237"/>
      <c r="AZ280" s="238"/>
      <c r="BA280" s="237"/>
      <c r="BB280" s="238"/>
      <c r="BC280" s="239"/>
      <c r="BD280" s="237"/>
      <c r="BE280" s="240"/>
      <c r="BF280" s="46" t="str">
        <f t="shared" si="168"/>
        <v/>
      </c>
      <c r="BH280" s="243"/>
      <c r="BI280" s="17"/>
      <c r="BJ280" s="187"/>
      <c r="BK280" s="42"/>
      <c r="BL280" s="45"/>
      <c r="BM280" s="238"/>
    </row>
    <row r="281" spans="3:65" ht="15.5" thickTop="1" thickBot="1" x14ac:dyDescent="0.4">
      <c r="C281" s="36" t="str">
        <f t="shared" si="169"/>
        <v/>
      </c>
      <c r="D281" s="37" t="e">
        <f t="shared" si="149"/>
        <v>#NUM!</v>
      </c>
      <c r="E281" s="236">
        <f t="shared" si="150"/>
        <v>0</v>
      </c>
      <c r="F281" s="237" t="e">
        <f t="shared" si="151"/>
        <v>#NUM!</v>
      </c>
      <c r="G281" s="238" t="e">
        <f>IF(D281="","",L280*Resumen!$L$86/1000)</f>
        <v>#NUM!</v>
      </c>
      <c r="H281" s="237" t="e">
        <f t="shared" si="152"/>
        <v>#NUM!</v>
      </c>
      <c r="I281" s="238" t="e">
        <f>IF($E$16=$V$1,0,IF(D281="","",Amortización!$AE$14))</f>
        <v>#NUM!</v>
      </c>
      <c r="J281" s="239">
        <f>IFERROR(IF(OR($E$11=Resumen!$N$6,$E$8=Resumen!$N$6),Amortización!F281*0.16,0),"")</f>
        <v>0</v>
      </c>
      <c r="K281" s="237">
        <f t="shared" si="153"/>
        <v>0</v>
      </c>
      <c r="L281" s="240">
        <f t="shared" si="154"/>
        <v>0</v>
      </c>
      <c r="M281" s="46" t="str">
        <f t="shared" si="155"/>
        <v/>
      </c>
      <c r="N281" s="44" t="str">
        <f t="shared" si="156"/>
        <v/>
      </c>
      <c r="O281" s="44" t="str">
        <f t="shared" si="157"/>
        <v/>
      </c>
      <c r="P281" s="44" t="str">
        <f t="shared" si="158"/>
        <v/>
      </c>
      <c r="Q281" s="238" t="str">
        <f t="shared" si="159"/>
        <v/>
      </c>
      <c r="R281" s="243" t="e">
        <f t="shared" si="160"/>
        <v>#NUM!</v>
      </c>
      <c r="S281" s="17"/>
      <c r="T281" s="187" t="str">
        <f t="shared" si="161"/>
        <v/>
      </c>
      <c r="U281" s="42" t="e">
        <f t="shared" si="162"/>
        <v>#NUM!</v>
      </c>
      <c r="V281" s="45">
        <f t="shared" si="163"/>
        <v>0</v>
      </c>
      <c r="W281" s="47"/>
      <c r="X281" s="272" t="b">
        <f t="shared" si="147"/>
        <v>0</v>
      </c>
      <c r="Y281" s="39">
        <v>0</v>
      </c>
      <c r="AB281" s="357" t="e">
        <f t="shared" si="164"/>
        <v>#N/A</v>
      </c>
      <c r="AG281" s="307">
        <f t="shared" si="165"/>
        <v>0</v>
      </c>
      <c r="AH281" s="283">
        <f t="shared" si="166"/>
        <v>0</v>
      </c>
      <c r="AI281" t="str">
        <f t="shared" si="167"/>
        <v/>
      </c>
      <c r="AV281" s="36"/>
      <c r="AW281" s="37"/>
      <c r="AX281" s="236"/>
      <c r="AY281" s="237"/>
      <c r="AZ281" s="238"/>
      <c r="BA281" s="237"/>
      <c r="BB281" s="238"/>
      <c r="BC281" s="239"/>
      <c r="BD281" s="237"/>
      <c r="BE281" s="240"/>
      <c r="BF281" s="46" t="str">
        <f t="shared" si="168"/>
        <v/>
      </c>
      <c r="BH281" s="243"/>
      <c r="BI281" s="17"/>
      <c r="BJ281" s="187"/>
      <c r="BK281" s="42"/>
      <c r="BL281" s="45"/>
      <c r="BM281" s="238"/>
    </row>
    <row r="282" spans="3:65" ht="15.5" thickTop="1" thickBot="1" x14ac:dyDescent="0.4">
      <c r="C282" s="36" t="str">
        <f t="shared" si="169"/>
        <v/>
      </c>
      <c r="D282" s="37" t="e">
        <f t="shared" si="149"/>
        <v>#NUM!</v>
      </c>
      <c r="E282" s="236">
        <f t="shared" si="150"/>
        <v>0</v>
      </c>
      <c r="F282" s="237" t="e">
        <f t="shared" si="151"/>
        <v>#NUM!</v>
      </c>
      <c r="G282" s="238" t="e">
        <f>IF(D282="","",L281*Resumen!$L$86/1000)</f>
        <v>#NUM!</v>
      </c>
      <c r="H282" s="237" t="e">
        <f t="shared" si="152"/>
        <v>#NUM!</v>
      </c>
      <c r="I282" s="238" t="e">
        <f>IF($E$16=$V$1,0,IF(D282="","",Amortización!$AE$14))</f>
        <v>#NUM!</v>
      </c>
      <c r="J282" s="239">
        <f>IFERROR(IF(OR($E$11=Resumen!$N$6,$E$8=Resumen!$N$6),Amortización!F282*0.16,0),"")</f>
        <v>0</v>
      </c>
      <c r="K282" s="237">
        <f t="shared" si="153"/>
        <v>0</v>
      </c>
      <c r="L282" s="240">
        <f t="shared" si="154"/>
        <v>0</v>
      </c>
      <c r="M282" s="46" t="str">
        <f t="shared" si="155"/>
        <v/>
      </c>
      <c r="N282" s="44" t="str">
        <f t="shared" si="156"/>
        <v/>
      </c>
      <c r="O282" s="44" t="str">
        <f t="shared" si="157"/>
        <v/>
      </c>
      <c r="P282" s="44" t="str">
        <f t="shared" si="158"/>
        <v/>
      </c>
      <c r="Q282" s="238" t="str">
        <f t="shared" si="159"/>
        <v/>
      </c>
      <c r="R282" s="243" t="e">
        <f t="shared" si="160"/>
        <v>#NUM!</v>
      </c>
      <c r="S282" s="17"/>
      <c r="T282" s="187" t="str">
        <f t="shared" si="161"/>
        <v/>
      </c>
      <c r="U282" s="42" t="e">
        <f t="shared" si="162"/>
        <v>#NUM!</v>
      </c>
      <c r="V282" s="45">
        <f t="shared" si="163"/>
        <v>0</v>
      </c>
      <c r="W282" s="47"/>
      <c r="X282" s="272" t="b">
        <f t="shared" si="147"/>
        <v>0</v>
      </c>
      <c r="Y282" s="39">
        <v>0</v>
      </c>
      <c r="AB282" s="357" t="e">
        <f t="shared" si="164"/>
        <v>#N/A</v>
      </c>
      <c r="AG282" s="307">
        <f t="shared" si="165"/>
        <v>0</v>
      </c>
      <c r="AH282" s="283">
        <f t="shared" si="166"/>
        <v>0</v>
      </c>
      <c r="AI282" t="str">
        <f t="shared" si="167"/>
        <v/>
      </c>
      <c r="AV282" s="36"/>
      <c r="AW282" s="37"/>
      <c r="AX282" s="236"/>
      <c r="AY282" s="237"/>
      <c r="AZ282" s="238"/>
      <c r="BA282" s="237"/>
      <c r="BB282" s="238"/>
      <c r="BC282" s="239"/>
      <c r="BD282" s="237"/>
      <c r="BE282" s="240"/>
      <c r="BF282" s="46" t="str">
        <f t="shared" si="168"/>
        <v/>
      </c>
      <c r="BH282" s="243"/>
      <c r="BI282" s="17"/>
      <c r="BJ282" s="187"/>
      <c r="BK282" s="42"/>
      <c r="BL282" s="45"/>
      <c r="BM282" s="238"/>
    </row>
    <row r="283" spans="3:65" ht="15.5" thickTop="1" thickBot="1" x14ac:dyDescent="0.4">
      <c r="C283" s="36" t="str">
        <f t="shared" si="169"/>
        <v/>
      </c>
      <c r="D283" s="37" t="e">
        <f t="shared" si="149"/>
        <v>#NUM!</v>
      </c>
      <c r="E283" s="236">
        <f t="shared" si="150"/>
        <v>0</v>
      </c>
      <c r="F283" s="237" t="e">
        <f t="shared" si="151"/>
        <v>#NUM!</v>
      </c>
      <c r="G283" s="238" t="e">
        <f>IF(D283="","",L282*Resumen!$L$86/1000)</f>
        <v>#NUM!</v>
      </c>
      <c r="H283" s="237" t="e">
        <f t="shared" si="152"/>
        <v>#NUM!</v>
      </c>
      <c r="I283" s="238" t="e">
        <f>IF($E$16=$V$1,0,IF(D283="","",Amortización!$AE$14))</f>
        <v>#NUM!</v>
      </c>
      <c r="J283" s="239">
        <f>IFERROR(IF(OR($E$11=Resumen!$N$6,$E$8=Resumen!$N$6),Amortización!F283*0.16,0),"")</f>
        <v>0</v>
      </c>
      <c r="K283" s="237">
        <f t="shared" si="153"/>
        <v>0</v>
      </c>
      <c r="L283" s="240">
        <f t="shared" si="154"/>
        <v>0</v>
      </c>
      <c r="M283" s="46" t="str">
        <f t="shared" si="155"/>
        <v/>
      </c>
      <c r="N283" s="44" t="str">
        <f t="shared" si="156"/>
        <v/>
      </c>
      <c r="O283" s="44" t="str">
        <f t="shared" si="157"/>
        <v/>
      </c>
      <c r="P283" s="44" t="str">
        <f t="shared" si="158"/>
        <v/>
      </c>
      <c r="Q283" s="238" t="str">
        <f t="shared" si="159"/>
        <v/>
      </c>
      <c r="R283" s="243" t="e">
        <f t="shared" si="160"/>
        <v>#NUM!</v>
      </c>
      <c r="S283" s="17"/>
      <c r="T283" s="187" t="str">
        <f t="shared" si="161"/>
        <v/>
      </c>
      <c r="U283" s="42" t="e">
        <f t="shared" si="162"/>
        <v>#NUM!</v>
      </c>
      <c r="V283" s="45">
        <f t="shared" si="163"/>
        <v>0</v>
      </c>
      <c r="W283" s="47"/>
      <c r="X283" s="272" t="b">
        <f t="shared" si="147"/>
        <v>0</v>
      </c>
      <c r="Y283" s="39">
        <v>0</v>
      </c>
      <c r="AB283" s="357" t="e">
        <f t="shared" si="164"/>
        <v>#N/A</v>
      </c>
      <c r="AG283" s="307">
        <f t="shared" si="165"/>
        <v>0</v>
      </c>
      <c r="AH283" s="283">
        <f t="shared" si="166"/>
        <v>0</v>
      </c>
      <c r="AI283" t="str">
        <f t="shared" si="167"/>
        <v/>
      </c>
      <c r="AV283" s="36"/>
      <c r="AW283" s="37"/>
      <c r="AX283" s="236"/>
      <c r="AY283" s="237"/>
      <c r="AZ283" s="238"/>
      <c r="BA283" s="237"/>
      <c r="BB283" s="238"/>
      <c r="BC283" s="239"/>
      <c r="BD283" s="237"/>
      <c r="BE283" s="240"/>
      <c r="BF283" s="46" t="str">
        <f t="shared" si="168"/>
        <v/>
      </c>
      <c r="BH283" s="243"/>
      <c r="BI283" s="17"/>
      <c r="BJ283" s="187"/>
      <c r="BK283" s="42"/>
      <c r="BL283" s="45"/>
      <c r="BM283" s="238"/>
    </row>
    <row r="284" spans="3:65" ht="15.5" thickTop="1" thickBot="1" x14ac:dyDescent="0.4">
      <c r="C284" s="36" t="str">
        <f t="shared" si="169"/>
        <v/>
      </c>
      <c r="D284" s="37" t="e">
        <f t="shared" si="149"/>
        <v>#NUM!</v>
      </c>
      <c r="E284" s="236">
        <f t="shared" si="150"/>
        <v>0</v>
      </c>
      <c r="F284" s="237" t="e">
        <f t="shared" si="151"/>
        <v>#NUM!</v>
      </c>
      <c r="G284" s="238" t="e">
        <f>IF(D284="","",L283*Resumen!$L$86/1000)</f>
        <v>#NUM!</v>
      </c>
      <c r="H284" s="237" t="e">
        <f t="shared" si="152"/>
        <v>#NUM!</v>
      </c>
      <c r="I284" s="238" t="e">
        <f>IF($E$16=$V$1,0,IF(D284="","",Amortización!$AE$14))</f>
        <v>#NUM!</v>
      </c>
      <c r="J284" s="239">
        <f>IFERROR(IF(OR($E$11=Resumen!$N$6,$E$8=Resumen!$N$6),Amortización!F284*0.16,0),"")</f>
        <v>0</v>
      </c>
      <c r="K284" s="237">
        <f t="shared" si="153"/>
        <v>0</v>
      </c>
      <c r="L284" s="240">
        <f t="shared" si="154"/>
        <v>0</v>
      </c>
      <c r="M284" s="46" t="str">
        <f t="shared" si="155"/>
        <v/>
      </c>
      <c r="N284" s="44" t="str">
        <f t="shared" si="156"/>
        <v/>
      </c>
      <c r="O284" s="44" t="str">
        <f t="shared" si="157"/>
        <v/>
      </c>
      <c r="P284" s="44" t="str">
        <f t="shared" si="158"/>
        <v/>
      </c>
      <c r="Q284" s="238" t="str">
        <f t="shared" si="159"/>
        <v/>
      </c>
      <c r="R284" s="243" t="e">
        <f t="shared" si="160"/>
        <v>#NUM!</v>
      </c>
      <c r="S284" s="17"/>
      <c r="T284" s="187" t="str">
        <f t="shared" si="161"/>
        <v/>
      </c>
      <c r="U284" s="42" t="e">
        <f t="shared" si="162"/>
        <v>#NUM!</v>
      </c>
      <c r="V284" s="45">
        <f t="shared" si="163"/>
        <v>0</v>
      </c>
      <c r="W284" s="47"/>
      <c r="X284" s="272" t="b">
        <f t="shared" si="147"/>
        <v>0</v>
      </c>
      <c r="Y284" s="39">
        <v>0</v>
      </c>
      <c r="AB284" s="357" t="e">
        <f t="shared" si="164"/>
        <v>#N/A</v>
      </c>
      <c r="AG284" s="307">
        <f t="shared" si="165"/>
        <v>0</v>
      </c>
      <c r="AH284" s="283">
        <f t="shared" si="166"/>
        <v>0</v>
      </c>
      <c r="AI284" t="str">
        <f t="shared" si="167"/>
        <v/>
      </c>
      <c r="AV284" s="36"/>
      <c r="AW284" s="37"/>
      <c r="AX284" s="236"/>
      <c r="AY284" s="237"/>
      <c r="AZ284" s="238"/>
      <c r="BA284" s="237"/>
      <c r="BB284" s="238"/>
      <c r="BC284" s="239"/>
      <c r="BD284" s="237"/>
      <c r="BE284" s="240"/>
      <c r="BF284" s="46" t="str">
        <f t="shared" si="168"/>
        <v/>
      </c>
      <c r="BH284" s="243"/>
      <c r="BI284" s="17"/>
      <c r="BJ284" s="187"/>
      <c r="BK284" s="42"/>
      <c r="BL284" s="45"/>
      <c r="BM284" s="238"/>
    </row>
    <row r="285" spans="3:65" ht="15.5" thickTop="1" thickBot="1" x14ac:dyDescent="0.4">
      <c r="C285" s="36" t="str">
        <f t="shared" si="169"/>
        <v/>
      </c>
      <c r="D285" s="37" t="e">
        <f t="shared" si="149"/>
        <v>#NUM!</v>
      </c>
      <c r="E285" s="236">
        <f t="shared" si="150"/>
        <v>0</v>
      </c>
      <c r="F285" s="237" t="e">
        <f t="shared" si="151"/>
        <v>#NUM!</v>
      </c>
      <c r="G285" s="238" t="e">
        <f>IF(D285="","",L284*Resumen!$L$86/1000)</f>
        <v>#NUM!</v>
      </c>
      <c r="H285" s="237" t="e">
        <f t="shared" si="152"/>
        <v>#NUM!</v>
      </c>
      <c r="I285" s="238" t="e">
        <f>IF($E$16=$V$1,0,IF(D285="","",Amortización!$AE$14))</f>
        <v>#NUM!</v>
      </c>
      <c r="J285" s="239">
        <f>IFERROR(IF(OR($E$11=Resumen!$N$6,$E$8=Resumen!$N$6),Amortización!F285*0.16,0),"")</f>
        <v>0</v>
      </c>
      <c r="K285" s="237">
        <f t="shared" si="153"/>
        <v>0</v>
      </c>
      <c r="L285" s="240">
        <f t="shared" si="154"/>
        <v>0</v>
      </c>
      <c r="M285" s="46" t="str">
        <f t="shared" si="155"/>
        <v/>
      </c>
      <c r="N285" s="44" t="str">
        <f t="shared" si="156"/>
        <v/>
      </c>
      <c r="O285" s="44" t="str">
        <f t="shared" si="157"/>
        <v/>
      </c>
      <c r="P285" s="44" t="str">
        <f t="shared" si="158"/>
        <v/>
      </c>
      <c r="Q285" s="238" t="str">
        <f t="shared" si="159"/>
        <v/>
      </c>
      <c r="R285" s="243" t="e">
        <f t="shared" si="160"/>
        <v>#NUM!</v>
      </c>
      <c r="S285" s="17"/>
      <c r="T285" s="187" t="str">
        <f t="shared" si="161"/>
        <v/>
      </c>
      <c r="U285" s="42" t="e">
        <f t="shared" si="162"/>
        <v>#NUM!</v>
      </c>
      <c r="V285" s="45">
        <f t="shared" si="163"/>
        <v>0</v>
      </c>
      <c r="W285" s="47"/>
      <c r="X285" s="272" t="b">
        <f t="shared" si="147"/>
        <v>0</v>
      </c>
      <c r="Y285" s="39">
        <v>0</v>
      </c>
      <c r="AB285" s="357" t="e">
        <f t="shared" si="164"/>
        <v>#N/A</v>
      </c>
      <c r="AG285" s="307">
        <f t="shared" si="165"/>
        <v>0</v>
      </c>
      <c r="AH285" s="283">
        <f t="shared" si="166"/>
        <v>0</v>
      </c>
      <c r="AI285" t="str">
        <f t="shared" si="167"/>
        <v/>
      </c>
      <c r="AV285" s="36"/>
      <c r="AW285" s="37"/>
      <c r="AX285" s="236"/>
      <c r="AY285" s="237"/>
      <c r="AZ285" s="238"/>
      <c r="BA285" s="237"/>
      <c r="BB285" s="238"/>
      <c r="BC285" s="239"/>
      <c r="BD285" s="237"/>
      <c r="BE285" s="240"/>
      <c r="BF285" s="46" t="str">
        <f t="shared" si="168"/>
        <v/>
      </c>
      <c r="BH285" s="243"/>
      <c r="BI285" s="17"/>
      <c r="BJ285" s="187"/>
      <c r="BK285" s="42"/>
      <c r="BL285" s="45"/>
      <c r="BM285" s="238"/>
    </row>
    <row r="286" spans="3:65" ht="15.5" thickTop="1" thickBot="1" x14ac:dyDescent="0.4">
      <c r="C286" s="36" t="str">
        <f t="shared" si="169"/>
        <v/>
      </c>
      <c r="D286" s="37" t="e">
        <f t="shared" si="149"/>
        <v>#NUM!</v>
      </c>
      <c r="E286" s="236">
        <f t="shared" si="150"/>
        <v>0</v>
      </c>
      <c r="F286" s="237" t="e">
        <f t="shared" si="151"/>
        <v>#NUM!</v>
      </c>
      <c r="G286" s="238" t="e">
        <f>IF(D286="","",L285*Resumen!$L$86/1000)</f>
        <v>#NUM!</v>
      </c>
      <c r="H286" s="237" t="e">
        <f t="shared" si="152"/>
        <v>#NUM!</v>
      </c>
      <c r="I286" s="238" t="e">
        <f>IF($E$16=$V$1,0,IF(D286="","",Amortización!$AE$14))</f>
        <v>#NUM!</v>
      </c>
      <c r="J286" s="239">
        <f>IFERROR(IF(OR($E$11=Resumen!$N$6,$E$8=Resumen!$N$6),Amortización!F286*0.16,0),"")</f>
        <v>0</v>
      </c>
      <c r="K286" s="237">
        <f t="shared" si="153"/>
        <v>0</v>
      </c>
      <c r="L286" s="240">
        <f t="shared" si="154"/>
        <v>0</v>
      </c>
      <c r="M286" s="46" t="str">
        <f t="shared" si="155"/>
        <v/>
      </c>
      <c r="N286" s="44" t="str">
        <f t="shared" si="156"/>
        <v/>
      </c>
      <c r="O286" s="44" t="str">
        <f t="shared" si="157"/>
        <v/>
      </c>
      <c r="P286" s="44" t="str">
        <f t="shared" si="158"/>
        <v/>
      </c>
      <c r="Q286" s="238" t="str">
        <f t="shared" si="159"/>
        <v/>
      </c>
      <c r="R286" s="243" t="e">
        <f t="shared" si="160"/>
        <v>#NUM!</v>
      </c>
      <c r="S286" s="17"/>
      <c r="T286" s="187" t="str">
        <f t="shared" si="161"/>
        <v/>
      </c>
      <c r="U286" s="42" t="e">
        <f t="shared" si="162"/>
        <v>#NUM!</v>
      </c>
      <c r="V286" s="45">
        <f t="shared" si="163"/>
        <v>0</v>
      </c>
      <c r="W286" s="47"/>
      <c r="X286" s="272" t="b">
        <f t="shared" si="147"/>
        <v>0</v>
      </c>
      <c r="Y286" s="39">
        <v>0</v>
      </c>
      <c r="AB286" s="357" t="e">
        <f t="shared" si="164"/>
        <v>#N/A</v>
      </c>
      <c r="AG286" s="307">
        <f t="shared" si="165"/>
        <v>0</v>
      </c>
      <c r="AH286" s="283">
        <f t="shared" si="166"/>
        <v>0</v>
      </c>
      <c r="AI286" t="str">
        <f t="shared" si="167"/>
        <v/>
      </c>
      <c r="AV286" s="36"/>
      <c r="AW286" s="37"/>
      <c r="AX286" s="236"/>
      <c r="AY286" s="237"/>
      <c r="AZ286" s="238"/>
      <c r="BA286" s="237"/>
      <c r="BB286" s="238"/>
      <c r="BC286" s="239"/>
      <c r="BD286" s="237"/>
      <c r="BE286" s="240"/>
      <c r="BF286" s="46" t="str">
        <f t="shared" si="168"/>
        <v/>
      </c>
      <c r="BH286" s="243"/>
      <c r="BI286" s="17"/>
      <c r="BJ286" s="187"/>
      <c r="BK286" s="42"/>
      <c r="BL286" s="45"/>
      <c r="BM286" s="238"/>
    </row>
    <row r="287" spans="3:65" ht="15.5" thickTop="1" thickBot="1" x14ac:dyDescent="0.4">
      <c r="C287" s="36" t="str">
        <f t="shared" si="169"/>
        <v/>
      </c>
      <c r="D287" s="37" t="e">
        <f t="shared" si="149"/>
        <v>#NUM!</v>
      </c>
      <c r="E287" s="236">
        <f t="shared" si="150"/>
        <v>0</v>
      </c>
      <c r="F287" s="237" t="e">
        <f t="shared" si="151"/>
        <v>#NUM!</v>
      </c>
      <c r="G287" s="238" t="e">
        <f>IF(D287="","",L286*Resumen!$L$86/1000)</f>
        <v>#NUM!</v>
      </c>
      <c r="H287" s="237" t="e">
        <f t="shared" si="152"/>
        <v>#NUM!</v>
      </c>
      <c r="I287" s="238" t="e">
        <f>IF($E$16=$V$1,0,IF(D287="","",Amortización!$AE$14))</f>
        <v>#NUM!</v>
      </c>
      <c r="J287" s="239">
        <f>IFERROR(IF(OR($E$11=Resumen!$N$6,$E$8=Resumen!$N$6),Amortización!F287*0.16,0),"")</f>
        <v>0</v>
      </c>
      <c r="K287" s="237">
        <f t="shared" si="153"/>
        <v>0</v>
      </c>
      <c r="L287" s="240">
        <f t="shared" si="154"/>
        <v>0</v>
      </c>
      <c r="M287" s="46" t="str">
        <f t="shared" si="155"/>
        <v/>
      </c>
      <c r="N287" s="44" t="str">
        <f t="shared" si="156"/>
        <v/>
      </c>
      <c r="O287" s="44" t="str">
        <f t="shared" si="157"/>
        <v/>
      </c>
      <c r="P287" s="44" t="str">
        <f t="shared" si="158"/>
        <v/>
      </c>
      <c r="Q287" s="238" t="str">
        <f t="shared" si="159"/>
        <v/>
      </c>
      <c r="R287" s="243" t="e">
        <f t="shared" si="160"/>
        <v>#NUM!</v>
      </c>
      <c r="S287" s="17"/>
      <c r="T287" s="187" t="str">
        <f t="shared" si="161"/>
        <v/>
      </c>
      <c r="U287" s="42" t="e">
        <f t="shared" si="162"/>
        <v>#NUM!</v>
      </c>
      <c r="V287" s="45">
        <f t="shared" si="163"/>
        <v>0</v>
      </c>
      <c r="W287" s="47"/>
      <c r="X287" s="272" t="b">
        <f t="shared" si="147"/>
        <v>0</v>
      </c>
      <c r="Y287" s="39">
        <v>0</v>
      </c>
      <c r="AB287" s="357" t="e">
        <f t="shared" si="164"/>
        <v>#N/A</v>
      </c>
      <c r="AG287" s="307">
        <f t="shared" si="165"/>
        <v>0</v>
      </c>
      <c r="AH287" s="283">
        <f t="shared" si="166"/>
        <v>0</v>
      </c>
      <c r="AI287" t="str">
        <f t="shared" si="167"/>
        <v/>
      </c>
      <c r="AV287" s="36"/>
      <c r="AW287" s="37"/>
      <c r="AX287" s="236"/>
      <c r="AY287" s="237"/>
      <c r="AZ287" s="238"/>
      <c r="BA287" s="237"/>
      <c r="BB287" s="238"/>
      <c r="BC287" s="239"/>
      <c r="BD287" s="237"/>
      <c r="BE287" s="240"/>
      <c r="BF287" s="46" t="str">
        <f t="shared" si="168"/>
        <v/>
      </c>
      <c r="BH287" s="243"/>
      <c r="BI287" s="17"/>
      <c r="BJ287" s="187"/>
      <c r="BK287" s="42"/>
      <c r="BL287" s="45"/>
      <c r="BM287" s="238"/>
    </row>
    <row r="288" spans="3:65" ht="15.5" thickTop="1" thickBot="1" x14ac:dyDescent="0.4">
      <c r="C288" s="36" t="str">
        <f t="shared" si="169"/>
        <v/>
      </c>
      <c r="D288" s="37" t="e">
        <f t="shared" si="149"/>
        <v>#NUM!</v>
      </c>
      <c r="E288" s="236">
        <f t="shared" si="150"/>
        <v>0</v>
      </c>
      <c r="F288" s="237" t="e">
        <f t="shared" si="151"/>
        <v>#NUM!</v>
      </c>
      <c r="G288" s="238" t="e">
        <f>IF(D288="","",L287*Resumen!$L$86/1000)</f>
        <v>#NUM!</v>
      </c>
      <c r="H288" s="237" t="e">
        <f t="shared" si="152"/>
        <v>#NUM!</v>
      </c>
      <c r="I288" s="238" t="e">
        <f>IF($E$16=$V$1,0,IF(D288="","",Amortización!$AE$14))</f>
        <v>#NUM!</v>
      </c>
      <c r="J288" s="239">
        <f>IFERROR(IF(OR($E$11=Resumen!$N$6,$E$8=Resumen!$N$6),Amortización!F288*0.16,0),"")</f>
        <v>0</v>
      </c>
      <c r="K288" s="237">
        <f t="shared" si="153"/>
        <v>0</v>
      </c>
      <c r="L288" s="240">
        <f t="shared" si="154"/>
        <v>0</v>
      </c>
      <c r="M288" s="46" t="str">
        <f t="shared" si="155"/>
        <v/>
      </c>
      <c r="N288" s="44" t="str">
        <f t="shared" si="156"/>
        <v/>
      </c>
      <c r="O288" s="44" t="str">
        <f t="shared" si="157"/>
        <v/>
      </c>
      <c r="P288" s="44" t="str">
        <f t="shared" si="158"/>
        <v/>
      </c>
      <c r="Q288" s="238" t="str">
        <f t="shared" si="159"/>
        <v/>
      </c>
      <c r="R288" s="243" t="e">
        <f t="shared" si="160"/>
        <v>#NUM!</v>
      </c>
      <c r="S288" s="17"/>
      <c r="T288" s="187" t="str">
        <f t="shared" si="161"/>
        <v/>
      </c>
      <c r="U288" s="42" t="e">
        <f t="shared" si="162"/>
        <v>#NUM!</v>
      </c>
      <c r="V288" s="45">
        <f t="shared" si="163"/>
        <v>0</v>
      </c>
      <c r="W288" s="47"/>
      <c r="X288" s="272" t="b">
        <f t="shared" si="147"/>
        <v>0</v>
      </c>
      <c r="Y288" s="39">
        <v>0</v>
      </c>
      <c r="AB288" s="357" t="e">
        <f t="shared" si="164"/>
        <v>#N/A</v>
      </c>
      <c r="AG288" s="307">
        <f t="shared" si="165"/>
        <v>0</v>
      </c>
      <c r="AH288" s="283">
        <f t="shared" si="166"/>
        <v>0</v>
      </c>
      <c r="AI288" t="str">
        <f t="shared" si="167"/>
        <v/>
      </c>
      <c r="AV288" s="36"/>
      <c r="AW288" s="37"/>
      <c r="AX288" s="236"/>
      <c r="AY288" s="237"/>
      <c r="AZ288" s="238"/>
      <c r="BA288" s="237"/>
      <c r="BB288" s="238"/>
      <c r="BC288" s="239"/>
      <c r="BD288" s="237"/>
      <c r="BE288" s="240"/>
      <c r="BF288" s="46" t="str">
        <f t="shared" si="168"/>
        <v/>
      </c>
      <c r="BH288" s="243"/>
      <c r="BI288" s="17"/>
      <c r="BJ288" s="187"/>
      <c r="BK288" s="42"/>
      <c r="BL288" s="45"/>
      <c r="BM288" s="238"/>
    </row>
    <row r="289" spans="3:65" ht="15.5" thickTop="1" thickBot="1" x14ac:dyDescent="0.4">
      <c r="C289" s="36" t="str">
        <f t="shared" si="169"/>
        <v/>
      </c>
      <c r="D289" s="37" t="e">
        <f t="shared" si="149"/>
        <v>#NUM!</v>
      </c>
      <c r="E289" s="236">
        <f t="shared" si="150"/>
        <v>0</v>
      </c>
      <c r="F289" s="237" t="e">
        <f t="shared" si="151"/>
        <v>#NUM!</v>
      </c>
      <c r="G289" s="238" t="e">
        <f>IF(D289="","",L288*Resumen!$L$86/1000)</f>
        <v>#NUM!</v>
      </c>
      <c r="H289" s="237" t="e">
        <f t="shared" si="152"/>
        <v>#NUM!</v>
      </c>
      <c r="I289" s="238" t="e">
        <f>IF($E$16=$V$1,0,IF(D289="","",Amortización!$AE$14))</f>
        <v>#NUM!</v>
      </c>
      <c r="J289" s="239">
        <f>IFERROR(IF(OR($E$11=Resumen!$N$6,$E$8=Resumen!$N$6),Amortización!F289*0.16,0),"")</f>
        <v>0</v>
      </c>
      <c r="K289" s="237">
        <f t="shared" si="153"/>
        <v>0</v>
      </c>
      <c r="L289" s="240">
        <f t="shared" si="154"/>
        <v>0</v>
      </c>
      <c r="M289" s="46" t="str">
        <f t="shared" si="155"/>
        <v/>
      </c>
      <c r="N289" s="44" t="str">
        <f t="shared" si="156"/>
        <v/>
      </c>
      <c r="O289" s="44" t="str">
        <f t="shared" si="157"/>
        <v/>
      </c>
      <c r="P289" s="44" t="str">
        <f t="shared" si="158"/>
        <v/>
      </c>
      <c r="Q289" s="238" t="str">
        <f t="shared" si="159"/>
        <v/>
      </c>
      <c r="R289" s="243" t="e">
        <f t="shared" si="160"/>
        <v>#NUM!</v>
      </c>
      <c r="S289" s="17"/>
      <c r="T289" s="187" t="str">
        <f t="shared" si="161"/>
        <v/>
      </c>
      <c r="U289" s="42" t="e">
        <f t="shared" si="162"/>
        <v>#NUM!</v>
      </c>
      <c r="V289" s="45">
        <f t="shared" si="163"/>
        <v>0</v>
      </c>
      <c r="W289" s="47"/>
      <c r="X289" s="272" t="b">
        <f t="shared" si="147"/>
        <v>0</v>
      </c>
      <c r="Y289" s="39">
        <v>0</v>
      </c>
      <c r="AB289" s="357" t="e">
        <f t="shared" si="164"/>
        <v>#N/A</v>
      </c>
      <c r="AG289" s="307">
        <f t="shared" si="165"/>
        <v>0</v>
      </c>
      <c r="AH289" s="283">
        <f t="shared" si="166"/>
        <v>0</v>
      </c>
      <c r="AI289" t="str">
        <f t="shared" si="167"/>
        <v/>
      </c>
      <c r="AV289" s="36"/>
      <c r="AW289" s="37"/>
      <c r="AX289" s="236"/>
      <c r="AY289" s="237"/>
      <c r="AZ289" s="238"/>
      <c r="BA289" s="237"/>
      <c r="BB289" s="238"/>
      <c r="BC289" s="239"/>
      <c r="BD289" s="237"/>
      <c r="BE289" s="240"/>
      <c r="BF289" s="46" t="str">
        <f t="shared" si="168"/>
        <v/>
      </c>
      <c r="BH289" s="243"/>
      <c r="BI289" s="17"/>
      <c r="BJ289" s="187"/>
      <c r="BK289" s="42"/>
      <c r="BL289" s="45"/>
      <c r="BM289" s="238"/>
    </row>
    <row r="290" spans="3:65" ht="15.5" thickTop="1" thickBot="1" x14ac:dyDescent="0.4">
      <c r="C290" s="36" t="str">
        <f t="shared" si="169"/>
        <v/>
      </c>
      <c r="D290" s="37" t="e">
        <f t="shared" si="149"/>
        <v>#NUM!</v>
      </c>
      <c r="E290" s="236">
        <f t="shared" si="150"/>
        <v>0</v>
      </c>
      <c r="F290" s="237" t="e">
        <f t="shared" si="151"/>
        <v>#NUM!</v>
      </c>
      <c r="G290" s="238" t="e">
        <f>IF(D290="","",L289*Resumen!$L$86/1000)</f>
        <v>#NUM!</v>
      </c>
      <c r="H290" s="237" t="e">
        <f t="shared" si="152"/>
        <v>#NUM!</v>
      </c>
      <c r="I290" s="238" t="e">
        <f>IF($E$16=$V$1,0,IF(D290="","",Amortización!$AE$14))</f>
        <v>#NUM!</v>
      </c>
      <c r="J290" s="239">
        <f>IFERROR(IF(OR($E$11=Resumen!$N$6,$E$8=Resumen!$N$6),Amortización!F290*0.16,0),"")</f>
        <v>0</v>
      </c>
      <c r="K290" s="237">
        <f t="shared" si="153"/>
        <v>0</v>
      </c>
      <c r="L290" s="240">
        <f t="shared" si="154"/>
        <v>0</v>
      </c>
      <c r="M290" s="46" t="str">
        <f t="shared" si="155"/>
        <v/>
      </c>
      <c r="N290" s="44" t="str">
        <f t="shared" si="156"/>
        <v/>
      </c>
      <c r="O290" s="44" t="str">
        <f t="shared" si="157"/>
        <v/>
      </c>
      <c r="P290" s="44" t="str">
        <f t="shared" si="158"/>
        <v/>
      </c>
      <c r="Q290" s="238" t="str">
        <f t="shared" si="159"/>
        <v/>
      </c>
      <c r="R290" s="243" t="e">
        <f t="shared" si="160"/>
        <v>#NUM!</v>
      </c>
      <c r="S290" s="17"/>
      <c r="T290" s="187" t="str">
        <f t="shared" si="161"/>
        <v/>
      </c>
      <c r="U290" s="42" t="e">
        <f t="shared" si="162"/>
        <v>#NUM!</v>
      </c>
      <c r="V290" s="45">
        <f t="shared" si="163"/>
        <v>0</v>
      </c>
      <c r="W290" s="47"/>
      <c r="X290" s="272" t="b">
        <f t="shared" si="147"/>
        <v>0</v>
      </c>
      <c r="Y290" s="39">
        <v>0</v>
      </c>
      <c r="AB290" s="357" t="e">
        <f t="shared" si="164"/>
        <v>#N/A</v>
      </c>
      <c r="AG290" s="307">
        <f t="shared" si="165"/>
        <v>0</v>
      </c>
      <c r="AH290" s="283">
        <f t="shared" si="166"/>
        <v>0</v>
      </c>
      <c r="AI290" t="str">
        <f t="shared" si="167"/>
        <v/>
      </c>
      <c r="AV290" s="36"/>
      <c r="AW290" s="37"/>
      <c r="AX290" s="236"/>
      <c r="AY290" s="237"/>
      <c r="AZ290" s="238"/>
      <c r="BA290" s="237"/>
      <c r="BB290" s="238"/>
      <c r="BC290" s="239"/>
      <c r="BD290" s="237"/>
      <c r="BE290" s="240"/>
      <c r="BF290" s="46" t="str">
        <f t="shared" si="168"/>
        <v/>
      </c>
      <c r="BH290" s="243"/>
      <c r="BI290" s="17"/>
      <c r="BJ290" s="187"/>
      <c r="BK290" s="42"/>
      <c r="BL290" s="45"/>
      <c r="BM290" s="238"/>
    </row>
    <row r="291" spans="3:65" ht="15.5" thickTop="1" thickBot="1" x14ac:dyDescent="0.4">
      <c r="C291" s="36" t="str">
        <f t="shared" si="169"/>
        <v/>
      </c>
      <c r="D291" s="37" t="e">
        <f t="shared" si="149"/>
        <v>#NUM!</v>
      </c>
      <c r="E291" s="236">
        <f t="shared" si="150"/>
        <v>0</v>
      </c>
      <c r="F291" s="237" t="e">
        <f t="shared" si="151"/>
        <v>#NUM!</v>
      </c>
      <c r="G291" s="238" t="e">
        <f>IF(D291="","",L290*Resumen!$L$86/1000)</f>
        <v>#NUM!</v>
      </c>
      <c r="H291" s="237" t="e">
        <f t="shared" si="152"/>
        <v>#NUM!</v>
      </c>
      <c r="I291" s="238" t="e">
        <f>IF($E$16=$V$1,0,IF(D291="","",Amortización!$AE$14))</f>
        <v>#NUM!</v>
      </c>
      <c r="J291" s="239">
        <f>IFERROR(IF(OR($E$11=Resumen!$N$6,$E$8=Resumen!$N$6),Amortización!F291*0.16,0),"")</f>
        <v>0</v>
      </c>
      <c r="K291" s="237">
        <f t="shared" si="153"/>
        <v>0</v>
      </c>
      <c r="L291" s="240">
        <f t="shared" si="154"/>
        <v>0</v>
      </c>
      <c r="M291" s="46" t="str">
        <f t="shared" si="155"/>
        <v/>
      </c>
      <c r="N291" s="44" t="str">
        <f t="shared" si="156"/>
        <v/>
      </c>
      <c r="O291" s="44" t="str">
        <f t="shared" si="157"/>
        <v/>
      </c>
      <c r="P291" s="44" t="str">
        <f t="shared" si="158"/>
        <v/>
      </c>
      <c r="Q291" s="238" t="str">
        <f t="shared" si="159"/>
        <v/>
      </c>
      <c r="R291" s="243" t="e">
        <f t="shared" si="160"/>
        <v>#NUM!</v>
      </c>
      <c r="S291" s="17"/>
      <c r="T291" s="187" t="str">
        <f t="shared" si="161"/>
        <v/>
      </c>
      <c r="U291" s="42" t="e">
        <f t="shared" si="162"/>
        <v>#NUM!</v>
      </c>
      <c r="V291" s="45">
        <f t="shared" si="163"/>
        <v>0</v>
      </c>
      <c r="W291" s="47"/>
      <c r="X291" s="272" t="b">
        <f t="shared" si="147"/>
        <v>0</v>
      </c>
      <c r="Y291" s="39">
        <v>0</v>
      </c>
      <c r="AB291" s="357" t="e">
        <f t="shared" si="164"/>
        <v>#N/A</v>
      </c>
      <c r="AG291" s="307">
        <f t="shared" si="165"/>
        <v>0</v>
      </c>
      <c r="AH291" s="283">
        <f t="shared" si="166"/>
        <v>0</v>
      </c>
      <c r="AI291" t="str">
        <f t="shared" si="167"/>
        <v/>
      </c>
      <c r="AV291" s="36"/>
      <c r="AW291" s="37"/>
      <c r="AX291" s="236"/>
      <c r="AY291" s="237"/>
      <c r="AZ291" s="238"/>
      <c r="BA291" s="237"/>
      <c r="BB291" s="238"/>
      <c r="BC291" s="239"/>
      <c r="BD291" s="237"/>
      <c r="BE291" s="240"/>
      <c r="BF291" s="46" t="str">
        <f t="shared" si="168"/>
        <v/>
      </c>
      <c r="BH291" s="243"/>
      <c r="BI291" s="17"/>
      <c r="BJ291" s="187"/>
      <c r="BK291" s="42"/>
      <c r="BL291" s="45"/>
      <c r="BM291" s="238"/>
    </row>
    <row r="292" spans="3:65" ht="15.5" thickTop="1" thickBot="1" x14ac:dyDescent="0.4">
      <c r="C292" s="36" t="str">
        <f t="shared" si="169"/>
        <v/>
      </c>
      <c r="D292" s="37" t="e">
        <f t="shared" si="149"/>
        <v>#NUM!</v>
      </c>
      <c r="E292" s="236">
        <f t="shared" si="150"/>
        <v>0</v>
      </c>
      <c r="F292" s="237" t="e">
        <f t="shared" si="151"/>
        <v>#NUM!</v>
      </c>
      <c r="G292" s="238" t="e">
        <f>IF(D292="","",L291*Resumen!$L$86/1000)</f>
        <v>#NUM!</v>
      </c>
      <c r="H292" s="237" t="e">
        <f t="shared" si="152"/>
        <v>#NUM!</v>
      </c>
      <c r="I292" s="238" t="e">
        <f>IF($E$16=$V$1,0,IF(D292="","",Amortización!$AE$14))</f>
        <v>#NUM!</v>
      </c>
      <c r="J292" s="239">
        <f>IFERROR(IF(OR($E$11=Resumen!$N$6,$E$8=Resumen!$N$6),Amortización!F292*0.16,0),"")</f>
        <v>0</v>
      </c>
      <c r="K292" s="237">
        <f t="shared" si="153"/>
        <v>0</v>
      </c>
      <c r="L292" s="240">
        <f t="shared" si="154"/>
        <v>0</v>
      </c>
      <c r="M292" s="46" t="str">
        <f t="shared" si="155"/>
        <v/>
      </c>
      <c r="N292" s="44" t="str">
        <f t="shared" si="156"/>
        <v/>
      </c>
      <c r="O292" s="44" t="str">
        <f t="shared" si="157"/>
        <v/>
      </c>
      <c r="P292" s="44" t="str">
        <f t="shared" si="158"/>
        <v/>
      </c>
      <c r="Q292" s="238" t="str">
        <f t="shared" si="159"/>
        <v/>
      </c>
      <c r="R292" s="243" t="e">
        <f t="shared" si="160"/>
        <v>#NUM!</v>
      </c>
      <c r="S292" s="17"/>
      <c r="T292" s="187" t="str">
        <f t="shared" si="161"/>
        <v/>
      </c>
      <c r="U292" s="42" t="e">
        <f t="shared" si="162"/>
        <v>#NUM!</v>
      </c>
      <c r="V292" s="45">
        <f t="shared" si="163"/>
        <v>0</v>
      </c>
      <c r="W292" s="47"/>
      <c r="X292" s="272" t="b">
        <f t="shared" si="147"/>
        <v>0</v>
      </c>
      <c r="Y292" s="39">
        <v>0</v>
      </c>
      <c r="AB292" s="357" t="e">
        <f t="shared" si="164"/>
        <v>#N/A</v>
      </c>
      <c r="AG292" s="307">
        <f t="shared" si="165"/>
        <v>0</v>
      </c>
      <c r="AH292" s="283">
        <f t="shared" si="166"/>
        <v>0</v>
      </c>
      <c r="AI292" t="str">
        <f t="shared" si="167"/>
        <v/>
      </c>
      <c r="AV292" s="36"/>
      <c r="AW292" s="37"/>
      <c r="AX292" s="236"/>
      <c r="AY292" s="237"/>
      <c r="AZ292" s="238"/>
      <c r="BA292" s="237"/>
      <c r="BB292" s="238"/>
      <c r="BC292" s="239"/>
      <c r="BD292" s="237"/>
      <c r="BE292" s="240"/>
      <c r="BF292" s="46" t="str">
        <f t="shared" si="168"/>
        <v/>
      </c>
      <c r="BH292" s="243"/>
      <c r="BI292" s="17"/>
      <c r="BJ292" s="187"/>
      <c r="BK292" s="42"/>
      <c r="BL292" s="45"/>
      <c r="BM292" s="238"/>
    </row>
    <row r="293" spans="3:65" ht="15.5" thickTop="1" thickBot="1" x14ac:dyDescent="0.4">
      <c r="C293" s="36" t="str">
        <f t="shared" si="169"/>
        <v/>
      </c>
      <c r="D293" s="37" t="e">
        <f t="shared" si="149"/>
        <v>#NUM!</v>
      </c>
      <c r="E293" s="236">
        <f t="shared" si="150"/>
        <v>0</v>
      </c>
      <c r="F293" s="237" t="e">
        <f t="shared" si="151"/>
        <v>#NUM!</v>
      </c>
      <c r="G293" s="238" t="e">
        <f>IF(D293="","",L292*Resumen!$L$86/1000)</f>
        <v>#NUM!</v>
      </c>
      <c r="H293" s="237" t="e">
        <f t="shared" si="152"/>
        <v>#NUM!</v>
      </c>
      <c r="I293" s="238" t="e">
        <f>IF($E$16=$V$1,0,IF(D293="","",Amortización!$AE$14))</f>
        <v>#NUM!</v>
      </c>
      <c r="J293" s="239">
        <f>IFERROR(IF(OR($E$11=Resumen!$N$6,$E$8=Resumen!$N$6),Amortización!F293*0.16,0),"")</f>
        <v>0</v>
      </c>
      <c r="K293" s="237">
        <f t="shared" si="153"/>
        <v>0</v>
      </c>
      <c r="L293" s="240">
        <f t="shared" si="154"/>
        <v>0</v>
      </c>
      <c r="M293" s="46" t="str">
        <f t="shared" si="155"/>
        <v/>
      </c>
      <c r="N293" s="44" t="str">
        <f t="shared" si="156"/>
        <v/>
      </c>
      <c r="O293" s="44" t="str">
        <f t="shared" si="157"/>
        <v/>
      </c>
      <c r="P293" s="44" t="str">
        <f t="shared" si="158"/>
        <v/>
      </c>
      <c r="Q293" s="238" t="str">
        <f t="shared" si="159"/>
        <v/>
      </c>
      <c r="R293" s="243" t="e">
        <f t="shared" si="160"/>
        <v>#NUM!</v>
      </c>
      <c r="S293" s="17"/>
      <c r="T293" s="187" t="str">
        <f t="shared" si="161"/>
        <v/>
      </c>
      <c r="U293" s="42" t="e">
        <f t="shared" si="162"/>
        <v>#NUM!</v>
      </c>
      <c r="V293" s="45">
        <f t="shared" si="163"/>
        <v>0</v>
      </c>
      <c r="W293" s="47"/>
      <c r="X293" s="272" t="b">
        <f t="shared" ref="X293:X320" si="170">IF(OR(AND($E$8="Adquisicion",$E$9="Premier"),AND($E$8="Exclusiva",$E$9="Premier"),AND($E$8="Nomina Especial",$E$9="Premier")),X281*1.019,IF(OR(AND($E$8="Adquisicion",$E$9="No Premier"),AND($E$8="Exclusiva",$E$9="No Premier"),AND($E$8="Nomina Especial",$E$9="No Premier")),X281*1.019,IF($E$8="Pago de Hipoteca",X281*1.019)))</f>
        <v>0</v>
      </c>
      <c r="Y293" s="39">
        <v>0</v>
      </c>
      <c r="AB293" s="357" t="e">
        <f t="shared" si="164"/>
        <v>#N/A</v>
      </c>
      <c r="AG293" s="307">
        <f t="shared" si="165"/>
        <v>0</v>
      </c>
      <c r="AH293" s="283">
        <f t="shared" si="166"/>
        <v>0</v>
      </c>
      <c r="AI293" t="str">
        <f t="shared" si="167"/>
        <v/>
      </c>
      <c r="AV293" s="36"/>
      <c r="AW293" s="37"/>
      <c r="AX293" s="236"/>
      <c r="AY293" s="237"/>
      <c r="AZ293" s="238"/>
      <c r="BA293" s="237"/>
      <c r="BB293" s="238"/>
      <c r="BC293" s="239"/>
      <c r="BD293" s="237"/>
      <c r="BE293" s="240"/>
      <c r="BF293" s="46" t="str">
        <f t="shared" si="168"/>
        <v/>
      </c>
      <c r="BH293" s="243"/>
      <c r="BI293" s="17"/>
      <c r="BJ293" s="187"/>
      <c r="BK293" s="42"/>
      <c r="BL293" s="45"/>
      <c r="BM293" s="238"/>
    </row>
    <row r="294" spans="3:65" ht="15.5" thickTop="1" thickBot="1" x14ac:dyDescent="0.4">
      <c r="C294" s="36" t="str">
        <f t="shared" si="169"/>
        <v/>
      </c>
      <c r="D294" s="37" t="e">
        <f t="shared" si="149"/>
        <v>#NUM!</v>
      </c>
      <c r="E294" s="236">
        <f t="shared" si="150"/>
        <v>0</v>
      </c>
      <c r="F294" s="237" t="e">
        <f t="shared" si="151"/>
        <v>#NUM!</v>
      </c>
      <c r="G294" s="238" t="e">
        <f>IF(D294="","",L293*Resumen!$L$86/1000)</f>
        <v>#NUM!</v>
      </c>
      <c r="H294" s="237" t="e">
        <f t="shared" si="152"/>
        <v>#NUM!</v>
      </c>
      <c r="I294" s="238" t="e">
        <f>IF($E$16=$V$1,0,IF(D294="","",Amortización!$AE$14))</f>
        <v>#NUM!</v>
      </c>
      <c r="J294" s="239">
        <f>IFERROR(IF(OR($E$11=Resumen!$N$6,$E$8=Resumen!$N$6),Amortización!F294*0.16,0),"")</f>
        <v>0</v>
      </c>
      <c r="K294" s="237">
        <f t="shared" si="153"/>
        <v>0</v>
      </c>
      <c r="L294" s="240">
        <f t="shared" si="154"/>
        <v>0</v>
      </c>
      <c r="M294" s="46" t="str">
        <f t="shared" si="155"/>
        <v/>
      </c>
      <c r="N294" s="44" t="str">
        <f t="shared" si="156"/>
        <v/>
      </c>
      <c r="O294" s="44" t="str">
        <f t="shared" si="157"/>
        <v/>
      </c>
      <c r="P294" s="44" t="str">
        <f t="shared" si="158"/>
        <v/>
      </c>
      <c r="Q294" s="238" t="str">
        <f t="shared" si="159"/>
        <v/>
      </c>
      <c r="R294" s="243" t="e">
        <f t="shared" si="160"/>
        <v>#NUM!</v>
      </c>
      <c r="S294" s="17"/>
      <c r="T294" s="187" t="str">
        <f t="shared" si="161"/>
        <v/>
      </c>
      <c r="U294" s="42" t="e">
        <f t="shared" si="162"/>
        <v>#NUM!</v>
      </c>
      <c r="V294" s="45">
        <f t="shared" si="163"/>
        <v>0</v>
      </c>
      <c r="W294" s="47"/>
      <c r="X294" s="272" t="b">
        <f t="shared" si="170"/>
        <v>0</v>
      </c>
      <c r="Y294" s="39">
        <v>0</v>
      </c>
      <c r="AB294" s="357" t="e">
        <f t="shared" si="164"/>
        <v>#N/A</v>
      </c>
      <c r="AG294" s="307">
        <f t="shared" si="165"/>
        <v>0</v>
      </c>
      <c r="AH294" s="283">
        <f t="shared" si="166"/>
        <v>0</v>
      </c>
      <c r="AI294" t="str">
        <f t="shared" si="167"/>
        <v/>
      </c>
      <c r="AV294" s="36"/>
      <c r="AW294" s="37"/>
      <c r="AX294" s="236"/>
      <c r="AY294" s="237"/>
      <c r="AZ294" s="238"/>
      <c r="BA294" s="237"/>
      <c r="BB294" s="238"/>
      <c r="BC294" s="239"/>
      <c r="BD294" s="237"/>
      <c r="BE294" s="240"/>
      <c r="BF294" s="46" t="str">
        <f t="shared" si="168"/>
        <v/>
      </c>
      <c r="BH294" s="243"/>
      <c r="BI294" s="17"/>
      <c r="BJ294" s="187"/>
      <c r="BK294" s="42"/>
      <c r="BL294" s="45"/>
      <c r="BM294" s="238"/>
    </row>
    <row r="295" spans="3:65" ht="15.5" thickTop="1" thickBot="1" x14ac:dyDescent="0.4">
      <c r="C295" s="36" t="str">
        <f t="shared" si="169"/>
        <v/>
      </c>
      <c r="D295" s="37" t="e">
        <f t="shared" si="149"/>
        <v>#NUM!</v>
      </c>
      <c r="E295" s="236">
        <f t="shared" si="150"/>
        <v>0</v>
      </c>
      <c r="F295" s="237" t="e">
        <f t="shared" si="151"/>
        <v>#NUM!</v>
      </c>
      <c r="G295" s="238" t="e">
        <f>IF(D295="","",L294*Resumen!$L$86/1000)</f>
        <v>#NUM!</v>
      </c>
      <c r="H295" s="237" t="e">
        <f t="shared" si="152"/>
        <v>#NUM!</v>
      </c>
      <c r="I295" s="238" t="e">
        <f>IF($E$16=$V$1,0,IF(D295="","",Amortización!$AE$14))</f>
        <v>#NUM!</v>
      </c>
      <c r="J295" s="239">
        <f>IFERROR(IF(OR($E$11=Resumen!$N$6,$E$8=Resumen!$N$6),Amortización!F295*0.16,0),"")</f>
        <v>0</v>
      </c>
      <c r="K295" s="237">
        <f t="shared" si="153"/>
        <v>0</v>
      </c>
      <c r="L295" s="240">
        <f t="shared" si="154"/>
        <v>0</v>
      </c>
      <c r="M295" s="46" t="str">
        <f t="shared" si="155"/>
        <v/>
      </c>
      <c r="N295" s="44" t="str">
        <f t="shared" si="156"/>
        <v/>
      </c>
      <c r="O295" s="44" t="str">
        <f t="shared" si="157"/>
        <v/>
      </c>
      <c r="P295" s="44" t="str">
        <f t="shared" si="158"/>
        <v/>
      </c>
      <c r="Q295" s="238" t="str">
        <f t="shared" si="159"/>
        <v/>
      </c>
      <c r="R295" s="243" t="e">
        <f t="shared" si="160"/>
        <v>#NUM!</v>
      </c>
      <c r="S295" s="17"/>
      <c r="T295" s="187" t="str">
        <f t="shared" si="161"/>
        <v/>
      </c>
      <c r="U295" s="42" t="e">
        <f t="shared" si="162"/>
        <v>#NUM!</v>
      </c>
      <c r="V295" s="45">
        <f t="shared" si="163"/>
        <v>0</v>
      </c>
      <c r="W295" s="47"/>
      <c r="X295" s="272" t="b">
        <f t="shared" si="170"/>
        <v>0</v>
      </c>
      <c r="Y295" s="39">
        <v>0</v>
      </c>
      <c r="AB295" s="357" t="e">
        <f t="shared" si="164"/>
        <v>#N/A</v>
      </c>
      <c r="AG295" s="307">
        <f t="shared" si="165"/>
        <v>0</v>
      </c>
      <c r="AH295" s="283">
        <f t="shared" si="166"/>
        <v>0</v>
      </c>
      <c r="AI295" t="str">
        <f t="shared" si="167"/>
        <v/>
      </c>
      <c r="AV295" s="36"/>
      <c r="AW295" s="37"/>
      <c r="AX295" s="236"/>
      <c r="AY295" s="237"/>
      <c r="AZ295" s="238"/>
      <c r="BA295" s="237"/>
      <c r="BB295" s="238"/>
      <c r="BC295" s="239"/>
      <c r="BD295" s="237"/>
      <c r="BE295" s="240"/>
      <c r="BF295" s="46" t="str">
        <f t="shared" si="168"/>
        <v/>
      </c>
      <c r="BH295" s="243"/>
      <c r="BI295" s="17"/>
      <c r="BJ295" s="187"/>
      <c r="BK295" s="42"/>
      <c r="BL295" s="45"/>
      <c r="BM295" s="238"/>
    </row>
    <row r="296" spans="3:65" ht="15.5" thickTop="1" thickBot="1" x14ac:dyDescent="0.4">
      <c r="C296" s="36" t="str">
        <f t="shared" si="169"/>
        <v/>
      </c>
      <c r="D296" s="37" t="e">
        <f t="shared" si="149"/>
        <v>#NUM!</v>
      </c>
      <c r="E296" s="236">
        <f t="shared" si="150"/>
        <v>0</v>
      </c>
      <c r="F296" s="237" t="e">
        <f t="shared" si="151"/>
        <v>#NUM!</v>
      </c>
      <c r="G296" s="238" t="e">
        <f>IF(D296="","",L295*Resumen!$L$86/1000)</f>
        <v>#NUM!</v>
      </c>
      <c r="H296" s="237" t="e">
        <f t="shared" si="152"/>
        <v>#NUM!</v>
      </c>
      <c r="I296" s="238" t="e">
        <f>IF($E$16=$V$1,0,IF(D296="","",Amortización!$AE$14))</f>
        <v>#NUM!</v>
      </c>
      <c r="J296" s="239">
        <f>IFERROR(IF(OR($E$11=Resumen!$N$6,$E$8=Resumen!$N$6),Amortización!F296*0.16,0),"")</f>
        <v>0</v>
      </c>
      <c r="K296" s="237">
        <f t="shared" si="153"/>
        <v>0</v>
      </c>
      <c r="L296" s="240">
        <f t="shared" si="154"/>
        <v>0</v>
      </c>
      <c r="M296" s="46" t="str">
        <f t="shared" si="155"/>
        <v/>
      </c>
      <c r="N296" s="44" t="str">
        <f t="shared" si="156"/>
        <v/>
      </c>
      <c r="O296" s="44" t="str">
        <f t="shared" si="157"/>
        <v/>
      </c>
      <c r="P296" s="44" t="str">
        <f t="shared" si="158"/>
        <v/>
      </c>
      <c r="Q296" s="238" t="str">
        <f t="shared" si="159"/>
        <v/>
      </c>
      <c r="R296" s="243" t="e">
        <f t="shared" si="160"/>
        <v>#NUM!</v>
      </c>
      <c r="S296" s="17"/>
      <c r="T296" s="187" t="str">
        <f t="shared" si="161"/>
        <v/>
      </c>
      <c r="U296" s="42" t="e">
        <f t="shared" si="162"/>
        <v>#NUM!</v>
      </c>
      <c r="V296" s="45">
        <f t="shared" si="163"/>
        <v>0</v>
      </c>
      <c r="W296" s="47"/>
      <c r="X296" s="272" t="b">
        <f t="shared" si="170"/>
        <v>0</v>
      </c>
      <c r="Y296" s="39">
        <v>0</v>
      </c>
      <c r="AB296" s="357" t="e">
        <f t="shared" si="164"/>
        <v>#N/A</v>
      </c>
      <c r="AG296" s="307">
        <f t="shared" si="165"/>
        <v>0</v>
      </c>
      <c r="AH296" s="283">
        <f t="shared" si="166"/>
        <v>0</v>
      </c>
      <c r="AI296" t="str">
        <f t="shared" si="167"/>
        <v/>
      </c>
      <c r="AV296" s="36"/>
      <c r="AW296" s="37"/>
      <c r="AX296" s="236"/>
      <c r="AY296" s="237"/>
      <c r="AZ296" s="238"/>
      <c r="BA296" s="237"/>
      <c r="BB296" s="238"/>
      <c r="BC296" s="239"/>
      <c r="BD296" s="237"/>
      <c r="BE296" s="240"/>
      <c r="BF296" s="46" t="str">
        <f t="shared" si="168"/>
        <v/>
      </c>
      <c r="BH296" s="243"/>
      <c r="BI296" s="17"/>
      <c r="BJ296" s="187"/>
      <c r="BK296" s="42"/>
      <c r="BL296" s="45"/>
      <c r="BM296" s="238"/>
    </row>
    <row r="297" spans="3:65" ht="15.5" thickTop="1" thickBot="1" x14ac:dyDescent="0.4">
      <c r="C297" s="36" t="str">
        <f t="shared" si="169"/>
        <v/>
      </c>
      <c r="D297" s="37" t="e">
        <f t="shared" si="149"/>
        <v>#NUM!</v>
      </c>
      <c r="E297" s="236">
        <f t="shared" si="150"/>
        <v>0</v>
      </c>
      <c r="F297" s="237" t="e">
        <f t="shared" si="151"/>
        <v>#NUM!</v>
      </c>
      <c r="G297" s="238" t="e">
        <f>IF(D297="","",L296*Resumen!$L$86/1000)</f>
        <v>#NUM!</v>
      </c>
      <c r="H297" s="237" t="e">
        <f t="shared" si="152"/>
        <v>#NUM!</v>
      </c>
      <c r="I297" s="238" t="e">
        <f>IF($E$16=$V$1,0,IF(D297="","",Amortización!$AE$14))</f>
        <v>#NUM!</v>
      </c>
      <c r="J297" s="239">
        <f>IFERROR(IF(OR($E$11=Resumen!$N$6,$E$8=Resumen!$N$6),Amortización!F297*0.16,0),"")</f>
        <v>0</v>
      </c>
      <c r="K297" s="237">
        <f t="shared" si="153"/>
        <v>0</v>
      </c>
      <c r="L297" s="240">
        <f t="shared" si="154"/>
        <v>0</v>
      </c>
      <c r="M297" s="46" t="str">
        <f t="shared" si="155"/>
        <v/>
      </c>
      <c r="N297" s="44" t="str">
        <f t="shared" si="156"/>
        <v/>
      </c>
      <c r="O297" s="44" t="str">
        <f t="shared" si="157"/>
        <v/>
      </c>
      <c r="P297" s="44" t="str">
        <f t="shared" si="158"/>
        <v/>
      </c>
      <c r="Q297" s="238" t="str">
        <f t="shared" si="159"/>
        <v/>
      </c>
      <c r="R297" s="243" t="e">
        <f t="shared" si="160"/>
        <v>#NUM!</v>
      </c>
      <c r="S297" s="17"/>
      <c r="T297" s="187" t="str">
        <f t="shared" si="161"/>
        <v/>
      </c>
      <c r="U297" s="42" t="e">
        <f t="shared" si="162"/>
        <v>#NUM!</v>
      </c>
      <c r="V297" s="45">
        <f t="shared" si="163"/>
        <v>0</v>
      </c>
      <c r="W297" s="47"/>
      <c r="X297" s="272" t="b">
        <f t="shared" si="170"/>
        <v>0</v>
      </c>
      <c r="Y297" s="39">
        <v>0</v>
      </c>
      <c r="AB297" s="357" t="e">
        <f t="shared" si="164"/>
        <v>#N/A</v>
      </c>
      <c r="AG297" s="307">
        <f t="shared" si="165"/>
        <v>0</v>
      </c>
      <c r="AH297" s="283">
        <f t="shared" si="166"/>
        <v>0</v>
      </c>
      <c r="AI297" t="str">
        <f t="shared" si="167"/>
        <v/>
      </c>
      <c r="AV297" s="36"/>
      <c r="AW297" s="37"/>
      <c r="AX297" s="236"/>
      <c r="AY297" s="237"/>
      <c r="AZ297" s="238"/>
      <c r="BA297" s="237"/>
      <c r="BB297" s="238"/>
      <c r="BC297" s="239"/>
      <c r="BD297" s="237"/>
      <c r="BE297" s="240"/>
      <c r="BF297" s="46" t="str">
        <f t="shared" si="168"/>
        <v/>
      </c>
      <c r="BH297" s="243"/>
      <c r="BI297" s="17"/>
      <c r="BJ297" s="187"/>
      <c r="BK297" s="42"/>
      <c r="BL297" s="45"/>
      <c r="BM297" s="238"/>
    </row>
    <row r="298" spans="3:65" ht="15.5" thickTop="1" thickBot="1" x14ac:dyDescent="0.4">
      <c r="C298" s="36" t="str">
        <f t="shared" si="169"/>
        <v/>
      </c>
      <c r="D298" s="37" t="e">
        <f t="shared" si="149"/>
        <v>#NUM!</v>
      </c>
      <c r="E298" s="236">
        <f t="shared" si="150"/>
        <v>0</v>
      </c>
      <c r="F298" s="237" t="e">
        <f t="shared" si="151"/>
        <v>#NUM!</v>
      </c>
      <c r="G298" s="238" t="e">
        <f>IF(D298="","",L297*Resumen!$L$86/1000)</f>
        <v>#NUM!</v>
      </c>
      <c r="H298" s="237" t="e">
        <f t="shared" si="152"/>
        <v>#NUM!</v>
      </c>
      <c r="I298" s="238" t="e">
        <f>IF($E$16=$V$1,0,IF(D298="","",Amortización!$AE$14))</f>
        <v>#NUM!</v>
      </c>
      <c r="J298" s="239">
        <f>IFERROR(IF(OR($E$11=Resumen!$N$6,$E$8=Resumen!$N$6),Amortización!F298*0.16,0),"")</f>
        <v>0</v>
      </c>
      <c r="K298" s="237">
        <f t="shared" si="153"/>
        <v>0</v>
      </c>
      <c r="L298" s="240">
        <f t="shared" si="154"/>
        <v>0</v>
      </c>
      <c r="M298" s="46" t="str">
        <f t="shared" si="155"/>
        <v/>
      </c>
      <c r="N298" s="44" t="str">
        <f t="shared" si="156"/>
        <v/>
      </c>
      <c r="O298" s="44" t="str">
        <f t="shared" si="157"/>
        <v/>
      </c>
      <c r="P298" s="44" t="str">
        <f t="shared" si="158"/>
        <v/>
      </c>
      <c r="Q298" s="238" t="str">
        <f t="shared" si="159"/>
        <v/>
      </c>
      <c r="R298" s="243" t="e">
        <f t="shared" si="160"/>
        <v>#NUM!</v>
      </c>
      <c r="S298" s="17"/>
      <c r="T298" s="187" t="str">
        <f t="shared" si="161"/>
        <v/>
      </c>
      <c r="U298" s="42" t="e">
        <f t="shared" si="162"/>
        <v>#NUM!</v>
      </c>
      <c r="V298" s="45">
        <f t="shared" si="163"/>
        <v>0</v>
      </c>
      <c r="W298" s="47"/>
      <c r="X298" s="272" t="b">
        <f t="shared" si="170"/>
        <v>0</v>
      </c>
      <c r="Y298" s="39">
        <v>0</v>
      </c>
      <c r="AB298" s="357" t="e">
        <f t="shared" si="164"/>
        <v>#N/A</v>
      </c>
      <c r="AG298" s="307">
        <f t="shared" si="165"/>
        <v>0</v>
      </c>
      <c r="AH298" s="283">
        <f t="shared" si="166"/>
        <v>0</v>
      </c>
      <c r="AI298" t="str">
        <f t="shared" si="167"/>
        <v/>
      </c>
      <c r="AV298" s="36"/>
      <c r="AW298" s="37"/>
      <c r="AX298" s="236"/>
      <c r="AY298" s="237"/>
      <c r="AZ298" s="238"/>
      <c r="BA298" s="237"/>
      <c r="BB298" s="238"/>
      <c r="BC298" s="239"/>
      <c r="BD298" s="237"/>
      <c r="BE298" s="240"/>
      <c r="BF298" s="46" t="str">
        <f t="shared" si="168"/>
        <v/>
      </c>
      <c r="BH298" s="243"/>
      <c r="BI298" s="17"/>
      <c r="BJ298" s="187"/>
      <c r="BK298" s="42"/>
      <c r="BL298" s="45"/>
      <c r="BM298" s="238"/>
    </row>
    <row r="299" spans="3:65" ht="15.5" thickTop="1" thickBot="1" x14ac:dyDescent="0.4">
      <c r="C299" s="36" t="str">
        <f t="shared" si="169"/>
        <v/>
      </c>
      <c r="D299" s="37" t="e">
        <f t="shared" si="149"/>
        <v>#NUM!</v>
      </c>
      <c r="E299" s="236">
        <f t="shared" si="150"/>
        <v>0</v>
      </c>
      <c r="F299" s="237" t="e">
        <f t="shared" si="151"/>
        <v>#NUM!</v>
      </c>
      <c r="G299" s="238" t="e">
        <f>IF(D299="","",L298*Resumen!$L$86/1000)</f>
        <v>#NUM!</v>
      </c>
      <c r="H299" s="237" t="e">
        <f t="shared" si="152"/>
        <v>#NUM!</v>
      </c>
      <c r="I299" s="238" t="e">
        <f>IF($E$16=$V$1,0,IF(D299="","",Amortización!$AE$14))</f>
        <v>#NUM!</v>
      </c>
      <c r="J299" s="239">
        <f>IFERROR(IF(OR($E$11=Resumen!$N$6,$E$8=Resumen!$N$6),Amortización!F299*0.16,0),"")</f>
        <v>0</v>
      </c>
      <c r="K299" s="237">
        <f t="shared" si="153"/>
        <v>0</v>
      </c>
      <c r="L299" s="240">
        <f t="shared" si="154"/>
        <v>0</v>
      </c>
      <c r="M299" s="46" t="str">
        <f t="shared" si="155"/>
        <v/>
      </c>
      <c r="N299" s="44" t="str">
        <f t="shared" si="156"/>
        <v/>
      </c>
      <c r="O299" s="44" t="str">
        <f t="shared" si="157"/>
        <v/>
      </c>
      <c r="P299" s="44" t="str">
        <f t="shared" si="158"/>
        <v/>
      </c>
      <c r="Q299" s="238" t="str">
        <f t="shared" si="159"/>
        <v/>
      </c>
      <c r="R299" s="243" t="e">
        <f t="shared" si="160"/>
        <v>#NUM!</v>
      </c>
      <c r="S299" s="17"/>
      <c r="T299" s="187" t="str">
        <f t="shared" si="161"/>
        <v/>
      </c>
      <c r="U299" s="42" t="e">
        <f t="shared" si="162"/>
        <v>#NUM!</v>
      </c>
      <c r="V299" s="45">
        <f t="shared" si="163"/>
        <v>0</v>
      </c>
      <c r="W299" s="47"/>
      <c r="X299" s="272" t="b">
        <f t="shared" si="170"/>
        <v>0</v>
      </c>
      <c r="Y299" s="39">
        <v>0</v>
      </c>
      <c r="AB299" s="357" t="e">
        <f t="shared" si="164"/>
        <v>#N/A</v>
      </c>
      <c r="AG299" s="307">
        <f t="shared" si="165"/>
        <v>0</v>
      </c>
      <c r="AH299" s="283">
        <f t="shared" si="166"/>
        <v>0</v>
      </c>
      <c r="AI299" t="str">
        <f t="shared" si="167"/>
        <v/>
      </c>
      <c r="AV299" s="36"/>
      <c r="AW299" s="37"/>
      <c r="AX299" s="236"/>
      <c r="AY299" s="237"/>
      <c r="AZ299" s="238"/>
      <c r="BA299" s="237"/>
      <c r="BB299" s="238"/>
      <c r="BC299" s="239"/>
      <c r="BD299" s="237"/>
      <c r="BE299" s="240"/>
      <c r="BF299" s="46" t="str">
        <f t="shared" si="168"/>
        <v/>
      </c>
      <c r="BH299" s="243"/>
      <c r="BI299" s="17"/>
      <c r="BJ299" s="187"/>
      <c r="BK299" s="42"/>
      <c r="BL299" s="45"/>
      <c r="BM299" s="238"/>
    </row>
    <row r="300" spans="3:65" ht="15.5" thickTop="1" thickBot="1" x14ac:dyDescent="0.4">
      <c r="C300" s="36" t="str">
        <f t="shared" si="169"/>
        <v/>
      </c>
      <c r="D300" s="37" t="e">
        <f t="shared" si="149"/>
        <v>#NUM!</v>
      </c>
      <c r="E300" s="236">
        <f t="shared" si="150"/>
        <v>0</v>
      </c>
      <c r="F300" s="237" t="e">
        <f t="shared" si="151"/>
        <v>#NUM!</v>
      </c>
      <c r="G300" s="238" t="e">
        <f>IF(D300="","",L299*Resumen!$L$86/1000)</f>
        <v>#NUM!</v>
      </c>
      <c r="H300" s="237" t="e">
        <f t="shared" si="152"/>
        <v>#NUM!</v>
      </c>
      <c r="I300" s="238" t="e">
        <f>IF($E$16=$V$1,0,IF(D300="","",Amortización!$AE$14))</f>
        <v>#NUM!</v>
      </c>
      <c r="J300" s="239">
        <f>IFERROR(IF(OR($E$11=Resumen!$N$6,$E$8=Resumen!$N$6),Amortización!F300*0.16,0),"")</f>
        <v>0</v>
      </c>
      <c r="K300" s="237">
        <f t="shared" si="153"/>
        <v>0</v>
      </c>
      <c r="L300" s="240">
        <f t="shared" si="154"/>
        <v>0</v>
      </c>
      <c r="M300" s="46" t="str">
        <f t="shared" si="155"/>
        <v/>
      </c>
      <c r="N300" s="44" t="str">
        <f t="shared" si="156"/>
        <v/>
      </c>
      <c r="O300" s="44" t="str">
        <f t="shared" si="157"/>
        <v/>
      </c>
      <c r="P300" s="44" t="str">
        <f t="shared" si="158"/>
        <v/>
      </c>
      <c r="Q300" s="238" t="str">
        <f t="shared" si="159"/>
        <v/>
      </c>
      <c r="R300" s="243" t="e">
        <f t="shared" si="160"/>
        <v>#NUM!</v>
      </c>
      <c r="S300" s="17"/>
      <c r="T300" s="187" t="str">
        <f t="shared" si="161"/>
        <v/>
      </c>
      <c r="U300" s="42" t="e">
        <f t="shared" si="162"/>
        <v>#NUM!</v>
      </c>
      <c r="V300" s="45">
        <f t="shared" si="163"/>
        <v>0</v>
      </c>
      <c r="W300" s="47"/>
      <c r="X300" s="272" t="b">
        <f t="shared" si="170"/>
        <v>0</v>
      </c>
      <c r="Y300" s="39">
        <v>0</v>
      </c>
      <c r="AB300" s="357" t="e">
        <f t="shared" si="164"/>
        <v>#N/A</v>
      </c>
      <c r="AG300" s="307">
        <f t="shared" si="165"/>
        <v>0</v>
      </c>
      <c r="AH300" s="283">
        <f t="shared" si="166"/>
        <v>0</v>
      </c>
      <c r="AI300" t="str">
        <f t="shared" si="167"/>
        <v/>
      </c>
      <c r="AV300" s="36"/>
      <c r="AW300" s="37"/>
      <c r="AX300" s="236"/>
      <c r="AY300" s="237"/>
      <c r="AZ300" s="238"/>
      <c r="BA300" s="237"/>
      <c r="BB300" s="238"/>
      <c r="BC300" s="239"/>
      <c r="BD300" s="237"/>
      <c r="BE300" s="240"/>
      <c r="BF300" s="46" t="str">
        <f t="shared" si="168"/>
        <v/>
      </c>
      <c r="BH300" s="243"/>
      <c r="BI300" s="17"/>
      <c r="BJ300" s="187"/>
      <c r="BK300" s="42"/>
      <c r="BL300" s="45"/>
      <c r="BM300" s="238"/>
    </row>
    <row r="301" spans="3:65" ht="15.5" thickTop="1" thickBot="1" x14ac:dyDescent="0.4">
      <c r="C301" s="36" t="str">
        <f t="shared" si="169"/>
        <v/>
      </c>
      <c r="D301" s="37" t="e">
        <f t="shared" si="149"/>
        <v>#NUM!</v>
      </c>
      <c r="E301" s="236">
        <f t="shared" si="150"/>
        <v>0</v>
      </c>
      <c r="F301" s="237" t="e">
        <f t="shared" si="151"/>
        <v>#NUM!</v>
      </c>
      <c r="G301" s="238" t="e">
        <f>IF(D301="","",L300*Resumen!$L$86/1000)</f>
        <v>#NUM!</v>
      </c>
      <c r="H301" s="237" t="e">
        <f t="shared" si="152"/>
        <v>#NUM!</v>
      </c>
      <c r="I301" s="238" t="e">
        <f>IF($E$16=$V$1,0,IF(D301="","",Amortización!$AE$14))</f>
        <v>#NUM!</v>
      </c>
      <c r="J301" s="239">
        <f>IFERROR(IF(OR($E$11=Resumen!$N$6,$E$8=Resumen!$N$6),Amortización!F301*0.16,0),"")</f>
        <v>0</v>
      </c>
      <c r="K301" s="237">
        <f t="shared" si="153"/>
        <v>0</v>
      </c>
      <c r="L301" s="240">
        <f t="shared" si="154"/>
        <v>0</v>
      </c>
      <c r="M301" s="46" t="str">
        <f t="shared" si="155"/>
        <v/>
      </c>
      <c r="N301" s="44" t="str">
        <f t="shared" si="156"/>
        <v/>
      </c>
      <c r="O301" s="44" t="str">
        <f t="shared" si="157"/>
        <v/>
      </c>
      <c r="P301" s="44" t="str">
        <f t="shared" si="158"/>
        <v/>
      </c>
      <c r="Q301" s="238" t="str">
        <f t="shared" si="159"/>
        <v/>
      </c>
      <c r="R301" s="243" t="e">
        <f t="shared" si="160"/>
        <v>#NUM!</v>
      </c>
      <c r="S301" s="17"/>
      <c r="T301" s="187" t="str">
        <f t="shared" si="161"/>
        <v/>
      </c>
      <c r="U301" s="42" t="e">
        <f t="shared" si="162"/>
        <v>#NUM!</v>
      </c>
      <c r="V301" s="45">
        <f t="shared" si="163"/>
        <v>0</v>
      </c>
      <c r="W301" s="47"/>
      <c r="X301" s="272" t="b">
        <f t="shared" si="170"/>
        <v>0</v>
      </c>
      <c r="Y301" s="39">
        <v>0</v>
      </c>
      <c r="AB301" s="357" t="e">
        <f t="shared" si="164"/>
        <v>#N/A</v>
      </c>
      <c r="AG301" s="307">
        <f t="shared" si="165"/>
        <v>0</v>
      </c>
      <c r="AH301" s="283">
        <f t="shared" si="166"/>
        <v>0</v>
      </c>
      <c r="AI301" t="str">
        <f t="shared" si="167"/>
        <v/>
      </c>
      <c r="AV301" s="36"/>
      <c r="AW301" s="37"/>
      <c r="AX301" s="236"/>
      <c r="AY301" s="237"/>
      <c r="AZ301" s="238"/>
      <c r="BA301" s="237"/>
      <c r="BB301" s="238"/>
      <c r="BC301" s="239"/>
      <c r="BD301" s="237"/>
      <c r="BE301" s="240"/>
      <c r="BF301" s="46" t="str">
        <f t="shared" si="168"/>
        <v/>
      </c>
      <c r="BH301" s="243"/>
      <c r="BI301" s="17"/>
      <c r="BJ301" s="187"/>
      <c r="BK301" s="42"/>
      <c r="BL301" s="45"/>
      <c r="BM301" s="238"/>
    </row>
    <row r="302" spans="3:65" ht="15.5" thickTop="1" thickBot="1" x14ac:dyDescent="0.4">
      <c r="C302" s="36" t="str">
        <f t="shared" si="169"/>
        <v/>
      </c>
      <c r="D302" s="37" t="e">
        <f t="shared" si="149"/>
        <v>#NUM!</v>
      </c>
      <c r="E302" s="236">
        <f t="shared" si="150"/>
        <v>0</v>
      </c>
      <c r="F302" s="237" t="e">
        <f t="shared" si="151"/>
        <v>#NUM!</v>
      </c>
      <c r="G302" s="238" t="e">
        <f>IF(D302="","",L301*Resumen!$L$86/1000)</f>
        <v>#NUM!</v>
      </c>
      <c r="H302" s="237" t="e">
        <f t="shared" si="152"/>
        <v>#NUM!</v>
      </c>
      <c r="I302" s="238" t="e">
        <f>IF($E$16=$V$1,0,IF(D302="","",Amortización!$AE$14))</f>
        <v>#NUM!</v>
      </c>
      <c r="J302" s="239">
        <f>IFERROR(IF(OR($E$11=Resumen!$N$6,$E$8=Resumen!$N$6),Amortización!F302*0.16,0),"")</f>
        <v>0</v>
      </c>
      <c r="K302" s="237">
        <f t="shared" si="153"/>
        <v>0</v>
      </c>
      <c r="L302" s="240">
        <f t="shared" si="154"/>
        <v>0</v>
      </c>
      <c r="M302" s="46" t="str">
        <f t="shared" si="155"/>
        <v/>
      </c>
      <c r="N302" s="44" t="str">
        <f t="shared" si="156"/>
        <v/>
      </c>
      <c r="O302" s="44" t="str">
        <f t="shared" si="157"/>
        <v/>
      </c>
      <c r="P302" s="44" t="str">
        <f t="shared" si="158"/>
        <v/>
      </c>
      <c r="Q302" s="238" t="str">
        <f t="shared" si="159"/>
        <v/>
      </c>
      <c r="R302" s="243" t="e">
        <f t="shared" si="160"/>
        <v>#NUM!</v>
      </c>
      <c r="S302" s="17"/>
      <c r="T302" s="187" t="str">
        <f t="shared" si="161"/>
        <v/>
      </c>
      <c r="U302" s="42" t="e">
        <f t="shared" si="162"/>
        <v>#NUM!</v>
      </c>
      <c r="V302" s="45">
        <f t="shared" si="163"/>
        <v>0</v>
      </c>
      <c r="W302" s="47"/>
      <c r="X302" s="272" t="b">
        <f t="shared" si="170"/>
        <v>0</v>
      </c>
      <c r="Y302" s="39">
        <v>0</v>
      </c>
      <c r="AB302" s="357" t="e">
        <f t="shared" si="164"/>
        <v>#N/A</v>
      </c>
      <c r="AG302" s="307">
        <f t="shared" si="165"/>
        <v>0</v>
      </c>
      <c r="AH302" s="283">
        <f t="shared" si="166"/>
        <v>0</v>
      </c>
      <c r="AI302" t="str">
        <f t="shared" si="167"/>
        <v/>
      </c>
      <c r="AV302" s="36"/>
      <c r="AW302" s="37"/>
      <c r="AX302" s="236"/>
      <c r="AY302" s="237"/>
      <c r="AZ302" s="238"/>
      <c r="BA302" s="237"/>
      <c r="BB302" s="238"/>
      <c r="BC302" s="239"/>
      <c r="BD302" s="237"/>
      <c r="BE302" s="240"/>
      <c r="BF302" s="46" t="str">
        <f t="shared" si="168"/>
        <v/>
      </c>
      <c r="BH302" s="243"/>
      <c r="BI302" s="17"/>
      <c r="BJ302" s="187"/>
      <c r="BK302" s="42"/>
      <c r="BL302" s="45"/>
      <c r="BM302" s="238"/>
    </row>
    <row r="303" spans="3:65" ht="15.5" thickTop="1" thickBot="1" x14ac:dyDescent="0.4">
      <c r="C303" s="36" t="str">
        <f t="shared" si="169"/>
        <v/>
      </c>
      <c r="D303" s="37" t="e">
        <f t="shared" si="149"/>
        <v>#NUM!</v>
      </c>
      <c r="E303" s="236">
        <f t="shared" si="150"/>
        <v>0</v>
      </c>
      <c r="F303" s="237" t="e">
        <f t="shared" si="151"/>
        <v>#NUM!</v>
      </c>
      <c r="G303" s="238" t="e">
        <f>IF(D303="","",L302*Resumen!$L$86/1000)</f>
        <v>#NUM!</v>
      </c>
      <c r="H303" s="237" t="e">
        <f t="shared" si="152"/>
        <v>#NUM!</v>
      </c>
      <c r="I303" s="238" t="e">
        <f>IF($E$16=$V$1,0,IF(D303="","",Amortización!$AE$14))</f>
        <v>#NUM!</v>
      </c>
      <c r="J303" s="239">
        <f>IFERROR(IF(OR($E$11=Resumen!$N$6,$E$8=Resumen!$N$6),Amortización!F303*0.16,0),"")</f>
        <v>0</v>
      </c>
      <c r="K303" s="237">
        <f t="shared" si="153"/>
        <v>0</v>
      </c>
      <c r="L303" s="240">
        <f t="shared" si="154"/>
        <v>0</v>
      </c>
      <c r="M303" s="46" t="str">
        <f t="shared" si="155"/>
        <v/>
      </c>
      <c r="N303" s="44" t="str">
        <f t="shared" si="156"/>
        <v/>
      </c>
      <c r="O303" s="44" t="str">
        <f t="shared" si="157"/>
        <v/>
      </c>
      <c r="P303" s="44" t="str">
        <f t="shared" si="158"/>
        <v/>
      </c>
      <c r="Q303" s="238" t="str">
        <f t="shared" si="159"/>
        <v/>
      </c>
      <c r="R303" s="243" t="e">
        <f t="shared" si="160"/>
        <v>#NUM!</v>
      </c>
      <c r="S303" s="17"/>
      <c r="T303" s="187" t="str">
        <f t="shared" si="161"/>
        <v/>
      </c>
      <c r="U303" s="42" t="e">
        <f t="shared" si="162"/>
        <v>#NUM!</v>
      </c>
      <c r="V303" s="45">
        <f t="shared" si="163"/>
        <v>0</v>
      </c>
      <c r="W303" s="47"/>
      <c r="X303" s="272" t="b">
        <f t="shared" si="170"/>
        <v>0</v>
      </c>
      <c r="Y303" s="39">
        <v>0</v>
      </c>
      <c r="AB303" s="357" t="e">
        <f t="shared" si="164"/>
        <v>#N/A</v>
      </c>
      <c r="AG303" s="307">
        <f t="shared" si="165"/>
        <v>0</v>
      </c>
      <c r="AH303" s="283">
        <f t="shared" si="166"/>
        <v>0</v>
      </c>
      <c r="AI303" t="str">
        <f t="shared" si="167"/>
        <v/>
      </c>
      <c r="AV303" s="36"/>
      <c r="AW303" s="37"/>
      <c r="AX303" s="236"/>
      <c r="AY303" s="237"/>
      <c r="AZ303" s="238"/>
      <c r="BA303" s="237"/>
      <c r="BB303" s="238"/>
      <c r="BC303" s="239"/>
      <c r="BD303" s="237"/>
      <c r="BE303" s="240"/>
      <c r="BF303" s="46" t="str">
        <f t="shared" si="168"/>
        <v/>
      </c>
      <c r="BH303" s="243"/>
      <c r="BI303" s="17"/>
      <c r="BJ303" s="187"/>
      <c r="BK303" s="42"/>
      <c r="BL303" s="45"/>
      <c r="BM303" s="238"/>
    </row>
    <row r="304" spans="3:65" ht="15.5" thickTop="1" thickBot="1" x14ac:dyDescent="0.4">
      <c r="C304" s="36" t="str">
        <f t="shared" si="169"/>
        <v/>
      </c>
      <c r="D304" s="37" t="e">
        <f t="shared" si="149"/>
        <v>#NUM!</v>
      </c>
      <c r="E304" s="236">
        <f t="shared" si="150"/>
        <v>0</v>
      </c>
      <c r="F304" s="237" t="e">
        <f t="shared" si="151"/>
        <v>#NUM!</v>
      </c>
      <c r="G304" s="238" t="e">
        <f>IF(D304="","",L303*Resumen!$L$86/1000)</f>
        <v>#NUM!</v>
      </c>
      <c r="H304" s="237" t="e">
        <f t="shared" si="152"/>
        <v>#NUM!</v>
      </c>
      <c r="I304" s="238" t="e">
        <f>IF($E$16=$V$1,0,IF(D304="","",Amortización!$AE$14))</f>
        <v>#NUM!</v>
      </c>
      <c r="J304" s="239">
        <f>IFERROR(IF(OR($E$11=Resumen!$N$6,$E$8=Resumen!$N$6),Amortización!F304*0.16,0),"")</f>
        <v>0</v>
      </c>
      <c r="K304" s="237">
        <f t="shared" si="153"/>
        <v>0</v>
      </c>
      <c r="L304" s="240">
        <f t="shared" si="154"/>
        <v>0</v>
      </c>
      <c r="M304" s="46" t="str">
        <f t="shared" si="155"/>
        <v/>
      </c>
      <c r="N304" s="44" t="str">
        <f t="shared" si="156"/>
        <v/>
      </c>
      <c r="O304" s="44" t="str">
        <f t="shared" si="157"/>
        <v/>
      </c>
      <c r="P304" s="44" t="str">
        <f t="shared" si="158"/>
        <v/>
      </c>
      <c r="Q304" s="238" t="str">
        <f t="shared" si="159"/>
        <v/>
      </c>
      <c r="R304" s="243" t="e">
        <f t="shared" si="160"/>
        <v>#NUM!</v>
      </c>
      <c r="S304" s="17"/>
      <c r="T304" s="187" t="str">
        <f t="shared" si="161"/>
        <v/>
      </c>
      <c r="U304" s="42" t="e">
        <f t="shared" si="162"/>
        <v>#NUM!</v>
      </c>
      <c r="V304" s="45">
        <f t="shared" si="163"/>
        <v>0</v>
      </c>
      <c r="W304" s="47"/>
      <c r="X304" s="272" t="b">
        <f t="shared" si="170"/>
        <v>0</v>
      </c>
      <c r="Y304" s="39">
        <v>0</v>
      </c>
      <c r="AB304" s="357" t="e">
        <f t="shared" si="164"/>
        <v>#N/A</v>
      </c>
      <c r="AG304" s="307">
        <f t="shared" si="165"/>
        <v>0</v>
      </c>
      <c r="AH304" s="283">
        <f t="shared" si="166"/>
        <v>0</v>
      </c>
      <c r="AI304" t="str">
        <f t="shared" si="167"/>
        <v/>
      </c>
      <c r="AV304" s="36"/>
      <c r="AW304" s="37"/>
      <c r="AX304" s="236"/>
      <c r="AY304" s="237"/>
      <c r="AZ304" s="238"/>
      <c r="BA304" s="237"/>
      <c r="BB304" s="238"/>
      <c r="BC304" s="239"/>
      <c r="BD304" s="237"/>
      <c r="BE304" s="240"/>
      <c r="BF304" s="46" t="str">
        <f t="shared" si="168"/>
        <v/>
      </c>
      <c r="BH304" s="243"/>
      <c r="BI304" s="17"/>
      <c r="BJ304" s="187"/>
      <c r="BK304" s="42"/>
      <c r="BL304" s="45"/>
      <c r="BM304" s="238"/>
    </row>
    <row r="305" spans="3:65" ht="15.5" thickTop="1" thickBot="1" x14ac:dyDescent="0.4">
      <c r="C305" s="36" t="str">
        <f t="shared" si="169"/>
        <v/>
      </c>
      <c r="D305" s="37" t="e">
        <f t="shared" si="149"/>
        <v>#NUM!</v>
      </c>
      <c r="E305" s="236">
        <f t="shared" si="150"/>
        <v>0</v>
      </c>
      <c r="F305" s="237" t="e">
        <f t="shared" si="151"/>
        <v>#NUM!</v>
      </c>
      <c r="G305" s="238" t="e">
        <f>IF(D305="","",L304*Resumen!$L$86/1000)</f>
        <v>#NUM!</v>
      </c>
      <c r="H305" s="237" t="e">
        <f t="shared" si="152"/>
        <v>#NUM!</v>
      </c>
      <c r="I305" s="238" t="e">
        <f>IF($E$16=$V$1,0,IF(D305="","",Amortización!$AE$14))</f>
        <v>#NUM!</v>
      </c>
      <c r="J305" s="239">
        <f>IFERROR(IF(OR($E$11=Resumen!$N$6,$E$8=Resumen!$N$6),Amortización!F305*0.16,0),"")</f>
        <v>0</v>
      </c>
      <c r="K305" s="237">
        <f t="shared" si="153"/>
        <v>0</v>
      </c>
      <c r="L305" s="240">
        <f t="shared" si="154"/>
        <v>0</v>
      </c>
      <c r="M305" s="46" t="str">
        <f t="shared" si="155"/>
        <v/>
      </c>
      <c r="N305" s="44" t="str">
        <f t="shared" si="156"/>
        <v/>
      </c>
      <c r="O305" s="44" t="str">
        <f t="shared" si="157"/>
        <v/>
      </c>
      <c r="P305" s="44" t="str">
        <f t="shared" si="158"/>
        <v/>
      </c>
      <c r="Q305" s="238" t="str">
        <f t="shared" si="159"/>
        <v/>
      </c>
      <c r="R305" s="243" t="e">
        <f t="shared" si="160"/>
        <v>#NUM!</v>
      </c>
      <c r="S305" s="17"/>
      <c r="T305" s="187" t="str">
        <f t="shared" si="161"/>
        <v/>
      </c>
      <c r="U305" s="42" t="e">
        <f t="shared" si="162"/>
        <v>#NUM!</v>
      </c>
      <c r="V305" s="45">
        <f t="shared" si="163"/>
        <v>0</v>
      </c>
      <c r="W305" s="47"/>
      <c r="X305" s="272" t="b">
        <f t="shared" si="170"/>
        <v>0</v>
      </c>
      <c r="Y305" s="39">
        <v>0</v>
      </c>
      <c r="AB305" s="357" t="e">
        <f t="shared" si="164"/>
        <v>#N/A</v>
      </c>
      <c r="AG305" s="307">
        <f t="shared" si="165"/>
        <v>0</v>
      </c>
      <c r="AH305" s="283">
        <f t="shared" si="166"/>
        <v>0</v>
      </c>
      <c r="AI305" t="str">
        <f t="shared" si="167"/>
        <v/>
      </c>
      <c r="AV305" s="36"/>
      <c r="AW305" s="37"/>
      <c r="AX305" s="236"/>
      <c r="AY305" s="237"/>
      <c r="AZ305" s="238"/>
      <c r="BA305" s="237"/>
      <c r="BB305" s="238"/>
      <c r="BC305" s="239"/>
      <c r="BD305" s="237"/>
      <c r="BE305" s="240"/>
      <c r="BF305" s="46" t="str">
        <f t="shared" si="168"/>
        <v/>
      </c>
      <c r="BH305" s="243"/>
      <c r="BI305" s="17"/>
      <c r="BJ305" s="187"/>
      <c r="BK305" s="42"/>
      <c r="BL305" s="45"/>
      <c r="BM305" s="238"/>
    </row>
    <row r="306" spans="3:65" ht="15.5" thickTop="1" thickBot="1" x14ac:dyDescent="0.4">
      <c r="C306" s="36" t="str">
        <f t="shared" si="169"/>
        <v/>
      </c>
      <c r="D306" s="37" t="e">
        <f t="shared" si="149"/>
        <v>#NUM!</v>
      </c>
      <c r="E306" s="236">
        <f t="shared" si="150"/>
        <v>0</v>
      </c>
      <c r="F306" s="237" t="e">
        <f t="shared" si="151"/>
        <v>#NUM!</v>
      </c>
      <c r="G306" s="238" t="e">
        <f>IF(D306="","",L305*Resumen!$L$86/1000)</f>
        <v>#NUM!</v>
      </c>
      <c r="H306" s="237" t="e">
        <f t="shared" si="152"/>
        <v>#NUM!</v>
      </c>
      <c r="I306" s="238" t="e">
        <f>IF($E$16=$V$1,0,IF(D306="","",Amortización!$AE$14))</f>
        <v>#NUM!</v>
      </c>
      <c r="J306" s="239">
        <f>IFERROR(IF(OR($E$11=Resumen!$N$6,$E$8=Resumen!$N$6),Amortización!F306*0.16,0),"")</f>
        <v>0</v>
      </c>
      <c r="K306" s="237">
        <f t="shared" si="153"/>
        <v>0</v>
      </c>
      <c r="L306" s="240">
        <f t="shared" si="154"/>
        <v>0</v>
      </c>
      <c r="M306" s="46" t="str">
        <f t="shared" si="155"/>
        <v/>
      </c>
      <c r="N306" s="44" t="str">
        <f t="shared" si="156"/>
        <v/>
      </c>
      <c r="O306" s="44" t="str">
        <f t="shared" si="157"/>
        <v/>
      </c>
      <c r="P306" s="44" t="str">
        <f t="shared" si="158"/>
        <v/>
      </c>
      <c r="Q306" s="238" t="str">
        <f t="shared" si="159"/>
        <v/>
      </c>
      <c r="R306" s="243" t="e">
        <f t="shared" si="160"/>
        <v>#NUM!</v>
      </c>
      <c r="S306" s="17"/>
      <c r="T306" s="187" t="str">
        <f t="shared" si="161"/>
        <v/>
      </c>
      <c r="U306" s="42" t="e">
        <f t="shared" si="162"/>
        <v>#NUM!</v>
      </c>
      <c r="V306" s="45">
        <f t="shared" si="163"/>
        <v>0</v>
      </c>
      <c r="W306" s="47"/>
      <c r="X306" s="272" t="b">
        <f t="shared" si="170"/>
        <v>0</v>
      </c>
      <c r="Y306" s="39">
        <v>0</v>
      </c>
      <c r="AB306" s="357" t="e">
        <f t="shared" si="164"/>
        <v>#N/A</v>
      </c>
      <c r="AG306" s="307">
        <f t="shared" si="165"/>
        <v>0</v>
      </c>
      <c r="AH306" s="283">
        <f t="shared" si="166"/>
        <v>0</v>
      </c>
      <c r="AI306" t="str">
        <f t="shared" si="167"/>
        <v/>
      </c>
      <c r="AV306" s="36"/>
      <c r="AW306" s="37"/>
      <c r="AX306" s="236"/>
      <c r="AY306" s="237"/>
      <c r="AZ306" s="238"/>
      <c r="BA306" s="237"/>
      <c r="BB306" s="238"/>
      <c r="BC306" s="239"/>
      <c r="BD306" s="237"/>
      <c r="BE306" s="240"/>
      <c r="BF306" s="46" t="str">
        <f t="shared" si="168"/>
        <v/>
      </c>
      <c r="BH306" s="243"/>
      <c r="BI306" s="17"/>
      <c r="BJ306" s="187"/>
      <c r="BK306" s="42"/>
      <c r="BL306" s="45"/>
      <c r="BM306" s="238"/>
    </row>
    <row r="307" spans="3:65" ht="15.5" thickTop="1" thickBot="1" x14ac:dyDescent="0.4">
      <c r="C307" s="36" t="str">
        <f t="shared" si="169"/>
        <v/>
      </c>
      <c r="D307" s="37" t="e">
        <f t="shared" si="149"/>
        <v>#NUM!</v>
      </c>
      <c r="E307" s="236">
        <f t="shared" si="150"/>
        <v>0</v>
      </c>
      <c r="F307" s="237" t="e">
        <f t="shared" si="151"/>
        <v>#NUM!</v>
      </c>
      <c r="G307" s="238" t="e">
        <f>IF(D307="","",L306*Resumen!$L$86/1000)</f>
        <v>#NUM!</v>
      </c>
      <c r="H307" s="237" t="e">
        <f t="shared" si="152"/>
        <v>#NUM!</v>
      </c>
      <c r="I307" s="238" t="e">
        <f>IF($E$16=$V$1,0,IF(D307="","",Amortización!$AE$14))</f>
        <v>#NUM!</v>
      </c>
      <c r="J307" s="239">
        <f>IFERROR(IF(OR($E$11=Resumen!$N$6,$E$8=Resumen!$N$6),Amortización!F307*0.16,0),"")</f>
        <v>0</v>
      </c>
      <c r="K307" s="237">
        <f t="shared" si="153"/>
        <v>0</v>
      </c>
      <c r="L307" s="240">
        <f t="shared" si="154"/>
        <v>0</v>
      </c>
      <c r="M307" s="46" t="str">
        <f t="shared" si="155"/>
        <v/>
      </c>
      <c r="N307" s="44" t="str">
        <f t="shared" si="156"/>
        <v/>
      </c>
      <c r="O307" s="44" t="str">
        <f t="shared" si="157"/>
        <v/>
      </c>
      <c r="P307" s="44" t="str">
        <f t="shared" si="158"/>
        <v/>
      </c>
      <c r="Q307" s="238" t="str">
        <f t="shared" si="159"/>
        <v/>
      </c>
      <c r="R307" s="243" t="e">
        <f t="shared" si="160"/>
        <v>#NUM!</v>
      </c>
      <c r="S307" s="17"/>
      <c r="T307" s="187" t="str">
        <f t="shared" si="161"/>
        <v/>
      </c>
      <c r="U307" s="42" t="e">
        <f t="shared" si="162"/>
        <v>#NUM!</v>
      </c>
      <c r="V307" s="45">
        <f t="shared" si="163"/>
        <v>0</v>
      </c>
      <c r="W307" s="47"/>
      <c r="X307" s="272" t="b">
        <f t="shared" si="170"/>
        <v>0</v>
      </c>
      <c r="Y307" s="39">
        <v>0</v>
      </c>
      <c r="AB307" s="357" t="e">
        <f t="shared" si="164"/>
        <v>#N/A</v>
      </c>
      <c r="AG307" s="307">
        <f t="shared" si="165"/>
        <v>0</v>
      </c>
      <c r="AH307" s="283">
        <f t="shared" si="166"/>
        <v>0</v>
      </c>
      <c r="AI307" t="str">
        <f t="shared" si="167"/>
        <v/>
      </c>
      <c r="AV307" s="36"/>
      <c r="AW307" s="37"/>
      <c r="AX307" s="236"/>
      <c r="AY307" s="237"/>
      <c r="AZ307" s="238"/>
      <c r="BA307" s="237"/>
      <c r="BB307" s="238"/>
      <c r="BC307" s="239"/>
      <c r="BD307" s="237"/>
      <c r="BE307" s="240"/>
      <c r="BF307" s="46" t="str">
        <f t="shared" si="168"/>
        <v/>
      </c>
      <c r="BH307" s="243"/>
      <c r="BI307" s="17"/>
      <c r="BJ307" s="187"/>
      <c r="BK307" s="42"/>
      <c r="BL307" s="45"/>
      <c r="BM307" s="238"/>
    </row>
    <row r="308" spans="3:65" ht="15.5" thickTop="1" thickBot="1" x14ac:dyDescent="0.4">
      <c r="C308" s="36" t="str">
        <f t="shared" si="169"/>
        <v/>
      </c>
      <c r="D308" s="37" t="e">
        <f t="shared" si="149"/>
        <v>#NUM!</v>
      </c>
      <c r="E308" s="236">
        <f t="shared" si="150"/>
        <v>0</v>
      </c>
      <c r="F308" s="237" t="e">
        <f t="shared" si="151"/>
        <v>#NUM!</v>
      </c>
      <c r="G308" s="238" t="e">
        <f>IF(D308="","",L307*Resumen!$L$86/1000)</f>
        <v>#NUM!</v>
      </c>
      <c r="H308" s="237" t="e">
        <f t="shared" si="152"/>
        <v>#NUM!</v>
      </c>
      <c r="I308" s="238" t="e">
        <f>IF($E$16=$V$1,0,IF(D308="","",Amortización!$AE$14))</f>
        <v>#NUM!</v>
      </c>
      <c r="J308" s="239">
        <f>IFERROR(IF(OR($E$11=Resumen!$N$6,$E$8=Resumen!$N$6),Amortización!F308*0.16,0),"")</f>
        <v>0</v>
      </c>
      <c r="K308" s="237">
        <f t="shared" si="153"/>
        <v>0</v>
      </c>
      <c r="L308" s="240">
        <f t="shared" si="154"/>
        <v>0</v>
      </c>
      <c r="M308" s="46" t="str">
        <f t="shared" si="155"/>
        <v/>
      </c>
      <c r="N308" s="44" t="str">
        <f t="shared" si="156"/>
        <v/>
      </c>
      <c r="O308" s="44" t="str">
        <f t="shared" si="157"/>
        <v/>
      </c>
      <c r="P308" s="44" t="str">
        <f t="shared" si="158"/>
        <v/>
      </c>
      <c r="Q308" s="238" t="str">
        <f t="shared" si="159"/>
        <v/>
      </c>
      <c r="R308" s="243" t="e">
        <f t="shared" si="160"/>
        <v>#NUM!</v>
      </c>
      <c r="S308" s="17"/>
      <c r="T308" s="187" t="str">
        <f t="shared" si="161"/>
        <v/>
      </c>
      <c r="U308" s="42" t="e">
        <f t="shared" si="162"/>
        <v>#NUM!</v>
      </c>
      <c r="V308" s="45">
        <f t="shared" si="163"/>
        <v>0</v>
      </c>
      <c r="W308" s="47"/>
      <c r="X308" s="272" t="b">
        <f t="shared" si="170"/>
        <v>0</v>
      </c>
      <c r="Y308" s="39">
        <v>0</v>
      </c>
      <c r="AB308" s="357" t="e">
        <f t="shared" si="164"/>
        <v>#N/A</v>
      </c>
      <c r="AG308" s="307">
        <f t="shared" si="165"/>
        <v>0</v>
      </c>
      <c r="AH308" s="283">
        <f t="shared" si="166"/>
        <v>0</v>
      </c>
      <c r="AI308" t="str">
        <f t="shared" si="167"/>
        <v/>
      </c>
      <c r="AV308" s="36"/>
      <c r="AW308" s="37"/>
      <c r="AX308" s="236"/>
      <c r="AY308" s="237"/>
      <c r="AZ308" s="238"/>
      <c r="BA308" s="237"/>
      <c r="BB308" s="238"/>
      <c r="BC308" s="239"/>
      <c r="BD308" s="237"/>
      <c r="BE308" s="240"/>
      <c r="BF308" s="46" t="str">
        <f t="shared" si="168"/>
        <v/>
      </c>
      <c r="BH308" s="243"/>
      <c r="BI308" s="17"/>
      <c r="BJ308" s="187"/>
      <c r="BK308" s="42"/>
      <c r="BL308" s="45"/>
      <c r="BM308" s="238"/>
    </row>
    <row r="309" spans="3:65" ht="15.5" thickTop="1" thickBot="1" x14ac:dyDescent="0.4">
      <c r="C309" s="36" t="str">
        <f t="shared" si="169"/>
        <v/>
      </c>
      <c r="D309" s="37" t="e">
        <f t="shared" si="149"/>
        <v>#NUM!</v>
      </c>
      <c r="E309" s="236">
        <f t="shared" si="150"/>
        <v>0</v>
      </c>
      <c r="F309" s="237" t="e">
        <f t="shared" si="151"/>
        <v>#NUM!</v>
      </c>
      <c r="G309" s="238" t="e">
        <f>IF(D309="","",L308*Resumen!$L$86/1000)</f>
        <v>#NUM!</v>
      </c>
      <c r="H309" s="237" t="e">
        <f t="shared" si="152"/>
        <v>#NUM!</v>
      </c>
      <c r="I309" s="238" t="e">
        <f>IF($E$16=$V$1,0,IF(D309="","",Amortización!$AE$14))</f>
        <v>#NUM!</v>
      </c>
      <c r="J309" s="239">
        <f>IFERROR(IF(OR($E$11=Resumen!$N$6,$E$8=Resumen!$N$6),Amortización!F309*0.16,0),"")</f>
        <v>0</v>
      </c>
      <c r="K309" s="237">
        <f t="shared" si="153"/>
        <v>0</v>
      </c>
      <c r="L309" s="240">
        <f t="shared" si="154"/>
        <v>0</v>
      </c>
      <c r="M309" s="46" t="str">
        <f t="shared" si="155"/>
        <v/>
      </c>
      <c r="N309" s="44" t="str">
        <f t="shared" si="156"/>
        <v/>
      </c>
      <c r="O309" s="44" t="str">
        <f t="shared" si="157"/>
        <v/>
      </c>
      <c r="P309" s="44" t="str">
        <f t="shared" si="158"/>
        <v/>
      </c>
      <c r="Q309" s="238" t="str">
        <f t="shared" si="159"/>
        <v/>
      </c>
      <c r="R309" s="243" t="e">
        <f t="shared" si="160"/>
        <v>#NUM!</v>
      </c>
      <c r="S309" s="17"/>
      <c r="T309" s="187" t="str">
        <f t="shared" si="161"/>
        <v/>
      </c>
      <c r="U309" s="42" t="e">
        <f t="shared" si="162"/>
        <v>#NUM!</v>
      </c>
      <c r="V309" s="45">
        <f t="shared" si="163"/>
        <v>0</v>
      </c>
      <c r="W309" s="47"/>
      <c r="X309" s="272" t="b">
        <f t="shared" si="170"/>
        <v>0</v>
      </c>
      <c r="Y309" s="39">
        <v>0</v>
      </c>
      <c r="AB309" s="357" t="e">
        <f t="shared" si="164"/>
        <v>#N/A</v>
      </c>
      <c r="AG309" s="307">
        <f t="shared" si="165"/>
        <v>0</v>
      </c>
      <c r="AH309" s="283">
        <f t="shared" si="166"/>
        <v>0</v>
      </c>
      <c r="AI309" t="str">
        <f t="shared" si="167"/>
        <v/>
      </c>
      <c r="AV309" s="36"/>
      <c r="AW309" s="37"/>
      <c r="AX309" s="236"/>
      <c r="AY309" s="237"/>
      <c r="AZ309" s="238"/>
      <c r="BA309" s="237"/>
      <c r="BB309" s="238"/>
      <c r="BC309" s="239"/>
      <c r="BD309" s="237"/>
      <c r="BE309" s="240"/>
      <c r="BF309" s="46" t="str">
        <f t="shared" si="168"/>
        <v/>
      </c>
      <c r="BH309" s="243"/>
      <c r="BI309" s="17"/>
      <c r="BJ309" s="187"/>
      <c r="BK309" s="42"/>
      <c r="BL309" s="45"/>
      <c r="BM309" s="238"/>
    </row>
    <row r="310" spans="3:65" ht="15.5" thickTop="1" thickBot="1" x14ac:dyDescent="0.4">
      <c r="C310" s="36" t="str">
        <f t="shared" si="169"/>
        <v/>
      </c>
      <c r="D310" s="37" t="e">
        <f t="shared" si="149"/>
        <v>#NUM!</v>
      </c>
      <c r="E310" s="236">
        <f t="shared" si="150"/>
        <v>0</v>
      </c>
      <c r="F310" s="237" t="e">
        <f t="shared" si="151"/>
        <v>#NUM!</v>
      </c>
      <c r="G310" s="238" t="e">
        <f>IF(D310="","",L309*Resumen!$L$86/1000)</f>
        <v>#NUM!</v>
      </c>
      <c r="H310" s="237" t="e">
        <f t="shared" si="152"/>
        <v>#NUM!</v>
      </c>
      <c r="I310" s="238" t="e">
        <f>IF($E$16=$V$1,0,IF(D310="","",Amortización!$AE$14))</f>
        <v>#NUM!</v>
      </c>
      <c r="J310" s="239">
        <f>IFERROR(IF(OR($E$11=Resumen!$N$6,$E$8=Resumen!$N$6),Amortización!F310*0.16,0),"")</f>
        <v>0</v>
      </c>
      <c r="K310" s="237">
        <f t="shared" si="153"/>
        <v>0</v>
      </c>
      <c r="L310" s="240">
        <f t="shared" si="154"/>
        <v>0</v>
      </c>
      <c r="M310" s="46" t="str">
        <f t="shared" si="155"/>
        <v/>
      </c>
      <c r="N310" s="44" t="str">
        <f t="shared" si="156"/>
        <v/>
      </c>
      <c r="O310" s="44" t="str">
        <f t="shared" si="157"/>
        <v/>
      </c>
      <c r="P310" s="44" t="str">
        <f t="shared" si="158"/>
        <v/>
      </c>
      <c r="Q310" s="238" t="str">
        <f t="shared" si="159"/>
        <v/>
      </c>
      <c r="R310" s="243" t="e">
        <f t="shared" si="160"/>
        <v>#NUM!</v>
      </c>
      <c r="S310" s="17"/>
      <c r="T310" s="187" t="str">
        <f t="shared" si="161"/>
        <v/>
      </c>
      <c r="U310" s="42" t="e">
        <f t="shared" si="162"/>
        <v>#NUM!</v>
      </c>
      <c r="V310" s="45">
        <f t="shared" si="163"/>
        <v>0</v>
      </c>
      <c r="W310" s="47"/>
      <c r="X310" s="272" t="b">
        <f t="shared" si="170"/>
        <v>0</v>
      </c>
      <c r="Y310" s="39">
        <v>0</v>
      </c>
      <c r="AB310" s="357" t="e">
        <f t="shared" si="164"/>
        <v>#N/A</v>
      </c>
      <c r="AG310" s="307">
        <f t="shared" si="165"/>
        <v>0</v>
      </c>
      <c r="AH310" s="283">
        <f t="shared" si="166"/>
        <v>0</v>
      </c>
      <c r="AI310" t="str">
        <f t="shared" si="167"/>
        <v/>
      </c>
      <c r="AV310" s="36"/>
      <c r="AW310" s="37"/>
      <c r="AX310" s="236"/>
      <c r="AY310" s="237"/>
      <c r="AZ310" s="238"/>
      <c r="BA310" s="237"/>
      <c r="BB310" s="238"/>
      <c r="BC310" s="239"/>
      <c r="BD310" s="237"/>
      <c r="BE310" s="240"/>
      <c r="BF310" s="46" t="str">
        <f t="shared" si="168"/>
        <v/>
      </c>
      <c r="BH310" s="243"/>
      <c r="BI310" s="17"/>
      <c r="BJ310" s="187"/>
      <c r="BK310" s="42"/>
      <c r="BL310" s="45"/>
      <c r="BM310" s="238"/>
    </row>
    <row r="311" spans="3:65" ht="15.5" thickTop="1" thickBot="1" x14ac:dyDescent="0.4">
      <c r="C311" s="36" t="str">
        <f t="shared" si="169"/>
        <v/>
      </c>
      <c r="D311" s="37" t="e">
        <f t="shared" si="149"/>
        <v>#NUM!</v>
      </c>
      <c r="E311" s="236">
        <f t="shared" si="150"/>
        <v>0</v>
      </c>
      <c r="F311" s="237" t="e">
        <f t="shared" si="151"/>
        <v>#NUM!</v>
      </c>
      <c r="G311" s="238" t="e">
        <f>IF(D311="","",L310*Resumen!$L$86/1000)</f>
        <v>#NUM!</v>
      </c>
      <c r="H311" s="237" t="e">
        <f t="shared" si="152"/>
        <v>#NUM!</v>
      </c>
      <c r="I311" s="238" t="e">
        <f>IF($E$16=$V$1,0,IF(D311="","",Amortización!$AE$14))</f>
        <v>#NUM!</v>
      </c>
      <c r="J311" s="239">
        <f>IFERROR(IF(OR($E$11=Resumen!$N$6,$E$8=Resumen!$N$6),Amortización!F311*0.16,0),"")</f>
        <v>0</v>
      </c>
      <c r="K311" s="237">
        <f t="shared" si="153"/>
        <v>0</v>
      </c>
      <c r="L311" s="240">
        <f t="shared" si="154"/>
        <v>0</v>
      </c>
      <c r="M311" s="46" t="str">
        <f t="shared" si="155"/>
        <v/>
      </c>
      <c r="N311" s="44" t="str">
        <f t="shared" si="156"/>
        <v/>
      </c>
      <c r="O311" s="44" t="str">
        <f t="shared" si="157"/>
        <v/>
      </c>
      <c r="P311" s="44" t="str">
        <f t="shared" si="158"/>
        <v/>
      </c>
      <c r="Q311" s="238" t="str">
        <f t="shared" si="159"/>
        <v/>
      </c>
      <c r="R311" s="243" t="e">
        <f t="shared" si="160"/>
        <v>#NUM!</v>
      </c>
      <c r="S311" s="17"/>
      <c r="T311" s="187" t="str">
        <f t="shared" si="161"/>
        <v/>
      </c>
      <c r="U311" s="42" t="e">
        <f t="shared" si="162"/>
        <v>#NUM!</v>
      </c>
      <c r="V311" s="45">
        <f t="shared" si="163"/>
        <v>0</v>
      </c>
      <c r="W311" s="47"/>
      <c r="X311" s="272" t="b">
        <f t="shared" si="170"/>
        <v>0</v>
      </c>
      <c r="Y311" s="39">
        <v>0</v>
      </c>
      <c r="AB311" s="357" t="e">
        <f t="shared" si="164"/>
        <v>#N/A</v>
      </c>
      <c r="AG311" s="307">
        <f t="shared" si="165"/>
        <v>0</v>
      </c>
      <c r="AH311" s="283">
        <f t="shared" si="166"/>
        <v>0</v>
      </c>
      <c r="AI311" t="str">
        <f t="shared" si="167"/>
        <v/>
      </c>
      <c r="AV311" s="36"/>
      <c r="AW311" s="37"/>
      <c r="AX311" s="236"/>
      <c r="AY311" s="237"/>
      <c r="AZ311" s="238"/>
      <c r="BA311" s="237"/>
      <c r="BB311" s="238"/>
      <c r="BC311" s="239"/>
      <c r="BD311" s="237"/>
      <c r="BE311" s="240"/>
      <c r="BF311" s="46" t="str">
        <f t="shared" si="168"/>
        <v/>
      </c>
      <c r="BH311" s="243"/>
      <c r="BI311" s="17"/>
      <c r="BJ311" s="187"/>
      <c r="BK311" s="42"/>
      <c r="BL311" s="45"/>
      <c r="BM311" s="238"/>
    </row>
    <row r="312" spans="3:65" ht="15.5" thickTop="1" thickBot="1" x14ac:dyDescent="0.4">
      <c r="C312" s="36" t="str">
        <f t="shared" si="169"/>
        <v/>
      </c>
      <c r="D312" s="37" t="e">
        <f t="shared" si="149"/>
        <v>#NUM!</v>
      </c>
      <c r="E312" s="236">
        <f t="shared" si="150"/>
        <v>0</v>
      </c>
      <c r="F312" s="237" t="e">
        <f t="shared" si="151"/>
        <v>#NUM!</v>
      </c>
      <c r="G312" s="238" t="e">
        <f>IF(D312="","",L311*Resumen!$L$86/1000)</f>
        <v>#NUM!</v>
      </c>
      <c r="H312" s="237" t="e">
        <f t="shared" si="152"/>
        <v>#NUM!</v>
      </c>
      <c r="I312" s="238" t="e">
        <f>IF($E$16=$V$1,0,IF(D312="","",Amortización!$AE$14))</f>
        <v>#NUM!</v>
      </c>
      <c r="J312" s="239">
        <f>IFERROR(IF(OR($E$11=Resumen!$N$6,$E$8=Resumen!$N$6),Amortización!F312*0.16,0),"")</f>
        <v>0</v>
      </c>
      <c r="K312" s="237">
        <f t="shared" si="153"/>
        <v>0</v>
      </c>
      <c r="L312" s="240">
        <f t="shared" si="154"/>
        <v>0</v>
      </c>
      <c r="M312" s="46" t="str">
        <f t="shared" si="155"/>
        <v/>
      </c>
      <c r="N312" s="44" t="str">
        <f t="shared" si="156"/>
        <v/>
      </c>
      <c r="O312" s="44" t="str">
        <f t="shared" si="157"/>
        <v/>
      </c>
      <c r="P312" s="44" t="str">
        <f t="shared" si="158"/>
        <v/>
      </c>
      <c r="Q312" s="238" t="str">
        <f t="shared" si="159"/>
        <v/>
      </c>
      <c r="R312" s="243" t="e">
        <f t="shared" si="160"/>
        <v>#NUM!</v>
      </c>
      <c r="S312" s="17"/>
      <c r="T312" s="187" t="str">
        <f t="shared" si="161"/>
        <v/>
      </c>
      <c r="U312" s="42" t="e">
        <f t="shared" si="162"/>
        <v>#NUM!</v>
      </c>
      <c r="V312" s="45">
        <f t="shared" si="163"/>
        <v>0</v>
      </c>
      <c r="W312" s="47"/>
      <c r="X312" s="272" t="b">
        <f t="shared" si="170"/>
        <v>0</v>
      </c>
      <c r="Y312" s="39">
        <v>0</v>
      </c>
      <c r="AB312" s="357" t="e">
        <f t="shared" si="164"/>
        <v>#N/A</v>
      </c>
      <c r="AG312" s="307">
        <f t="shared" si="165"/>
        <v>0</v>
      </c>
      <c r="AH312" s="283">
        <f t="shared" si="166"/>
        <v>0</v>
      </c>
      <c r="AI312" t="str">
        <f t="shared" si="167"/>
        <v/>
      </c>
      <c r="AV312" s="36"/>
      <c r="AW312" s="37"/>
      <c r="AX312" s="236"/>
      <c r="AY312" s="237"/>
      <c r="AZ312" s="238"/>
      <c r="BA312" s="237"/>
      <c r="BB312" s="238"/>
      <c r="BC312" s="239"/>
      <c r="BD312" s="237"/>
      <c r="BE312" s="240"/>
      <c r="BF312" s="46" t="str">
        <f t="shared" si="168"/>
        <v/>
      </c>
      <c r="BH312" s="243"/>
      <c r="BI312" s="17"/>
      <c r="BJ312" s="187"/>
      <c r="BK312" s="42"/>
      <c r="BL312" s="45"/>
      <c r="BM312" s="238"/>
    </row>
    <row r="313" spans="3:65" ht="15.5" thickTop="1" thickBot="1" x14ac:dyDescent="0.4">
      <c r="C313" s="36" t="str">
        <f t="shared" si="169"/>
        <v/>
      </c>
      <c r="D313" s="37" t="e">
        <f t="shared" si="149"/>
        <v>#NUM!</v>
      </c>
      <c r="E313" s="236">
        <f t="shared" si="150"/>
        <v>0</v>
      </c>
      <c r="F313" s="237" t="e">
        <f t="shared" si="151"/>
        <v>#NUM!</v>
      </c>
      <c r="G313" s="238" t="e">
        <f>IF(D313="","",L312*Resumen!$L$86/1000)</f>
        <v>#NUM!</v>
      </c>
      <c r="H313" s="237" t="e">
        <f t="shared" si="152"/>
        <v>#NUM!</v>
      </c>
      <c r="I313" s="238" t="e">
        <f>IF($E$16=$V$1,0,IF(D313="","",Amortización!$AE$14))</f>
        <v>#NUM!</v>
      </c>
      <c r="J313" s="239">
        <f>IFERROR(IF(OR($E$11=Resumen!$N$6,$E$8=Resumen!$N$6),Amortización!F313*0.16,0),"")</f>
        <v>0</v>
      </c>
      <c r="K313" s="237">
        <f t="shared" si="153"/>
        <v>0</v>
      </c>
      <c r="L313" s="240">
        <f t="shared" si="154"/>
        <v>0</v>
      </c>
      <c r="M313" s="46" t="str">
        <f t="shared" si="155"/>
        <v/>
      </c>
      <c r="N313" s="44" t="str">
        <f t="shared" si="156"/>
        <v/>
      </c>
      <c r="O313" s="44" t="str">
        <f t="shared" si="157"/>
        <v/>
      </c>
      <c r="P313" s="44" t="str">
        <f t="shared" si="158"/>
        <v/>
      </c>
      <c r="Q313" s="238" t="str">
        <f t="shared" si="159"/>
        <v/>
      </c>
      <c r="R313" s="243" t="e">
        <f t="shared" si="160"/>
        <v>#NUM!</v>
      </c>
      <c r="S313" s="17"/>
      <c r="T313" s="187" t="str">
        <f t="shared" si="161"/>
        <v/>
      </c>
      <c r="U313" s="42" t="e">
        <f t="shared" si="162"/>
        <v>#NUM!</v>
      </c>
      <c r="V313" s="45">
        <f t="shared" si="163"/>
        <v>0</v>
      </c>
      <c r="W313" s="47"/>
      <c r="X313" s="272" t="b">
        <f t="shared" si="170"/>
        <v>0</v>
      </c>
      <c r="Y313" s="39">
        <v>0</v>
      </c>
      <c r="AB313" s="357" t="e">
        <f t="shared" si="164"/>
        <v>#N/A</v>
      </c>
      <c r="AG313" s="307">
        <f t="shared" si="165"/>
        <v>0</v>
      </c>
      <c r="AH313" s="283">
        <f t="shared" si="166"/>
        <v>0</v>
      </c>
      <c r="AI313" t="str">
        <f t="shared" si="167"/>
        <v/>
      </c>
      <c r="AV313" s="36"/>
      <c r="AW313" s="37"/>
      <c r="AX313" s="236"/>
      <c r="AY313" s="237"/>
      <c r="AZ313" s="238"/>
      <c r="BA313" s="237"/>
      <c r="BB313" s="238"/>
      <c r="BC313" s="239"/>
      <c r="BD313" s="237"/>
      <c r="BE313" s="240"/>
      <c r="BF313" s="46" t="str">
        <f t="shared" si="168"/>
        <v/>
      </c>
      <c r="BH313" s="243"/>
      <c r="BI313" s="17"/>
      <c r="BJ313" s="187"/>
      <c r="BK313" s="42"/>
      <c r="BL313" s="45"/>
      <c r="BM313" s="238"/>
    </row>
    <row r="314" spans="3:65" ht="15.5" thickTop="1" thickBot="1" x14ac:dyDescent="0.4">
      <c r="C314" s="36" t="str">
        <f t="shared" si="169"/>
        <v/>
      </c>
      <c r="D314" s="37" t="e">
        <f t="shared" si="149"/>
        <v>#NUM!</v>
      </c>
      <c r="E314" s="236">
        <f t="shared" si="150"/>
        <v>0</v>
      </c>
      <c r="F314" s="237" t="e">
        <f t="shared" si="151"/>
        <v>#NUM!</v>
      </c>
      <c r="G314" s="238" t="e">
        <f>IF(D314="","",L313*Resumen!$L$86/1000)</f>
        <v>#NUM!</v>
      </c>
      <c r="H314" s="237" t="e">
        <f t="shared" si="152"/>
        <v>#NUM!</v>
      </c>
      <c r="I314" s="238" t="e">
        <f>IF($E$16=$V$1,0,IF(D314="","",Amortización!$AE$14))</f>
        <v>#NUM!</v>
      </c>
      <c r="J314" s="239">
        <f>IFERROR(IF(OR($E$11=Resumen!$N$6,$E$8=Resumen!$N$6),Amortización!F314*0.16,0),"")</f>
        <v>0</v>
      </c>
      <c r="K314" s="237">
        <f t="shared" si="153"/>
        <v>0</v>
      </c>
      <c r="L314" s="240">
        <f t="shared" si="154"/>
        <v>0</v>
      </c>
      <c r="M314" s="46" t="str">
        <f t="shared" si="155"/>
        <v/>
      </c>
      <c r="N314" s="44" t="str">
        <f t="shared" si="156"/>
        <v/>
      </c>
      <c r="O314" s="44" t="str">
        <f t="shared" si="157"/>
        <v/>
      </c>
      <c r="P314" s="44" t="str">
        <f t="shared" si="158"/>
        <v/>
      </c>
      <c r="Q314" s="238" t="str">
        <f t="shared" si="159"/>
        <v/>
      </c>
      <c r="R314" s="243" t="e">
        <f t="shared" si="160"/>
        <v>#NUM!</v>
      </c>
      <c r="S314" s="17"/>
      <c r="T314" s="187" t="str">
        <f t="shared" si="161"/>
        <v/>
      </c>
      <c r="U314" s="42" t="e">
        <f t="shared" si="162"/>
        <v>#NUM!</v>
      </c>
      <c r="V314" s="45">
        <f t="shared" si="163"/>
        <v>0</v>
      </c>
      <c r="W314" s="47"/>
      <c r="X314" s="272" t="b">
        <f t="shared" si="170"/>
        <v>0</v>
      </c>
      <c r="Y314" s="39">
        <v>0</v>
      </c>
      <c r="AB314" s="357" t="e">
        <f t="shared" si="164"/>
        <v>#N/A</v>
      </c>
      <c r="AG314" s="307">
        <f t="shared" si="165"/>
        <v>0</v>
      </c>
      <c r="AH314" s="283">
        <f t="shared" si="166"/>
        <v>0</v>
      </c>
      <c r="AI314" t="str">
        <f t="shared" si="167"/>
        <v/>
      </c>
      <c r="AV314" s="36"/>
      <c r="AW314" s="37"/>
      <c r="AX314" s="236"/>
      <c r="AY314" s="237"/>
      <c r="AZ314" s="238"/>
      <c r="BA314" s="237"/>
      <c r="BB314" s="238"/>
      <c r="BC314" s="239"/>
      <c r="BD314" s="237"/>
      <c r="BE314" s="240"/>
      <c r="BF314" s="46" t="str">
        <f t="shared" si="168"/>
        <v/>
      </c>
      <c r="BH314" s="243"/>
      <c r="BI314" s="17"/>
      <c r="BJ314" s="187"/>
      <c r="BK314" s="42"/>
      <c r="BL314" s="45"/>
      <c r="BM314" s="238"/>
    </row>
    <row r="315" spans="3:65" ht="15.5" thickTop="1" thickBot="1" x14ac:dyDescent="0.4">
      <c r="C315" s="36" t="str">
        <f t="shared" si="169"/>
        <v/>
      </c>
      <c r="D315" s="37" t="e">
        <f t="shared" si="149"/>
        <v>#NUM!</v>
      </c>
      <c r="E315" s="236">
        <f t="shared" si="150"/>
        <v>0</v>
      </c>
      <c r="F315" s="237" t="e">
        <f t="shared" si="151"/>
        <v>#NUM!</v>
      </c>
      <c r="G315" s="238" t="e">
        <f>IF(D315="","",L314*Resumen!$L$86/1000)</f>
        <v>#NUM!</v>
      </c>
      <c r="H315" s="237" t="e">
        <f t="shared" si="152"/>
        <v>#NUM!</v>
      </c>
      <c r="I315" s="238" t="e">
        <f>IF($E$16=$V$1,0,IF(D315="","",Amortización!$AE$14))</f>
        <v>#NUM!</v>
      </c>
      <c r="J315" s="239">
        <f>IFERROR(IF(OR($E$11=Resumen!$N$6,$E$8=Resumen!$N$6),Amortización!F315*0.16,0),"")</f>
        <v>0</v>
      </c>
      <c r="K315" s="237">
        <f t="shared" si="153"/>
        <v>0</v>
      </c>
      <c r="L315" s="240">
        <f t="shared" si="154"/>
        <v>0</v>
      </c>
      <c r="M315" s="46" t="str">
        <f t="shared" si="155"/>
        <v/>
      </c>
      <c r="N315" s="44" t="str">
        <f t="shared" si="156"/>
        <v/>
      </c>
      <c r="O315" s="44" t="str">
        <f t="shared" si="157"/>
        <v/>
      </c>
      <c r="P315" s="44" t="str">
        <f t="shared" si="158"/>
        <v/>
      </c>
      <c r="Q315" s="238" t="str">
        <f t="shared" si="159"/>
        <v/>
      </c>
      <c r="R315" s="243" t="e">
        <f t="shared" si="160"/>
        <v>#NUM!</v>
      </c>
      <c r="S315" s="17"/>
      <c r="T315" s="187" t="str">
        <f t="shared" si="161"/>
        <v/>
      </c>
      <c r="U315" s="42" t="e">
        <f t="shared" si="162"/>
        <v>#NUM!</v>
      </c>
      <c r="V315" s="45">
        <f t="shared" si="163"/>
        <v>0</v>
      </c>
      <c r="W315" s="47"/>
      <c r="X315" s="272" t="b">
        <f t="shared" si="170"/>
        <v>0</v>
      </c>
      <c r="Y315" s="39">
        <v>0</v>
      </c>
      <c r="AB315" s="357" t="e">
        <f t="shared" si="164"/>
        <v>#N/A</v>
      </c>
      <c r="AG315" s="307">
        <f t="shared" si="165"/>
        <v>0</v>
      </c>
      <c r="AH315" s="283">
        <f t="shared" si="166"/>
        <v>0</v>
      </c>
      <c r="AI315" t="str">
        <f t="shared" si="167"/>
        <v/>
      </c>
      <c r="AV315" s="36"/>
      <c r="AW315" s="37"/>
      <c r="AX315" s="236"/>
      <c r="AY315" s="237"/>
      <c r="AZ315" s="238"/>
      <c r="BA315" s="237"/>
      <c r="BB315" s="238"/>
      <c r="BC315" s="239"/>
      <c r="BD315" s="237"/>
      <c r="BE315" s="240"/>
      <c r="BF315" s="46" t="str">
        <f t="shared" si="168"/>
        <v/>
      </c>
      <c r="BH315" s="243"/>
      <c r="BI315" s="17"/>
      <c r="BJ315" s="187"/>
      <c r="BK315" s="42"/>
      <c r="BL315" s="45"/>
      <c r="BM315" s="238"/>
    </row>
    <row r="316" spans="3:65" ht="15.5" thickTop="1" thickBot="1" x14ac:dyDescent="0.4">
      <c r="C316" s="36" t="str">
        <f t="shared" si="169"/>
        <v/>
      </c>
      <c r="D316" s="37" t="e">
        <f t="shared" si="149"/>
        <v>#NUM!</v>
      </c>
      <c r="E316" s="236">
        <f t="shared" si="150"/>
        <v>0</v>
      </c>
      <c r="F316" s="237" t="e">
        <f t="shared" si="151"/>
        <v>#NUM!</v>
      </c>
      <c r="G316" s="238" t="e">
        <f>IF(D316="","",L315*Resumen!$L$86/1000)</f>
        <v>#NUM!</v>
      </c>
      <c r="H316" s="237" t="e">
        <f t="shared" si="152"/>
        <v>#NUM!</v>
      </c>
      <c r="I316" s="238" t="e">
        <f>IF($E$16=$V$1,0,IF(D316="","",Amortización!$AE$14))</f>
        <v>#NUM!</v>
      </c>
      <c r="J316" s="239">
        <f>IFERROR(IF(OR($E$11=Resumen!$N$6,$E$8=Resumen!$N$6),Amortización!F316*0.16,0),"")</f>
        <v>0</v>
      </c>
      <c r="K316" s="237">
        <f t="shared" si="153"/>
        <v>0</v>
      </c>
      <c r="L316" s="240">
        <f t="shared" si="154"/>
        <v>0</v>
      </c>
      <c r="M316" s="46" t="str">
        <f t="shared" si="155"/>
        <v/>
      </c>
      <c r="N316" s="44" t="str">
        <f t="shared" si="156"/>
        <v/>
      </c>
      <c r="O316" s="44" t="str">
        <f t="shared" si="157"/>
        <v/>
      </c>
      <c r="P316" s="44" t="str">
        <f t="shared" si="158"/>
        <v/>
      </c>
      <c r="Q316" s="238" t="str">
        <f t="shared" si="159"/>
        <v/>
      </c>
      <c r="R316" s="243" t="e">
        <f t="shared" si="160"/>
        <v>#NUM!</v>
      </c>
      <c r="S316" s="17"/>
      <c r="T316" s="187" t="str">
        <f t="shared" si="161"/>
        <v/>
      </c>
      <c r="U316" s="42" t="e">
        <f t="shared" si="162"/>
        <v>#NUM!</v>
      </c>
      <c r="V316" s="45">
        <f t="shared" si="163"/>
        <v>0</v>
      </c>
      <c r="W316" s="47"/>
      <c r="X316" s="272" t="b">
        <f t="shared" si="170"/>
        <v>0</v>
      </c>
      <c r="Y316" s="39">
        <v>0</v>
      </c>
      <c r="AB316" s="357" t="e">
        <f t="shared" si="164"/>
        <v>#N/A</v>
      </c>
      <c r="AG316" s="307">
        <f t="shared" si="165"/>
        <v>0</v>
      </c>
      <c r="AH316" s="283">
        <f t="shared" si="166"/>
        <v>0</v>
      </c>
      <c r="AI316" t="str">
        <f t="shared" si="167"/>
        <v/>
      </c>
      <c r="AV316" s="36"/>
      <c r="AW316" s="37"/>
      <c r="AX316" s="236"/>
      <c r="AY316" s="237"/>
      <c r="AZ316" s="238"/>
      <c r="BA316" s="237"/>
      <c r="BB316" s="238"/>
      <c r="BC316" s="239"/>
      <c r="BD316" s="237"/>
      <c r="BE316" s="240"/>
      <c r="BF316" s="46" t="str">
        <f t="shared" si="168"/>
        <v/>
      </c>
      <c r="BH316" s="243"/>
      <c r="BI316" s="17"/>
      <c r="BJ316" s="187"/>
      <c r="BK316" s="42"/>
      <c r="BL316" s="45"/>
      <c r="BM316" s="238"/>
    </row>
    <row r="317" spans="3:65" ht="15.5" thickTop="1" thickBot="1" x14ac:dyDescent="0.4">
      <c r="C317" s="36" t="str">
        <f t="shared" si="169"/>
        <v/>
      </c>
      <c r="D317" s="37" t="e">
        <f t="shared" si="149"/>
        <v>#NUM!</v>
      </c>
      <c r="E317" s="236">
        <f t="shared" si="150"/>
        <v>0</v>
      </c>
      <c r="F317" s="237" t="e">
        <f t="shared" si="151"/>
        <v>#NUM!</v>
      </c>
      <c r="G317" s="238" t="e">
        <f>IF(D317="","",L316*Resumen!$L$86/1000)</f>
        <v>#NUM!</v>
      </c>
      <c r="H317" s="237" t="e">
        <f t="shared" si="152"/>
        <v>#NUM!</v>
      </c>
      <c r="I317" s="238" t="e">
        <f>IF($E$16=$V$1,0,IF(D317="","",Amortización!$AE$14))</f>
        <v>#NUM!</v>
      </c>
      <c r="J317" s="239">
        <f>IFERROR(IF(OR($E$11=Resumen!$N$6,$E$8=Resumen!$N$6),Amortización!F317*0.16,0),"")</f>
        <v>0</v>
      </c>
      <c r="K317" s="237">
        <f t="shared" si="153"/>
        <v>0</v>
      </c>
      <c r="L317" s="240">
        <f t="shared" si="154"/>
        <v>0</v>
      </c>
      <c r="M317" s="46" t="str">
        <f t="shared" si="155"/>
        <v/>
      </c>
      <c r="N317" s="44" t="str">
        <f t="shared" si="156"/>
        <v/>
      </c>
      <c r="O317" s="44" t="str">
        <f t="shared" si="157"/>
        <v/>
      </c>
      <c r="P317" s="44" t="str">
        <f t="shared" si="158"/>
        <v/>
      </c>
      <c r="Q317" s="238" t="str">
        <f t="shared" si="159"/>
        <v/>
      </c>
      <c r="R317" s="243" t="e">
        <f t="shared" si="160"/>
        <v>#NUM!</v>
      </c>
      <c r="S317" s="17"/>
      <c r="T317" s="187" t="str">
        <f t="shared" si="161"/>
        <v/>
      </c>
      <c r="U317" s="42" t="e">
        <f t="shared" si="162"/>
        <v>#NUM!</v>
      </c>
      <c r="V317" s="45">
        <f t="shared" si="163"/>
        <v>0</v>
      </c>
      <c r="W317" s="47"/>
      <c r="X317" s="272" t="b">
        <f t="shared" si="170"/>
        <v>0</v>
      </c>
      <c r="Y317" s="39">
        <v>0</v>
      </c>
      <c r="AB317" s="357" t="e">
        <f t="shared" si="164"/>
        <v>#N/A</v>
      </c>
      <c r="AG317" s="307">
        <f t="shared" si="165"/>
        <v>0</v>
      </c>
      <c r="AH317" s="283">
        <f t="shared" si="166"/>
        <v>0</v>
      </c>
      <c r="AI317" t="str">
        <f t="shared" si="167"/>
        <v/>
      </c>
      <c r="AV317" s="36"/>
      <c r="AW317" s="37"/>
      <c r="AX317" s="236"/>
      <c r="AY317" s="237"/>
      <c r="AZ317" s="238"/>
      <c r="BA317" s="237"/>
      <c r="BB317" s="238"/>
      <c r="BC317" s="239"/>
      <c r="BD317" s="237"/>
      <c r="BE317" s="240"/>
      <c r="BF317" s="46" t="str">
        <f t="shared" si="168"/>
        <v/>
      </c>
      <c r="BH317" s="243"/>
      <c r="BI317" s="17"/>
      <c r="BJ317" s="187"/>
      <c r="BK317" s="42"/>
      <c r="BL317" s="45"/>
      <c r="BM317" s="238"/>
    </row>
    <row r="318" spans="3:65" ht="15.5" thickTop="1" thickBot="1" x14ac:dyDescent="0.4">
      <c r="C318" s="36" t="str">
        <f t="shared" si="169"/>
        <v/>
      </c>
      <c r="D318" s="37" t="e">
        <f t="shared" si="149"/>
        <v>#NUM!</v>
      </c>
      <c r="E318" s="236">
        <f t="shared" si="150"/>
        <v>0</v>
      </c>
      <c r="F318" s="237" t="e">
        <f t="shared" si="151"/>
        <v>#NUM!</v>
      </c>
      <c r="G318" s="238" t="e">
        <f>IF(D318="","",L317*Resumen!$L$86/1000)</f>
        <v>#NUM!</v>
      </c>
      <c r="H318" s="237" t="e">
        <f t="shared" si="152"/>
        <v>#NUM!</v>
      </c>
      <c r="I318" s="238" t="e">
        <f>IF($E$16=$V$1,0,IF(D318="","",Amortización!$AE$14))</f>
        <v>#NUM!</v>
      </c>
      <c r="J318" s="239">
        <f>IFERROR(IF(OR($E$11=Resumen!$N$6,$E$8=Resumen!$N$6),Amortización!F318*0.16,0),"")</f>
        <v>0</v>
      </c>
      <c r="K318" s="237">
        <f t="shared" si="153"/>
        <v>0</v>
      </c>
      <c r="L318" s="240">
        <f t="shared" si="154"/>
        <v>0</v>
      </c>
      <c r="M318" s="46" t="str">
        <f t="shared" si="155"/>
        <v/>
      </c>
      <c r="N318" s="44" t="str">
        <f t="shared" si="156"/>
        <v/>
      </c>
      <c r="O318" s="44" t="str">
        <f t="shared" si="157"/>
        <v/>
      </c>
      <c r="P318" s="44" t="str">
        <f t="shared" si="158"/>
        <v/>
      </c>
      <c r="Q318" s="238" t="str">
        <f t="shared" si="159"/>
        <v/>
      </c>
      <c r="R318" s="243" t="e">
        <f t="shared" si="160"/>
        <v>#NUM!</v>
      </c>
      <c r="S318" s="17"/>
      <c r="T318" s="187" t="str">
        <f t="shared" si="161"/>
        <v/>
      </c>
      <c r="U318" s="42" t="e">
        <f t="shared" si="162"/>
        <v>#NUM!</v>
      </c>
      <c r="V318" s="45">
        <f t="shared" si="163"/>
        <v>0</v>
      </c>
      <c r="W318" s="47"/>
      <c r="X318" s="272" t="b">
        <f t="shared" si="170"/>
        <v>0</v>
      </c>
      <c r="Y318" s="39">
        <v>0</v>
      </c>
      <c r="AB318" s="357" t="e">
        <f t="shared" si="164"/>
        <v>#N/A</v>
      </c>
      <c r="AG318" s="307">
        <f t="shared" si="165"/>
        <v>0</v>
      </c>
      <c r="AH318" s="283">
        <f t="shared" si="166"/>
        <v>0</v>
      </c>
      <c r="AI318" t="str">
        <f t="shared" si="167"/>
        <v/>
      </c>
      <c r="AV318" s="36"/>
      <c r="AW318" s="37"/>
      <c r="AX318" s="236"/>
      <c r="AY318" s="237"/>
      <c r="AZ318" s="238"/>
      <c r="BA318" s="237"/>
      <c r="BB318" s="238"/>
      <c r="BC318" s="239"/>
      <c r="BD318" s="237"/>
      <c r="BE318" s="240"/>
      <c r="BF318" s="46" t="str">
        <f t="shared" si="168"/>
        <v/>
      </c>
      <c r="BH318" s="243"/>
      <c r="BI318" s="17"/>
      <c r="BJ318" s="187"/>
      <c r="BK318" s="42"/>
      <c r="BL318" s="45"/>
      <c r="BM318" s="238"/>
    </row>
    <row r="319" spans="3:65" ht="15.5" thickTop="1" thickBot="1" x14ac:dyDescent="0.4">
      <c r="C319" s="36" t="str">
        <f t="shared" si="169"/>
        <v/>
      </c>
      <c r="D319" s="37" t="e">
        <f t="shared" si="149"/>
        <v>#NUM!</v>
      </c>
      <c r="E319" s="236">
        <f t="shared" si="150"/>
        <v>0</v>
      </c>
      <c r="F319" s="237" t="e">
        <f t="shared" si="151"/>
        <v>#NUM!</v>
      </c>
      <c r="G319" s="238" t="e">
        <f>IF(D319="","",L318*Resumen!$L$86/1000)</f>
        <v>#NUM!</v>
      </c>
      <c r="H319" s="237" t="e">
        <f t="shared" si="152"/>
        <v>#NUM!</v>
      </c>
      <c r="I319" s="238" t="e">
        <f>IF($E$16=$V$1,0,IF(D319="","",Amortización!$AE$14))</f>
        <v>#NUM!</v>
      </c>
      <c r="J319" s="239">
        <f>IFERROR(IF(OR($E$11=Resumen!$N$6,$E$8=Resumen!$N$6),Amortización!F319*0.16,0),"")</f>
        <v>0</v>
      </c>
      <c r="K319" s="237">
        <f t="shared" si="153"/>
        <v>0</v>
      </c>
      <c r="L319" s="240">
        <f t="shared" si="154"/>
        <v>0</v>
      </c>
      <c r="M319" s="46" t="str">
        <f t="shared" si="155"/>
        <v/>
      </c>
      <c r="N319" s="44" t="str">
        <f t="shared" si="156"/>
        <v/>
      </c>
      <c r="O319" s="44" t="str">
        <f t="shared" si="157"/>
        <v/>
      </c>
      <c r="P319" s="44" t="str">
        <f t="shared" si="158"/>
        <v/>
      </c>
      <c r="Q319" s="238" t="str">
        <f t="shared" si="159"/>
        <v/>
      </c>
      <c r="R319" s="243" t="e">
        <f t="shared" si="160"/>
        <v>#NUM!</v>
      </c>
      <c r="S319" s="17"/>
      <c r="T319" s="187" t="str">
        <f t="shared" si="161"/>
        <v/>
      </c>
      <c r="U319" s="42" t="e">
        <f t="shared" si="162"/>
        <v>#NUM!</v>
      </c>
      <c r="V319" s="45">
        <f t="shared" si="163"/>
        <v>0</v>
      </c>
      <c r="W319" s="47"/>
      <c r="X319" s="272" t="b">
        <f t="shared" si="170"/>
        <v>0</v>
      </c>
      <c r="Y319" s="39">
        <v>0</v>
      </c>
      <c r="AB319" s="357" t="e">
        <f t="shared" si="164"/>
        <v>#N/A</v>
      </c>
      <c r="AG319" s="307">
        <f t="shared" si="165"/>
        <v>0</v>
      </c>
      <c r="AH319" s="283">
        <f t="shared" si="166"/>
        <v>0</v>
      </c>
      <c r="AI319" t="str">
        <f t="shared" si="167"/>
        <v/>
      </c>
      <c r="AV319" s="36"/>
      <c r="AW319" s="37"/>
      <c r="AX319" s="236"/>
      <c r="AY319" s="237"/>
      <c r="AZ319" s="238"/>
      <c r="BA319" s="237"/>
      <c r="BB319" s="238"/>
      <c r="BC319" s="239"/>
      <c r="BD319" s="237"/>
      <c r="BE319" s="240"/>
      <c r="BF319" s="46" t="str">
        <f t="shared" si="168"/>
        <v/>
      </c>
      <c r="BH319" s="243"/>
      <c r="BI319" s="17"/>
      <c r="BJ319" s="187"/>
      <c r="BK319" s="42"/>
      <c r="BL319" s="45"/>
      <c r="BM319" s="238"/>
    </row>
    <row r="320" spans="3:65" ht="15.5" thickTop="1" thickBot="1" x14ac:dyDescent="0.4">
      <c r="C320" s="36" t="str">
        <f t="shared" si="169"/>
        <v/>
      </c>
      <c r="D320" s="37" t="e">
        <f t="shared" si="149"/>
        <v>#NUM!</v>
      </c>
      <c r="E320" s="236">
        <f t="shared" si="150"/>
        <v>0</v>
      </c>
      <c r="F320" s="237" t="e">
        <f t="shared" si="151"/>
        <v>#NUM!</v>
      </c>
      <c r="G320" s="238" t="e">
        <f>IF(D320="","",L319*Resumen!$L$86/1000)</f>
        <v>#NUM!</v>
      </c>
      <c r="H320" s="237" t="e">
        <f t="shared" si="152"/>
        <v>#NUM!</v>
      </c>
      <c r="I320" s="238" t="e">
        <f>IF($E$16=$V$1,0,IF(D320="","",Amortización!$AE$14))</f>
        <v>#NUM!</v>
      </c>
      <c r="J320" s="239">
        <f>IFERROR(IF(OR($E$11=Resumen!$N$6,$E$8=Resumen!$N$6),Amortización!F320*0.16,0),"")</f>
        <v>0</v>
      </c>
      <c r="K320" s="237">
        <f t="shared" si="153"/>
        <v>0</v>
      </c>
      <c r="L320" s="240">
        <f t="shared" si="154"/>
        <v>0</v>
      </c>
      <c r="M320" s="46" t="str">
        <f t="shared" si="155"/>
        <v/>
      </c>
      <c r="N320" s="44" t="str">
        <f t="shared" si="156"/>
        <v/>
      </c>
      <c r="O320" s="44" t="str">
        <f t="shared" si="157"/>
        <v/>
      </c>
      <c r="P320" s="44" t="str">
        <f t="shared" si="158"/>
        <v/>
      </c>
      <c r="Q320" s="238" t="str">
        <f t="shared" si="159"/>
        <v/>
      </c>
      <c r="R320" s="243" t="e">
        <f t="shared" si="160"/>
        <v>#NUM!</v>
      </c>
      <c r="S320" s="17"/>
      <c r="T320" s="187" t="str">
        <f t="shared" si="161"/>
        <v/>
      </c>
      <c r="U320" s="42" t="e">
        <f t="shared" si="162"/>
        <v>#NUM!</v>
      </c>
      <c r="V320" s="45">
        <f t="shared" si="163"/>
        <v>0</v>
      </c>
      <c r="W320" s="47"/>
      <c r="X320" s="272" t="b">
        <f t="shared" si="170"/>
        <v>0</v>
      </c>
      <c r="Y320" s="39">
        <v>0</v>
      </c>
      <c r="AB320" s="357" t="e">
        <f t="shared" si="164"/>
        <v>#N/A</v>
      </c>
      <c r="AG320" s="307">
        <f t="shared" si="165"/>
        <v>0</v>
      </c>
      <c r="AH320" s="283">
        <f t="shared" si="166"/>
        <v>0</v>
      </c>
      <c r="AI320" t="str">
        <f t="shared" si="167"/>
        <v/>
      </c>
      <c r="AV320" s="36"/>
      <c r="AW320" s="37"/>
      <c r="AX320" s="236"/>
      <c r="AY320" s="237"/>
      <c r="AZ320" s="238"/>
      <c r="BA320" s="237"/>
      <c r="BB320" s="238"/>
      <c r="BC320" s="239"/>
      <c r="BD320" s="237"/>
      <c r="BE320" s="240"/>
      <c r="BF320" s="46" t="str">
        <f t="shared" si="168"/>
        <v/>
      </c>
      <c r="BH320" s="243"/>
      <c r="BI320" s="17"/>
      <c r="BJ320" s="187"/>
      <c r="BK320" s="42"/>
      <c r="BL320" s="45"/>
      <c r="BM320" s="238"/>
    </row>
    <row r="321" spans="3:65" x14ac:dyDescent="0.35">
      <c r="C321" s="418" t="s">
        <v>140</v>
      </c>
      <c r="D321" s="418"/>
      <c r="E321" s="49" t="e">
        <f>SUM(E21:E320)</f>
        <v>#NUM!</v>
      </c>
      <c r="F321" s="49" t="e">
        <f>SUM(F21:F320)</f>
        <v>#NUM!</v>
      </c>
      <c r="G321" s="49" t="e">
        <f>SUM(G21:G320)</f>
        <v>#NUM!</v>
      </c>
      <c r="H321" s="48" t="e">
        <f>SUM(H21:H320)</f>
        <v>#N/A</v>
      </c>
      <c r="I321" s="49" t="e">
        <f>SUM(I21:I320)</f>
        <v>#NUM!</v>
      </c>
      <c r="J321" s="49">
        <f>IFERROR(IF(OR($E$11=Resumen!$N$6,$E$8=Resumen!$N$6),Amortización!F321*0.16,0),"")</f>
        <v>0</v>
      </c>
      <c r="K321" s="49">
        <f>SUM(K21:K320)</f>
        <v>0</v>
      </c>
      <c r="L321" s="241"/>
      <c r="M321" s="49">
        <f>SUM(M21:M320)</f>
        <v>0</v>
      </c>
      <c r="N321" s="49"/>
      <c r="O321" s="49"/>
      <c r="P321" s="49"/>
      <c r="Q321" s="10"/>
      <c r="R321" s="245"/>
      <c r="S321" s="47"/>
      <c r="T321" s="47"/>
      <c r="U321" s="42"/>
      <c r="V321" s="47"/>
      <c r="W321" s="47"/>
      <c r="X321" s="273"/>
      <c r="Y321" s="48">
        <f>SUM(Y21:Y260)</f>
        <v>0</v>
      </c>
      <c r="AB321" s="281"/>
      <c r="AV321" s="418" t="s">
        <v>140</v>
      </c>
      <c r="AW321" s="418"/>
      <c r="AX321" s="49" t="e">
        <f>SUM(AX21:AX320)</f>
        <v>#NUM!</v>
      </c>
      <c r="AY321" s="49" t="e">
        <f>SUM(AY21:AY320)</f>
        <v>#NUM!</v>
      </c>
      <c r="AZ321" s="49" t="e">
        <f>SUM(AZ21:AZ320)</f>
        <v>#NUM!</v>
      </c>
      <c r="BA321" s="48" t="e">
        <f>SUM(BA21:BA320)</f>
        <v>#NUM!</v>
      </c>
      <c r="BB321" s="49" t="e">
        <f>SUM(BB21:BB320)</f>
        <v>#NUM!</v>
      </c>
      <c r="BC321" s="49">
        <f>IFERROR(IF(OR($E$11=Resumen!$N$6,$E$8=Resumen!$N$6),Amortización!AY321*0.16,0),"")</f>
        <v>0</v>
      </c>
      <c r="BD321" s="49">
        <f>SUM(BD21:BD320)</f>
        <v>0</v>
      </c>
      <c r="BE321" s="241"/>
      <c r="BF321" s="49">
        <f>SUM(BF21:BF320)</f>
        <v>0</v>
      </c>
      <c r="BH321" s="245"/>
      <c r="BI321" s="47"/>
      <c r="BJ321" s="47"/>
      <c r="BK321" s="42"/>
      <c r="BL321" s="47"/>
      <c r="BM321" s="10"/>
    </row>
    <row r="322" spans="3:65" x14ac:dyDescent="0.35">
      <c r="S322" s="47"/>
      <c r="T322" s="47"/>
      <c r="U322" s="47"/>
      <c r="V322" s="47"/>
      <c r="W322" s="47"/>
      <c r="X322" s="273"/>
    </row>
    <row r="323" spans="3:65" x14ac:dyDescent="0.35">
      <c r="C323" s="413" t="s">
        <v>141</v>
      </c>
      <c r="D323" s="413"/>
      <c r="E323" s="413"/>
      <c r="F323" s="413"/>
      <c r="G323" s="413"/>
      <c r="H323" s="413"/>
      <c r="I323" s="413"/>
      <c r="J323" s="413"/>
      <c r="K323" s="413"/>
      <c r="L323" s="413"/>
      <c r="M323" s="413"/>
      <c r="N323" s="413"/>
      <c r="O323" s="413"/>
      <c r="P323" s="413"/>
      <c r="Q323" s="413"/>
      <c r="R323" s="50"/>
      <c r="S323" s="47"/>
    </row>
    <row r="324" spans="3:65" x14ac:dyDescent="0.35">
      <c r="C324" s="413" t="s">
        <v>142</v>
      </c>
      <c r="D324" s="413"/>
      <c r="E324" s="413"/>
      <c r="F324" s="413"/>
      <c r="G324" s="413"/>
      <c r="H324" s="413"/>
      <c r="I324" s="413"/>
      <c r="J324" s="413"/>
      <c r="K324" s="413"/>
      <c r="L324" s="413"/>
      <c r="M324" s="413"/>
      <c r="N324" s="413"/>
      <c r="O324" s="413"/>
      <c r="P324" s="413"/>
      <c r="Q324" s="413"/>
      <c r="R324" s="50"/>
    </row>
    <row r="325" spans="3:65" x14ac:dyDescent="0.35">
      <c r="C325" s="413" t="s">
        <v>143</v>
      </c>
      <c r="D325" s="413"/>
      <c r="E325" s="413"/>
      <c r="F325" s="413"/>
      <c r="G325" s="413"/>
      <c r="H325" s="413"/>
      <c r="I325" s="413"/>
      <c r="J325" s="413"/>
      <c r="K325" s="413"/>
      <c r="L325" s="413"/>
      <c r="M325" s="413"/>
      <c r="N325" s="413"/>
      <c r="O325" s="413"/>
      <c r="P325" s="413"/>
      <c r="Q325" s="413"/>
      <c r="R325" s="50"/>
    </row>
    <row r="326" spans="3:65" x14ac:dyDescent="0.35">
      <c r="C326" s="413"/>
      <c r="D326" s="413"/>
      <c r="E326" s="413"/>
      <c r="F326" s="413"/>
      <c r="G326" s="413"/>
      <c r="H326" s="413"/>
      <c r="I326" s="413"/>
      <c r="J326" s="413"/>
      <c r="K326" s="413"/>
      <c r="L326" s="413"/>
      <c r="M326" s="413"/>
      <c r="N326" s="413"/>
      <c r="O326" s="413"/>
      <c r="P326" s="413"/>
      <c r="Q326" s="413"/>
      <c r="R326" s="50"/>
    </row>
    <row r="327" spans="3:65" x14ac:dyDescent="0.35">
      <c r="C327" s="413" t="s">
        <v>144</v>
      </c>
      <c r="D327" s="413"/>
      <c r="E327" s="413"/>
      <c r="F327" s="413"/>
      <c r="G327" s="413"/>
      <c r="H327" s="413"/>
      <c r="I327" s="413"/>
      <c r="J327" s="413"/>
      <c r="K327" s="413"/>
      <c r="L327" s="413"/>
      <c r="M327" s="413"/>
      <c r="N327" s="413"/>
      <c r="O327" s="413"/>
      <c r="P327" s="413"/>
      <c r="Q327" s="413"/>
      <c r="R327" s="50"/>
    </row>
    <row r="328" spans="3:65" x14ac:dyDescent="0.35">
      <c r="C328" s="413"/>
      <c r="D328" s="413"/>
      <c r="E328" s="413"/>
      <c r="F328" s="413"/>
      <c r="G328" s="413"/>
      <c r="H328" s="413"/>
      <c r="I328" s="413"/>
      <c r="J328" s="413"/>
      <c r="K328" s="413"/>
      <c r="L328" s="413"/>
      <c r="M328" s="413"/>
      <c r="N328" s="413"/>
      <c r="O328" s="413"/>
      <c r="P328" s="413"/>
      <c r="Q328" s="413"/>
      <c r="R328" s="50"/>
    </row>
    <row r="329" spans="3:65" hidden="1" x14ac:dyDescent="0.35">
      <c r="C329" s="3" t="str">
        <f>IF(OR(E8="Liquidez",E11="Liquidez"),"** El crédito de liquidez genera IVA sobre los intereses reales (no simulados) que se sumará al pago mensual","")</f>
        <v/>
      </c>
    </row>
    <row r="330" spans="3:65" x14ac:dyDescent="0.35">
      <c r="C330" s="3" t="str">
        <f>IF(E10="Apoyo Infonavit","La fecha de pago de las aportaciones patronales, dependerá de que se concluyan los procesos necesarios de HSBC e Infonavit y podría no ser en el primer bimestre posterior a la firma", "")</f>
        <v/>
      </c>
    </row>
  </sheetData>
  <sheetProtection algorithmName="SHA-512" hashValue="0ypBNwLKvBKKjksomrzkneUxRp9WrStfJNpHo0u7JKCTcLVfggvzlp8AI0lRNqevqK20E5HU70hJ40O8Vk+gNA==" saltValue="TQdJLcjbk3cRGhLUAeH0ew==" spinCount="100000" sheet="1" objects="1" scenarios="1"/>
  <protectedRanges>
    <protectedRange password="E9DF" sqref="E14:E15 E11" name="Rango1"/>
  </protectedRanges>
  <mergeCells count="18">
    <mergeCell ref="AV321:AW321"/>
    <mergeCell ref="AV3:AX3"/>
    <mergeCell ref="C323:Q323"/>
    <mergeCell ref="C324:Q324"/>
    <mergeCell ref="C325:Q326"/>
    <mergeCell ref="G3:I3"/>
    <mergeCell ref="E14:F14"/>
    <mergeCell ref="L5:Q5"/>
    <mergeCell ref="E8:F8"/>
    <mergeCell ref="E9:F9"/>
    <mergeCell ref="E10:F10"/>
    <mergeCell ref="E11:F11"/>
    <mergeCell ref="Q8:R8"/>
    <mergeCell ref="C327:Q328"/>
    <mergeCell ref="E15:F15"/>
    <mergeCell ref="E17:F17"/>
    <mergeCell ref="C321:D321"/>
    <mergeCell ref="E16:F16"/>
  </mergeCells>
  <conditionalFormatting sqref="C21:C22">
    <cfRule type="cellIs" dxfId="25" priority="40" operator="equal">
      <formula>""</formula>
    </cfRule>
  </conditionalFormatting>
  <conditionalFormatting sqref="C8">
    <cfRule type="expression" dxfId="24" priority="39">
      <formula>$C$9="NO"</formula>
    </cfRule>
  </conditionalFormatting>
  <conditionalFormatting sqref="C9">
    <cfRule type="expression" dxfId="23" priority="38">
      <formula>$C$9="NO"</formula>
    </cfRule>
  </conditionalFormatting>
  <conditionalFormatting sqref="C20">
    <cfRule type="expression" dxfId="22" priority="37">
      <formula>$D$21=""</formula>
    </cfRule>
  </conditionalFormatting>
  <conditionalFormatting sqref="M21:P21 M21:M260 N22:P320">
    <cfRule type="cellIs" dxfId="21" priority="36" operator="equal">
      <formula>""</formula>
    </cfRule>
  </conditionalFormatting>
  <conditionalFormatting sqref="C10">
    <cfRule type="expression" dxfId="20" priority="35">
      <formula>$C$9="NO"</formula>
    </cfRule>
  </conditionalFormatting>
  <conditionalFormatting sqref="K15">
    <cfRule type="cellIs" dxfId="19" priority="34" operator="equal">
      <formula>""</formula>
    </cfRule>
  </conditionalFormatting>
  <conditionalFormatting sqref="Q20:Q21 BM23:BM320 Q23:Q320">
    <cfRule type="expression" dxfId="18" priority="42">
      <formula>OR($U$13&lt;&gt;$U$15,$E$8&lt;&gt;$U$8)</formula>
    </cfRule>
  </conditionalFormatting>
  <conditionalFormatting sqref="E15:F15">
    <cfRule type="expression" dxfId="17" priority="32">
      <formula>$C$15=""</formula>
    </cfRule>
  </conditionalFormatting>
  <conditionalFormatting sqref="R21 X21 AK82:AK85 AM50:AM245 AK86:AL237 AJ22:AJ320 BH22:BJ320 BM22:BN320 BP22:IY320 AM22:AN49 AN50:AN320 AS22:AU320 AC22:AF320 Q22:T320 W22:AA320 AO27:AP63 AQ63 AP25:AP26 AR23:AR63 AO64:AR328">
    <cfRule type="expression" dxfId="16" priority="31">
      <formula>OR($U$16&lt;&gt;$U$18,$E$11&lt;&gt;$U$11)</formula>
    </cfRule>
  </conditionalFormatting>
  <conditionalFormatting sqref="E14:F14">
    <cfRule type="expression" dxfId="15" priority="26" stopIfTrue="1">
      <formula>OR($E$8=$U$10,$E$8=$U$11)</formula>
    </cfRule>
  </conditionalFormatting>
  <conditionalFormatting sqref="E11:F11">
    <cfRule type="expression" dxfId="14" priority="25" stopIfTrue="1">
      <formula>$E$8=$U$11</formula>
    </cfRule>
  </conditionalFormatting>
  <conditionalFormatting sqref="C11">
    <cfRule type="expression" dxfId="13" priority="24" stopIfTrue="1">
      <formula>$E$8=$U$11</formula>
    </cfRule>
  </conditionalFormatting>
  <conditionalFormatting sqref="C15:F15 B14 E16:F16">
    <cfRule type="expression" dxfId="12" priority="23" stopIfTrue="1">
      <formula>$E$14=$X$9</formula>
    </cfRule>
  </conditionalFormatting>
  <conditionalFormatting sqref="M261:M320">
    <cfRule type="cellIs" dxfId="11" priority="17" operator="equal">
      <formula>""</formula>
    </cfRule>
  </conditionalFormatting>
  <conditionalFormatting sqref="C23:C320">
    <cfRule type="cellIs" dxfId="10" priority="14" operator="equal">
      <formula>""</formula>
    </cfRule>
  </conditionalFormatting>
  <conditionalFormatting sqref="E16:F16">
    <cfRule type="expression" dxfId="9" priority="10">
      <formula>$C$16=""</formula>
    </cfRule>
  </conditionalFormatting>
  <conditionalFormatting sqref="Q8:R8">
    <cfRule type="expression" dxfId="8" priority="63" stopIfTrue="1">
      <formula>$M$8=""</formula>
    </cfRule>
  </conditionalFormatting>
  <conditionalFormatting sqref="AV21:AV22">
    <cfRule type="cellIs" dxfId="7" priority="7" operator="equal">
      <formula>""</formula>
    </cfRule>
  </conditionalFormatting>
  <conditionalFormatting sqref="AV20">
    <cfRule type="expression" dxfId="6" priority="6">
      <formula>$D$21=""</formula>
    </cfRule>
  </conditionalFormatting>
  <conditionalFormatting sqref="BF21:BF260">
    <cfRule type="cellIs" dxfId="5" priority="5" operator="equal">
      <formula>""</formula>
    </cfRule>
  </conditionalFormatting>
  <conditionalFormatting sqref="BM20:BM21">
    <cfRule type="expression" dxfId="4" priority="8">
      <formula>OR($U$13&lt;&gt;$U$15,$E$8&lt;&gt;$U$8)</formula>
    </cfRule>
  </conditionalFormatting>
  <conditionalFormatting sqref="BH21">
    <cfRule type="expression" dxfId="3" priority="4">
      <formula>OR($U$16&lt;&gt;$U$18,$E$11&lt;&gt;$U$11)</formula>
    </cfRule>
  </conditionalFormatting>
  <conditionalFormatting sqref="BF261:BF320">
    <cfRule type="cellIs" dxfId="2" priority="3" operator="equal">
      <formula>""</formula>
    </cfRule>
  </conditionalFormatting>
  <conditionalFormatting sqref="AV23:AV320">
    <cfRule type="cellIs" dxfId="1" priority="2" operator="equal">
      <formula>""</formula>
    </cfRule>
  </conditionalFormatting>
  <conditionalFormatting sqref="AY15">
    <cfRule type="cellIs" dxfId="0" priority="1" operator="equal">
      <formula>""</formula>
    </cfRule>
  </conditionalFormatting>
  <dataValidations count="4">
    <dataValidation type="list" allowBlank="1" showInputMessage="1" showErrorMessage="1" sqref="E15:F15" xr:uid="{00000000-0002-0000-0200-000000000000}">
      <formula1>"Mensualidad, Plazo"</formula1>
    </dataValidation>
    <dataValidation type="list" allowBlank="1" showInputMessage="1" showErrorMessage="1" sqref="E11:F11" xr:uid="{00000000-0002-0000-0200-000001000000}">
      <formula1>$U$9:$U$10</formula1>
    </dataValidation>
    <dataValidation type="list" allowBlank="1" showInputMessage="1" showErrorMessage="1" sqref="E16:F16" xr:uid="{00000000-0002-0000-0200-000002000000}">
      <formula1>$V$2</formula1>
    </dataValidation>
    <dataValidation type="list" allowBlank="1" showInputMessage="1" showErrorMessage="1" sqref="E14:F14" xr:uid="{00000000-0002-0000-0200-000003000000}">
      <formula1>IF(OR(E10="CI+CB",K9&gt;6000000),X8,$X$8:$X$9)</formula1>
    </dataValidation>
  </dataValidations>
  <pageMargins left="0.7" right="0.7" top="0.75" bottom="0.75" header="0.3" footer="0.3"/>
  <pageSetup scale="30" fitToHeight="0" orientation="portrait" r:id="rId1"/>
  <headerFooter>
    <oddFooter>&amp;C_x000D_&amp;1#&amp;"Calibri"&amp;10&amp;K000000 PUBLIC</oddFooter>
    <evenFooter>&amp;LINTERNAL</evenFooter>
    <firstFooter>&amp;LINTERNAL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published="0" codeName="Hoja3"/>
  <dimension ref="C1:G5"/>
  <sheetViews>
    <sheetView showGridLines="0" workbookViewId="0">
      <selection activeCell="D11" sqref="D11"/>
    </sheetView>
  </sheetViews>
  <sheetFormatPr baseColWidth="10" defaultColWidth="11.453125" defaultRowHeight="14.5" x14ac:dyDescent="0.35"/>
  <cols>
    <col min="4" max="4" width="15.1796875" bestFit="1" customWidth="1"/>
    <col min="6" max="6" width="15.1796875" bestFit="1" customWidth="1"/>
  </cols>
  <sheetData>
    <row r="1" spans="3:7" ht="15" thickBot="1" x14ac:dyDescent="0.4"/>
    <row r="2" spans="3:7" ht="15" thickBot="1" x14ac:dyDescent="0.4">
      <c r="C2" s="426" t="s">
        <v>281</v>
      </c>
      <c r="D2" s="427"/>
      <c r="E2" s="427"/>
      <c r="F2" s="427"/>
      <c r="G2" s="428"/>
    </row>
    <row r="4" spans="3:7" ht="15" thickBot="1" x14ac:dyDescent="0.4"/>
    <row r="5" spans="3:7" ht="15" thickBot="1" x14ac:dyDescent="0.4">
      <c r="D5" s="215" t="s">
        <v>279</v>
      </c>
      <c r="E5" s="214"/>
      <c r="F5" s="215" t="s">
        <v>280</v>
      </c>
    </row>
  </sheetData>
  <sheetProtection algorithmName="SHA-512" hashValue="waB/zU3cofGmk7Z0W7zThe/0TUHk1S5jpmQrENx7/inUrTbLOFqyLfgntpmsAV5GxqWF+Wss7qEH6sBXD4gj2w==" saltValue="td630bzZeVJOq9WbhnB1Tg==" spinCount="100000" sheet="1" objects="1" scenarios="1"/>
  <mergeCells count="1">
    <mergeCell ref="C2:G2"/>
  </mergeCells>
  <pageMargins left="0.7" right="0.7" top="0.75" bottom="0.75" header="0.3" footer="0.3"/>
  <pageSetup orientation="portrait" r:id="rId1"/>
  <headerFooter>
    <oddFooter>&amp;C_x000D_&amp;1#&amp;"Calibri"&amp;10&amp;K000000 PUBLIC</oddFooter>
    <evenFooter>&amp;LINTERNAL</evenFooter>
    <firstFooter>&amp;LINTERNAL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LongProperties xmlns="http://schemas.microsoft.com/office/2006/metadata/longProperties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9E4AA2723264241B76218502A237798" ma:contentTypeVersion="4" ma:contentTypeDescription="Crear nuevo documento." ma:contentTypeScope="" ma:versionID="566cf34cc2774878f063c73cde974f0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3b0c20fa6358f42e96e8e4a601fcde7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C0473B0-861A-4330-9E02-0120C2BC0D6C}">
  <ds:schemaRefs>
    <ds:schemaRef ds:uri="http://purl.org/dc/dcmitype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infopath/2007/PartnerControls"/>
    <ds:schemaRef ds:uri="http://schemas.microsoft.com/office/2006/metadata/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71F2AE6B-BB97-4D11-8BEB-7B544B7A10B7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F67EC643-C7C2-4B6D-891C-AA6D2B1B2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EA76B953-B460-46A9-B1CE-3AA4953B9B8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Guía Rápida</vt:lpstr>
      <vt:lpstr>Resumen</vt:lpstr>
      <vt:lpstr>Amortización</vt:lpstr>
      <vt:lpstr>Oferta Vinculante</vt:lpstr>
      <vt:lpstr>Amortización!Área_de_impresión</vt:lpstr>
      <vt:lpstr>Resumen!Área_de_impresión</vt:lpstr>
    </vt:vector>
  </TitlesOfParts>
  <Company>HSBC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hugo.vidal@hsbc.com.mx</dc:creator>
  <cp:keywords>INTERNAL</cp:keywords>
  <dc:description>INTERNAL</dc:description>
  <cp:lastModifiedBy>Blanca E FLORES</cp:lastModifiedBy>
  <cp:lastPrinted>2025-04-21T18:51:41Z</cp:lastPrinted>
  <dcterms:created xsi:type="dcterms:W3CDTF">2018-03-14T16:27:24Z</dcterms:created>
  <dcterms:modified xsi:type="dcterms:W3CDTF">2025-09-12T00:10:38Z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urce">
    <vt:lpwstr>Internal</vt:lpwstr>
  </property>
  <property fmtid="{D5CDD505-2E9C-101B-9397-08002B2CF9AE}" pid="3" name="Footers">
    <vt:lpwstr>Footers</vt:lpwstr>
  </property>
  <property fmtid="{D5CDD505-2E9C-101B-9397-08002B2CF9AE}" pid="4" name="display_urn:schemas-microsoft-com:office:office#Editor">
    <vt:lpwstr>MARIA DE JESUS CASTELLANOS-MORENO</vt:lpwstr>
  </property>
  <property fmtid="{D5CDD505-2E9C-101B-9397-08002B2CF9AE}" pid="5" name="display_urn:schemas-microsoft-com:office:office#Author">
    <vt:lpwstr>MARIA DE JESUS CASTELLANOS-MORENO</vt:lpwstr>
  </property>
  <property fmtid="{D5CDD505-2E9C-101B-9397-08002B2CF9AE}" pid="6" name="Classification">
    <vt:lpwstr>INTERNAL</vt:lpwstr>
  </property>
  <property fmtid="{D5CDD505-2E9C-101B-9397-08002B2CF9AE}" pid="7" name="MSIP_Label_3486a02c-2dfb-4efe-823f-aa2d1f0e6ab7_Enabled">
    <vt:lpwstr>true</vt:lpwstr>
  </property>
  <property fmtid="{D5CDD505-2E9C-101B-9397-08002B2CF9AE}" pid="8" name="MSIP_Label_3486a02c-2dfb-4efe-823f-aa2d1f0e6ab7_SetDate">
    <vt:lpwstr>2025-09-12T00:09:57Z</vt:lpwstr>
  </property>
  <property fmtid="{D5CDD505-2E9C-101B-9397-08002B2CF9AE}" pid="9" name="MSIP_Label_3486a02c-2dfb-4efe-823f-aa2d1f0e6ab7_Method">
    <vt:lpwstr>Privileged</vt:lpwstr>
  </property>
  <property fmtid="{D5CDD505-2E9C-101B-9397-08002B2CF9AE}" pid="10" name="MSIP_Label_3486a02c-2dfb-4efe-823f-aa2d1f0e6ab7_Name">
    <vt:lpwstr>CLAPUBLIC</vt:lpwstr>
  </property>
  <property fmtid="{D5CDD505-2E9C-101B-9397-08002B2CF9AE}" pid="11" name="MSIP_Label_3486a02c-2dfb-4efe-823f-aa2d1f0e6ab7_SiteId">
    <vt:lpwstr>e0fd434d-ba64-497b-90d2-859c472e1a92</vt:lpwstr>
  </property>
  <property fmtid="{D5CDD505-2E9C-101B-9397-08002B2CF9AE}" pid="12" name="MSIP_Label_3486a02c-2dfb-4efe-823f-aa2d1f0e6ab7_ActionId">
    <vt:lpwstr>1a707c39-ee1c-47d3-bdba-262f84e43cd7</vt:lpwstr>
  </property>
  <property fmtid="{D5CDD505-2E9C-101B-9397-08002B2CF9AE}" pid="13" name="MSIP_Label_3486a02c-2dfb-4efe-823f-aa2d1f0e6ab7_ContentBits">
    <vt:lpwstr>2</vt:lpwstr>
  </property>
  <property fmtid="{D5CDD505-2E9C-101B-9397-08002B2CF9AE}" pid="14" name="MSIP_Label_3486a02c-2dfb-4efe-823f-aa2d1f0e6ab7_Tag">
    <vt:lpwstr>10, 0, 1, 1</vt:lpwstr>
  </property>
</Properties>
</file>