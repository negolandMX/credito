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-my.sharepoint.com/personal/e991727_santander_com_mx/Documents/Fco. González/Pago de avalúos/"/>
    </mc:Choice>
  </mc:AlternateContent>
  <xr:revisionPtr revIDLastSave="176" documentId="8_{5B0B3C7C-4361-4AF8-A5FD-20E0412408BD}" xr6:coauthVersionLast="47" xr6:coauthVersionMax="47" xr10:uidLastSave="{F085B760-9872-4FBF-8081-29F20B33C332}"/>
  <bookViews>
    <workbookView xWindow="-120" yWindow="-120" windowWidth="20730" windowHeight="11040" tabRatio="690" activeTab="2" xr2:uid="{00000000-000D-0000-FFFF-FFFF00000000}"/>
  </bookViews>
  <sheets>
    <sheet name="Hipoteca Free" sheetId="25" r:id="rId1"/>
    <sheet name="anticipos" sheetId="27" state="hidden" r:id="rId2"/>
    <sheet name="RESTO DE PRODUCTOS" sheetId="28" r:id="rId3"/>
    <sheet name="requisitos" sheetId="26" state="hidden" r:id="rId4"/>
    <sheet name="CALCULO Empleados" sheetId="23" state="hidden" r:id="rId5"/>
    <sheet name="Análisis Costos" sheetId="24" state="hidden" r:id="rId6"/>
  </sheets>
  <functionGroups builtInGroupCount="19"/>
  <definedNames>
    <definedName name="_xlnm._FilterDatabase" localSheetId="4" hidden="1">'CALCULO Empleados'!$A$10:$N$18</definedName>
    <definedName name="_xlnm.Print_Area" localSheetId="4">'CALCULO Empleados'!$B$4:$N$26</definedName>
    <definedName name="_xlnm.Print_Area" localSheetId="0">'Hipoteca Free'!$A$1:$T$107</definedName>
    <definedName name="_xlnm.Print_Area" localSheetId="2">'RESTO DE PRODUCTOS'!$A$1:$T$107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5" l="1"/>
  <c r="K20" i="28"/>
  <c r="O22" i="28"/>
  <c r="O27" i="28"/>
  <c r="A32" i="28"/>
  <c r="T20" i="28"/>
  <c r="A106" i="28"/>
  <c r="M40" i="25"/>
  <c r="A21" i="28"/>
  <c r="A106" i="25"/>
  <c r="M40" i="28"/>
  <c r="H106" i="28"/>
  <c r="H98" i="28"/>
  <c r="I66" i="28"/>
  <c r="U63" i="28"/>
  <c r="U62" i="28"/>
  <c r="U61" i="28"/>
  <c r="U60" i="28"/>
  <c r="IV58" i="28"/>
  <c r="V58" i="28"/>
  <c r="X58" i="28" s="1"/>
  <c r="Z58" i="28" s="1"/>
  <c r="AB58" i="28" s="1"/>
  <c r="AD58" i="28" s="1"/>
  <c r="AF58" i="28" s="1"/>
  <c r="AH58" i="28" s="1"/>
  <c r="AJ58" i="28" s="1"/>
  <c r="AL58" i="28" s="1"/>
  <c r="AN58" i="28" s="1"/>
  <c r="AP58" i="28" s="1"/>
  <c r="AR58" i="28" s="1"/>
  <c r="AT58" i="28" s="1"/>
  <c r="AV58" i="28" s="1"/>
  <c r="AX58" i="28" s="1"/>
  <c r="AZ58" i="28" s="1"/>
  <c r="BB58" i="28" s="1"/>
  <c r="BD58" i="28" s="1"/>
  <c r="BF58" i="28" s="1"/>
  <c r="BH58" i="28" s="1"/>
  <c r="BJ58" i="28" s="1"/>
  <c r="BL58" i="28" s="1"/>
  <c r="BN58" i="28" s="1"/>
  <c r="BP58" i="28" s="1"/>
  <c r="BR58" i="28" s="1"/>
  <c r="BT58" i="28" s="1"/>
  <c r="BV58" i="28" s="1"/>
  <c r="BX58" i="28" s="1"/>
  <c r="BZ58" i="28" s="1"/>
  <c r="CB58" i="28" s="1"/>
  <c r="CD58" i="28" s="1"/>
  <c r="CF58" i="28" s="1"/>
  <c r="CH58" i="28" s="1"/>
  <c r="CJ58" i="28" s="1"/>
  <c r="CL58" i="28" s="1"/>
  <c r="CN58" i="28" s="1"/>
  <c r="CP58" i="28" s="1"/>
  <c r="CR58" i="28" s="1"/>
  <c r="CT58" i="28" s="1"/>
  <c r="CV58" i="28" s="1"/>
  <c r="CX58" i="28" s="1"/>
  <c r="CZ58" i="28" s="1"/>
  <c r="DB58" i="28" s="1"/>
  <c r="DD58" i="28" s="1"/>
  <c r="DF58" i="28" s="1"/>
  <c r="DH58" i="28" s="1"/>
  <c r="DJ58" i="28" s="1"/>
  <c r="DL58" i="28" s="1"/>
  <c r="DN58" i="28" s="1"/>
  <c r="DP58" i="28" s="1"/>
  <c r="DR58" i="28" s="1"/>
  <c r="DT58" i="28" s="1"/>
  <c r="DV58" i="28" s="1"/>
  <c r="DX58" i="28" s="1"/>
  <c r="DZ58" i="28" s="1"/>
  <c r="EB58" i="28" s="1"/>
  <c r="ED58" i="28" s="1"/>
  <c r="EF58" i="28" s="1"/>
  <c r="EH58" i="28" s="1"/>
  <c r="EJ58" i="28" s="1"/>
  <c r="EL58" i="28" s="1"/>
  <c r="EN58" i="28" s="1"/>
  <c r="EP58" i="28" s="1"/>
  <c r="ER58" i="28" s="1"/>
  <c r="ET58" i="28" s="1"/>
  <c r="EV58" i="28" s="1"/>
  <c r="EX58" i="28" s="1"/>
  <c r="EZ58" i="28" s="1"/>
  <c r="FB58" i="28" s="1"/>
  <c r="FD58" i="28" s="1"/>
  <c r="FF58" i="28" s="1"/>
  <c r="FH58" i="28" s="1"/>
  <c r="FJ58" i="28" s="1"/>
  <c r="FL58" i="28" s="1"/>
  <c r="FN58" i="28" s="1"/>
  <c r="FP58" i="28" s="1"/>
  <c r="FR58" i="28" s="1"/>
  <c r="FT58" i="28" s="1"/>
  <c r="FV58" i="28" s="1"/>
  <c r="FX58" i="28" s="1"/>
  <c r="FZ58" i="28" s="1"/>
  <c r="GB58" i="28" s="1"/>
  <c r="GD58" i="28" s="1"/>
  <c r="GF58" i="28" s="1"/>
  <c r="GH58" i="28" s="1"/>
  <c r="GJ58" i="28" s="1"/>
  <c r="GL58" i="28" s="1"/>
  <c r="GN58" i="28" s="1"/>
  <c r="GP58" i="28" s="1"/>
  <c r="GR58" i="28" s="1"/>
  <c r="GT58" i="28" s="1"/>
  <c r="GV58" i="28" s="1"/>
  <c r="GX58" i="28" s="1"/>
  <c r="GZ58" i="28" s="1"/>
  <c r="HB58" i="28" s="1"/>
  <c r="HD58" i="28" s="1"/>
  <c r="HF58" i="28" s="1"/>
  <c r="HH58" i="28" s="1"/>
  <c r="HJ58" i="28" s="1"/>
  <c r="HL58" i="28" s="1"/>
  <c r="HN58" i="28" s="1"/>
  <c r="HP58" i="28" s="1"/>
  <c r="HR58" i="28" s="1"/>
  <c r="HT58" i="28" s="1"/>
  <c r="HV58" i="28" s="1"/>
  <c r="HX58" i="28" s="1"/>
  <c r="HZ58" i="28" s="1"/>
  <c r="IB58" i="28" s="1"/>
  <c r="ID58" i="28" s="1"/>
  <c r="IF58" i="28" s="1"/>
  <c r="IH58" i="28" s="1"/>
  <c r="IJ58" i="28" s="1"/>
  <c r="IL58" i="28" s="1"/>
  <c r="IN58" i="28" s="1"/>
  <c r="IP58" i="28" s="1"/>
  <c r="IR58" i="28" s="1"/>
  <c r="IT58" i="28" s="1"/>
  <c r="U58" i="28"/>
  <c r="W58" i="28" s="1"/>
  <c r="Y58" i="28" s="1"/>
  <c r="AA58" i="28" s="1"/>
  <c r="AC58" i="28" s="1"/>
  <c r="AE58" i="28" s="1"/>
  <c r="AG58" i="28" s="1"/>
  <c r="AI58" i="28" s="1"/>
  <c r="AK58" i="28" s="1"/>
  <c r="AM58" i="28" s="1"/>
  <c r="AO58" i="28" s="1"/>
  <c r="AQ58" i="28" s="1"/>
  <c r="AS58" i="28" s="1"/>
  <c r="AU58" i="28" s="1"/>
  <c r="AW58" i="28" s="1"/>
  <c r="AY58" i="28" s="1"/>
  <c r="BA58" i="28" s="1"/>
  <c r="BC58" i="28" s="1"/>
  <c r="BE58" i="28" s="1"/>
  <c r="BG58" i="28" s="1"/>
  <c r="BI58" i="28" s="1"/>
  <c r="BK58" i="28" s="1"/>
  <c r="BM58" i="28" s="1"/>
  <c r="BO58" i="28" s="1"/>
  <c r="BQ58" i="28" s="1"/>
  <c r="BS58" i="28" s="1"/>
  <c r="BU58" i="28" s="1"/>
  <c r="BW58" i="28" s="1"/>
  <c r="BY58" i="28" s="1"/>
  <c r="CA58" i="28" s="1"/>
  <c r="CC58" i="28" s="1"/>
  <c r="CE58" i="28" s="1"/>
  <c r="CG58" i="28" s="1"/>
  <c r="CI58" i="28" s="1"/>
  <c r="CK58" i="28" s="1"/>
  <c r="CM58" i="28" s="1"/>
  <c r="CO58" i="28" s="1"/>
  <c r="CQ58" i="28" s="1"/>
  <c r="CS58" i="28" s="1"/>
  <c r="CU58" i="28" s="1"/>
  <c r="CW58" i="28" s="1"/>
  <c r="CY58" i="28" s="1"/>
  <c r="DA58" i="28" s="1"/>
  <c r="DC58" i="28" s="1"/>
  <c r="DE58" i="28" s="1"/>
  <c r="DG58" i="28" s="1"/>
  <c r="DI58" i="28" s="1"/>
  <c r="DK58" i="28" s="1"/>
  <c r="DM58" i="28" s="1"/>
  <c r="DO58" i="28" s="1"/>
  <c r="DQ58" i="28" s="1"/>
  <c r="DS58" i="28" s="1"/>
  <c r="DU58" i="28" s="1"/>
  <c r="DW58" i="28" s="1"/>
  <c r="DY58" i="28" s="1"/>
  <c r="EA58" i="28" s="1"/>
  <c r="EC58" i="28" s="1"/>
  <c r="EE58" i="28" s="1"/>
  <c r="EG58" i="28" s="1"/>
  <c r="EI58" i="28" s="1"/>
  <c r="EK58" i="28" s="1"/>
  <c r="EM58" i="28" s="1"/>
  <c r="EO58" i="28" s="1"/>
  <c r="EQ58" i="28" s="1"/>
  <c r="ES58" i="28" s="1"/>
  <c r="EU58" i="28" s="1"/>
  <c r="EW58" i="28" s="1"/>
  <c r="EY58" i="28" s="1"/>
  <c r="FA58" i="28" s="1"/>
  <c r="FC58" i="28" s="1"/>
  <c r="FE58" i="28" s="1"/>
  <c r="FG58" i="28" s="1"/>
  <c r="FI58" i="28" s="1"/>
  <c r="FK58" i="28" s="1"/>
  <c r="FM58" i="28" s="1"/>
  <c r="FO58" i="28" s="1"/>
  <c r="FQ58" i="28" s="1"/>
  <c r="FS58" i="28" s="1"/>
  <c r="FU58" i="28" s="1"/>
  <c r="FW58" i="28" s="1"/>
  <c r="FY58" i="28" s="1"/>
  <c r="GA58" i="28" s="1"/>
  <c r="GC58" i="28" s="1"/>
  <c r="GE58" i="28" s="1"/>
  <c r="GG58" i="28" s="1"/>
  <c r="GI58" i="28" s="1"/>
  <c r="GK58" i="28" s="1"/>
  <c r="GM58" i="28" s="1"/>
  <c r="GO58" i="28" s="1"/>
  <c r="GQ58" i="28" s="1"/>
  <c r="GS58" i="28" s="1"/>
  <c r="GU58" i="28" s="1"/>
  <c r="GW58" i="28" s="1"/>
  <c r="GY58" i="28" s="1"/>
  <c r="HA58" i="28" s="1"/>
  <c r="HC58" i="28" s="1"/>
  <c r="HE58" i="28" s="1"/>
  <c r="HG58" i="28" s="1"/>
  <c r="HI58" i="28" s="1"/>
  <c r="HK58" i="28" s="1"/>
  <c r="HM58" i="28" s="1"/>
  <c r="HO58" i="28" s="1"/>
  <c r="HQ58" i="28" s="1"/>
  <c r="HS58" i="28" s="1"/>
  <c r="HU58" i="28" s="1"/>
  <c r="HW58" i="28" s="1"/>
  <c r="HY58" i="28" s="1"/>
  <c r="IA58" i="28" s="1"/>
  <c r="IC58" i="28" s="1"/>
  <c r="IE58" i="28" s="1"/>
  <c r="IG58" i="28" s="1"/>
  <c r="II58" i="28" s="1"/>
  <c r="IK58" i="28" s="1"/>
  <c r="IM58" i="28" s="1"/>
  <c r="IO58" i="28" s="1"/>
  <c r="IQ58" i="28" s="1"/>
  <c r="IS58" i="28" s="1"/>
  <c r="IU58" i="28" s="1"/>
  <c r="IV57" i="28"/>
  <c r="V57" i="28"/>
  <c r="X57" i="28" s="1"/>
  <c r="Z57" i="28" s="1"/>
  <c r="AB57" i="28" s="1"/>
  <c r="AD57" i="28" s="1"/>
  <c r="AF57" i="28" s="1"/>
  <c r="AH57" i="28" s="1"/>
  <c r="AJ57" i="28" s="1"/>
  <c r="AL57" i="28" s="1"/>
  <c r="AN57" i="28" s="1"/>
  <c r="AP57" i="28" s="1"/>
  <c r="AR57" i="28" s="1"/>
  <c r="AT57" i="28" s="1"/>
  <c r="AV57" i="28" s="1"/>
  <c r="AX57" i="28" s="1"/>
  <c r="AZ57" i="28" s="1"/>
  <c r="BB57" i="28" s="1"/>
  <c r="BD57" i="28" s="1"/>
  <c r="BF57" i="28" s="1"/>
  <c r="BH57" i="28" s="1"/>
  <c r="BJ57" i="28" s="1"/>
  <c r="BL57" i="28" s="1"/>
  <c r="BN57" i="28" s="1"/>
  <c r="BP57" i="28" s="1"/>
  <c r="BR57" i="28" s="1"/>
  <c r="BT57" i="28" s="1"/>
  <c r="BV57" i="28" s="1"/>
  <c r="BX57" i="28" s="1"/>
  <c r="BZ57" i="28" s="1"/>
  <c r="CB57" i="28" s="1"/>
  <c r="CD57" i="28" s="1"/>
  <c r="CF57" i="28" s="1"/>
  <c r="CH57" i="28" s="1"/>
  <c r="CJ57" i="28" s="1"/>
  <c r="CL57" i="28" s="1"/>
  <c r="CN57" i="28" s="1"/>
  <c r="CP57" i="28" s="1"/>
  <c r="CR57" i="28" s="1"/>
  <c r="CT57" i="28" s="1"/>
  <c r="CV57" i="28" s="1"/>
  <c r="CX57" i="28" s="1"/>
  <c r="CZ57" i="28" s="1"/>
  <c r="DB57" i="28" s="1"/>
  <c r="DD57" i="28" s="1"/>
  <c r="DF57" i="28" s="1"/>
  <c r="DH57" i="28" s="1"/>
  <c r="DJ57" i="28" s="1"/>
  <c r="DL57" i="28" s="1"/>
  <c r="DN57" i="28" s="1"/>
  <c r="DP57" i="28" s="1"/>
  <c r="DR57" i="28" s="1"/>
  <c r="DT57" i="28" s="1"/>
  <c r="DV57" i="28" s="1"/>
  <c r="DX57" i="28" s="1"/>
  <c r="DZ57" i="28" s="1"/>
  <c r="EB57" i="28" s="1"/>
  <c r="ED57" i="28" s="1"/>
  <c r="EF57" i="28" s="1"/>
  <c r="EH57" i="28" s="1"/>
  <c r="EJ57" i="28" s="1"/>
  <c r="EL57" i="28" s="1"/>
  <c r="EN57" i="28" s="1"/>
  <c r="EP57" i="28" s="1"/>
  <c r="ER57" i="28" s="1"/>
  <c r="ET57" i="28" s="1"/>
  <c r="EV57" i="28" s="1"/>
  <c r="EX57" i="28" s="1"/>
  <c r="EZ57" i="28" s="1"/>
  <c r="FB57" i="28" s="1"/>
  <c r="FD57" i="28" s="1"/>
  <c r="FF57" i="28" s="1"/>
  <c r="FH57" i="28" s="1"/>
  <c r="FJ57" i="28" s="1"/>
  <c r="FL57" i="28" s="1"/>
  <c r="FN57" i="28" s="1"/>
  <c r="FP57" i="28" s="1"/>
  <c r="FR57" i="28" s="1"/>
  <c r="FT57" i="28" s="1"/>
  <c r="FV57" i="28" s="1"/>
  <c r="FX57" i="28" s="1"/>
  <c r="FZ57" i="28" s="1"/>
  <c r="GB57" i="28" s="1"/>
  <c r="GD57" i="28" s="1"/>
  <c r="GF57" i="28" s="1"/>
  <c r="GH57" i="28" s="1"/>
  <c r="GJ57" i="28" s="1"/>
  <c r="GL57" i="28" s="1"/>
  <c r="GN57" i="28" s="1"/>
  <c r="GP57" i="28" s="1"/>
  <c r="GR57" i="28" s="1"/>
  <c r="GT57" i="28" s="1"/>
  <c r="GV57" i="28" s="1"/>
  <c r="GX57" i="28" s="1"/>
  <c r="GZ57" i="28" s="1"/>
  <c r="HB57" i="28" s="1"/>
  <c r="HD57" i="28" s="1"/>
  <c r="HF57" i="28" s="1"/>
  <c r="HH57" i="28" s="1"/>
  <c r="HJ57" i="28" s="1"/>
  <c r="HL57" i="28" s="1"/>
  <c r="HN57" i="28" s="1"/>
  <c r="HP57" i="28" s="1"/>
  <c r="HR57" i="28" s="1"/>
  <c r="HT57" i="28" s="1"/>
  <c r="HV57" i="28" s="1"/>
  <c r="HX57" i="28" s="1"/>
  <c r="HZ57" i="28" s="1"/>
  <c r="IB57" i="28" s="1"/>
  <c r="ID57" i="28" s="1"/>
  <c r="IF57" i="28" s="1"/>
  <c r="IH57" i="28" s="1"/>
  <c r="IJ57" i="28" s="1"/>
  <c r="IL57" i="28" s="1"/>
  <c r="IN57" i="28" s="1"/>
  <c r="IP57" i="28" s="1"/>
  <c r="IR57" i="28" s="1"/>
  <c r="IT57" i="28" s="1"/>
  <c r="U57" i="28"/>
  <c r="W57" i="28" s="1"/>
  <c r="Y57" i="28" s="1"/>
  <c r="AA57" i="28" s="1"/>
  <c r="AC57" i="28" s="1"/>
  <c r="AE57" i="28" s="1"/>
  <c r="AG57" i="28" s="1"/>
  <c r="AI57" i="28" s="1"/>
  <c r="AK57" i="28" s="1"/>
  <c r="AM57" i="28" s="1"/>
  <c r="AO57" i="28" s="1"/>
  <c r="AQ57" i="28" s="1"/>
  <c r="AS57" i="28" s="1"/>
  <c r="AU57" i="28" s="1"/>
  <c r="AW57" i="28" s="1"/>
  <c r="AY57" i="28" s="1"/>
  <c r="BA57" i="28" s="1"/>
  <c r="BC57" i="28" s="1"/>
  <c r="BE57" i="28" s="1"/>
  <c r="BG57" i="28" s="1"/>
  <c r="BI57" i="28" s="1"/>
  <c r="BK57" i="28" s="1"/>
  <c r="BM57" i="28" s="1"/>
  <c r="BO57" i="28" s="1"/>
  <c r="BQ57" i="28" s="1"/>
  <c r="BS57" i="28" s="1"/>
  <c r="BU57" i="28" s="1"/>
  <c r="BW57" i="28" s="1"/>
  <c r="BY57" i="28" s="1"/>
  <c r="CA57" i="28" s="1"/>
  <c r="CC57" i="28" s="1"/>
  <c r="CE57" i="28" s="1"/>
  <c r="CG57" i="28" s="1"/>
  <c r="CI57" i="28" s="1"/>
  <c r="CK57" i="28" s="1"/>
  <c r="CM57" i="28" s="1"/>
  <c r="CO57" i="28" s="1"/>
  <c r="CQ57" i="28" s="1"/>
  <c r="CS57" i="28" s="1"/>
  <c r="CU57" i="28" s="1"/>
  <c r="CW57" i="28" s="1"/>
  <c r="CY57" i="28" s="1"/>
  <c r="DA57" i="28" s="1"/>
  <c r="DC57" i="28" s="1"/>
  <c r="DE57" i="28" s="1"/>
  <c r="DG57" i="28" s="1"/>
  <c r="DI57" i="28" s="1"/>
  <c r="DK57" i="28" s="1"/>
  <c r="DM57" i="28" s="1"/>
  <c r="DO57" i="28" s="1"/>
  <c r="DQ57" i="28" s="1"/>
  <c r="DS57" i="28" s="1"/>
  <c r="DU57" i="28" s="1"/>
  <c r="DW57" i="28" s="1"/>
  <c r="DY57" i="28" s="1"/>
  <c r="EA57" i="28" s="1"/>
  <c r="EC57" i="28" s="1"/>
  <c r="EE57" i="28" s="1"/>
  <c r="EG57" i="28" s="1"/>
  <c r="EI57" i="28" s="1"/>
  <c r="EK57" i="28" s="1"/>
  <c r="EM57" i="28" s="1"/>
  <c r="EO57" i="28" s="1"/>
  <c r="EQ57" i="28" s="1"/>
  <c r="ES57" i="28" s="1"/>
  <c r="EU57" i="28" s="1"/>
  <c r="EW57" i="28" s="1"/>
  <c r="EY57" i="28" s="1"/>
  <c r="FA57" i="28" s="1"/>
  <c r="FC57" i="28" s="1"/>
  <c r="FE57" i="28" s="1"/>
  <c r="FG57" i="28" s="1"/>
  <c r="FI57" i="28" s="1"/>
  <c r="FK57" i="28" s="1"/>
  <c r="FM57" i="28" s="1"/>
  <c r="FO57" i="28" s="1"/>
  <c r="FQ57" i="28" s="1"/>
  <c r="FS57" i="28" s="1"/>
  <c r="FU57" i="28" s="1"/>
  <c r="FW57" i="28" s="1"/>
  <c r="FY57" i="28" s="1"/>
  <c r="GA57" i="28" s="1"/>
  <c r="GC57" i="28" s="1"/>
  <c r="GE57" i="28" s="1"/>
  <c r="GG57" i="28" s="1"/>
  <c r="GI57" i="28" s="1"/>
  <c r="GK57" i="28" s="1"/>
  <c r="GM57" i="28" s="1"/>
  <c r="GO57" i="28" s="1"/>
  <c r="GQ57" i="28" s="1"/>
  <c r="GS57" i="28" s="1"/>
  <c r="GU57" i="28" s="1"/>
  <c r="GW57" i="28" s="1"/>
  <c r="GY57" i="28" s="1"/>
  <c r="HA57" i="28" s="1"/>
  <c r="HC57" i="28" s="1"/>
  <c r="HE57" i="28" s="1"/>
  <c r="HG57" i="28" s="1"/>
  <c r="HI57" i="28" s="1"/>
  <c r="HK57" i="28" s="1"/>
  <c r="HM57" i="28" s="1"/>
  <c r="HO57" i="28" s="1"/>
  <c r="HQ57" i="28" s="1"/>
  <c r="HS57" i="28" s="1"/>
  <c r="HU57" i="28" s="1"/>
  <c r="HW57" i="28" s="1"/>
  <c r="HY57" i="28" s="1"/>
  <c r="IA57" i="28" s="1"/>
  <c r="IC57" i="28" s="1"/>
  <c r="IE57" i="28" s="1"/>
  <c r="IG57" i="28" s="1"/>
  <c r="II57" i="28" s="1"/>
  <c r="IK57" i="28" s="1"/>
  <c r="IM57" i="28" s="1"/>
  <c r="IO57" i="28" s="1"/>
  <c r="IQ57" i="28" s="1"/>
  <c r="IS57" i="28" s="1"/>
  <c r="IU57" i="28" s="1"/>
  <c r="IV56" i="28"/>
  <c r="V56" i="28"/>
  <c r="X56" i="28" s="1"/>
  <c r="Z56" i="28" s="1"/>
  <c r="AB56" i="28" s="1"/>
  <c r="AD56" i="28" s="1"/>
  <c r="U56" i="28"/>
  <c r="W56" i="28" s="1"/>
  <c r="Y56" i="28" s="1"/>
  <c r="AA56" i="28" s="1"/>
  <c r="AC56" i="28" s="1"/>
  <c r="AE56" i="28" s="1"/>
  <c r="IV55" i="28"/>
  <c r="IU55" i="28"/>
  <c r="IU59" i="28" s="1"/>
  <c r="IT55" i="28"/>
  <c r="IT59" i="28" s="1"/>
  <c r="IS55" i="28"/>
  <c r="IS59" i="28" s="1"/>
  <c r="IR55" i="28"/>
  <c r="IR59" i="28" s="1"/>
  <c r="IQ55" i="28"/>
  <c r="IQ59" i="28" s="1"/>
  <c r="IP55" i="28"/>
  <c r="IP59" i="28" s="1"/>
  <c r="IO55" i="28"/>
  <c r="IO59" i="28" s="1"/>
  <c r="IN55" i="28"/>
  <c r="IN59" i="28" s="1"/>
  <c r="IM55" i="28"/>
  <c r="IM59" i="28" s="1"/>
  <c r="IL55" i="28"/>
  <c r="IK55" i="28"/>
  <c r="IJ55" i="28"/>
  <c r="II55" i="28"/>
  <c r="IH55" i="28"/>
  <c r="IG55" i="28"/>
  <c r="IF55" i="28"/>
  <c r="IE55" i="28"/>
  <c r="ID55" i="28"/>
  <c r="IC55" i="28"/>
  <c r="IB55" i="28"/>
  <c r="IA55" i="28"/>
  <c r="HZ55" i="28"/>
  <c r="HY55" i="28"/>
  <c r="HX55" i="28"/>
  <c r="HW55" i="28"/>
  <c r="HV55" i="28"/>
  <c r="HU55" i="28"/>
  <c r="HT55" i="28"/>
  <c r="HS55" i="28"/>
  <c r="HR55" i="28"/>
  <c r="HQ55" i="28"/>
  <c r="HP55" i="28"/>
  <c r="HO55" i="28"/>
  <c r="HN55" i="28"/>
  <c r="HM55" i="28"/>
  <c r="HL55" i="28"/>
  <c r="HK55" i="28"/>
  <c r="HJ55" i="28"/>
  <c r="HI55" i="28"/>
  <c r="HH55" i="28"/>
  <c r="HG55" i="28"/>
  <c r="HF55" i="28"/>
  <c r="HE55" i="28"/>
  <c r="HD55" i="28"/>
  <c r="HC55" i="28"/>
  <c r="HB55" i="28"/>
  <c r="HA55" i="28"/>
  <c r="GZ55" i="28"/>
  <c r="GY55" i="28"/>
  <c r="GX55" i="28"/>
  <c r="GW55" i="28"/>
  <c r="GV55" i="28"/>
  <c r="GU55" i="28"/>
  <c r="GT55" i="28"/>
  <c r="GS55" i="28"/>
  <c r="GR55" i="28"/>
  <c r="GQ55" i="28"/>
  <c r="GP55" i="28"/>
  <c r="GO55" i="28"/>
  <c r="GN55" i="28"/>
  <c r="GM55" i="28"/>
  <c r="GL55" i="28"/>
  <c r="GK55" i="28"/>
  <c r="GJ55" i="28"/>
  <c r="GI55" i="28"/>
  <c r="GH55" i="28"/>
  <c r="GG55" i="28"/>
  <c r="GF55" i="28"/>
  <c r="GE55" i="28"/>
  <c r="GD55" i="28"/>
  <c r="GC55" i="28"/>
  <c r="GB55" i="28"/>
  <c r="GA55" i="28"/>
  <c r="FZ55" i="28"/>
  <c r="FY55" i="28"/>
  <c r="FX55" i="28"/>
  <c r="FW55" i="28"/>
  <c r="FV55" i="28"/>
  <c r="FU55" i="28"/>
  <c r="FT55" i="28"/>
  <c r="FS55" i="28"/>
  <c r="FR55" i="28"/>
  <c r="FQ55" i="28"/>
  <c r="FP55" i="28"/>
  <c r="FO55" i="28"/>
  <c r="FN55" i="28"/>
  <c r="FM55" i="28"/>
  <c r="FL55" i="28"/>
  <c r="FK55" i="28"/>
  <c r="FJ55" i="28"/>
  <c r="FI55" i="28"/>
  <c r="FH55" i="28"/>
  <c r="FG55" i="28"/>
  <c r="FF55" i="28"/>
  <c r="FE55" i="28"/>
  <c r="FD55" i="28"/>
  <c r="FC55" i="28"/>
  <c r="FB55" i="28"/>
  <c r="FA55" i="28"/>
  <c r="EZ55" i="28"/>
  <c r="EY55" i="28"/>
  <c r="EX55" i="28"/>
  <c r="EW55" i="28"/>
  <c r="EV55" i="28"/>
  <c r="EU55" i="28"/>
  <c r="ET55" i="28"/>
  <c r="ES55" i="28"/>
  <c r="ER55" i="28"/>
  <c r="EQ55" i="28"/>
  <c r="EP55" i="28"/>
  <c r="EO55" i="28"/>
  <c r="EN55" i="28"/>
  <c r="EM55" i="28"/>
  <c r="EL55" i="28"/>
  <c r="EK55" i="28"/>
  <c r="EJ55" i="28"/>
  <c r="EI55" i="28"/>
  <c r="EH55" i="28"/>
  <c r="EG55" i="28"/>
  <c r="EF55" i="28"/>
  <c r="EE55" i="28"/>
  <c r="ED55" i="28"/>
  <c r="EC55" i="28"/>
  <c r="EB55" i="28"/>
  <c r="EA55" i="28"/>
  <c r="DZ55" i="28"/>
  <c r="DY55" i="28"/>
  <c r="DX55" i="28"/>
  <c r="DW55" i="28"/>
  <c r="DV55" i="28"/>
  <c r="DU55" i="28"/>
  <c r="DT55" i="28"/>
  <c r="DS55" i="28"/>
  <c r="DR55" i="28"/>
  <c r="DQ55" i="28"/>
  <c r="DP55" i="28"/>
  <c r="DO55" i="28"/>
  <c r="DN55" i="28"/>
  <c r="DM55" i="28"/>
  <c r="DL55" i="28"/>
  <c r="DK55" i="28"/>
  <c r="DJ55" i="28"/>
  <c r="DI55" i="28"/>
  <c r="DH55" i="28"/>
  <c r="DG55" i="28"/>
  <c r="DF55" i="28"/>
  <c r="DE55" i="28"/>
  <c r="DD55" i="28"/>
  <c r="DC55" i="28"/>
  <c r="DB55" i="28"/>
  <c r="DA55" i="28"/>
  <c r="CZ55" i="28"/>
  <c r="CY55" i="28"/>
  <c r="CX55" i="28"/>
  <c r="CW55" i="28"/>
  <c r="CV55" i="28"/>
  <c r="CU55" i="28"/>
  <c r="CT55" i="28"/>
  <c r="CS55" i="28"/>
  <c r="CR55" i="28"/>
  <c r="CQ55" i="28"/>
  <c r="CP55" i="28"/>
  <c r="CO55" i="28"/>
  <c r="CN55" i="28"/>
  <c r="CM55" i="28"/>
  <c r="CL55" i="28"/>
  <c r="CK55" i="28"/>
  <c r="CJ55" i="28"/>
  <c r="CI55" i="28"/>
  <c r="CH55" i="28"/>
  <c r="CG55" i="28"/>
  <c r="CF55" i="28"/>
  <c r="CE55" i="28"/>
  <c r="CD55" i="28"/>
  <c r="CC55" i="28"/>
  <c r="CB55" i="28"/>
  <c r="CA55" i="28"/>
  <c r="BZ55" i="28"/>
  <c r="BY55" i="28"/>
  <c r="BX55" i="28"/>
  <c r="BW55" i="28"/>
  <c r="BV55" i="28"/>
  <c r="BU55" i="28"/>
  <c r="BT55" i="28"/>
  <c r="BS55" i="28"/>
  <c r="BR55" i="28"/>
  <c r="BQ55" i="28"/>
  <c r="BP55" i="28"/>
  <c r="BO55" i="28"/>
  <c r="BN55" i="28"/>
  <c r="BM55" i="28"/>
  <c r="BL55" i="28"/>
  <c r="BK55" i="28"/>
  <c r="BJ55" i="28"/>
  <c r="BI55" i="28"/>
  <c r="BH55" i="28"/>
  <c r="BG55" i="28"/>
  <c r="BF55" i="28"/>
  <c r="BE55" i="28"/>
  <c r="BD55" i="28"/>
  <c r="BC55" i="28"/>
  <c r="BB55" i="28"/>
  <c r="BA55" i="28"/>
  <c r="AZ55" i="28"/>
  <c r="AY55" i="28"/>
  <c r="AX55" i="28"/>
  <c r="AW55" i="28"/>
  <c r="AV55" i="28"/>
  <c r="AU55" i="28"/>
  <c r="AT55" i="28"/>
  <c r="AS55" i="28"/>
  <c r="AR55" i="28"/>
  <c r="AQ55" i="28"/>
  <c r="AP55" i="28"/>
  <c r="AO55" i="28"/>
  <c r="AN55" i="28"/>
  <c r="AM55" i="28"/>
  <c r="AL55" i="28"/>
  <c r="AK55" i="28"/>
  <c r="AJ55" i="28"/>
  <c r="AI55" i="28"/>
  <c r="AH55" i="28"/>
  <c r="AG55" i="28"/>
  <c r="AF55" i="28"/>
  <c r="AE55" i="28"/>
  <c r="AD55" i="28"/>
  <c r="AC55" i="28"/>
  <c r="AB55" i="28"/>
  <c r="AA55" i="28"/>
  <c r="Z55" i="28"/>
  <c r="Y55" i="28"/>
  <c r="X55" i="28"/>
  <c r="W55" i="28"/>
  <c r="V55" i="28"/>
  <c r="U55" i="28"/>
  <c r="J55" i="28"/>
  <c r="A55" i="28"/>
  <c r="J54" i="28"/>
  <c r="A54" i="28"/>
  <c r="J53" i="28"/>
  <c r="A53" i="28"/>
  <c r="M39" i="28"/>
  <c r="M38" i="28"/>
  <c r="M37" i="28"/>
  <c r="P34" i="28"/>
  <c r="G31" i="28"/>
  <c r="A22" i="28"/>
  <c r="A20" i="28"/>
  <c r="A15" i="28"/>
  <c r="Q6" i="28"/>
  <c r="J3" i="28"/>
  <c r="Q22" i="28" l="1"/>
  <c r="U64" i="28"/>
  <c r="U59" i="28"/>
  <c r="V59" i="28"/>
  <c r="IV59" i="28"/>
  <c r="AE59" i="28"/>
  <c r="AG56" i="28"/>
  <c r="AI56" i="28" s="1"/>
  <c r="AD59" i="28"/>
  <c r="AF56" i="28"/>
  <c r="AH56" i="28" s="1"/>
  <c r="X59" i="28"/>
  <c r="Y59" i="28"/>
  <c r="AB59" i="28"/>
  <c r="Z59" i="28"/>
  <c r="AA59" i="28"/>
  <c r="AC59" i="28"/>
  <c r="W59" i="28"/>
  <c r="B92" i="28"/>
  <c r="P19" i="26"/>
  <c r="P18" i="26"/>
  <c r="P17" i="26"/>
  <c r="P16" i="26"/>
  <c r="P15" i="26"/>
  <c r="Q15" i="26" s="1"/>
  <c r="R15" i="26" s="1"/>
  <c r="P14" i="26"/>
  <c r="Q14" i="26" s="1"/>
  <c r="R14" i="26" s="1"/>
  <c r="P13" i="26"/>
  <c r="O22" i="26"/>
  <c r="Q22" i="26" s="1"/>
  <c r="R22" i="26" s="1"/>
  <c r="P12" i="26"/>
  <c r="AA3" i="26"/>
  <c r="L27" i="25"/>
  <c r="M20" i="23"/>
  <c r="Z45" i="26"/>
  <c r="Q45" i="26"/>
  <c r="Z44" i="26"/>
  <c r="Q44" i="26"/>
  <c r="Z43" i="26"/>
  <c r="Q43" i="26"/>
  <c r="Z42" i="26"/>
  <c r="Q42" i="26"/>
  <c r="Z41" i="26"/>
  <c r="Q41" i="26"/>
  <c r="M41" i="26"/>
  <c r="I41" i="26"/>
  <c r="H41" i="26"/>
  <c r="Z40" i="26"/>
  <c r="Q40" i="26"/>
  <c r="I40" i="26"/>
  <c r="H40" i="26"/>
  <c r="G40" i="26"/>
  <c r="G41" i="26" s="1"/>
  <c r="F40" i="26"/>
  <c r="F41" i="26" s="1"/>
  <c r="Z39" i="26"/>
  <c r="Z38" i="26"/>
  <c r="Q38" i="26"/>
  <c r="G37" i="26"/>
  <c r="U35" i="26"/>
  <c r="Z31" i="26"/>
  <c r="Q31" i="26"/>
  <c r="M31" i="26"/>
  <c r="I31" i="26"/>
  <c r="H31" i="26"/>
  <c r="G31" i="26"/>
  <c r="F31" i="26"/>
  <c r="E31" i="26"/>
  <c r="D31" i="26"/>
  <c r="C31" i="26"/>
  <c r="Z30" i="26"/>
  <c r="Q30" i="26"/>
  <c r="Z29" i="26"/>
  <c r="Q29" i="26"/>
  <c r="Z28" i="26"/>
  <c r="Q28" i="26"/>
  <c r="Z27" i="26"/>
  <c r="Q27" i="26"/>
  <c r="Z25" i="26"/>
  <c r="Q25" i="26"/>
  <c r="H25" i="26"/>
  <c r="G25" i="26"/>
  <c r="L24" i="26"/>
  <c r="K24" i="26"/>
  <c r="J24" i="26"/>
  <c r="I24" i="26"/>
  <c r="H24" i="26"/>
  <c r="G24" i="26"/>
  <c r="F24" i="26"/>
  <c r="E24" i="26"/>
  <c r="D24" i="26"/>
  <c r="C24" i="26"/>
  <c r="Z23" i="26"/>
  <c r="Q23" i="26"/>
  <c r="L23" i="26"/>
  <c r="K23" i="26"/>
  <c r="J23" i="26"/>
  <c r="I23" i="26"/>
  <c r="F23" i="26"/>
  <c r="E23" i="26"/>
  <c r="D23" i="26"/>
  <c r="C23" i="26"/>
  <c r="L22" i="26"/>
  <c r="K22" i="26"/>
  <c r="J22" i="26"/>
  <c r="I22" i="26"/>
  <c r="F22" i="26"/>
  <c r="E22" i="26"/>
  <c r="D22" i="26"/>
  <c r="C22" i="26"/>
  <c r="T16" i="26"/>
  <c r="Q39" i="26" s="1"/>
  <c r="S15" i="26"/>
  <c r="C12" i="26"/>
  <c r="B22" i="26" s="1"/>
  <c r="O11" i="26"/>
  <c r="O18" i="26" s="1"/>
  <c r="S7" i="26"/>
  <c r="X27" i="26" s="1"/>
  <c r="AF6" i="26"/>
  <c r="O6" i="26"/>
  <c r="O5" i="26"/>
  <c r="O4" i="26"/>
  <c r="O7" i="26" s="1"/>
  <c r="U3" i="26"/>
  <c r="H106" i="25"/>
  <c r="H98" i="25"/>
  <c r="I66" i="25"/>
  <c r="U63" i="25"/>
  <c r="U62" i="25"/>
  <c r="U61" i="25"/>
  <c r="U60" i="25"/>
  <c r="IV58" i="25"/>
  <c r="Y58" i="25"/>
  <c r="AA58" i="25" s="1"/>
  <c r="AC58" i="25" s="1"/>
  <c r="AE58" i="25" s="1"/>
  <c r="AG58" i="25" s="1"/>
  <c r="AI58" i="25" s="1"/>
  <c r="AK58" i="25" s="1"/>
  <c r="AM58" i="25" s="1"/>
  <c r="AO58" i="25" s="1"/>
  <c r="AQ58" i="25" s="1"/>
  <c r="AS58" i="25" s="1"/>
  <c r="AU58" i="25" s="1"/>
  <c r="AW58" i="25" s="1"/>
  <c r="AY58" i="25" s="1"/>
  <c r="BA58" i="25" s="1"/>
  <c r="BC58" i="25" s="1"/>
  <c r="BE58" i="25" s="1"/>
  <c r="BG58" i="25" s="1"/>
  <c r="BI58" i="25" s="1"/>
  <c r="BK58" i="25" s="1"/>
  <c r="BM58" i="25" s="1"/>
  <c r="BO58" i="25" s="1"/>
  <c r="BQ58" i="25" s="1"/>
  <c r="BS58" i="25" s="1"/>
  <c r="BU58" i="25" s="1"/>
  <c r="BW58" i="25" s="1"/>
  <c r="BY58" i="25" s="1"/>
  <c r="CA58" i="25" s="1"/>
  <c r="CC58" i="25" s="1"/>
  <c r="CE58" i="25" s="1"/>
  <c r="CG58" i="25" s="1"/>
  <c r="CI58" i="25" s="1"/>
  <c r="CK58" i="25" s="1"/>
  <c r="CM58" i="25" s="1"/>
  <c r="CO58" i="25" s="1"/>
  <c r="CQ58" i="25" s="1"/>
  <c r="CS58" i="25" s="1"/>
  <c r="CU58" i="25" s="1"/>
  <c r="CW58" i="25" s="1"/>
  <c r="CY58" i="25" s="1"/>
  <c r="DA58" i="25" s="1"/>
  <c r="DC58" i="25" s="1"/>
  <c r="DE58" i="25" s="1"/>
  <c r="DG58" i="25" s="1"/>
  <c r="DI58" i="25" s="1"/>
  <c r="DK58" i="25" s="1"/>
  <c r="DM58" i="25" s="1"/>
  <c r="DO58" i="25" s="1"/>
  <c r="DQ58" i="25" s="1"/>
  <c r="DS58" i="25" s="1"/>
  <c r="DU58" i="25" s="1"/>
  <c r="DW58" i="25" s="1"/>
  <c r="DY58" i="25" s="1"/>
  <c r="EA58" i="25" s="1"/>
  <c r="EC58" i="25" s="1"/>
  <c r="EE58" i="25" s="1"/>
  <c r="EG58" i="25" s="1"/>
  <c r="EI58" i="25" s="1"/>
  <c r="EK58" i="25" s="1"/>
  <c r="EM58" i="25" s="1"/>
  <c r="EO58" i="25" s="1"/>
  <c r="EQ58" i="25" s="1"/>
  <c r="ES58" i="25" s="1"/>
  <c r="EU58" i="25" s="1"/>
  <c r="EW58" i="25" s="1"/>
  <c r="EY58" i="25" s="1"/>
  <c r="FA58" i="25" s="1"/>
  <c r="FC58" i="25" s="1"/>
  <c r="FE58" i="25" s="1"/>
  <c r="FG58" i="25" s="1"/>
  <c r="FI58" i="25" s="1"/>
  <c r="FK58" i="25" s="1"/>
  <c r="FM58" i="25" s="1"/>
  <c r="FO58" i="25" s="1"/>
  <c r="FQ58" i="25" s="1"/>
  <c r="FS58" i="25" s="1"/>
  <c r="FU58" i="25" s="1"/>
  <c r="FW58" i="25" s="1"/>
  <c r="FY58" i="25" s="1"/>
  <c r="GA58" i="25" s="1"/>
  <c r="GC58" i="25" s="1"/>
  <c r="GE58" i="25" s="1"/>
  <c r="GG58" i="25" s="1"/>
  <c r="GI58" i="25" s="1"/>
  <c r="GK58" i="25" s="1"/>
  <c r="GM58" i="25" s="1"/>
  <c r="GO58" i="25" s="1"/>
  <c r="GQ58" i="25" s="1"/>
  <c r="GS58" i="25" s="1"/>
  <c r="GU58" i="25" s="1"/>
  <c r="GW58" i="25" s="1"/>
  <c r="GY58" i="25" s="1"/>
  <c r="HA58" i="25" s="1"/>
  <c r="HC58" i="25" s="1"/>
  <c r="HE58" i="25" s="1"/>
  <c r="HG58" i="25" s="1"/>
  <c r="HI58" i="25" s="1"/>
  <c r="HK58" i="25" s="1"/>
  <c r="HM58" i="25" s="1"/>
  <c r="HO58" i="25" s="1"/>
  <c r="HQ58" i="25" s="1"/>
  <c r="HS58" i="25" s="1"/>
  <c r="HU58" i="25" s="1"/>
  <c r="HW58" i="25" s="1"/>
  <c r="HY58" i="25" s="1"/>
  <c r="IA58" i="25" s="1"/>
  <c r="IC58" i="25" s="1"/>
  <c r="IE58" i="25" s="1"/>
  <c r="IG58" i="25" s="1"/>
  <c r="II58" i="25" s="1"/>
  <c r="IK58" i="25" s="1"/>
  <c r="IM58" i="25" s="1"/>
  <c r="IO58" i="25" s="1"/>
  <c r="IQ58" i="25" s="1"/>
  <c r="IS58" i="25" s="1"/>
  <c r="IU58" i="25" s="1"/>
  <c r="V58" i="25"/>
  <c r="X58" i="25" s="1"/>
  <c r="Z58" i="25" s="1"/>
  <c r="AB58" i="25" s="1"/>
  <c r="AD58" i="25" s="1"/>
  <c r="AF58" i="25" s="1"/>
  <c r="AH58" i="25" s="1"/>
  <c r="AJ58" i="25" s="1"/>
  <c r="AL58" i="25" s="1"/>
  <c r="AN58" i="25" s="1"/>
  <c r="AP58" i="25" s="1"/>
  <c r="AR58" i="25" s="1"/>
  <c r="AT58" i="25" s="1"/>
  <c r="AV58" i="25" s="1"/>
  <c r="AX58" i="25" s="1"/>
  <c r="AZ58" i="25" s="1"/>
  <c r="BB58" i="25" s="1"/>
  <c r="BD58" i="25" s="1"/>
  <c r="BF58" i="25" s="1"/>
  <c r="BH58" i="25" s="1"/>
  <c r="BJ58" i="25" s="1"/>
  <c r="BL58" i="25" s="1"/>
  <c r="BN58" i="25" s="1"/>
  <c r="BP58" i="25" s="1"/>
  <c r="BR58" i="25" s="1"/>
  <c r="BT58" i="25" s="1"/>
  <c r="BV58" i="25" s="1"/>
  <c r="BX58" i="25" s="1"/>
  <c r="BZ58" i="25" s="1"/>
  <c r="CB58" i="25" s="1"/>
  <c r="CD58" i="25" s="1"/>
  <c r="CF58" i="25" s="1"/>
  <c r="CH58" i="25" s="1"/>
  <c r="CJ58" i="25" s="1"/>
  <c r="CL58" i="25" s="1"/>
  <c r="CN58" i="25" s="1"/>
  <c r="CP58" i="25" s="1"/>
  <c r="CR58" i="25" s="1"/>
  <c r="CT58" i="25" s="1"/>
  <c r="CV58" i="25" s="1"/>
  <c r="CX58" i="25" s="1"/>
  <c r="CZ58" i="25" s="1"/>
  <c r="DB58" i="25" s="1"/>
  <c r="DD58" i="25" s="1"/>
  <c r="DF58" i="25" s="1"/>
  <c r="DH58" i="25" s="1"/>
  <c r="DJ58" i="25" s="1"/>
  <c r="DL58" i="25" s="1"/>
  <c r="DN58" i="25" s="1"/>
  <c r="DP58" i="25" s="1"/>
  <c r="DR58" i="25" s="1"/>
  <c r="DT58" i="25" s="1"/>
  <c r="DV58" i="25" s="1"/>
  <c r="DX58" i="25" s="1"/>
  <c r="DZ58" i="25" s="1"/>
  <c r="EB58" i="25" s="1"/>
  <c r="ED58" i="25" s="1"/>
  <c r="EF58" i="25" s="1"/>
  <c r="EH58" i="25" s="1"/>
  <c r="EJ58" i="25" s="1"/>
  <c r="EL58" i="25" s="1"/>
  <c r="EN58" i="25" s="1"/>
  <c r="EP58" i="25" s="1"/>
  <c r="ER58" i="25" s="1"/>
  <c r="ET58" i="25" s="1"/>
  <c r="EV58" i="25" s="1"/>
  <c r="EX58" i="25" s="1"/>
  <c r="EZ58" i="25" s="1"/>
  <c r="FB58" i="25" s="1"/>
  <c r="FD58" i="25" s="1"/>
  <c r="FF58" i="25" s="1"/>
  <c r="FH58" i="25" s="1"/>
  <c r="FJ58" i="25" s="1"/>
  <c r="FL58" i="25" s="1"/>
  <c r="FN58" i="25" s="1"/>
  <c r="FP58" i="25" s="1"/>
  <c r="FR58" i="25" s="1"/>
  <c r="FT58" i="25" s="1"/>
  <c r="FV58" i="25" s="1"/>
  <c r="FX58" i="25" s="1"/>
  <c r="FZ58" i="25" s="1"/>
  <c r="GB58" i="25" s="1"/>
  <c r="GD58" i="25" s="1"/>
  <c r="GF58" i="25" s="1"/>
  <c r="GH58" i="25" s="1"/>
  <c r="GJ58" i="25" s="1"/>
  <c r="GL58" i="25" s="1"/>
  <c r="GN58" i="25" s="1"/>
  <c r="GP58" i="25" s="1"/>
  <c r="GR58" i="25" s="1"/>
  <c r="GT58" i="25" s="1"/>
  <c r="GV58" i="25" s="1"/>
  <c r="GX58" i="25" s="1"/>
  <c r="GZ58" i="25" s="1"/>
  <c r="HB58" i="25" s="1"/>
  <c r="HD58" i="25" s="1"/>
  <c r="HF58" i="25" s="1"/>
  <c r="HH58" i="25" s="1"/>
  <c r="HJ58" i="25" s="1"/>
  <c r="HL58" i="25" s="1"/>
  <c r="HN58" i="25" s="1"/>
  <c r="HP58" i="25" s="1"/>
  <c r="HR58" i="25" s="1"/>
  <c r="HT58" i="25" s="1"/>
  <c r="HV58" i="25" s="1"/>
  <c r="HX58" i="25" s="1"/>
  <c r="HZ58" i="25" s="1"/>
  <c r="IB58" i="25" s="1"/>
  <c r="ID58" i="25" s="1"/>
  <c r="IF58" i="25" s="1"/>
  <c r="IH58" i="25" s="1"/>
  <c r="IJ58" i="25" s="1"/>
  <c r="IL58" i="25" s="1"/>
  <c r="IN58" i="25" s="1"/>
  <c r="IP58" i="25" s="1"/>
  <c r="IR58" i="25" s="1"/>
  <c r="IT58" i="25" s="1"/>
  <c r="U58" i="25"/>
  <c r="W58" i="25" s="1"/>
  <c r="IV57" i="25"/>
  <c r="X57" i="25"/>
  <c r="Z57" i="25" s="1"/>
  <c r="AB57" i="25" s="1"/>
  <c r="AD57" i="25" s="1"/>
  <c r="AF57" i="25" s="1"/>
  <c r="AH57" i="25" s="1"/>
  <c r="AJ57" i="25" s="1"/>
  <c r="AL57" i="25" s="1"/>
  <c r="AN57" i="25" s="1"/>
  <c r="AP57" i="25" s="1"/>
  <c r="AR57" i="25" s="1"/>
  <c r="AT57" i="25" s="1"/>
  <c r="AV57" i="25" s="1"/>
  <c r="AX57" i="25" s="1"/>
  <c r="AZ57" i="25" s="1"/>
  <c r="BB57" i="25" s="1"/>
  <c r="BD57" i="25" s="1"/>
  <c r="BF57" i="25" s="1"/>
  <c r="BH57" i="25" s="1"/>
  <c r="BJ57" i="25" s="1"/>
  <c r="BL57" i="25" s="1"/>
  <c r="BN57" i="25" s="1"/>
  <c r="BP57" i="25" s="1"/>
  <c r="BR57" i="25" s="1"/>
  <c r="BT57" i="25" s="1"/>
  <c r="BV57" i="25" s="1"/>
  <c r="BX57" i="25" s="1"/>
  <c r="BZ57" i="25" s="1"/>
  <c r="CB57" i="25" s="1"/>
  <c r="CD57" i="25" s="1"/>
  <c r="CF57" i="25" s="1"/>
  <c r="CH57" i="25" s="1"/>
  <c r="CJ57" i="25" s="1"/>
  <c r="CL57" i="25" s="1"/>
  <c r="CN57" i="25" s="1"/>
  <c r="CP57" i="25" s="1"/>
  <c r="CR57" i="25" s="1"/>
  <c r="CT57" i="25" s="1"/>
  <c r="CV57" i="25" s="1"/>
  <c r="CX57" i="25" s="1"/>
  <c r="CZ57" i="25" s="1"/>
  <c r="DB57" i="25" s="1"/>
  <c r="DD57" i="25" s="1"/>
  <c r="DF57" i="25" s="1"/>
  <c r="DH57" i="25" s="1"/>
  <c r="DJ57" i="25" s="1"/>
  <c r="DL57" i="25" s="1"/>
  <c r="DN57" i="25" s="1"/>
  <c r="DP57" i="25" s="1"/>
  <c r="DR57" i="25" s="1"/>
  <c r="DT57" i="25" s="1"/>
  <c r="DV57" i="25" s="1"/>
  <c r="DX57" i="25" s="1"/>
  <c r="DZ57" i="25" s="1"/>
  <c r="EB57" i="25" s="1"/>
  <c r="ED57" i="25" s="1"/>
  <c r="EF57" i="25" s="1"/>
  <c r="EH57" i="25" s="1"/>
  <c r="EJ57" i="25" s="1"/>
  <c r="EL57" i="25" s="1"/>
  <c r="EN57" i="25" s="1"/>
  <c r="EP57" i="25" s="1"/>
  <c r="ER57" i="25" s="1"/>
  <c r="ET57" i="25" s="1"/>
  <c r="EV57" i="25" s="1"/>
  <c r="EX57" i="25" s="1"/>
  <c r="EZ57" i="25" s="1"/>
  <c r="FB57" i="25" s="1"/>
  <c r="FD57" i="25" s="1"/>
  <c r="FF57" i="25" s="1"/>
  <c r="FH57" i="25" s="1"/>
  <c r="FJ57" i="25" s="1"/>
  <c r="FL57" i="25" s="1"/>
  <c r="FN57" i="25" s="1"/>
  <c r="FP57" i="25" s="1"/>
  <c r="FR57" i="25" s="1"/>
  <c r="FT57" i="25" s="1"/>
  <c r="FV57" i="25" s="1"/>
  <c r="FX57" i="25" s="1"/>
  <c r="FZ57" i="25" s="1"/>
  <c r="GB57" i="25" s="1"/>
  <c r="GD57" i="25" s="1"/>
  <c r="GF57" i="25" s="1"/>
  <c r="GH57" i="25" s="1"/>
  <c r="GJ57" i="25" s="1"/>
  <c r="GL57" i="25" s="1"/>
  <c r="GN57" i="25" s="1"/>
  <c r="GP57" i="25" s="1"/>
  <c r="GR57" i="25" s="1"/>
  <c r="GT57" i="25" s="1"/>
  <c r="GV57" i="25" s="1"/>
  <c r="GX57" i="25" s="1"/>
  <c r="GZ57" i="25" s="1"/>
  <c r="HB57" i="25" s="1"/>
  <c r="HD57" i="25" s="1"/>
  <c r="HF57" i="25" s="1"/>
  <c r="HH57" i="25" s="1"/>
  <c r="HJ57" i="25" s="1"/>
  <c r="HL57" i="25" s="1"/>
  <c r="HN57" i="25" s="1"/>
  <c r="HP57" i="25" s="1"/>
  <c r="HR57" i="25" s="1"/>
  <c r="HT57" i="25" s="1"/>
  <c r="HV57" i="25" s="1"/>
  <c r="HX57" i="25" s="1"/>
  <c r="HZ57" i="25" s="1"/>
  <c r="IB57" i="25" s="1"/>
  <c r="ID57" i="25" s="1"/>
  <c r="IF57" i="25" s="1"/>
  <c r="IH57" i="25" s="1"/>
  <c r="IJ57" i="25" s="1"/>
  <c r="IL57" i="25" s="1"/>
  <c r="IN57" i="25" s="1"/>
  <c r="IP57" i="25" s="1"/>
  <c r="IR57" i="25" s="1"/>
  <c r="IT57" i="25" s="1"/>
  <c r="V57" i="25"/>
  <c r="U57" i="25"/>
  <c r="W57" i="25" s="1"/>
  <c r="Y57" i="25" s="1"/>
  <c r="AA57" i="25" s="1"/>
  <c r="AC57" i="25" s="1"/>
  <c r="AE57" i="25" s="1"/>
  <c r="AG57" i="25" s="1"/>
  <c r="AI57" i="25" s="1"/>
  <c r="AK57" i="25" s="1"/>
  <c r="AM57" i="25" s="1"/>
  <c r="AO57" i="25" s="1"/>
  <c r="AQ57" i="25" s="1"/>
  <c r="AS57" i="25" s="1"/>
  <c r="AU57" i="25" s="1"/>
  <c r="AW57" i="25" s="1"/>
  <c r="AY57" i="25" s="1"/>
  <c r="BA57" i="25" s="1"/>
  <c r="BC57" i="25" s="1"/>
  <c r="BE57" i="25" s="1"/>
  <c r="BG57" i="25" s="1"/>
  <c r="BI57" i="25" s="1"/>
  <c r="BK57" i="25" s="1"/>
  <c r="BM57" i="25" s="1"/>
  <c r="BO57" i="25" s="1"/>
  <c r="BQ57" i="25" s="1"/>
  <c r="BS57" i="25" s="1"/>
  <c r="BU57" i="25" s="1"/>
  <c r="BW57" i="25" s="1"/>
  <c r="BY57" i="25" s="1"/>
  <c r="CA57" i="25" s="1"/>
  <c r="CC57" i="25" s="1"/>
  <c r="CE57" i="25" s="1"/>
  <c r="CG57" i="25" s="1"/>
  <c r="CI57" i="25" s="1"/>
  <c r="CK57" i="25" s="1"/>
  <c r="CM57" i="25" s="1"/>
  <c r="CO57" i="25" s="1"/>
  <c r="CQ57" i="25" s="1"/>
  <c r="CS57" i="25" s="1"/>
  <c r="CU57" i="25" s="1"/>
  <c r="CW57" i="25" s="1"/>
  <c r="CY57" i="25" s="1"/>
  <c r="DA57" i="25" s="1"/>
  <c r="DC57" i="25" s="1"/>
  <c r="DE57" i="25" s="1"/>
  <c r="DG57" i="25" s="1"/>
  <c r="DI57" i="25" s="1"/>
  <c r="DK57" i="25" s="1"/>
  <c r="DM57" i="25" s="1"/>
  <c r="DO57" i="25" s="1"/>
  <c r="DQ57" i="25" s="1"/>
  <c r="DS57" i="25" s="1"/>
  <c r="DU57" i="25" s="1"/>
  <c r="DW57" i="25" s="1"/>
  <c r="DY57" i="25" s="1"/>
  <c r="EA57" i="25" s="1"/>
  <c r="EC57" i="25" s="1"/>
  <c r="EE57" i="25" s="1"/>
  <c r="EG57" i="25" s="1"/>
  <c r="EI57" i="25" s="1"/>
  <c r="EK57" i="25" s="1"/>
  <c r="EM57" i="25" s="1"/>
  <c r="EO57" i="25" s="1"/>
  <c r="EQ57" i="25" s="1"/>
  <c r="ES57" i="25" s="1"/>
  <c r="EU57" i="25" s="1"/>
  <c r="EW57" i="25" s="1"/>
  <c r="EY57" i="25" s="1"/>
  <c r="FA57" i="25" s="1"/>
  <c r="FC57" i="25" s="1"/>
  <c r="FE57" i="25" s="1"/>
  <c r="FG57" i="25" s="1"/>
  <c r="FI57" i="25" s="1"/>
  <c r="FK57" i="25" s="1"/>
  <c r="FM57" i="25" s="1"/>
  <c r="FO57" i="25" s="1"/>
  <c r="FQ57" i="25" s="1"/>
  <c r="FS57" i="25" s="1"/>
  <c r="FU57" i="25" s="1"/>
  <c r="FW57" i="25" s="1"/>
  <c r="FY57" i="25" s="1"/>
  <c r="GA57" i="25" s="1"/>
  <c r="GC57" i="25" s="1"/>
  <c r="GE57" i="25" s="1"/>
  <c r="GG57" i="25" s="1"/>
  <c r="GI57" i="25" s="1"/>
  <c r="GK57" i="25" s="1"/>
  <c r="GM57" i="25" s="1"/>
  <c r="GO57" i="25" s="1"/>
  <c r="GQ57" i="25" s="1"/>
  <c r="GS57" i="25" s="1"/>
  <c r="GU57" i="25" s="1"/>
  <c r="GW57" i="25" s="1"/>
  <c r="GY57" i="25" s="1"/>
  <c r="HA57" i="25" s="1"/>
  <c r="HC57" i="25" s="1"/>
  <c r="HE57" i="25" s="1"/>
  <c r="HG57" i="25" s="1"/>
  <c r="HI57" i="25" s="1"/>
  <c r="HK57" i="25" s="1"/>
  <c r="HM57" i="25" s="1"/>
  <c r="HO57" i="25" s="1"/>
  <c r="HQ57" i="25" s="1"/>
  <c r="HS57" i="25" s="1"/>
  <c r="HU57" i="25" s="1"/>
  <c r="HW57" i="25" s="1"/>
  <c r="HY57" i="25" s="1"/>
  <c r="IA57" i="25" s="1"/>
  <c r="IC57" i="25" s="1"/>
  <c r="IE57" i="25" s="1"/>
  <c r="IG57" i="25" s="1"/>
  <c r="II57" i="25" s="1"/>
  <c r="IK57" i="25" s="1"/>
  <c r="IM57" i="25" s="1"/>
  <c r="IO57" i="25" s="1"/>
  <c r="IQ57" i="25" s="1"/>
  <c r="IS57" i="25" s="1"/>
  <c r="IU57" i="25" s="1"/>
  <c r="IV56" i="25"/>
  <c r="Y56" i="25"/>
  <c r="AA56" i="25" s="1"/>
  <c r="AC56" i="25" s="1"/>
  <c r="AE56" i="25" s="1"/>
  <c r="AG56" i="25" s="1"/>
  <c r="AI56" i="25" s="1"/>
  <c r="AK56" i="25" s="1"/>
  <c r="AM56" i="25" s="1"/>
  <c r="V56" i="25"/>
  <c r="X56" i="25" s="1"/>
  <c r="Z56" i="25" s="1"/>
  <c r="AB56" i="25" s="1"/>
  <c r="AD56" i="25" s="1"/>
  <c r="AF56" i="25" s="1"/>
  <c r="AH56" i="25" s="1"/>
  <c r="AJ56" i="25" s="1"/>
  <c r="AL56" i="25" s="1"/>
  <c r="AN56" i="25" s="1"/>
  <c r="AP56" i="25" s="1"/>
  <c r="AR56" i="25" s="1"/>
  <c r="AT56" i="25" s="1"/>
  <c r="AV56" i="25" s="1"/>
  <c r="AX56" i="25" s="1"/>
  <c r="AZ56" i="25" s="1"/>
  <c r="BB56" i="25" s="1"/>
  <c r="BD56" i="25" s="1"/>
  <c r="BF56" i="25" s="1"/>
  <c r="BH56" i="25" s="1"/>
  <c r="BJ56" i="25" s="1"/>
  <c r="BL56" i="25" s="1"/>
  <c r="BN56" i="25" s="1"/>
  <c r="BP56" i="25" s="1"/>
  <c r="BR56" i="25" s="1"/>
  <c r="BT56" i="25" s="1"/>
  <c r="BV56" i="25" s="1"/>
  <c r="BX56" i="25" s="1"/>
  <c r="BZ56" i="25" s="1"/>
  <c r="CB56" i="25" s="1"/>
  <c r="CD56" i="25" s="1"/>
  <c r="CF56" i="25" s="1"/>
  <c r="CH56" i="25" s="1"/>
  <c r="CJ56" i="25" s="1"/>
  <c r="CL56" i="25" s="1"/>
  <c r="CN56" i="25" s="1"/>
  <c r="CP56" i="25" s="1"/>
  <c r="CR56" i="25" s="1"/>
  <c r="CT56" i="25" s="1"/>
  <c r="CV56" i="25" s="1"/>
  <c r="CX56" i="25" s="1"/>
  <c r="CZ56" i="25" s="1"/>
  <c r="DB56" i="25" s="1"/>
  <c r="DD56" i="25" s="1"/>
  <c r="DF56" i="25" s="1"/>
  <c r="DH56" i="25" s="1"/>
  <c r="DJ56" i="25" s="1"/>
  <c r="DL56" i="25" s="1"/>
  <c r="DN56" i="25" s="1"/>
  <c r="DP56" i="25" s="1"/>
  <c r="DR56" i="25" s="1"/>
  <c r="DT56" i="25" s="1"/>
  <c r="DV56" i="25" s="1"/>
  <c r="DX56" i="25" s="1"/>
  <c r="DZ56" i="25" s="1"/>
  <c r="EB56" i="25" s="1"/>
  <c r="ED56" i="25" s="1"/>
  <c r="EF56" i="25" s="1"/>
  <c r="EH56" i="25" s="1"/>
  <c r="EJ56" i="25" s="1"/>
  <c r="EL56" i="25" s="1"/>
  <c r="EN56" i="25" s="1"/>
  <c r="EP56" i="25" s="1"/>
  <c r="ER56" i="25" s="1"/>
  <c r="ET56" i="25" s="1"/>
  <c r="EV56" i="25" s="1"/>
  <c r="EX56" i="25" s="1"/>
  <c r="EZ56" i="25" s="1"/>
  <c r="FB56" i="25" s="1"/>
  <c r="FD56" i="25" s="1"/>
  <c r="FF56" i="25" s="1"/>
  <c r="FH56" i="25" s="1"/>
  <c r="FJ56" i="25" s="1"/>
  <c r="FL56" i="25" s="1"/>
  <c r="FN56" i="25" s="1"/>
  <c r="FP56" i="25" s="1"/>
  <c r="FR56" i="25" s="1"/>
  <c r="FT56" i="25" s="1"/>
  <c r="FV56" i="25" s="1"/>
  <c r="FX56" i="25" s="1"/>
  <c r="FZ56" i="25" s="1"/>
  <c r="GB56" i="25" s="1"/>
  <c r="GD56" i="25" s="1"/>
  <c r="GF56" i="25" s="1"/>
  <c r="GH56" i="25" s="1"/>
  <c r="GJ56" i="25" s="1"/>
  <c r="GL56" i="25" s="1"/>
  <c r="GN56" i="25" s="1"/>
  <c r="GP56" i="25" s="1"/>
  <c r="GR56" i="25" s="1"/>
  <c r="GT56" i="25" s="1"/>
  <c r="GV56" i="25" s="1"/>
  <c r="GX56" i="25" s="1"/>
  <c r="GZ56" i="25" s="1"/>
  <c r="HB56" i="25" s="1"/>
  <c r="HD56" i="25" s="1"/>
  <c r="HF56" i="25" s="1"/>
  <c r="HH56" i="25" s="1"/>
  <c r="HJ56" i="25" s="1"/>
  <c r="HL56" i="25" s="1"/>
  <c r="HN56" i="25" s="1"/>
  <c r="HP56" i="25" s="1"/>
  <c r="HR56" i="25" s="1"/>
  <c r="HT56" i="25" s="1"/>
  <c r="HV56" i="25" s="1"/>
  <c r="HX56" i="25" s="1"/>
  <c r="HZ56" i="25" s="1"/>
  <c r="IB56" i="25" s="1"/>
  <c r="ID56" i="25" s="1"/>
  <c r="IF56" i="25" s="1"/>
  <c r="IH56" i="25" s="1"/>
  <c r="IJ56" i="25" s="1"/>
  <c r="IL56" i="25" s="1"/>
  <c r="IN56" i="25" s="1"/>
  <c r="IP56" i="25" s="1"/>
  <c r="IR56" i="25" s="1"/>
  <c r="IT56" i="25" s="1"/>
  <c r="U56" i="25"/>
  <c r="W56" i="25" s="1"/>
  <c r="IV55" i="25"/>
  <c r="IV59" i="25" s="1"/>
  <c r="IU55" i="25"/>
  <c r="IU59" i="25" s="1"/>
  <c r="IT55" i="25"/>
  <c r="IT59" i="25" s="1"/>
  <c r="IS55" i="25"/>
  <c r="IS59" i="25" s="1"/>
  <c r="IR55" i="25"/>
  <c r="IR59" i="25" s="1"/>
  <c r="IQ55" i="25"/>
  <c r="IQ59" i="25" s="1"/>
  <c r="IP55" i="25"/>
  <c r="IP59" i="25" s="1"/>
  <c r="IO55" i="25"/>
  <c r="IO59" i="25" s="1"/>
  <c r="IN55" i="25"/>
  <c r="IN59" i="25" s="1"/>
  <c r="IM55" i="25"/>
  <c r="IM59" i="25" s="1"/>
  <c r="IL55" i="25"/>
  <c r="IK55" i="25"/>
  <c r="IJ55" i="25"/>
  <c r="II55" i="25"/>
  <c r="IH55" i="25"/>
  <c r="IG55" i="25"/>
  <c r="IF55" i="25"/>
  <c r="IE55" i="25"/>
  <c r="ID55" i="25"/>
  <c r="IC55" i="25"/>
  <c r="IB55" i="25"/>
  <c r="IA55" i="25"/>
  <c r="HZ55" i="25"/>
  <c r="HY55" i="25"/>
  <c r="HX55" i="25"/>
  <c r="HW55" i="25"/>
  <c r="HV55" i="25"/>
  <c r="HU55" i="25"/>
  <c r="HT55" i="25"/>
  <c r="HS55" i="25"/>
  <c r="HR55" i="25"/>
  <c r="HQ55" i="25"/>
  <c r="HP55" i="25"/>
  <c r="HO55" i="25"/>
  <c r="HN55" i="25"/>
  <c r="HM55" i="25"/>
  <c r="HL55" i="25"/>
  <c r="HK55" i="25"/>
  <c r="HJ55" i="25"/>
  <c r="HI55" i="25"/>
  <c r="HH55" i="25"/>
  <c r="HG55" i="25"/>
  <c r="HF55" i="25"/>
  <c r="HE55" i="25"/>
  <c r="HD55" i="25"/>
  <c r="HC55" i="25"/>
  <c r="HB55" i="25"/>
  <c r="HA55" i="25"/>
  <c r="GZ55" i="25"/>
  <c r="GY55" i="25"/>
  <c r="GX55" i="25"/>
  <c r="GW55" i="25"/>
  <c r="GV55" i="25"/>
  <c r="GU55" i="25"/>
  <c r="GT55" i="25"/>
  <c r="GS55" i="25"/>
  <c r="GR55" i="25"/>
  <c r="GQ55" i="25"/>
  <c r="GP55" i="25"/>
  <c r="GO55" i="25"/>
  <c r="GN55" i="25"/>
  <c r="GM55" i="25"/>
  <c r="GL55" i="25"/>
  <c r="GK55" i="25"/>
  <c r="GJ55" i="25"/>
  <c r="GI55" i="25"/>
  <c r="GH55" i="25"/>
  <c r="GG55" i="25"/>
  <c r="GF55" i="25"/>
  <c r="GE55" i="25"/>
  <c r="GD55" i="25"/>
  <c r="GC55" i="25"/>
  <c r="GB55" i="25"/>
  <c r="GA55" i="25"/>
  <c r="FZ55" i="25"/>
  <c r="FY55" i="25"/>
  <c r="FX55" i="25"/>
  <c r="FW55" i="25"/>
  <c r="FV55" i="25"/>
  <c r="FU55" i="25"/>
  <c r="FT55" i="25"/>
  <c r="FS55" i="25"/>
  <c r="FR55" i="25"/>
  <c r="FQ55" i="25"/>
  <c r="FP55" i="25"/>
  <c r="FO55" i="25"/>
  <c r="FN55" i="25"/>
  <c r="FM55" i="25"/>
  <c r="FL55" i="25"/>
  <c r="FK55" i="25"/>
  <c r="FJ55" i="25"/>
  <c r="FI55" i="25"/>
  <c r="FH55" i="25"/>
  <c r="FG55" i="25"/>
  <c r="FF55" i="25"/>
  <c r="FE55" i="25"/>
  <c r="FD55" i="25"/>
  <c r="FC55" i="25"/>
  <c r="FB55" i="25"/>
  <c r="FA55" i="25"/>
  <c r="EZ55" i="25"/>
  <c r="EY55" i="25"/>
  <c r="EX55" i="25"/>
  <c r="EW55" i="25"/>
  <c r="EV55" i="25"/>
  <c r="EU55" i="25"/>
  <c r="ET55" i="25"/>
  <c r="ES55" i="25"/>
  <c r="ER55" i="25"/>
  <c r="EQ55" i="25"/>
  <c r="EP55" i="25"/>
  <c r="EO55" i="25"/>
  <c r="EN55" i="25"/>
  <c r="EM55" i="25"/>
  <c r="EL55" i="25"/>
  <c r="EK55" i="25"/>
  <c r="EJ55" i="25"/>
  <c r="EI55" i="25"/>
  <c r="EH55" i="25"/>
  <c r="EG55" i="25"/>
  <c r="EF55" i="25"/>
  <c r="EE55" i="25"/>
  <c r="ED55" i="25"/>
  <c r="EC55" i="25"/>
  <c r="EB55" i="25"/>
  <c r="EA55" i="25"/>
  <c r="DZ55" i="25"/>
  <c r="DY55" i="25"/>
  <c r="DX55" i="25"/>
  <c r="DW55" i="25"/>
  <c r="DV55" i="25"/>
  <c r="DU55" i="25"/>
  <c r="DT55" i="25"/>
  <c r="DS55" i="25"/>
  <c r="DR55" i="25"/>
  <c r="DQ55" i="25"/>
  <c r="DP55" i="25"/>
  <c r="DO55" i="25"/>
  <c r="DN55" i="25"/>
  <c r="DM55" i="25"/>
  <c r="DL55" i="25"/>
  <c r="DK55" i="25"/>
  <c r="DJ55" i="25"/>
  <c r="DI55" i="25"/>
  <c r="DH55" i="25"/>
  <c r="DG55" i="25"/>
  <c r="DF55" i="25"/>
  <c r="DE55" i="25"/>
  <c r="DD55" i="25"/>
  <c r="DC55" i="25"/>
  <c r="DB55" i="25"/>
  <c r="DA55" i="25"/>
  <c r="CZ55" i="25"/>
  <c r="CY55" i="25"/>
  <c r="CX55" i="25"/>
  <c r="CW55" i="25"/>
  <c r="CV55" i="25"/>
  <c r="CU55" i="25"/>
  <c r="CT55" i="25"/>
  <c r="CS55" i="25"/>
  <c r="CR55" i="25"/>
  <c r="CQ55" i="25"/>
  <c r="CP55" i="25"/>
  <c r="CO55" i="25"/>
  <c r="CN55" i="25"/>
  <c r="CM55" i="25"/>
  <c r="CL55" i="25"/>
  <c r="CK55" i="25"/>
  <c r="CJ55" i="25"/>
  <c r="CI55" i="25"/>
  <c r="CH55" i="25"/>
  <c r="CG55" i="25"/>
  <c r="CF55" i="25"/>
  <c r="CE55" i="25"/>
  <c r="CD55" i="25"/>
  <c r="CC55" i="25"/>
  <c r="CB55" i="25"/>
  <c r="CA55" i="25"/>
  <c r="BZ55" i="25"/>
  <c r="BY55" i="25"/>
  <c r="BX55" i="25"/>
  <c r="BW55" i="25"/>
  <c r="BV55" i="25"/>
  <c r="BU55" i="25"/>
  <c r="BT55" i="25"/>
  <c r="BS55" i="25"/>
  <c r="BR55" i="25"/>
  <c r="BQ55" i="25"/>
  <c r="BP55" i="25"/>
  <c r="BO55" i="25"/>
  <c r="BN55" i="25"/>
  <c r="BM55" i="25"/>
  <c r="BL55" i="25"/>
  <c r="BK55" i="25"/>
  <c r="BJ55" i="25"/>
  <c r="BI55" i="25"/>
  <c r="BH55" i="25"/>
  <c r="BG55" i="25"/>
  <c r="BF55" i="25"/>
  <c r="BE55" i="25"/>
  <c r="BD55" i="25"/>
  <c r="BC55" i="25"/>
  <c r="BB55" i="25"/>
  <c r="BA55" i="25"/>
  <c r="AZ55" i="25"/>
  <c r="AY55" i="25"/>
  <c r="AX55" i="25"/>
  <c r="AW55" i="25"/>
  <c r="AV55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I55" i="25"/>
  <c r="AH55" i="25"/>
  <c r="AG55" i="25"/>
  <c r="AF55" i="25"/>
  <c r="AE55" i="25"/>
  <c r="AD55" i="25"/>
  <c r="AC55" i="25"/>
  <c r="AB55" i="25"/>
  <c r="AA55" i="25"/>
  <c r="Z55" i="25"/>
  <c r="Y55" i="25"/>
  <c r="X55" i="25"/>
  <c r="W55" i="25"/>
  <c r="V55" i="25"/>
  <c r="U55" i="25"/>
  <c r="U59" i="25" s="1"/>
  <c r="J55" i="25"/>
  <c r="A55" i="25"/>
  <c r="J54" i="25"/>
  <c r="A54" i="25"/>
  <c r="J53" i="25"/>
  <c r="A53" i="25"/>
  <c r="M39" i="25"/>
  <c r="M38" i="25"/>
  <c r="M37" i="25"/>
  <c r="P34" i="25"/>
  <c r="G32" i="25"/>
  <c r="O24" i="25"/>
  <c r="A22" i="25"/>
  <c r="A21" i="25"/>
  <c r="O20" i="25"/>
  <c r="A20" i="25"/>
  <c r="A15" i="25"/>
  <c r="Q6" i="25"/>
  <c r="J3" i="25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4" i="24"/>
  <c r="E4" i="24"/>
  <c r="C5" i="24"/>
  <c r="C6" i="24" s="1"/>
  <c r="C7" i="24" s="1"/>
  <c r="C8" i="24" s="1"/>
  <c r="C9" i="24" s="1"/>
  <c r="C10" i="24" s="1"/>
  <c r="C11" i="24" s="1"/>
  <c r="C12" i="24" s="1"/>
  <c r="C13" i="24" s="1"/>
  <c r="C14" i="24" s="1"/>
  <c r="C15" i="24" s="1"/>
  <c r="C16" i="24" s="1"/>
  <c r="C17" i="24" s="1"/>
  <c r="C18" i="24" s="1"/>
  <c r="C19" i="24" s="1"/>
  <c r="C20" i="24" s="1"/>
  <c r="C21" i="24" s="1"/>
  <c r="E21" i="24" s="1"/>
  <c r="AG59" i="28" l="1"/>
  <c r="AF59" i="28"/>
  <c r="S32" i="26"/>
  <c r="W32" i="26" s="1"/>
  <c r="Z24" i="26"/>
  <c r="AA32" i="26"/>
  <c r="S46" i="26"/>
  <c r="AJ56" i="28"/>
  <c r="AH59" i="28"/>
  <c r="AK56" i="28"/>
  <c r="AI59" i="28"/>
  <c r="B24" i="26"/>
  <c r="B20" i="26"/>
  <c r="B21" i="26"/>
  <c r="X31" i="26"/>
  <c r="X30" i="26"/>
  <c r="X28" i="26"/>
  <c r="X29" i="26"/>
  <c r="AM59" i="25"/>
  <c r="AO56" i="25"/>
  <c r="AQ56" i="25" s="1"/>
  <c r="AS56" i="25" s="1"/>
  <c r="AU56" i="25" s="1"/>
  <c r="AW56" i="25" s="1"/>
  <c r="AY56" i="25" s="1"/>
  <c r="BA56" i="25" s="1"/>
  <c r="BC56" i="25" s="1"/>
  <c r="BE56" i="25" s="1"/>
  <c r="BG56" i="25" s="1"/>
  <c r="BI56" i="25" s="1"/>
  <c r="BK56" i="25" s="1"/>
  <c r="BM56" i="25" s="1"/>
  <c r="BO56" i="25" s="1"/>
  <c r="BQ56" i="25" s="1"/>
  <c r="BS56" i="25" s="1"/>
  <c r="BU56" i="25" s="1"/>
  <c r="BW56" i="25" s="1"/>
  <c r="BY56" i="25" s="1"/>
  <c r="CA56" i="25" s="1"/>
  <c r="FZ59" i="25"/>
  <c r="HF59" i="25"/>
  <c r="AC59" i="25"/>
  <c r="AK59" i="25"/>
  <c r="AS59" i="25"/>
  <c r="BA59" i="25"/>
  <c r="AA59" i="25"/>
  <c r="AD59" i="25"/>
  <c r="BB59" i="25"/>
  <c r="BR59" i="25"/>
  <c r="CP59" i="25"/>
  <c r="DF59" i="25"/>
  <c r="ED59" i="25"/>
  <c r="ET59" i="25"/>
  <c r="FJ59" i="25"/>
  <c r="GP59" i="25"/>
  <c r="GX59" i="25"/>
  <c r="HN59" i="25"/>
  <c r="ID59" i="25"/>
  <c r="IL59" i="25"/>
  <c r="W59" i="25"/>
  <c r="AE59" i="25"/>
  <c r="AU59" i="25"/>
  <c r="AT59" i="25"/>
  <c r="CH59" i="25"/>
  <c r="DV59" i="25"/>
  <c r="FR59" i="25"/>
  <c r="X59" i="25"/>
  <c r="AF59" i="25"/>
  <c r="AN59" i="25"/>
  <c r="AV59" i="25"/>
  <c r="BD59" i="25"/>
  <c r="BL59" i="25"/>
  <c r="B92" i="25"/>
  <c r="AI59" i="25"/>
  <c r="AY59" i="25"/>
  <c r="V59" i="25"/>
  <c r="AL59" i="25"/>
  <c r="BJ59" i="25"/>
  <c r="BZ59" i="25"/>
  <c r="CX59" i="25"/>
  <c r="DN59" i="25"/>
  <c r="EL59" i="25"/>
  <c r="FB59" i="25"/>
  <c r="GH59" i="25"/>
  <c r="HV59" i="25"/>
  <c r="Z59" i="25"/>
  <c r="AH59" i="25"/>
  <c r="AP59" i="25"/>
  <c r="AX59" i="25"/>
  <c r="BF59" i="25"/>
  <c r="BN59" i="25"/>
  <c r="BT59" i="25"/>
  <c r="CB59" i="25"/>
  <c r="CJ59" i="25"/>
  <c r="CR59" i="25"/>
  <c r="CZ59" i="25"/>
  <c r="DH59" i="25"/>
  <c r="DP59" i="25"/>
  <c r="DX59" i="25"/>
  <c r="EF59" i="25"/>
  <c r="EN59" i="25"/>
  <c r="EV59" i="25"/>
  <c r="FD59" i="25"/>
  <c r="FL59" i="25"/>
  <c r="FT59" i="25"/>
  <c r="GB59" i="25"/>
  <c r="GJ59" i="25"/>
  <c r="GR59" i="25"/>
  <c r="GZ59" i="25"/>
  <c r="HH59" i="25"/>
  <c r="HP59" i="25"/>
  <c r="HX59" i="25"/>
  <c r="IF59" i="25"/>
  <c r="Y59" i="25"/>
  <c r="AG59" i="25"/>
  <c r="AO59" i="25"/>
  <c r="AW59" i="25"/>
  <c r="BE59" i="25"/>
  <c r="BM59" i="25"/>
  <c r="BU59" i="25"/>
  <c r="BV59" i="25"/>
  <c r="CD59" i="25"/>
  <c r="CL59" i="25"/>
  <c r="CT59" i="25"/>
  <c r="DB59" i="25"/>
  <c r="DJ59" i="25"/>
  <c r="DR59" i="25"/>
  <c r="DZ59" i="25"/>
  <c r="EH59" i="25"/>
  <c r="EP59" i="25"/>
  <c r="EX59" i="25"/>
  <c r="FF59" i="25"/>
  <c r="FN59" i="25"/>
  <c r="FV59" i="25"/>
  <c r="GD59" i="25"/>
  <c r="GL59" i="25"/>
  <c r="GT59" i="25"/>
  <c r="HB59" i="25"/>
  <c r="HJ59" i="25"/>
  <c r="HR59" i="25"/>
  <c r="HZ59" i="25"/>
  <c r="IH59" i="25"/>
  <c r="Q18" i="26"/>
  <c r="R18" i="26" s="1"/>
  <c r="AB59" i="25"/>
  <c r="AJ59" i="25"/>
  <c r="AR59" i="25"/>
  <c r="AZ59" i="25"/>
  <c r="BH59" i="25"/>
  <c r="BP59" i="25"/>
  <c r="BX59" i="25"/>
  <c r="CF59" i="25"/>
  <c r="CN59" i="25"/>
  <c r="CV59" i="25"/>
  <c r="DD59" i="25"/>
  <c r="DL59" i="25"/>
  <c r="DT59" i="25"/>
  <c r="EB59" i="25"/>
  <c r="EJ59" i="25"/>
  <c r="ER59" i="25"/>
  <c r="EZ59" i="25"/>
  <c r="FH59" i="25"/>
  <c r="FP59" i="25"/>
  <c r="FX59" i="25"/>
  <c r="GF59" i="25"/>
  <c r="GN59" i="25"/>
  <c r="GV59" i="25"/>
  <c r="HD59" i="25"/>
  <c r="HL59" i="25"/>
  <c r="HT59" i="25"/>
  <c r="IB59" i="25"/>
  <c r="IJ59" i="25"/>
  <c r="O12" i="26"/>
  <c r="Q12" i="26" s="1"/>
  <c r="R12" i="26" s="1"/>
  <c r="O21" i="26"/>
  <c r="Q21" i="26" s="1"/>
  <c r="R21" i="26" s="1"/>
  <c r="O16" i="26"/>
  <c r="Q16" i="26" s="1"/>
  <c r="R16" i="26" s="1"/>
  <c r="O17" i="26"/>
  <c r="Q17" i="26" s="1"/>
  <c r="R17" i="26" s="1"/>
  <c r="O13" i="26"/>
  <c r="Q13" i="26" s="1"/>
  <c r="R13" i="26" s="1"/>
  <c r="O20" i="26"/>
  <c r="Q20" i="26" s="1"/>
  <c r="R20" i="26" s="1"/>
  <c r="O19" i="26"/>
  <c r="Q19" i="26" s="1"/>
  <c r="R19" i="26" s="1"/>
  <c r="U64" i="25"/>
  <c r="Z32" i="26"/>
  <c r="E40" i="26" s="1"/>
  <c r="AE32" i="26"/>
  <c r="Q46" i="26"/>
  <c r="A40" i="26" s="1"/>
  <c r="W46" i="26"/>
  <c r="X25" i="26"/>
  <c r="B34" i="26"/>
  <c r="Q24" i="26"/>
  <c r="B30" i="26"/>
  <c r="B35" i="26"/>
  <c r="AA46" i="26"/>
  <c r="X7" i="26"/>
  <c r="B19" i="26"/>
  <c r="B23" i="26"/>
  <c r="X24" i="26"/>
  <c r="B26" i="26"/>
  <c r="Q32" i="26"/>
  <c r="X23" i="26"/>
  <c r="B25" i="26"/>
  <c r="T47" i="26"/>
  <c r="B18" i="26"/>
  <c r="B31" i="26"/>
  <c r="D9" i="24"/>
  <c r="D8" i="24"/>
  <c r="D19" i="24"/>
  <c r="D17" i="24"/>
  <c r="D5" i="24"/>
  <c r="D12" i="24"/>
  <c r="E15" i="24"/>
  <c r="E10" i="24"/>
  <c r="E9" i="24"/>
  <c r="E12" i="24"/>
  <c r="E20" i="24"/>
  <c r="E8" i="24"/>
  <c r="E13" i="24"/>
  <c r="E11" i="24"/>
  <c r="E19" i="24"/>
  <c r="E7" i="24"/>
  <c r="E18" i="24"/>
  <c r="E6" i="24"/>
  <c r="E14" i="24"/>
  <c r="E17" i="24"/>
  <c r="E5" i="24"/>
  <c r="E16" i="24"/>
  <c r="I18" i="23"/>
  <c r="D20" i="24" s="1"/>
  <c r="I17" i="23"/>
  <c r="D13" i="24" s="1"/>
  <c r="I16" i="23"/>
  <c r="D10" i="24" s="1"/>
  <c r="I15" i="23"/>
  <c r="I14" i="23"/>
  <c r="I13" i="23"/>
  <c r="D4" i="24" s="1"/>
  <c r="H4" i="24" s="1"/>
  <c r="L12" i="23"/>
  <c r="M12" i="23" s="1"/>
  <c r="I12" i="23"/>
  <c r="L11" i="23"/>
  <c r="M11" i="23" s="1"/>
  <c r="N11" i="23" s="1"/>
  <c r="J11" i="23"/>
  <c r="K11" i="23" s="1"/>
  <c r="BS59" i="25" l="1"/>
  <c r="BK59" i="25"/>
  <c r="BC59" i="25"/>
  <c r="BG59" i="25"/>
  <c r="BI59" i="25"/>
  <c r="Q14" i="25"/>
  <c r="Q14" i="28"/>
  <c r="Q15" i="28" s="1"/>
  <c r="N15" i="28" s="1"/>
  <c r="AL56" i="28"/>
  <c r="AJ59" i="28"/>
  <c r="AM56" i="28"/>
  <c r="AK59" i="28"/>
  <c r="W7" i="26"/>
  <c r="S49" i="26"/>
  <c r="S47" i="26"/>
  <c r="BO59" i="25"/>
  <c r="BY59" i="25"/>
  <c r="E29" i="26"/>
  <c r="E41" i="26"/>
  <c r="E37" i="26"/>
  <c r="AE46" i="26"/>
  <c r="Z46" i="26"/>
  <c r="D40" i="26" s="1"/>
  <c r="BQ59" i="25"/>
  <c r="BW59" i="25"/>
  <c r="O32" i="26"/>
  <c r="C40" i="26"/>
  <c r="A29" i="26"/>
  <c r="A41" i="26"/>
  <c r="CC56" i="25"/>
  <c r="CA59" i="25"/>
  <c r="AQ59" i="25"/>
  <c r="D14" i="24"/>
  <c r="J14" i="24" s="1"/>
  <c r="D11" i="24"/>
  <c r="F11" i="24" s="1"/>
  <c r="D7" i="24"/>
  <c r="J7" i="24" s="1"/>
  <c r="D6" i="24"/>
  <c r="H6" i="24" s="1"/>
  <c r="D18" i="24"/>
  <c r="J18" i="24" s="1"/>
  <c r="D16" i="24"/>
  <c r="H16" i="24" s="1"/>
  <c r="D15" i="24"/>
  <c r="F15" i="24" s="1"/>
  <c r="D21" i="24"/>
  <c r="J21" i="24" s="1"/>
  <c r="J4" i="24"/>
  <c r="F4" i="24"/>
  <c r="J10" i="24"/>
  <c r="F10" i="24"/>
  <c r="H10" i="24"/>
  <c r="H5" i="24"/>
  <c r="J5" i="24"/>
  <c r="F5" i="24"/>
  <c r="H17" i="24"/>
  <c r="J17" i="24"/>
  <c r="F17" i="24"/>
  <c r="H19" i="24"/>
  <c r="J19" i="24"/>
  <c r="F19" i="24"/>
  <c r="H8" i="24"/>
  <c r="J8" i="24"/>
  <c r="F8" i="24"/>
  <c r="J12" i="24"/>
  <c r="F12" i="24"/>
  <c r="H12" i="24"/>
  <c r="H20" i="24"/>
  <c r="J20" i="24"/>
  <c r="F20" i="24"/>
  <c r="J9" i="24"/>
  <c r="F9" i="24"/>
  <c r="H9" i="24"/>
  <c r="J13" i="24"/>
  <c r="F13" i="24"/>
  <c r="H13" i="24"/>
  <c r="N12" i="23"/>
  <c r="AN56" i="28" l="1"/>
  <c r="AL59" i="28"/>
  <c r="AO56" i="28"/>
  <c r="AM59" i="28"/>
  <c r="H18" i="24"/>
  <c r="F6" i="24"/>
  <c r="J6" i="24"/>
  <c r="CE56" i="25"/>
  <c r="CC59" i="25"/>
  <c r="C37" i="26"/>
  <c r="B37" i="26" s="1"/>
  <c r="C29" i="26"/>
  <c r="B29" i="26" s="1"/>
  <c r="C41" i="26"/>
  <c r="B41" i="26" s="1"/>
  <c r="B43" i="26" s="1"/>
  <c r="B44" i="26" s="1"/>
  <c r="B40" i="26"/>
  <c r="D37" i="26"/>
  <c r="D29" i="26"/>
  <c r="D41" i="26"/>
  <c r="H11" i="24"/>
  <c r="J11" i="24"/>
  <c r="F16" i="24"/>
  <c r="H7" i="24"/>
  <c r="H14" i="24"/>
  <c r="F14" i="24"/>
  <c r="F7" i="24"/>
  <c r="F21" i="24"/>
  <c r="J15" i="24"/>
  <c r="J16" i="24"/>
  <c r="H21" i="24"/>
  <c r="H15" i="24"/>
  <c r="F18" i="24"/>
  <c r="AP56" i="28" l="1"/>
  <c r="AN59" i="28"/>
  <c r="AQ56" i="28"/>
  <c r="AO59" i="28"/>
  <c r="CG56" i="25"/>
  <c r="CE59" i="25"/>
  <c r="AQ59" i="28" l="1"/>
  <c r="AS56" i="28"/>
  <c r="AP59" i="28"/>
  <c r="AR56" i="28"/>
  <c r="CI56" i="25"/>
  <c r="CG59" i="25"/>
  <c r="AU56" i="28" l="1"/>
  <c r="AS59" i="28"/>
  <c r="AT56" i="28"/>
  <c r="AR59" i="28"/>
  <c r="CK56" i="25"/>
  <c r="CI59" i="25"/>
  <c r="AV56" i="28" l="1"/>
  <c r="AT59" i="28"/>
  <c r="AW56" i="28"/>
  <c r="AU59" i="28"/>
  <c r="CM56" i="25"/>
  <c r="CK59" i="25"/>
  <c r="AY56" i="28" l="1"/>
  <c r="AW59" i="28"/>
  <c r="AX56" i="28"/>
  <c r="AV59" i="28"/>
  <c r="CO56" i="25"/>
  <c r="CM59" i="25"/>
  <c r="AZ56" i="28" l="1"/>
  <c r="AX59" i="28"/>
  <c r="BA56" i="28"/>
  <c r="AY59" i="28"/>
  <c r="CQ56" i="25"/>
  <c r="CO59" i="25"/>
  <c r="BB56" i="28" l="1"/>
  <c r="AZ59" i="28"/>
  <c r="BC56" i="28"/>
  <c r="BA59" i="28"/>
  <c r="CS56" i="25"/>
  <c r="CQ59" i="25"/>
  <c r="BB59" i="28" l="1"/>
  <c r="BD56" i="28"/>
  <c r="BC59" i="28"/>
  <c r="BE56" i="28"/>
  <c r="CU56" i="25"/>
  <c r="CS59" i="25"/>
  <c r="BG56" i="28" l="1"/>
  <c r="BE59" i="28"/>
  <c r="BF56" i="28"/>
  <c r="BD59" i="28"/>
  <c r="CW56" i="25"/>
  <c r="CU59" i="25"/>
  <c r="BI56" i="28" l="1"/>
  <c r="BG59" i="28"/>
  <c r="BH56" i="28"/>
  <c r="BF59" i="28"/>
  <c r="CY56" i="25"/>
  <c r="CW59" i="25"/>
  <c r="BK56" i="28" l="1"/>
  <c r="BI59" i="28"/>
  <c r="BJ56" i="28"/>
  <c r="BH59" i="28"/>
  <c r="DA56" i="25"/>
  <c r="CY59" i="25"/>
  <c r="BM56" i="28" l="1"/>
  <c r="BK59" i="28"/>
  <c r="BL56" i="28"/>
  <c r="BJ59" i="28"/>
  <c r="DC56" i="25"/>
  <c r="DA59" i="25"/>
  <c r="BO56" i="28" l="1"/>
  <c r="BM59" i="28"/>
  <c r="BN56" i="28"/>
  <c r="BL59" i="28"/>
  <c r="DE56" i="25"/>
  <c r="DC59" i="25"/>
  <c r="BN59" i="28" l="1"/>
  <c r="BP56" i="28"/>
  <c r="BO59" i="28"/>
  <c r="BQ56" i="28"/>
  <c r="DG56" i="25"/>
  <c r="DE59" i="25"/>
  <c r="BS56" i="28" l="1"/>
  <c r="BQ59" i="28"/>
  <c r="BR56" i="28"/>
  <c r="BP59" i="28"/>
  <c r="DI56" i="25"/>
  <c r="DG59" i="25"/>
  <c r="BU56" i="28" l="1"/>
  <c r="BS59" i="28"/>
  <c r="BT56" i="28"/>
  <c r="BR59" i="28"/>
  <c r="DK56" i="25"/>
  <c r="DI59" i="25"/>
  <c r="BW56" i="28" l="1"/>
  <c r="BU59" i="28"/>
  <c r="BV56" i="28"/>
  <c r="BT59" i="28"/>
  <c r="DM56" i="25"/>
  <c r="DK59" i="25"/>
  <c r="BY56" i="28" l="1"/>
  <c r="BW59" i="28"/>
  <c r="BX56" i="28"/>
  <c r="BV59" i="28"/>
  <c r="DO56" i="25"/>
  <c r="DM59" i="25"/>
  <c r="CA56" i="28" l="1"/>
  <c r="BY59" i="28"/>
  <c r="BZ56" i="28"/>
  <c r="BX59" i="28"/>
  <c r="DQ56" i="25"/>
  <c r="DO59" i="25"/>
  <c r="BZ59" i="28" l="1"/>
  <c r="CB56" i="28"/>
  <c r="CA59" i="28"/>
  <c r="CC56" i="28"/>
  <c r="DS56" i="25"/>
  <c r="DQ59" i="25"/>
  <c r="CD56" i="28" l="1"/>
  <c r="CB59" i="28"/>
  <c r="CE56" i="28"/>
  <c r="CC59" i="28"/>
  <c r="DU56" i="25"/>
  <c r="DS59" i="25"/>
  <c r="CG56" i="28" l="1"/>
  <c r="CE59" i="28"/>
  <c r="CF56" i="28"/>
  <c r="CD59" i="28"/>
  <c r="DW56" i="25"/>
  <c r="DU59" i="25"/>
  <c r="CH56" i="28" l="1"/>
  <c r="CF59" i="28"/>
  <c r="CI56" i="28"/>
  <c r="CG59" i="28"/>
  <c r="DY56" i="25"/>
  <c r="DW59" i="25"/>
  <c r="CK56" i="28" l="1"/>
  <c r="CI59" i="28"/>
  <c r="CJ56" i="28"/>
  <c r="CH59" i="28"/>
  <c r="EA56" i="25"/>
  <c r="DY59" i="25"/>
  <c r="CM56" i="28" l="1"/>
  <c r="CK59" i="28"/>
  <c r="CL56" i="28"/>
  <c r="CJ59" i="28"/>
  <c r="EC56" i="25"/>
  <c r="EA59" i="25"/>
  <c r="CM59" i="28" l="1"/>
  <c r="CO56" i="28"/>
  <c r="CL59" i="28"/>
  <c r="CN56" i="28"/>
  <c r="EE56" i="25"/>
  <c r="EC59" i="25"/>
  <c r="CQ56" i="28" l="1"/>
  <c r="CO59" i="28"/>
  <c r="CP56" i="28"/>
  <c r="CN59" i="28"/>
  <c r="EG56" i="25"/>
  <c r="EE59" i="25"/>
  <c r="CR56" i="28" l="1"/>
  <c r="CP59" i="28"/>
  <c r="CS56" i="28"/>
  <c r="CQ59" i="28"/>
  <c r="EI56" i="25"/>
  <c r="EG59" i="25"/>
  <c r="CU56" i="28" l="1"/>
  <c r="CS59" i="28"/>
  <c r="CT56" i="28"/>
  <c r="CR59" i="28"/>
  <c r="EK56" i="25"/>
  <c r="EI59" i="25"/>
  <c r="CW56" i="28" l="1"/>
  <c r="CU59" i="28"/>
  <c r="CV56" i="28"/>
  <c r="CT59" i="28"/>
  <c r="EM56" i="25"/>
  <c r="EK59" i="25"/>
  <c r="CY56" i="28" l="1"/>
  <c r="CW59" i="28"/>
  <c r="CX56" i="28"/>
  <c r="CV59" i="28"/>
  <c r="EO56" i="25"/>
  <c r="EM59" i="25"/>
  <c r="CX59" i="28" l="1"/>
  <c r="CZ56" i="28"/>
  <c r="CY59" i="28"/>
  <c r="DA56" i="28"/>
  <c r="EQ56" i="25"/>
  <c r="EO59" i="25"/>
  <c r="DB56" i="28" l="1"/>
  <c r="CZ59" i="28"/>
  <c r="DC56" i="28"/>
  <c r="DA59" i="28"/>
  <c r="ES56" i="25"/>
  <c r="EQ59" i="25"/>
  <c r="DE56" i="28" l="1"/>
  <c r="DC59" i="28"/>
  <c r="DD56" i="28"/>
  <c r="DB59" i="28"/>
  <c r="EU56" i="25"/>
  <c r="ES59" i="25"/>
  <c r="DF56" i="28" l="1"/>
  <c r="DD59" i="28"/>
  <c r="DG56" i="28"/>
  <c r="DE59" i="28"/>
  <c r="EW56" i="25"/>
  <c r="EU59" i="25"/>
  <c r="DH56" i="28" l="1"/>
  <c r="DF59" i="28"/>
  <c r="DI56" i="28"/>
  <c r="DG59" i="28"/>
  <c r="EY56" i="25"/>
  <c r="EW59" i="25"/>
  <c r="DJ56" i="28" l="1"/>
  <c r="DH59" i="28"/>
  <c r="DK56" i="28"/>
  <c r="DI59" i="28"/>
  <c r="FA56" i="25"/>
  <c r="EY59" i="25"/>
  <c r="DK59" i="28" l="1"/>
  <c r="DM56" i="28"/>
  <c r="DJ59" i="28"/>
  <c r="DL56" i="28"/>
  <c r="FC56" i="25"/>
  <c r="FA59" i="25"/>
  <c r="DN56" i="28" l="1"/>
  <c r="DL59" i="28"/>
  <c r="DO56" i="28"/>
  <c r="DM59" i="28"/>
  <c r="FE56" i="25"/>
  <c r="FC59" i="25"/>
  <c r="DQ56" i="28" l="1"/>
  <c r="DO59" i="28"/>
  <c r="DP56" i="28"/>
  <c r="DN59" i="28"/>
  <c r="FG56" i="25"/>
  <c r="FE59" i="25"/>
  <c r="DR56" i="28" l="1"/>
  <c r="DP59" i="28"/>
  <c r="DS56" i="28"/>
  <c r="DQ59" i="28"/>
  <c r="FI56" i="25"/>
  <c r="FG59" i="25"/>
  <c r="DT56" i="28" l="1"/>
  <c r="DR59" i="28"/>
  <c r="DU56" i="28"/>
  <c r="DS59" i="28"/>
  <c r="FK56" i="25"/>
  <c r="FI59" i="25"/>
  <c r="DV56" i="28" l="1"/>
  <c r="DT59" i="28"/>
  <c r="DW56" i="28"/>
  <c r="DU59" i="28"/>
  <c r="FM56" i="25"/>
  <c r="FK59" i="25"/>
  <c r="DW59" i="28" l="1"/>
  <c r="DY56" i="28"/>
  <c r="DV59" i="28"/>
  <c r="DX56" i="28"/>
  <c r="FO56" i="25"/>
  <c r="FM59" i="25"/>
  <c r="DZ56" i="28" l="1"/>
  <c r="DX59" i="28"/>
  <c r="EA56" i="28"/>
  <c r="DY59" i="28"/>
  <c r="FQ56" i="25"/>
  <c r="FO59" i="25"/>
  <c r="EB56" i="28" l="1"/>
  <c r="DZ59" i="28"/>
  <c r="EC56" i="28"/>
  <c r="EA59" i="28"/>
  <c r="FS56" i="25"/>
  <c r="FQ59" i="25"/>
  <c r="EE56" i="28" l="1"/>
  <c r="EC59" i="28"/>
  <c r="ED56" i="28"/>
  <c r="EB59" i="28"/>
  <c r="FU56" i="25"/>
  <c r="FS59" i="25"/>
  <c r="EF56" i="28" l="1"/>
  <c r="ED59" i="28"/>
  <c r="EG56" i="28"/>
  <c r="EE59" i="28"/>
  <c r="FW56" i="25"/>
  <c r="FU59" i="25"/>
  <c r="EI56" i="28" l="1"/>
  <c r="EG59" i="28"/>
  <c r="EH56" i="28"/>
  <c r="EF59" i="28"/>
  <c r="FY56" i="25"/>
  <c r="FW59" i="25"/>
  <c r="EH59" i="28" l="1"/>
  <c r="EJ56" i="28"/>
  <c r="EI59" i="28"/>
  <c r="EK56" i="28"/>
  <c r="GA56" i="25"/>
  <c r="FY59" i="25"/>
  <c r="EM56" i="28" l="1"/>
  <c r="EK59" i="28"/>
  <c r="EL56" i="28"/>
  <c r="EJ59" i="28"/>
  <c r="GC56" i="25"/>
  <c r="GA59" i="25"/>
  <c r="EN56" i="28" l="1"/>
  <c r="EL59" i="28"/>
  <c r="EO56" i="28"/>
  <c r="EM59" i="28"/>
  <c r="GE56" i="25"/>
  <c r="GC59" i="25"/>
  <c r="EQ56" i="28" l="1"/>
  <c r="EO59" i="28"/>
  <c r="EP56" i="28"/>
  <c r="EN59" i="28"/>
  <c r="GG56" i="25"/>
  <c r="GE59" i="25"/>
  <c r="ER56" i="28" l="1"/>
  <c r="EP59" i="28"/>
  <c r="ES56" i="28"/>
  <c r="EQ59" i="28"/>
  <c r="GI56" i="25"/>
  <c r="GG59" i="25"/>
  <c r="EU56" i="28" l="1"/>
  <c r="ES59" i="28"/>
  <c r="ET56" i="28"/>
  <c r="ER59" i="28"/>
  <c r="GK56" i="25"/>
  <c r="GI59" i="25"/>
  <c r="ET59" i="28" l="1"/>
  <c r="EV56" i="28"/>
  <c r="EU59" i="28"/>
  <c r="EW56" i="28"/>
  <c r="GM56" i="25"/>
  <c r="GK59" i="25"/>
  <c r="EY56" i="28" l="1"/>
  <c r="EW59" i="28"/>
  <c r="EX56" i="28"/>
  <c r="EV59" i="28"/>
  <c r="GO56" i="25"/>
  <c r="GM59" i="25"/>
  <c r="EZ56" i="28" l="1"/>
  <c r="EX59" i="28"/>
  <c r="FA56" i="28"/>
  <c r="EY59" i="28"/>
  <c r="GQ56" i="25"/>
  <c r="GO59" i="25"/>
  <c r="FC56" i="28" l="1"/>
  <c r="FA59" i="28"/>
  <c r="FB56" i="28"/>
  <c r="EZ59" i="28"/>
  <c r="GS56" i="25"/>
  <c r="GQ59" i="25"/>
  <c r="FE56" i="28" l="1"/>
  <c r="FC59" i="28"/>
  <c r="FD56" i="28"/>
  <c r="FB59" i="28"/>
  <c r="GU56" i="25"/>
  <c r="GS59" i="25"/>
  <c r="FF56" i="28" l="1"/>
  <c r="FD59" i="28"/>
  <c r="FG56" i="28"/>
  <c r="FE59" i="28"/>
  <c r="GW56" i="25"/>
  <c r="GU59" i="25"/>
  <c r="FG59" i="28" l="1"/>
  <c r="FI56" i="28"/>
  <c r="FF59" i="28"/>
  <c r="FH56" i="28"/>
  <c r="GY56" i="25"/>
  <c r="GW59" i="25"/>
  <c r="FJ56" i="28" l="1"/>
  <c r="FH59" i="28"/>
  <c r="FK56" i="28"/>
  <c r="FI59" i="28"/>
  <c r="HA56" i="25"/>
  <c r="GY59" i="25"/>
  <c r="FM56" i="28" l="1"/>
  <c r="FK59" i="28"/>
  <c r="FL56" i="28"/>
  <c r="FJ59" i="28"/>
  <c r="HC56" i="25"/>
  <c r="HA59" i="25"/>
  <c r="FO56" i="28" l="1"/>
  <c r="FM59" i="28"/>
  <c r="FN56" i="28"/>
  <c r="FL59" i="28"/>
  <c r="HE56" i="25"/>
  <c r="HC59" i="25"/>
  <c r="FQ56" i="28" l="1"/>
  <c r="FO59" i="28"/>
  <c r="FP56" i="28"/>
  <c r="FN59" i="28"/>
  <c r="HG56" i="25"/>
  <c r="HE59" i="25"/>
  <c r="FR56" i="28" l="1"/>
  <c r="FP59" i="28"/>
  <c r="FS56" i="28"/>
  <c r="FQ59" i="28"/>
  <c r="HI56" i="25"/>
  <c r="HG59" i="25"/>
  <c r="FS59" i="28" l="1"/>
  <c r="FU56" i="28"/>
  <c r="FR59" i="28"/>
  <c r="FT56" i="28"/>
  <c r="HK56" i="25"/>
  <c r="HI59" i="25"/>
  <c r="FV56" i="28" l="1"/>
  <c r="FT59" i="28"/>
  <c r="FW56" i="28"/>
  <c r="FU59" i="28"/>
  <c r="HM56" i="25"/>
  <c r="HK59" i="25"/>
  <c r="FX56" i="28" l="1"/>
  <c r="FV59" i="28"/>
  <c r="FY56" i="28"/>
  <c r="FW59" i="28"/>
  <c r="HO56" i="25"/>
  <c r="HM59" i="25"/>
  <c r="FZ56" i="28" l="1"/>
  <c r="FX59" i="28"/>
  <c r="GA56" i="28"/>
  <c r="FY59" i="28"/>
  <c r="HQ56" i="25"/>
  <c r="HO59" i="25"/>
  <c r="GB56" i="28" l="1"/>
  <c r="FZ59" i="28"/>
  <c r="GC56" i="28"/>
  <c r="GA59" i="28"/>
  <c r="HS56" i="25"/>
  <c r="HQ59" i="25"/>
  <c r="GD56" i="28" l="1"/>
  <c r="GB59" i="28"/>
  <c r="GE56" i="28"/>
  <c r="GC59" i="28"/>
  <c r="HU56" i="25"/>
  <c r="HS59" i="25"/>
  <c r="GD59" i="28" l="1"/>
  <c r="GF56" i="28"/>
  <c r="GE59" i="28"/>
  <c r="GG56" i="28"/>
  <c r="HW56" i="25"/>
  <c r="HU59" i="25"/>
  <c r="GI56" i="28" l="1"/>
  <c r="GG59" i="28"/>
  <c r="GH56" i="28"/>
  <c r="GF59" i="28"/>
  <c r="HY56" i="25"/>
  <c r="HW59" i="25"/>
  <c r="GK56" i="28" l="1"/>
  <c r="GI59" i="28"/>
  <c r="GJ56" i="28"/>
  <c r="GH59" i="28"/>
  <c r="IA56" i="25"/>
  <c r="HY59" i="25"/>
  <c r="GL56" i="28" l="1"/>
  <c r="GJ59" i="28"/>
  <c r="GM56" i="28"/>
  <c r="GK59" i="28"/>
  <c r="IC56" i="25"/>
  <c r="IA59" i="25"/>
  <c r="GN56" i="28" l="1"/>
  <c r="GL59" i="28"/>
  <c r="GO56" i="28"/>
  <c r="GM59" i="28"/>
  <c r="IE56" i="25"/>
  <c r="IC59" i="25"/>
  <c r="GQ56" i="28" l="1"/>
  <c r="GO59" i="28"/>
  <c r="GP56" i="28"/>
  <c r="GN59" i="28"/>
  <c r="IG56" i="25"/>
  <c r="IE59" i="25"/>
  <c r="GQ59" i="28" l="1"/>
  <c r="GS56" i="28"/>
  <c r="GP59" i="28"/>
  <c r="GR56" i="28"/>
  <c r="II56" i="25"/>
  <c r="IG59" i="25"/>
  <c r="GU56" i="28" l="1"/>
  <c r="GS59" i="28"/>
  <c r="GT56" i="28"/>
  <c r="GR59" i="28"/>
  <c r="IK56" i="25"/>
  <c r="II59" i="25"/>
  <c r="GW56" i="28" l="1"/>
  <c r="GU59" i="28"/>
  <c r="GV56" i="28"/>
  <c r="GT59" i="28"/>
  <c r="IM56" i="25"/>
  <c r="IO56" i="25" s="1"/>
  <c r="IQ56" i="25" s="1"/>
  <c r="IS56" i="25" s="1"/>
  <c r="IU56" i="25" s="1"/>
  <c r="IK59" i="25"/>
  <c r="H17" i="23"/>
  <c r="J17" i="23" s="1"/>
  <c r="K17" i="23" s="1"/>
  <c r="L17" i="23" s="1"/>
  <c r="H16" i="23"/>
  <c r="J16" i="23" s="1"/>
  <c r="K16" i="23" s="1"/>
  <c r="L16" i="23" s="1"/>
  <c r="H15" i="23"/>
  <c r="J15" i="23" s="1"/>
  <c r="K15" i="23" s="1"/>
  <c r="L15" i="23" s="1"/>
  <c r="H13" i="23"/>
  <c r="J13" i="23" s="1"/>
  <c r="K13" i="23" s="1"/>
  <c r="L13" i="23" s="1"/>
  <c r="H14" i="23"/>
  <c r="J14" i="23" s="1"/>
  <c r="K14" i="23" s="1"/>
  <c r="L14" i="23" s="1"/>
  <c r="H12" i="23"/>
  <c r="J12" i="23" s="1"/>
  <c r="H18" i="23"/>
  <c r="J18" i="23" s="1"/>
  <c r="K18" i="23" s="1"/>
  <c r="L18" i="23" s="1"/>
  <c r="M24" i="23"/>
  <c r="M25" i="23" s="1"/>
  <c r="M26" i="23" s="1"/>
  <c r="M27" i="23" s="1"/>
  <c r="GY56" i="28" l="1"/>
  <c r="GW59" i="28"/>
  <c r="GX56" i="28"/>
  <c r="GV59" i="28"/>
  <c r="M16" i="23"/>
  <c r="N16" i="23" s="1"/>
  <c r="M17" i="23"/>
  <c r="N17" i="23" s="1"/>
  <c r="M15" i="23"/>
  <c r="N15" i="23" s="1"/>
  <c r="M13" i="23"/>
  <c r="N13" i="23" s="1"/>
  <c r="M14" i="23"/>
  <c r="N14" i="23" s="1"/>
  <c r="M18" i="23"/>
  <c r="N18" i="23" s="1"/>
  <c r="HA56" i="28" l="1"/>
  <c r="GY59" i="28"/>
  <c r="GZ56" i="28"/>
  <c r="GX59" i="28"/>
  <c r="M21" i="23"/>
  <c r="S14" i="26" l="1"/>
  <c r="O13" i="28"/>
  <c r="Q13" i="28" s="1"/>
  <c r="HC56" i="28"/>
  <c r="HA59" i="28"/>
  <c r="HB56" i="28"/>
  <c r="GZ59" i="28"/>
  <c r="O13" i="25"/>
  <c r="Q13" i="25" s="1"/>
  <c r="Q15" i="25" s="1"/>
  <c r="N15" i="25" s="1"/>
  <c r="Q20" i="25" s="1"/>
  <c r="HC59" i="28" l="1"/>
  <c r="HE56" i="28"/>
  <c r="HB59" i="28"/>
  <c r="HD56" i="28"/>
  <c r="HF56" i="28" l="1"/>
  <c r="HD59" i="28"/>
  <c r="HG56" i="28"/>
  <c r="HE59" i="28"/>
  <c r="HH56" i="28" l="1"/>
  <c r="HF59" i="28"/>
  <c r="HI56" i="28"/>
  <c r="HG59" i="28"/>
  <c r="HJ56" i="28" l="1"/>
  <c r="HH59" i="28"/>
  <c r="HK56" i="28"/>
  <c r="HI59" i="28"/>
  <c r="HM56" i="28" l="1"/>
  <c r="HK59" i="28"/>
  <c r="HL56" i="28"/>
  <c r="HJ59" i="28"/>
  <c r="HO56" i="28" l="1"/>
  <c r="HM59" i="28"/>
  <c r="HN56" i="28"/>
  <c r="HL59" i="28"/>
  <c r="HN59" i="28" l="1"/>
  <c r="HP56" i="28"/>
  <c r="HO59" i="28"/>
  <c r="HQ56" i="28"/>
  <c r="HS56" i="28" l="1"/>
  <c r="HQ59" i="28"/>
  <c r="HR56" i="28"/>
  <c r="HP59" i="28"/>
  <c r="HT56" i="28" l="1"/>
  <c r="HR59" i="28"/>
  <c r="HU56" i="28"/>
  <c r="HS59" i="28"/>
  <c r="HW56" i="28" l="1"/>
  <c r="HU59" i="28"/>
  <c r="HV56" i="28"/>
  <c r="HT59" i="28"/>
  <c r="HX56" i="28" l="1"/>
  <c r="HV59" i="28"/>
  <c r="HY56" i="28"/>
  <c r="HW59" i="28"/>
  <c r="IA56" i="28" l="1"/>
  <c r="HY59" i="28"/>
  <c r="HZ56" i="28"/>
  <c r="HX59" i="28"/>
  <c r="IA59" i="28" l="1"/>
  <c r="IC56" i="28"/>
  <c r="HZ59" i="28"/>
  <c r="IB56" i="28"/>
  <c r="IE56" i="28" l="1"/>
  <c r="IC59" i="28"/>
  <c r="ID56" i="28"/>
  <c r="IB59" i="28"/>
  <c r="IG56" i="28" l="1"/>
  <c r="IE59" i="28"/>
  <c r="IF56" i="28"/>
  <c r="ID59" i="28"/>
  <c r="IH56" i="28" l="1"/>
  <c r="IF59" i="28"/>
  <c r="II56" i="28"/>
  <c r="IG59" i="28"/>
  <c r="IK56" i="28" l="1"/>
  <c r="II59" i="28"/>
  <c r="IJ56" i="28"/>
  <c r="IH59" i="28"/>
  <c r="IL56" i="28" l="1"/>
  <c r="IJ59" i="28"/>
  <c r="IM56" i="28"/>
  <c r="IO56" i="28" s="1"/>
  <c r="IQ56" i="28" s="1"/>
  <c r="IS56" i="28" s="1"/>
  <c r="IU56" i="28" s="1"/>
  <c r="IK59" i="28"/>
  <c r="IL59" i="28" l="1"/>
  <c r="IN56" i="28"/>
  <c r="IP56" i="28" s="1"/>
  <c r="IR56" i="28" s="1"/>
  <c r="IT56" i="28" s="1"/>
</calcChain>
</file>

<file path=xl/sharedStrings.xml><?xml version="1.0" encoding="utf-8"?>
<sst xmlns="http://schemas.openxmlformats.org/spreadsheetml/2006/main" count="480" uniqueCount="271">
  <si>
    <t>TOTAL</t>
  </si>
  <si>
    <t>VALOR COMERCIAL</t>
  </si>
  <si>
    <t xml:space="preserve">ARANCEL PARA PAGO A UNIDADES DE VALUACIÓN Y COBRO A EMPLEADOS </t>
  </si>
  <si>
    <t>AVALUOS DE INMUEBLES</t>
  </si>
  <si>
    <t xml:space="preserve">Base: </t>
  </si>
  <si>
    <t>Sobre el valor real del bien valuado</t>
  </si>
  <si>
    <t>Cuota Mínima</t>
  </si>
  <si>
    <t>$ 1413.00 (IVA Incluído)</t>
  </si>
  <si>
    <t>MAS CUOTA FIJA</t>
  </si>
  <si>
    <t>RANGO DE</t>
  </si>
  <si>
    <t>LIMITE</t>
  </si>
  <si>
    <t>CUOTA</t>
  </si>
  <si>
    <t>TASA</t>
  </si>
  <si>
    <t>DIF. * TASA</t>
  </si>
  <si>
    <t>(VALOR DEL AVALUO)</t>
  </si>
  <si>
    <t>LIMITE INFERIOR</t>
  </si>
  <si>
    <t>LIMITE SUPERIOR</t>
  </si>
  <si>
    <t>FIJA</t>
  </si>
  <si>
    <t>MARGINAL</t>
  </si>
  <si>
    <t>INFERIOR</t>
  </si>
  <si>
    <t>DIFERENCIA</t>
  </si>
  <si>
    <t>más CUOTA FIJA</t>
  </si>
  <si>
    <t>IVA</t>
  </si>
  <si>
    <t>Para poder determinar el costo total del avalúo se tiene que realizar el siguiente proceso:</t>
  </si>
  <si>
    <t>1.- Al valor comercial del avalúo le restamos el valor inferior ya establecido en esta tabla,</t>
  </si>
  <si>
    <t>2.- Como resultado tendremos una diferencia la cual multiplicamos por la cuota marginal ya establecida,</t>
  </si>
  <si>
    <t>3.- A dicho resultado se le sumará la cuota fija ya establecida, la cual nos arrojará el importe del avalúo, a eso restarle 10% de descuento</t>
  </si>
  <si>
    <t>4.- Por último se agrega el I.V.A. y da como resultado el total de honorarios a pagar.</t>
  </si>
  <si>
    <t xml:space="preserve">tarifa actual/ construcción. </t>
  </si>
  <si>
    <t>Valor concluido</t>
  </si>
  <si>
    <t>Total a pagar C/IVA</t>
  </si>
  <si>
    <t>Valor Inmueble</t>
  </si>
  <si>
    <t>Empleados</t>
  </si>
  <si>
    <t>Mercado Abierto</t>
  </si>
  <si>
    <t>Mercado Abierto - 10% Desc</t>
  </si>
  <si>
    <t>Mercado Abierto - 20% Desc</t>
  </si>
  <si>
    <t>Costo</t>
  </si>
  <si>
    <t>Dif vs Empleado</t>
  </si>
  <si>
    <t>Inferior</t>
  </si>
  <si>
    <t>Difetencia</t>
  </si>
  <si>
    <t>Marginal</t>
  </si>
  <si>
    <t>Mas Cuota Fija</t>
  </si>
  <si>
    <t>HIPOTECARIO</t>
  </si>
  <si>
    <t>FECHA DE EXPEDICIÓN</t>
  </si>
  <si>
    <t>BANCO SANTANDER MEXICO,SOCIEDAD ANONIMA, INSTITUCION DE BANCA MULTIPLE.</t>
  </si>
  <si>
    <t>Grupo Financiero Santander.</t>
  </si>
  <si>
    <t>EMPLEADO</t>
  </si>
  <si>
    <t>CLIENTE EXTERNO</t>
  </si>
  <si>
    <t>FAVOR DE MARCAR CON EL CURSOR LA OPCION CORRESPONDIENTE.</t>
  </si>
  <si>
    <t>NOMBRE</t>
  </si>
  <si>
    <t>PUESTO</t>
  </si>
  <si>
    <t>TEL.</t>
  </si>
  <si>
    <t>ABONAR A CUENTA 92-00061101-1</t>
  </si>
  <si>
    <t>Deposito Referenciado</t>
  </si>
  <si>
    <t>Referencias:</t>
  </si>
  <si>
    <t>Folio CH.</t>
  </si>
  <si>
    <t>Nombre del Solicitante de crédito</t>
  </si>
  <si>
    <t>TIPO DE CRÉDITO</t>
  </si>
  <si>
    <t>UBICACIÓN DEL INMUEBLE A VALUAR</t>
  </si>
  <si>
    <t>DOCUMENTACIÓN QUE SE DEBEN ANEXAR (2 COPIAS)</t>
  </si>
  <si>
    <t>TIPO DE BIEN A VALUAR</t>
  </si>
  <si>
    <t>-BOLETA PREDIAL Y AGUA</t>
  </si>
  <si>
    <t>CALLE</t>
  </si>
  <si>
    <t>-ESCRITURA ó TITULO DE PROPIEDAD</t>
  </si>
  <si>
    <t>NÚMERO</t>
  </si>
  <si>
    <t>-PLANOS ARQUITECTÓNICOS</t>
  </si>
  <si>
    <t>COLONIA</t>
  </si>
  <si>
    <t>ENTIDAD</t>
  </si>
  <si>
    <t>-COMPROBANTE PAGO ANTICIPO</t>
  </si>
  <si>
    <t>DELEG. O MUNICIPIO</t>
  </si>
  <si>
    <t>CIUDAD</t>
  </si>
  <si>
    <t>CÓDIGO POSTAL</t>
  </si>
  <si>
    <t>ENTRE CALLE</t>
  </si>
  <si>
    <t>Y CALLE</t>
  </si>
  <si>
    <t>PERSONA QUE MOSTRARA EL INMUEBLE A VALUAR</t>
  </si>
  <si>
    <t>TELÉFONO 1</t>
  </si>
  <si>
    <t>TELÉFONO 2</t>
  </si>
  <si>
    <t>DATOS DEL SOLICITANTE DEL CRÉDITO</t>
  </si>
  <si>
    <t>DATOS DEL PROPIETARIO Y DEL INMUEBLE A VALUAR</t>
  </si>
  <si>
    <t>DOMICILIO</t>
  </si>
  <si>
    <t>ENTIDAD FEDERATIVA (ESTADO)</t>
  </si>
  <si>
    <t>TELEFONOS</t>
  </si>
  <si>
    <t>CORREO ELECTRÓNICO</t>
  </si>
  <si>
    <t>DATOS DE LA UNIDAD DE VALUACIÓN ASIGNADA</t>
  </si>
  <si>
    <t>NOMBRE (Razón Social).</t>
  </si>
  <si>
    <t>CIUDAD.</t>
  </si>
  <si>
    <t>TELÉFONOS</t>
  </si>
  <si>
    <t>COMENTARIOS ADICIONALES:</t>
  </si>
  <si>
    <t xml:space="preserve">NOTAS: </t>
  </si>
  <si>
    <t>1.-</t>
  </si>
  <si>
    <t>PARA ATENDER LA PRESENTE SOLICITUD, ES NECESARIO PROPORCIONAR LOS DATOS ANTES REQUERIDOS, EL NOMBRE Y FIRMA DEL SOLICITANTE.</t>
  </si>
  <si>
    <t>LA FALTA DE INFORMACIÓN Y/O FIRMA DEL SOLICITANTE SERÁN CAUSA DE SUSPENSIÓN DE SU ATENCIÓN.</t>
  </si>
  <si>
    <t>2.-</t>
  </si>
  <si>
    <t>EN CASO DE GENERARSE GASTOS POR CONCEPTOS DE VIÁTICOS Y TRASLADOS, ESTOS SERÁN CON CARGO AL SOLICITANTE.</t>
  </si>
  <si>
    <t>FIRMA SOLICITANTE DEL AVALÚO.</t>
  </si>
  <si>
    <t>EN CASO DE QUE EL MONTO DEL ANTICIPO A QUE SE REFIERE LA PRESENTE SOLICITUD NO SEA SUFICIENTE PARA CUBRIR EL TOTAL DEL PAGO DE LOS HONORARIOS POR LA ELABORACIÓN DEL AVALÚO Y DE QUE EN LA CUENTA DE CHEQUES QUE TENGO ABIERTA EN BANCO SANTANDER SOCIEDAD ANÓNIMA, CUENTE CON LOS FONDOS SUFICIENTES PARA CUBRIR LA DIFERENCIA EXISTENTE, EN ESTE ACTO AUTORIZO A BANCO SANTANDER SOCIEDAD ANÓNIMA PARA CARGAR EN MI CUENTA DE CHEQUES LA DIFERENCIA QUE EXISTA ENTRE EL MONTO DEL ANTICIPO Y LOS HONORARIOS DEL AVALÚO.</t>
  </si>
  <si>
    <t>EN ESTE ACTO AUTORIZO A BANCO SANTANDER (MEXICO),SOCIEDAD ANONIMA, INSTITUCION DE BANCA MULTIPLE/SANTANDER HIPOTECARIO, S.A. DE C.V. SOFOM ER. A QUE A TRAVES DE LA EMPRESA QUE DESIGNE SE LLEVE A CABO EL PAGO PARA LA GENERACIÓN DE LA CLAVE UNICA DE VIVIENDA (CUV) NECESARIA PARA MI CREDITO.</t>
  </si>
  <si>
    <t>CASA SOLA</t>
  </si>
  <si>
    <t>tipo</t>
  </si>
  <si>
    <t>requisitos</t>
  </si>
  <si>
    <t>OTROS</t>
  </si>
  <si>
    <t>PROCEDE O NO</t>
  </si>
  <si>
    <t>CASA EN CONDOMINIO</t>
  </si>
  <si>
    <t>INMOBILIARIO</t>
  </si>
  <si>
    <t>CONOCER EL VALOR Y/O RENTA</t>
  </si>
  <si>
    <t>FOTOGRAFÍAS</t>
  </si>
  <si>
    <t>EN EL ESTADO EN QUE SE ENCUENTRA</t>
  </si>
  <si>
    <t>DEPARTAMENTO</t>
  </si>
  <si>
    <t>1+4</t>
  </si>
  <si>
    <t>MAQUINARIA Y EQUIPO</t>
  </si>
  <si>
    <t>AUXILIAR COMPRA O VENTA</t>
  </si>
  <si>
    <t>CROQUIS DE LOCALIZACION</t>
  </si>
  <si>
    <t>COMPLETAMENTE TERMINADO</t>
  </si>
  <si>
    <t>TERRENO</t>
  </si>
  <si>
    <t>AGROPECUARIO</t>
  </si>
  <si>
    <t>DETERMINAR BASE GRAVABLE</t>
  </si>
  <si>
    <t>AVALÚO DE OTRO BANCO</t>
  </si>
  <si>
    <t>OBRAS DE ARTE</t>
  </si>
  <si>
    <t>DAR EN GARANTIA</t>
  </si>
  <si>
    <t>NINGUNO</t>
  </si>
  <si>
    <t>VEHICULOS TERRESTRES</t>
  </si>
  <si>
    <t>RECIBIR O DAR EN PAGO</t>
  </si>
  <si>
    <t>PLANOS</t>
  </si>
  <si>
    <t>VEHICULOS AÉREOS</t>
  </si>
  <si>
    <t>ANALIZAR UN PROYECTO</t>
  </si>
  <si>
    <t>NO</t>
  </si>
  <si>
    <t>SI</t>
  </si>
  <si>
    <t>VEHICULOS MARÍTIMOS</t>
  </si>
  <si>
    <t>CRÉDITO HIPOTECARIO</t>
  </si>
  <si>
    <t>TABLA DE CALCULO PARA EMPLEADOS (NO BORRAR)</t>
  </si>
  <si>
    <t>OTRO</t>
  </si>
  <si>
    <t>ADQUISICIÓN // LIQUIDEZ</t>
  </si>
  <si>
    <t>ADQUISICIÓN CON APOYO INFONAVIT</t>
  </si>
  <si>
    <t>CONDOMINIO</t>
  </si>
  <si>
    <t>SUSTITUCIÓN DE HIPOTECA</t>
  </si>
  <si>
    <t>PRIVADO</t>
  </si>
  <si>
    <t>MEJORA DE CONDICIONES</t>
  </si>
  <si>
    <t>REQUISITOS</t>
  </si>
  <si>
    <t>HIPOTECA INTEGRAL</t>
  </si>
  <si>
    <t>Valor</t>
  </si>
  <si>
    <t>salida</t>
  </si>
  <si>
    <t>REMODELACIÓN, AMPLIACIÓN O MEJORAS</t>
  </si>
  <si>
    <t>AVALÚOS DE INMUEBLES</t>
  </si>
  <si>
    <t>AVALÚOS AGROPECUARIOS</t>
  </si>
  <si>
    <t>TERMINACION DE OBRA</t>
  </si>
  <si>
    <t>Base:</t>
  </si>
  <si>
    <t>Sobre el valor real del bien valuado.</t>
  </si>
  <si>
    <t>ADQUISICION COFINAVIT</t>
  </si>
  <si>
    <t>Cuota mínima:</t>
  </si>
  <si>
    <t>más I.V.A.</t>
  </si>
  <si>
    <t>CREDITO DE CONSTRUCCION</t>
  </si>
  <si>
    <t>Rango</t>
  </si>
  <si>
    <t xml:space="preserve">Límite </t>
  </si>
  <si>
    <t>Cuota</t>
  </si>
  <si>
    <t>Tasa</t>
  </si>
  <si>
    <t>CRED. CONSTR. Y ADQ. TERRENO</t>
  </si>
  <si>
    <t>de valor</t>
  </si>
  <si>
    <t>Superior</t>
  </si>
  <si>
    <t>fija</t>
  </si>
  <si>
    <t>marginal *</t>
  </si>
  <si>
    <t>-PRESUPUESTO DESGLOSADO Y PROGRAMA DE OBRA</t>
  </si>
  <si>
    <t>NO BORRAR</t>
  </si>
  <si>
    <t>-LICENCIA DE CONSTRUCCIÓN</t>
  </si>
  <si>
    <t>A</t>
  </si>
  <si>
    <t>B</t>
  </si>
  <si>
    <t>TARIFA</t>
  </si>
  <si>
    <t>REGIMEN DE CONDOMINIO o PROYECTO DE REGIMEN</t>
  </si>
  <si>
    <t>(incluyendo cortes y fachadas)</t>
  </si>
  <si>
    <t>ESTADO DE CUENTA DEL VENDEDOR</t>
  </si>
  <si>
    <t>ULTIMO TALON DE PAGO DEL (LOS) ACREDITADO (S)</t>
  </si>
  <si>
    <t>C</t>
  </si>
  <si>
    <t>CRED. HIP.</t>
  </si>
  <si>
    <t>(Señalando superficies, medidas, colindancias e indiviso)</t>
  </si>
  <si>
    <t>PRESUPUESTO DESGLOSADO POR PARTIDA Y CALENDARIO DE OBRA</t>
  </si>
  <si>
    <t>CLAVE UNICA DE VIVIENDA (en caso de vivienda nueva)</t>
  </si>
  <si>
    <t>D</t>
  </si>
  <si>
    <t>DEPENDIENDO DEL</t>
  </si>
  <si>
    <t>E</t>
  </si>
  <si>
    <t>AL MILLAR</t>
  </si>
  <si>
    <t>al millar</t>
  </si>
  <si>
    <t>del valor</t>
  </si>
  <si>
    <t>por unidad</t>
  </si>
  <si>
    <t>OBJETO A VALUAR</t>
  </si>
  <si>
    <t>F</t>
  </si>
  <si>
    <t>G</t>
  </si>
  <si>
    <t>en adelante</t>
  </si>
  <si>
    <t>G**</t>
  </si>
  <si>
    <t>DIAS HABILES</t>
  </si>
  <si>
    <t>AVALÚOS PARA CRÉDITO HIPOTECARIO (EXCEPTO DE LIQUIDEZ)</t>
  </si>
  <si>
    <t>AVALÚOS DE MAQUINARIA Y EQUIPO</t>
  </si>
  <si>
    <t>12 DIAS HABILES</t>
  </si>
  <si>
    <t>20 DIAS HABILES</t>
  </si>
  <si>
    <t>15 DIAS HABILES</t>
  </si>
  <si>
    <t>10 DIAS HABILES</t>
  </si>
  <si>
    <t>no causa I.V.A.</t>
  </si>
  <si>
    <t>pago minimo</t>
  </si>
  <si>
    <t>ANTICIPO</t>
  </si>
  <si>
    <t>comprobacion</t>
  </si>
  <si>
    <t>verificado</t>
  </si>
  <si>
    <t xml:space="preserve">NO LO </t>
  </si>
  <si>
    <t>MONTO</t>
  </si>
  <si>
    <t>OCUPO</t>
  </si>
  <si>
    <t>¡ZAZ!</t>
  </si>
  <si>
    <t>APLICABLE</t>
  </si>
  <si>
    <t>RESIDENCIA TIPO ALTO</t>
  </si>
  <si>
    <t>AUTOMOVIL</t>
  </si>
  <si>
    <t>CASA SOLA TIPO MEDIO</t>
  </si>
  <si>
    <t>AUTOBUS</t>
  </si>
  <si>
    <t>CAMION</t>
  </si>
  <si>
    <t>TRAILER</t>
  </si>
  <si>
    <t>VIVIENDA DE INTERES SOCIAL</t>
  </si>
  <si>
    <t>TRAXCAVO</t>
  </si>
  <si>
    <t>VIVIENDA POPULAR</t>
  </si>
  <si>
    <t>BULLDOZER</t>
  </si>
  <si>
    <t>HOTEL</t>
  </si>
  <si>
    <t>HELICOPTERO</t>
  </si>
  <si>
    <t>CENTRO COMERCIAL</t>
  </si>
  <si>
    <t>AVION</t>
  </si>
  <si>
    <t>LOCAL COMERCIAL</t>
  </si>
  <si>
    <t>AVIONETA</t>
  </si>
  <si>
    <t>VIVIENDA CON COMERCIO</t>
  </si>
  <si>
    <t>AEROPLANO</t>
  </si>
  <si>
    <t>OFICINAS</t>
  </si>
  <si>
    <t>VELETA</t>
  </si>
  <si>
    <t>VIVIENDA CON OFICINAS</t>
  </si>
  <si>
    <t>BARCO</t>
  </si>
  <si>
    <t>BODEGA</t>
  </si>
  <si>
    <t>LANCHA</t>
  </si>
  <si>
    <t>NAVE INDUSTRIAL</t>
  </si>
  <si>
    <t xml:space="preserve">TRANVIA </t>
  </si>
  <si>
    <t>TERRENO BALDIO</t>
  </si>
  <si>
    <t>FERROCARRIL</t>
  </si>
  <si>
    <t>TERRENO EJIDAL</t>
  </si>
  <si>
    <t>TREN</t>
  </si>
  <si>
    <t>TERRENO INDUSTRIAL</t>
  </si>
  <si>
    <t>TERRENO AGROPECUARIO</t>
  </si>
  <si>
    <t>GASOLINERIA</t>
  </si>
  <si>
    <t>CEMENTERIO</t>
  </si>
  <si>
    <t>IGLESIA</t>
  </si>
  <si>
    <t>ADQ. TERRENO</t>
  </si>
  <si>
    <t>RANGO DE VALOR VIVIENDA</t>
  </si>
  <si>
    <t>PROPUESTA COBRO MERCADO ABIERTO</t>
  </si>
  <si>
    <t>menos de 500,000</t>
  </si>
  <si>
    <t>de 500,001 a 1,000,000</t>
  </si>
  <si>
    <t>de 1,000,001 a 1,500,000</t>
  </si>
  <si>
    <t>de 1,500,001 a 2,000,000</t>
  </si>
  <si>
    <t>de 2,000,001 a 2,500,000</t>
  </si>
  <si>
    <t>de 2,500,001 a 3,000,000</t>
  </si>
  <si>
    <t>de 3,000,001 a 3,500,000</t>
  </si>
  <si>
    <t>mas de 10,000,000</t>
  </si>
  <si>
    <t>de 3,500,001 a 4,000,000</t>
  </si>
  <si>
    <t>de 4,000,001 a 4,500,000</t>
  </si>
  <si>
    <t>de 4,500,001 a 5,500,000</t>
  </si>
  <si>
    <t>de 5,500,001 a 6,000,000</t>
  </si>
  <si>
    <t>de 6,000,001 a 6,500,000</t>
  </si>
  <si>
    <t>de 8,000,001 a 10,000,000</t>
  </si>
  <si>
    <t>de 6,500,001 a 8,000,000</t>
  </si>
  <si>
    <t>HIPOTECA FREE</t>
  </si>
  <si>
    <t>TIPO</t>
  </si>
  <si>
    <t>EMAIL.</t>
  </si>
  <si>
    <t>NÚMERO EXT.</t>
  </si>
  <si>
    <t>INTERIOR.</t>
  </si>
  <si>
    <t>CALCULA EL HONORARIO:</t>
  </si>
  <si>
    <t>EL VALOR DEL INMUEBLE ESTA ENTRE:</t>
  </si>
  <si>
    <r>
      <t>RIES-046</t>
    </r>
    <r>
      <rPr>
        <sz val="5"/>
        <rFont val="Arial"/>
        <family val="2"/>
      </rPr>
      <t xml:space="preserve"> (052025)</t>
    </r>
  </si>
  <si>
    <t>kdghsh</t>
  </si>
  <si>
    <t>ssdsfdff</t>
  </si>
  <si>
    <t>sd</t>
  </si>
  <si>
    <t>sdd</t>
  </si>
  <si>
    <t>sdsd</t>
  </si>
  <si>
    <t>sdffrff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</si>
</sst>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$-80A]#,##0.00"/>
    <numFmt numFmtId="165" formatCode="_(* #,##0.00_);_(* \(#,##0.00\);_(* &quot;-&quot;??_);_(@_)"/>
    <numFmt numFmtId="166" formatCode="#,##0.000000_);\(#,##0.000000\)"/>
    <numFmt numFmtId="167" formatCode="_-* #,##0.00\ _$_-;\-* #,##0.00\ _$_-;_-* &quot;-&quot;??\ _$_-;_-@_-"/>
    <numFmt numFmtId="168" formatCode="_(* #,##0.0000000_);_(* \(#,##0.0000000\);_(* &quot;-&quot;??_);_(@_)"/>
    <numFmt numFmtId="169" formatCode="_(* #,##0_);_(* \(#,##0\);_(* &quot;-&quot;??_);_(@_)"/>
    <numFmt numFmtId="170" formatCode="_-* #,##0.00\ &quot;$&quot;_-;\-* #,##0.00\ &quot;$&quot;_-;_-* &quot;-&quot;??\ &quot;$&quot;_-;_-@_-"/>
    <numFmt numFmtId="171" formatCode="_-* #,##0_-;\-* #,##0_-;_-* &quot;-&quot;??_-;_-@_-"/>
    <numFmt numFmtId="172" formatCode="&quot;$&quot;#,##0.00"/>
    <numFmt numFmtId="173" formatCode="00\-00000000\-00000"/>
    <numFmt numFmtId="174" formatCode="#####\-########"/>
    <numFmt numFmtId="175" formatCode="dd\-mm\-yy;@"/>
    <numFmt numFmtId="176" formatCode="0.000%"/>
    <numFmt numFmtId="177" formatCode="&quot;$&quot;#,##0_);\(&quot;$&quot;#,##0\)"/>
    <numFmt numFmtId="178" formatCode="_(&quot;$&quot;* #,##0.00_);_(&quot;$&quot;* \(#,##0.00\);_(&quot;$&quot;* &quot;-&quot;??_);_(@_)"/>
    <numFmt numFmtId="179" formatCode="0.0"/>
  </numFmts>
  <fonts count="8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0"/>
      <name val="MS Sans Serif"/>
      <family val="2"/>
    </font>
    <font>
      <sz val="10"/>
      <name val="MS Sans Serif"/>
      <family val="2"/>
    </font>
    <font>
      <sz val="10"/>
      <color indexed="9"/>
      <name val="MS Sans Serif"/>
      <family val="2"/>
    </font>
    <font>
      <b/>
      <sz val="10"/>
      <color indexed="10"/>
      <name val="MS Sans Serif"/>
      <family val="2"/>
    </font>
    <font>
      <b/>
      <sz val="10"/>
      <color indexed="12"/>
      <name val="MS Sans Serif"/>
      <family val="2"/>
    </font>
    <font>
      <b/>
      <sz val="10"/>
      <color indexed="9"/>
      <name val="MS Sans Serif"/>
      <family val="2"/>
    </font>
    <font>
      <b/>
      <sz val="10"/>
      <color rgb="FF0000FF"/>
      <name val="MS Sans Serif"/>
      <family val="2"/>
    </font>
    <font>
      <b/>
      <sz val="15"/>
      <color indexed="56"/>
      <name val="Calibri"/>
      <family val="2"/>
    </font>
    <font>
      <sz val="10"/>
      <color rgb="FF0000FF"/>
      <name val="MS Sans Serif"/>
      <family val="2"/>
    </font>
    <font>
      <b/>
      <sz val="9"/>
      <name val="Century Gothic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10"/>
      <color indexed="9"/>
      <name val="Arial"/>
      <family val="2"/>
    </font>
    <font>
      <b/>
      <sz val="8"/>
      <color indexed="9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7"/>
      <color rgb="FFFF0000"/>
      <name val="Arial"/>
      <family val="2"/>
    </font>
    <font>
      <b/>
      <sz val="10"/>
      <color rgb="FFFF0000"/>
      <name val="Arial"/>
      <family val="2"/>
    </font>
    <font>
      <sz val="8"/>
      <color indexed="9"/>
      <name val="Arial"/>
      <family val="2"/>
    </font>
    <font>
      <sz val="8"/>
      <color rgb="FFFF0000"/>
      <name val="Arial"/>
      <family val="2"/>
    </font>
    <font>
      <b/>
      <i/>
      <sz val="10"/>
      <color indexed="10"/>
      <name val="Arial"/>
      <family val="2"/>
    </font>
    <font>
      <b/>
      <sz val="9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b/>
      <sz val="9"/>
      <color rgb="FFFF0000"/>
      <name val="Arial"/>
      <family val="2"/>
    </font>
    <font>
      <sz val="10"/>
      <color indexed="18"/>
      <name val="Arial"/>
      <family val="2"/>
    </font>
    <font>
      <sz val="7"/>
      <name val="Arial"/>
      <family val="2"/>
    </font>
    <font>
      <sz val="8"/>
      <color theme="0"/>
      <name val="Arial"/>
      <family val="2"/>
    </font>
    <font>
      <u/>
      <sz val="10"/>
      <color indexed="12"/>
      <name val="Arial"/>
      <family val="2"/>
    </font>
    <font>
      <u/>
      <sz val="8"/>
      <color indexed="12"/>
      <name val="Arial"/>
      <family val="2"/>
    </font>
    <font>
      <sz val="8"/>
      <color indexed="26"/>
      <name val="Arial"/>
      <family val="2"/>
    </font>
    <font>
      <sz val="1"/>
      <color indexed="9"/>
      <name val="Arial"/>
      <family val="2"/>
    </font>
    <font>
      <b/>
      <sz val="7"/>
      <name val="Arial"/>
      <family val="2"/>
    </font>
    <font>
      <sz val="7.5"/>
      <name val="Arial"/>
      <family val="2"/>
    </font>
    <font>
      <b/>
      <sz val="18"/>
      <color rgb="FFFF0000"/>
      <name val="Arial"/>
      <family val="2"/>
    </font>
    <font>
      <sz val="18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8"/>
      <color indexed="50"/>
      <name val="Arial"/>
      <family val="2"/>
    </font>
    <font>
      <b/>
      <sz val="10"/>
      <color indexed="17"/>
      <name val="Arial"/>
      <family val="2"/>
    </font>
    <font>
      <b/>
      <i/>
      <sz val="8"/>
      <name val="Arial"/>
      <family val="2"/>
    </font>
    <font>
      <sz val="8"/>
      <color indexed="17"/>
      <name val="Arial"/>
      <family val="2"/>
    </font>
    <font>
      <b/>
      <sz val="10"/>
      <color indexed="9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10"/>
      <color theme="3"/>
      <name val="Arial"/>
      <family val="2"/>
    </font>
    <font>
      <sz val="10"/>
      <color theme="3"/>
      <name val="Arial"/>
      <family val="2"/>
    </font>
    <font>
      <sz val="8"/>
      <color theme="3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7"/>
      <color theme="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11"/>
      <color theme="0"/>
      <name val="Arial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sz val="9"/>
      <color theme="0"/>
      <name val="Arial"/>
      <family val="2"/>
    </font>
    <font>
      <b/>
      <sz val="12"/>
      <color theme="0"/>
      <name val="Arial"/>
      <family val="2"/>
    </font>
    <font>
      <b/>
      <sz val="9.5"/>
      <color rgb="FFFF0000"/>
      <name val="Arial"/>
      <family val="2"/>
    </font>
    <font>
      <sz val="9.5"/>
      <name val="Arial"/>
      <family val="2"/>
    </font>
    <font>
      <b/>
      <sz val="6"/>
      <color rgb="FFFF0000"/>
      <name val="Arial"/>
      <family val="2"/>
    </font>
    <font>
      <b/>
      <sz val="6"/>
      <color rgb="FFFF0000"/>
      <name val="Calibri"/>
      <family val="2"/>
      <scheme val="minor"/>
    </font>
    <font>
      <sz val="12"/>
      <name val="Arial"/>
      <family val="2"/>
    </font>
    <font>
      <b/>
      <sz val="11"/>
      <color rgb="FFFF0000"/>
      <name val="Arial"/>
      <family val="2"/>
    </font>
    <font>
      <sz val="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8"/>
        <bgColor indexed="9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50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indexed="64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14" fillId="0" borderId="0" applyBorder="0">
      <alignment horizontal="center"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8">
    <xf numFmtId="0" fontId="0" fillId="0" borderId="0" xfId="0"/>
    <xf numFmtId="0" fontId="2" fillId="0" borderId="0" xfId="2"/>
    <xf numFmtId="0" fontId="3" fillId="0" borderId="0" xfId="2" applyFont="1" applyAlignment="1">
      <alignment horizontal="center"/>
    </xf>
    <xf numFmtId="164" fontId="4" fillId="0" borderId="0" xfId="2" applyNumberFormat="1" applyFont="1"/>
    <xf numFmtId="0" fontId="5" fillId="0" borderId="9" xfId="2" applyFont="1" applyBorder="1"/>
    <xf numFmtId="0" fontId="5" fillId="0" borderId="8" xfId="2" applyFont="1" applyBorder="1"/>
    <xf numFmtId="0" fontId="2" fillId="0" borderId="8" xfId="2" applyBorder="1"/>
    <xf numFmtId="0" fontId="2" fillId="0" borderId="7" xfId="2" applyBorder="1"/>
    <xf numFmtId="0" fontId="5" fillId="0" borderId="6" xfId="2" applyFont="1" applyBorder="1"/>
    <xf numFmtId="0" fontId="5" fillId="0" borderId="0" xfId="2" applyFont="1"/>
    <xf numFmtId="166" fontId="2" fillId="0" borderId="0" xfId="2" applyNumberFormat="1"/>
    <xf numFmtId="168" fontId="0" fillId="0" borderId="0" xfId="3" applyNumberFormat="1" applyFont="1" applyBorder="1"/>
    <xf numFmtId="165" fontId="2" fillId="0" borderId="0" xfId="2" applyNumberFormat="1"/>
    <xf numFmtId="165" fontId="5" fillId="0" borderId="5" xfId="2" applyNumberFormat="1" applyFont="1" applyBorder="1"/>
    <xf numFmtId="0" fontId="2" fillId="0" borderId="5" xfId="2" applyBorder="1"/>
    <xf numFmtId="165" fontId="2" fillId="0" borderId="5" xfId="2" applyNumberFormat="1" applyBorder="1"/>
    <xf numFmtId="0" fontId="2" fillId="0" borderId="0" xfId="2" applyAlignment="1">
      <alignment horizontal="centerContinuous"/>
    </xf>
    <xf numFmtId="0" fontId="2" fillId="0" borderId="6" xfId="2" applyBorder="1"/>
    <xf numFmtId="0" fontId="5" fillId="1" borderId="16" xfId="2" applyFont="1" applyFill="1" applyBorder="1" applyAlignment="1">
      <alignment horizontal="centerContinuous"/>
    </xf>
    <xf numFmtId="0" fontId="5" fillId="1" borderId="18" xfId="2" applyFont="1" applyFill="1" applyBorder="1" applyAlignment="1">
      <alignment horizontal="centerContinuous"/>
    </xf>
    <xf numFmtId="0" fontId="5" fillId="1" borderId="19" xfId="2" applyFont="1" applyFill="1" applyBorder="1" applyAlignment="1">
      <alignment horizontal="centerContinuous"/>
    </xf>
    <xf numFmtId="0" fontId="5" fillId="1" borderId="20" xfId="2" applyFont="1" applyFill="1" applyBorder="1" applyAlignment="1">
      <alignment horizontal="centerContinuous"/>
    </xf>
    <xf numFmtId="0" fontId="5" fillId="1" borderId="16" xfId="2" applyFont="1" applyFill="1" applyBorder="1"/>
    <xf numFmtId="0" fontId="5" fillId="1" borderId="14" xfId="2" applyFont="1" applyFill="1" applyBorder="1" applyAlignment="1">
      <alignment horizontal="centerContinuous"/>
    </xf>
    <xf numFmtId="0" fontId="5" fillId="1" borderId="21" xfId="2" applyFont="1" applyFill="1" applyBorder="1"/>
    <xf numFmtId="0" fontId="5" fillId="1" borderId="10" xfId="2" applyFont="1" applyFill="1" applyBorder="1" applyAlignment="1">
      <alignment horizontal="centerContinuous" wrapText="1"/>
    </xf>
    <xf numFmtId="0" fontId="2" fillId="0" borderId="3" xfId="2" applyBorder="1"/>
    <xf numFmtId="0" fontId="5" fillId="1" borderId="10" xfId="2" applyFont="1" applyFill="1" applyBorder="1" applyAlignment="1">
      <alignment horizontal="centerContinuous"/>
    </xf>
    <xf numFmtId="0" fontId="5" fillId="1" borderId="2" xfId="2" applyFont="1" applyFill="1" applyBorder="1" applyAlignment="1">
      <alignment horizontal="centerContinuous"/>
    </xf>
    <xf numFmtId="0" fontId="5" fillId="1" borderId="1" xfId="2" applyFont="1" applyFill="1" applyBorder="1" applyAlignment="1">
      <alignment horizontal="centerContinuous" wrapText="1"/>
    </xf>
    <xf numFmtId="0" fontId="5" fillId="1" borderId="10" xfId="2" applyFont="1" applyFill="1" applyBorder="1" applyAlignment="1">
      <alignment horizontal="center"/>
    </xf>
    <xf numFmtId="0" fontId="2" fillId="0" borderId="15" xfId="2" applyBorder="1"/>
    <xf numFmtId="169" fontId="6" fillId="0" borderId="15" xfId="3" applyNumberFormat="1" applyFont="1" applyBorder="1"/>
    <xf numFmtId="0" fontId="7" fillId="0" borderId="22" xfId="2" applyFont="1" applyBorder="1"/>
    <xf numFmtId="9" fontId="2" fillId="0" borderId="23" xfId="2" applyNumberFormat="1" applyBorder="1"/>
    <xf numFmtId="169" fontId="8" fillId="0" borderId="15" xfId="3" applyNumberFormat="1" applyFont="1" applyBorder="1"/>
    <xf numFmtId="169" fontId="5" fillId="1" borderId="15" xfId="2" applyNumberFormat="1" applyFont="1" applyFill="1" applyBorder="1"/>
    <xf numFmtId="169" fontId="5" fillId="1" borderId="22" xfId="2" applyNumberFormat="1" applyFont="1" applyFill="1" applyBorder="1"/>
    <xf numFmtId="169" fontId="9" fillId="2" borderId="24" xfId="3" applyNumberFormat="1" applyFont="1" applyFill="1" applyBorder="1"/>
    <xf numFmtId="167" fontId="10" fillId="3" borderId="23" xfId="3" applyFont="1" applyFill="1" applyBorder="1"/>
    <xf numFmtId="167" fontId="10" fillId="4" borderId="15" xfId="3" applyFont="1" applyFill="1" applyBorder="1"/>
    <xf numFmtId="164" fontId="5" fillId="5" borderId="15" xfId="3" applyNumberFormat="1" applyFont="1" applyFill="1" applyBorder="1"/>
    <xf numFmtId="167" fontId="2" fillId="0" borderId="0" xfId="2" applyNumberFormat="1"/>
    <xf numFmtId="169" fontId="6" fillId="0" borderId="11" xfId="3" applyNumberFormat="1" applyFont="1" applyBorder="1"/>
    <xf numFmtId="0" fontId="2" fillId="0" borderId="11" xfId="2" applyBorder="1"/>
    <xf numFmtId="9" fontId="2" fillId="0" borderId="13" xfId="2" applyNumberFormat="1" applyBorder="1"/>
    <xf numFmtId="169" fontId="8" fillId="0" borderId="11" xfId="3" applyNumberFormat="1" applyFont="1" applyBorder="1"/>
    <xf numFmtId="169" fontId="5" fillId="1" borderId="11" xfId="2" applyNumberFormat="1" applyFont="1" applyFill="1" applyBorder="1"/>
    <xf numFmtId="169" fontId="5" fillId="1" borderId="12" xfId="2" applyNumberFormat="1" applyFont="1" applyFill="1" applyBorder="1"/>
    <xf numFmtId="43" fontId="9" fillId="2" borderId="24" xfId="3" applyNumberFormat="1" applyFont="1" applyFill="1" applyBorder="1"/>
    <xf numFmtId="164" fontId="11" fillId="5" borderId="15" xfId="3" applyNumberFormat="1" applyFont="1" applyFill="1" applyBorder="1"/>
    <xf numFmtId="169" fontId="6" fillId="0" borderId="17" xfId="3" applyNumberFormat="1" applyFont="1" applyBorder="1"/>
    <xf numFmtId="9" fontId="2" fillId="0" borderId="26" xfId="2" applyNumberFormat="1" applyBorder="1"/>
    <xf numFmtId="169" fontId="5" fillId="1" borderId="17" xfId="2" applyNumberFormat="1" applyFont="1" applyFill="1" applyBorder="1"/>
    <xf numFmtId="169" fontId="5" fillId="1" borderId="25" xfId="2" applyNumberFormat="1" applyFont="1" applyFill="1" applyBorder="1"/>
    <xf numFmtId="169" fontId="9" fillId="2" borderId="4" xfId="3" applyNumberFormat="1" applyFont="1" applyFill="1" applyBorder="1"/>
    <xf numFmtId="169" fontId="9" fillId="0" borderId="8" xfId="3" applyNumberFormat="1" applyFont="1" applyFill="1" applyBorder="1"/>
    <xf numFmtId="0" fontId="4" fillId="0" borderId="0" xfId="2" applyFont="1"/>
    <xf numFmtId="0" fontId="12" fillId="0" borderId="0" xfId="2" applyFont="1"/>
    <xf numFmtId="169" fontId="13" fillId="0" borderId="11" xfId="3" applyNumberFormat="1" applyFont="1" applyBorder="1"/>
    <xf numFmtId="43" fontId="2" fillId="0" borderId="0" xfId="7" applyFont="1"/>
    <xf numFmtId="171" fontId="2" fillId="0" borderId="0" xfId="7" applyNumberFormat="1" applyFont="1"/>
    <xf numFmtId="0" fontId="6" fillId="0" borderId="12" xfId="2" applyFont="1" applyBorder="1"/>
    <xf numFmtId="0" fontId="6" fillId="0" borderId="25" xfId="2" applyFont="1" applyBorder="1"/>
    <xf numFmtId="171" fontId="0" fillId="0" borderId="0" xfId="7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/>
    <xf numFmtId="171" fontId="0" fillId="0" borderId="0" xfId="0" applyNumberFormat="1"/>
    <xf numFmtId="0" fontId="17" fillId="0" borderId="0" xfId="0" applyFont="1" applyAlignment="1">
      <alignment horizontal="center" vertical="center"/>
    </xf>
    <xf numFmtId="171" fontId="0" fillId="7" borderId="27" xfId="7" applyNumberFormat="1" applyFont="1" applyFill="1" applyBorder="1" applyAlignment="1">
      <alignment horizontal="center" vertical="center"/>
    </xf>
    <xf numFmtId="171" fontId="0" fillId="7" borderId="28" xfId="7" applyNumberFormat="1" applyFont="1" applyFill="1" applyBorder="1" applyAlignment="1">
      <alignment horizontal="center" vertical="center"/>
    </xf>
    <xf numFmtId="171" fontId="0" fillId="7" borderId="29" xfId="7" applyNumberFormat="1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171" fontId="0" fillId="7" borderId="31" xfId="7" applyNumberFormat="1" applyFont="1" applyFill="1" applyBorder="1" applyAlignment="1">
      <alignment horizontal="center" vertical="center"/>
    </xf>
    <xf numFmtId="171" fontId="0" fillId="7" borderId="32" xfId="7" applyNumberFormat="1" applyFont="1" applyFill="1" applyBorder="1" applyAlignment="1">
      <alignment horizontal="center" vertical="center"/>
    </xf>
    <xf numFmtId="171" fontId="0" fillId="7" borderId="33" xfId="7" applyNumberFormat="1" applyFont="1" applyFill="1" applyBorder="1" applyAlignment="1">
      <alignment horizontal="center" vertical="center"/>
    </xf>
    <xf numFmtId="0" fontId="18" fillId="6" borderId="34" xfId="0" applyFont="1" applyFill="1" applyBorder="1" applyAlignment="1">
      <alignment horizontal="center" vertical="center" wrapText="1"/>
    </xf>
    <xf numFmtId="43" fontId="0" fillId="7" borderId="35" xfId="0" applyNumberFormat="1" applyFill="1" applyBorder="1" applyAlignment="1">
      <alignment horizontal="center"/>
    </xf>
    <xf numFmtId="43" fontId="0" fillId="7" borderId="36" xfId="0" applyNumberFormat="1" applyFill="1" applyBorder="1" applyAlignment="1">
      <alignment horizontal="center"/>
    </xf>
    <xf numFmtId="43" fontId="0" fillId="7" borderId="37" xfId="0" applyNumberFormat="1" applyFill="1" applyBorder="1" applyAlignment="1">
      <alignment horizontal="center"/>
    </xf>
    <xf numFmtId="171" fontId="16" fillId="7" borderId="27" xfId="7" applyNumberFormat="1" applyFont="1" applyFill="1" applyBorder="1" applyAlignment="1">
      <alignment horizontal="center"/>
    </xf>
    <xf numFmtId="171" fontId="16" fillId="7" borderId="28" xfId="7" applyNumberFormat="1" applyFont="1" applyFill="1" applyBorder="1" applyAlignment="1">
      <alignment horizontal="center"/>
    </xf>
    <xf numFmtId="171" fontId="16" fillId="7" borderId="29" xfId="7" applyNumberFormat="1" applyFont="1" applyFill="1" applyBorder="1" applyAlignment="1">
      <alignment horizontal="center"/>
    </xf>
    <xf numFmtId="0" fontId="15" fillId="8" borderId="0" xfId="0" applyFont="1" applyFill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8" borderId="30" xfId="0" applyFont="1" applyFill="1" applyBorder="1" applyAlignment="1">
      <alignment horizontal="center" vertical="center" wrapText="1"/>
    </xf>
    <xf numFmtId="0" fontId="15" fillId="8" borderId="0" xfId="0" applyFont="1" applyFill="1" applyBorder="1" applyAlignment="1">
      <alignment horizontal="center" vertical="center" wrapText="1"/>
    </xf>
    <xf numFmtId="10" fontId="0" fillId="0" borderId="0" xfId="8" applyNumberFormat="1" applyFont="1"/>
    <xf numFmtId="0" fontId="3" fillId="0" borderId="0" xfId="2" applyFont="1" applyAlignment="1">
      <alignment horizontal="left"/>
    </xf>
    <xf numFmtId="0" fontId="5" fillId="1" borderId="16" xfId="2" applyFont="1" applyFill="1" applyBorder="1" applyAlignment="1"/>
    <xf numFmtId="0" fontId="19" fillId="0" borderId="0" xfId="0" applyFont="1" applyAlignment="1">
      <alignment horizontal="center" vertical="center"/>
    </xf>
    <xf numFmtId="0" fontId="2" fillId="0" borderId="0" xfId="2" applyProtection="1">
      <protection hidden="1"/>
    </xf>
    <xf numFmtId="0" fontId="20" fillId="0" borderId="0" xfId="2" applyFont="1" applyProtection="1">
      <protection hidden="1"/>
    </xf>
    <xf numFmtId="0" fontId="2" fillId="0" borderId="0" xfId="2" applyAlignment="1" applyProtection="1">
      <alignment horizontal="centerContinuous"/>
      <protection hidden="1"/>
    </xf>
    <xf numFmtId="0" fontId="21" fillId="0" borderId="0" xfId="2" applyFont="1" applyAlignment="1" applyProtection="1">
      <alignment horizontal="right"/>
      <protection hidden="1"/>
    </xf>
    <xf numFmtId="0" fontId="21" fillId="0" borderId="0" xfId="2" applyFont="1" applyAlignment="1" applyProtection="1">
      <alignment horizontal="centerContinuous"/>
      <protection hidden="1"/>
    </xf>
    <xf numFmtId="0" fontId="3" fillId="0" borderId="0" xfId="2" applyFont="1" applyAlignment="1" applyProtection="1">
      <alignment horizontal="right" vertical="center"/>
      <protection hidden="1"/>
    </xf>
    <xf numFmtId="0" fontId="20" fillId="0" borderId="0" xfId="2" applyFont="1" applyAlignment="1" applyProtection="1">
      <alignment horizontal="right" vertical="center"/>
      <protection hidden="1"/>
    </xf>
    <xf numFmtId="0" fontId="23" fillId="0" borderId="0" xfId="2" applyFont="1" applyProtection="1">
      <protection hidden="1"/>
    </xf>
    <xf numFmtId="15" fontId="2" fillId="9" borderId="0" xfId="2" applyNumberFormat="1" applyFill="1" applyAlignment="1">
      <alignment horizontal="right" vertical="center"/>
    </xf>
    <xf numFmtId="0" fontId="23" fillId="0" borderId="0" xfId="2" applyFont="1" applyAlignment="1" applyProtection="1">
      <alignment vertical="top"/>
      <protection hidden="1"/>
    </xf>
    <xf numFmtId="0" fontId="20" fillId="0" borderId="0" xfId="2" applyFont="1" applyAlignment="1" applyProtection="1">
      <alignment horizontal="right"/>
      <protection hidden="1"/>
    </xf>
    <xf numFmtId="0" fontId="2" fillId="0" borderId="0" xfId="2" applyAlignment="1" applyProtection="1">
      <alignment horizontal="right"/>
      <protection hidden="1"/>
    </xf>
    <xf numFmtId="15" fontId="2" fillId="9" borderId="0" xfId="2" applyNumberFormat="1" applyFill="1"/>
    <xf numFmtId="0" fontId="4" fillId="0" borderId="0" xfId="2" applyFont="1" applyAlignment="1" applyProtection="1">
      <alignment horizontal="right"/>
      <protection hidden="1"/>
    </xf>
    <xf numFmtId="0" fontId="4" fillId="0" borderId="0" xfId="2" applyFont="1" applyAlignment="1" applyProtection="1">
      <alignment horizontal="left"/>
      <protection hidden="1"/>
    </xf>
    <xf numFmtId="0" fontId="24" fillId="0" borderId="0" xfId="2" applyFont="1" applyProtection="1">
      <protection hidden="1"/>
    </xf>
    <xf numFmtId="0" fontId="20" fillId="0" borderId="0" xfId="2" applyFont="1" applyAlignment="1" applyProtection="1">
      <alignment horizontal="center"/>
      <protection hidden="1"/>
    </xf>
    <xf numFmtId="0" fontId="2" fillId="0" borderId="40" xfId="2" applyBorder="1" applyProtection="1">
      <protection hidden="1"/>
    </xf>
    <xf numFmtId="0" fontId="20" fillId="0" borderId="40" xfId="2" applyFont="1" applyBorder="1" applyProtection="1">
      <protection hidden="1"/>
    </xf>
    <xf numFmtId="0" fontId="23" fillId="0" borderId="40" xfId="2" applyFont="1" applyBorder="1" applyAlignment="1" applyProtection="1">
      <alignment horizontal="right"/>
      <protection hidden="1"/>
    </xf>
    <xf numFmtId="0" fontId="2" fillId="0" borderId="40" xfId="2" applyBorder="1" applyAlignment="1" applyProtection="1">
      <alignment horizontal="right"/>
      <protection hidden="1"/>
    </xf>
    <xf numFmtId="0" fontId="23" fillId="0" borderId="0" xfId="2" applyFont="1" applyAlignment="1" applyProtection="1">
      <alignment horizontal="right"/>
      <protection hidden="1"/>
    </xf>
    <xf numFmtId="0" fontId="25" fillId="0" borderId="0" xfId="2" applyFont="1" applyProtection="1">
      <protection hidden="1"/>
    </xf>
    <xf numFmtId="0" fontId="26" fillId="0" borderId="0" xfId="2" applyFont="1" applyProtection="1">
      <protection hidden="1"/>
    </xf>
    <xf numFmtId="0" fontId="27" fillId="0" borderId="0" xfId="2" applyFont="1" applyProtection="1">
      <protection hidden="1"/>
    </xf>
    <xf numFmtId="0" fontId="28" fillId="0" borderId="0" xfId="2" applyFont="1" applyProtection="1">
      <protection hidden="1"/>
    </xf>
    <xf numFmtId="0" fontId="30" fillId="0" borderId="0" xfId="2" applyFont="1" applyProtection="1">
      <protection hidden="1"/>
    </xf>
    <xf numFmtId="0" fontId="31" fillId="0" borderId="0" xfId="2" applyFont="1" applyProtection="1">
      <protection hidden="1"/>
    </xf>
    <xf numFmtId="0" fontId="20" fillId="0" borderId="0" xfId="2" applyFont="1" applyAlignment="1" applyProtection="1">
      <alignment horizontal="centerContinuous"/>
      <protection hidden="1"/>
    </xf>
    <xf numFmtId="0" fontId="33" fillId="0" borderId="0" xfId="2" applyFont="1" applyAlignment="1" applyProtection="1">
      <alignment horizontal="centerContinuous"/>
      <protection hidden="1"/>
    </xf>
    <xf numFmtId="0" fontId="27" fillId="0" borderId="0" xfId="2" applyFont="1" applyAlignment="1" applyProtection="1">
      <alignment horizontal="centerContinuous"/>
      <protection hidden="1"/>
    </xf>
    <xf numFmtId="0" fontId="28" fillId="0" borderId="0" xfId="2" applyFont="1" applyAlignment="1" applyProtection="1">
      <alignment horizontal="centerContinuous"/>
      <protection hidden="1"/>
    </xf>
    <xf numFmtId="0" fontId="23" fillId="0" borderId="0" xfId="2" applyFont="1" applyAlignment="1" applyProtection="1">
      <alignment horizontal="left"/>
      <protection hidden="1"/>
    </xf>
    <xf numFmtId="0" fontId="20" fillId="0" borderId="38" xfId="2" applyFont="1" applyBorder="1" applyProtection="1">
      <protection hidden="1"/>
    </xf>
    <xf numFmtId="0" fontId="2" fillId="0" borderId="38" xfId="2" applyBorder="1" applyProtection="1">
      <protection hidden="1"/>
    </xf>
    <xf numFmtId="0" fontId="2" fillId="0" borderId="39" xfId="2" applyBorder="1" applyProtection="1">
      <protection hidden="1"/>
    </xf>
    <xf numFmtId="0" fontId="20" fillId="0" borderId="39" xfId="2" applyFont="1" applyBorder="1" applyAlignment="1" applyProtection="1">
      <alignment horizontal="right"/>
      <protection hidden="1"/>
    </xf>
    <xf numFmtId="0" fontId="23" fillId="0" borderId="39" xfId="2" applyFont="1" applyBorder="1" applyAlignment="1" applyProtection="1">
      <alignment horizontal="right"/>
      <protection hidden="1"/>
    </xf>
    <xf numFmtId="0" fontId="34" fillId="0" borderId="0" xfId="2" applyFont="1" applyAlignment="1" applyProtection="1">
      <alignment horizontal="left"/>
      <protection hidden="1"/>
    </xf>
    <xf numFmtId="172" fontId="4" fillId="0" borderId="0" xfId="2" applyNumberFormat="1" applyFont="1" applyAlignment="1" applyProtection="1">
      <alignment horizontal="center"/>
      <protection hidden="1"/>
    </xf>
    <xf numFmtId="0" fontId="21" fillId="0" borderId="0" xfId="2" applyFont="1" applyAlignment="1" applyProtection="1">
      <alignment horizontal="left"/>
      <protection hidden="1"/>
    </xf>
    <xf numFmtId="0" fontId="2" fillId="0" borderId="0" xfId="2" applyAlignment="1">
      <alignment horizontal="center"/>
    </xf>
    <xf numFmtId="0" fontId="4" fillId="0" borderId="0" xfId="2" applyFont="1" applyAlignment="1" applyProtection="1">
      <alignment horizontal="center" wrapText="1"/>
      <protection hidden="1"/>
    </xf>
    <xf numFmtId="0" fontId="32" fillId="0" borderId="0" xfId="2" applyFont="1" applyProtection="1">
      <protection hidden="1"/>
    </xf>
    <xf numFmtId="0" fontId="24" fillId="0" borderId="0" xfId="2" applyFont="1" applyAlignment="1" applyProtection="1">
      <alignment horizontal="center"/>
      <protection hidden="1"/>
    </xf>
    <xf numFmtId="0" fontId="4" fillId="0" borderId="0" xfId="2" applyFont="1" applyProtection="1">
      <protection hidden="1"/>
    </xf>
    <xf numFmtId="0" fontId="2" fillId="9" borderId="0" xfId="2" applyFill="1" applyProtection="1">
      <protection hidden="1"/>
    </xf>
    <xf numFmtId="0" fontId="32" fillId="0" borderId="0" xfId="2" applyFont="1" applyAlignment="1" applyProtection="1">
      <alignment horizontal="centerContinuous"/>
      <protection hidden="1"/>
    </xf>
    <xf numFmtId="175" fontId="27" fillId="0" borderId="0" xfId="2" applyNumberFormat="1" applyFont="1" applyAlignment="1" applyProtection="1">
      <alignment horizontal="center"/>
      <protection hidden="1"/>
    </xf>
    <xf numFmtId="0" fontId="34" fillId="0" borderId="0" xfId="2" applyFont="1" applyProtection="1">
      <protection hidden="1"/>
    </xf>
    <xf numFmtId="0" fontId="32" fillId="0" borderId="0" xfId="2" applyFont="1" applyAlignment="1" applyProtection="1">
      <alignment vertical="center"/>
      <protection hidden="1"/>
    </xf>
    <xf numFmtId="0" fontId="23" fillId="9" borderId="0" xfId="2" applyFont="1" applyFill="1" applyProtection="1">
      <protection hidden="1"/>
    </xf>
    <xf numFmtId="0" fontId="23" fillId="0" borderId="41" xfId="2" applyFont="1" applyBorder="1" applyAlignment="1" applyProtection="1">
      <alignment horizontal="left"/>
      <protection locked="0"/>
    </xf>
    <xf numFmtId="0" fontId="43" fillId="9" borderId="0" xfId="2" applyFont="1" applyFill="1" applyProtection="1">
      <protection hidden="1"/>
    </xf>
    <xf numFmtId="0" fontId="23" fillId="0" borderId="43" xfId="2" applyFont="1" applyBorder="1" applyAlignment="1" applyProtection="1">
      <alignment horizontal="left"/>
      <protection locked="0"/>
    </xf>
    <xf numFmtId="0" fontId="29" fillId="0" borderId="0" xfId="2" applyFont="1" applyAlignment="1" applyProtection="1">
      <alignment horizontal="right"/>
      <protection hidden="1"/>
    </xf>
    <xf numFmtId="0" fontId="23" fillId="0" borderId="0" xfId="2" applyFont="1" applyAlignment="1" applyProtection="1">
      <alignment vertical="center"/>
      <protection hidden="1"/>
    </xf>
    <xf numFmtId="0" fontId="2" fillId="0" borderId="0" xfId="2" applyAlignment="1" applyProtection="1">
      <alignment vertical="center"/>
      <protection hidden="1"/>
    </xf>
    <xf numFmtId="0" fontId="23" fillId="0" borderId="43" xfId="2" quotePrefix="1" applyFont="1" applyBorder="1" applyAlignment="1" applyProtection="1">
      <alignment horizontal="left"/>
      <protection locked="0"/>
    </xf>
    <xf numFmtId="0" fontId="23" fillId="0" borderId="42" xfId="2" applyFont="1" applyBorder="1" applyAlignment="1" applyProtection="1">
      <alignment horizontal="left"/>
      <protection locked="0"/>
    </xf>
    <xf numFmtId="0" fontId="29" fillId="0" borderId="0" xfId="2" applyFont="1" applyAlignment="1" applyProtection="1">
      <alignment horizontal="center" vertical="center"/>
      <protection hidden="1"/>
    </xf>
    <xf numFmtId="0" fontId="29" fillId="0" borderId="0" xfId="2" applyFont="1" applyAlignment="1">
      <alignment horizontal="center" vertical="center"/>
    </xf>
    <xf numFmtId="0" fontId="23" fillId="0" borderId="41" xfId="2" applyFont="1" applyBorder="1" applyAlignment="1" applyProtection="1">
      <alignment horizontal="center"/>
      <protection locked="0"/>
    </xf>
    <xf numFmtId="0" fontId="23" fillId="0" borderId="0" xfId="2" applyFont="1" applyAlignment="1" applyProtection="1">
      <alignment horizontal="center"/>
      <protection hidden="1"/>
    </xf>
    <xf numFmtId="0" fontId="2" fillId="0" borderId="0" xfId="2" quotePrefix="1" applyAlignment="1" applyProtection="1">
      <alignment horizontal="right"/>
      <protection hidden="1"/>
    </xf>
    <xf numFmtId="0" fontId="2" fillId="0" borderId="0" xfId="2" applyAlignment="1" applyProtection="1">
      <alignment horizontal="left"/>
      <protection hidden="1"/>
    </xf>
    <xf numFmtId="0" fontId="20" fillId="0" borderId="0" xfId="2" applyFont="1" applyAlignment="1" applyProtection="1">
      <alignment horizontal="left"/>
      <protection hidden="1"/>
    </xf>
    <xf numFmtId="0" fontId="23" fillId="0" borderId="0" xfId="2" applyFont="1" applyAlignment="1" applyProtection="1">
      <alignment horizontal="left"/>
      <protection locked="0"/>
    </xf>
    <xf numFmtId="0" fontId="23" fillId="0" borderId="44" xfId="2" applyFont="1" applyBorder="1" applyAlignment="1" applyProtection="1">
      <alignment horizontal="left"/>
      <protection locked="0"/>
    </xf>
    <xf numFmtId="0" fontId="2" fillId="0" borderId="0" xfId="2" applyAlignment="1">
      <alignment horizontal="left"/>
    </xf>
    <xf numFmtId="0" fontId="29" fillId="0" borderId="0" xfId="2" applyFont="1" applyAlignment="1" applyProtection="1">
      <alignment horizontal="center"/>
      <protection hidden="1"/>
    </xf>
    <xf numFmtId="0" fontId="29" fillId="0" borderId="0" xfId="2" applyFont="1" applyAlignment="1" applyProtection="1">
      <alignment horizontal="right" vertical="center"/>
      <protection hidden="1"/>
    </xf>
    <xf numFmtId="0" fontId="44" fillId="0" borderId="0" xfId="2" applyFont="1" applyAlignment="1">
      <alignment horizontal="right" vertical="center"/>
    </xf>
    <xf numFmtId="0" fontId="47" fillId="0" borderId="43" xfId="10" applyFont="1" applyFill="1" applyBorder="1" applyAlignment="1" applyProtection="1">
      <alignment horizontal="left"/>
      <protection locked="0"/>
    </xf>
    <xf numFmtId="0" fontId="46" fillId="0" borderId="0" xfId="10" applyFill="1" applyBorder="1" applyAlignment="1" applyProtection="1">
      <alignment horizontal="left"/>
      <protection locked="0"/>
    </xf>
    <xf numFmtId="0" fontId="23" fillId="0" borderId="38" xfId="2" applyFont="1" applyBorder="1" applyProtection="1">
      <protection hidden="1"/>
    </xf>
    <xf numFmtId="0" fontId="2" fillId="0" borderId="38" xfId="2" applyBorder="1" applyAlignment="1" applyProtection="1">
      <alignment horizontal="right"/>
      <protection hidden="1"/>
    </xf>
    <xf numFmtId="0" fontId="20" fillId="0" borderId="38" xfId="2" applyFont="1" applyBorder="1" applyAlignment="1" applyProtection="1">
      <alignment horizontal="right"/>
      <protection hidden="1"/>
    </xf>
    <xf numFmtId="0" fontId="44" fillId="0" borderId="0" xfId="2" applyFont="1" applyProtection="1">
      <protection hidden="1"/>
    </xf>
    <xf numFmtId="0" fontId="31" fillId="9" borderId="0" xfId="2" applyFont="1" applyFill="1" applyProtection="1">
      <protection hidden="1"/>
    </xf>
    <xf numFmtId="0" fontId="2" fillId="10" borderId="0" xfId="2" applyFill="1" applyProtection="1">
      <protection hidden="1"/>
    </xf>
    <xf numFmtId="0" fontId="23" fillId="10" borderId="0" xfId="2" applyFont="1" applyFill="1" applyProtection="1">
      <protection hidden="1"/>
    </xf>
    <xf numFmtId="0" fontId="48" fillId="10" borderId="0" xfId="2" applyFont="1" applyFill="1" applyProtection="1">
      <protection hidden="1"/>
    </xf>
    <xf numFmtId="0" fontId="23" fillId="10" borderId="0" xfId="2" applyFont="1" applyFill="1" applyAlignment="1" applyProtection="1">
      <alignment horizontal="left"/>
      <protection hidden="1"/>
    </xf>
    <xf numFmtId="0" fontId="31" fillId="10" borderId="0" xfId="2" applyFont="1" applyFill="1" applyProtection="1">
      <protection hidden="1"/>
    </xf>
    <xf numFmtId="0" fontId="20" fillId="10" borderId="0" xfId="2" applyFont="1" applyFill="1" applyProtection="1">
      <protection hidden="1"/>
    </xf>
    <xf numFmtId="0" fontId="2" fillId="10" borderId="0" xfId="2" applyFill="1" applyAlignment="1" applyProtection="1">
      <alignment horizontal="center"/>
      <protection hidden="1"/>
    </xf>
    <xf numFmtId="0" fontId="49" fillId="0" borderId="0" xfId="2" applyFont="1" applyProtection="1">
      <protection hidden="1"/>
    </xf>
    <xf numFmtId="0" fontId="4" fillId="10" borderId="0" xfId="2" applyFont="1" applyFill="1" applyAlignment="1" applyProtection="1">
      <alignment horizontal="center"/>
      <protection locked="0"/>
    </xf>
    <xf numFmtId="0" fontId="44" fillId="10" borderId="0" xfId="2" applyFont="1" applyFill="1" applyProtection="1">
      <protection hidden="1"/>
    </xf>
    <xf numFmtId="0" fontId="4" fillId="10" borderId="0" xfId="2" applyFont="1" applyFill="1" applyAlignment="1" applyProtection="1">
      <alignment horizontal="center"/>
      <protection hidden="1"/>
    </xf>
    <xf numFmtId="0" fontId="50" fillId="10" borderId="0" xfId="2" applyFont="1" applyFill="1" applyProtection="1">
      <protection hidden="1"/>
    </xf>
    <xf numFmtId="0" fontId="37" fillId="0" borderId="0" xfId="2" applyFont="1" applyProtection="1">
      <protection hidden="1"/>
    </xf>
    <xf numFmtId="0" fontId="23" fillId="0" borderId="0" xfId="2" applyFont="1" applyAlignment="1" applyProtection="1">
      <alignment horizontal="justify" vertical="top" wrapText="1"/>
      <protection hidden="1"/>
    </xf>
    <xf numFmtId="0" fontId="23" fillId="0" borderId="0" xfId="2" applyFont="1" applyAlignment="1" applyProtection="1">
      <alignment vertical="top" wrapText="1"/>
      <protection hidden="1"/>
    </xf>
    <xf numFmtId="0" fontId="23" fillId="0" borderId="38" xfId="2" applyFont="1" applyBorder="1" applyAlignment="1" applyProtection="1">
      <alignment horizontal="justify" vertical="top" wrapText="1"/>
      <protection hidden="1"/>
    </xf>
    <xf numFmtId="0" fontId="4" fillId="0" borderId="40" xfId="2" applyFont="1" applyBorder="1" applyAlignment="1" applyProtection="1">
      <alignment horizontal="left"/>
      <protection hidden="1"/>
    </xf>
    <xf numFmtId="0" fontId="54" fillId="0" borderId="46" xfId="2" applyFont="1" applyBorder="1" applyAlignment="1" applyProtection="1">
      <alignment horizontal="right" vertical="center"/>
      <protection hidden="1"/>
    </xf>
    <xf numFmtId="0" fontId="45" fillId="0" borderId="0" xfId="2" applyFont="1" applyProtection="1">
      <protection hidden="1"/>
    </xf>
    <xf numFmtId="0" fontId="26" fillId="11" borderId="0" xfId="2" applyFont="1" applyFill="1" applyAlignment="1" applyProtection="1">
      <alignment horizontal="center"/>
      <protection hidden="1"/>
    </xf>
    <xf numFmtId="0" fontId="56" fillId="12" borderId="0" xfId="2" applyFont="1" applyFill="1" applyProtection="1">
      <protection hidden="1"/>
    </xf>
    <xf numFmtId="0" fontId="25" fillId="11" borderId="0" xfId="2" applyFont="1" applyFill="1" applyAlignment="1" applyProtection="1">
      <alignment horizontal="center"/>
      <protection hidden="1"/>
    </xf>
    <xf numFmtId="0" fontId="2" fillId="13" borderId="0" xfId="2" applyFill="1"/>
    <xf numFmtId="0" fontId="23" fillId="13" borderId="0" xfId="2" applyFont="1" applyFill="1" applyProtection="1">
      <protection hidden="1"/>
    </xf>
    <xf numFmtId="0" fontId="25" fillId="11" borderId="0" xfId="2" applyFont="1" applyFill="1" applyAlignment="1" applyProtection="1">
      <alignment horizontal="center"/>
      <protection locked="0"/>
    </xf>
    <xf numFmtId="0" fontId="56" fillId="0" borderId="0" xfId="2" applyFont="1" applyProtection="1">
      <protection hidden="1"/>
    </xf>
    <xf numFmtId="0" fontId="23" fillId="14" borderId="0" xfId="2" applyFont="1" applyFill="1" applyProtection="1">
      <protection locked="0"/>
    </xf>
    <xf numFmtId="0" fontId="23" fillId="14" borderId="0" xfId="2" applyFont="1" applyFill="1" applyProtection="1">
      <protection hidden="1"/>
    </xf>
    <xf numFmtId="0" fontId="23" fillId="0" borderId="0" xfId="2" applyFont="1" applyProtection="1">
      <protection locked="0"/>
    </xf>
    <xf numFmtId="165" fontId="23" fillId="0" borderId="0" xfId="9" applyFont="1" applyProtection="1">
      <protection hidden="1"/>
    </xf>
    <xf numFmtId="0" fontId="26" fillId="15" borderId="0" xfId="2" applyFont="1" applyFill="1" applyAlignment="1" applyProtection="1">
      <alignment horizontal="right"/>
      <protection hidden="1"/>
    </xf>
    <xf numFmtId="169" fontId="26" fillId="15" borderId="0" xfId="9" applyNumberFormat="1" applyFont="1" applyFill="1" applyAlignment="1" applyProtection="1">
      <alignment horizontal="right"/>
      <protection hidden="1"/>
    </xf>
    <xf numFmtId="0" fontId="57" fillId="12" borderId="0" xfId="2" quotePrefix="1" applyFont="1" applyFill="1" applyAlignment="1" applyProtection="1">
      <alignment horizontal="center"/>
      <protection hidden="1"/>
    </xf>
    <xf numFmtId="0" fontId="31" fillId="11" borderId="0" xfId="2" applyFont="1" applyFill="1" applyAlignment="1" applyProtection="1">
      <alignment horizontal="center"/>
      <protection hidden="1"/>
    </xf>
    <xf numFmtId="0" fontId="25" fillId="14" borderId="0" xfId="2" applyFont="1" applyFill="1" applyAlignment="1" applyProtection="1">
      <alignment horizontal="center"/>
      <protection hidden="1"/>
    </xf>
    <xf numFmtId="0" fontId="58" fillId="0" borderId="0" xfId="2" applyFont="1" applyAlignment="1" applyProtection="1">
      <alignment vertical="center"/>
      <protection hidden="1"/>
    </xf>
    <xf numFmtId="0" fontId="20" fillId="0" borderId="0" xfId="2" applyFont="1" applyAlignment="1" applyProtection="1">
      <alignment vertical="center"/>
      <protection hidden="1"/>
    </xf>
    <xf numFmtId="0" fontId="31" fillId="15" borderId="0" xfId="2" applyFont="1" applyFill="1" applyProtection="1">
      <protection hidden="1"/>
    </xf>
    <xf numFmtId="0" fontId="59" fillId="12" borderId="0" xfId="2" quotePrefix="1" applyFont="1" applyFill="1" applyProtection="1">
      <protection hidden="1"/>
    </xf>
    <xf numFmtId="0" fontId="20" fillId="0" borderId="0" xfId="2" applyFont="1" applyAlignment="1" applyProtection="1">
      <alignment horizontal="center" vertical="center"/>
      <protection hidden="1"/>
    </xf>
    <xf numFmtId="176" fontId="23" fillId="0" borderId="0" xfId="11" applyNumberFormat="1" applyFont="1" applyBorder="1" applyAlignment="1" applyProtection="1">
      <alignment vertical="center"/>
      <protection hidden="1"/>
    </xf>
    <xf numFmtId="0" fontId="20" fillId="12" borderId="47" xfId="2" applyFont="1" applyFill="1" applyBorder="1" applyAlignment="1" applyProtection="1">
      <alignment horizontal="center" vertical="center"/>
      <protection hidden="1"/>
    </xf>
    <xf numFmtId="0" fontId="20" fillId="12" borderId="8" xfId="2" applyFont="1" applyFill="1" applyBorder="1" applyAlignment="1" applyProtection="1">
      <alignment horizontal="centerContinuous" vertical="center"/>
      <protection hidden="1"/>
    </xf>
    <xf numFmtId="0" fontId="20" fillId="12" borderId="48" xfId="2" applyFont="1" applyFill="1" applyBorder="1" applyAlignment="1" applyProtection="1">
      <alignment horizontal="center" vertical="center"/>
      <protection hidden="1"/>
    </xf>
    <xf numFmtId="0" fontId="20" fillId="12" borderId="7" xfId="2" applyFont="1" applyFill="1" applyBorder="1" applyAlignment="1" applyProtection="1">
      <alignment horizontal="center" vertical="center"/>
      <protection hidden="1"/>
    </xf>
    <xf numFmtId="0" fontId="20" fillId="12" borderId="49" xfId="2" applyFont="1" applyFill="1" applyBorder="1" applyAlignment="1" applyProtection="1">
      <alignment horizontal="center" vertical="center"/>
      <protection hidden="1"/>
    </xf>
    <xf numFmtId="0" fontId="20" fillId="12" borderId="36" xfId="2" applyFont="1" applyFill="1" applyBorder="1" applyAlignment="1" applyProtection="1">
      <alignment horizontal="center" vertical="center"/>
      <protection hidden="1"/>
    </xf>
    <xf numFmtId="0" fontId="20" fillId="12" borderId="50" xfId="2" applyFont="1" applyFill="1" applyBorder="1" applyAlignment="1" applyProtection="1">
      <alignment horizontal="center" vertical="center"/>
      <protection hidden="1"/>
    </xf>
    <xf numFmtId="0" fontId="20" fillId="12" borderId="51" xfId="2" applyFont="1" applyFill="1" applyBorder="1" applyAlignment="1" applyProtection="1">
      <alignment horizontal="center" vertical="center"/>
      <protection hidden="1"/>
    </xf>
    <xf numFmtId="0" fontId="20" fillId="12" borderId="6" xfId="2" applyFont="1" applyFill="1" applyBorder="1" applyAlignment="1" applyProtection="1">
      <alignment horizontal="center" vertical="center"/>
      <protection hidden="1"/>
    </xf>
    <xf numFmtId="0" fontId="20" fillId="12" borderId="0" xfId="2" applyFont="1" applyFill="1" applyAlignment="1" applyProtection="1">
      <alignment horizontal="center" vertical="center"/>
      <protection hidden="1"/>
    </xf>
    <xf numFmtId="0" fontId="20" fillId="12" borderId="5" xfId="2" applyFont="1" applyFill="1" applyBorder="1" applyAlignment="1" applyProtection="1">
      <alignment horizontal="center" vertical="center"/>
      <protection hidden="1"/>
    </xf>
    <xf numFmtId="2" fontId="20" fillId="0" borderId="0" xfId="2" applyNumberFormat="1" applyFont="1" applyAlignment="1" applyProtection="1">
      <alignment horizontal="center" vertical="center"/>
      <protection hidden="1"/>
    </xf>
    <xf numFmtId="177" fontId="23" fillId="0" borderId="0" xfId="2" applyNumberFormat="1" applyFont="1" applyProtection="1">
      <protection hidden="1"/>
    </xf>
    <xf numFmtId="0" fontId="23" fillId="0" borderId="6" xfId="2" applyFont="1" applyBorder="1" applyAlignment="1" applyProtection="1">
      <alignment horizontal="center" vertical="center"/>
      <protection hidden="1"/>
    </xf>
    <xf numFmtId="169" fontId="23" fillId="0" borderId="0" xfId="9" applyNumberFormat="1" applyFont="1" applyBorder="1" applyAlignment="1" applyProtection="1">
      <alignment vertical="center"/>
      <protection hidden="1"/>
    </xf>
    <xf numFmtId="176" fontId="23" fillId="0" borderId="5" xfId="11" applyNumberFormat="1" applyFont="1" applyBorder="1" applyAlignment="1" applyProtection="1">
      <alignment vertical="center"/>
      <protection hidden="1"/>
    </xf>
    <xf numFmtId="2" fontId="23" fillId="13" borderId="0" xfId="11" applyNumberFormat="1" applyFont="1" applyFill="1" applyBorder="1" applyAlignment="1" applyProtection="1">
      <alignment vertical="center"/>
      <protection hidden="1"/>
    </xf>
    <xf numFmtId="2" fontId="23" fillId="13" borderId="0" xfId="12" applyNumberFormat="1" applyFont="1" applyFill="1" applyBorder="1" applyAlignment="1" applyProtection="1">
      <alignment vertical="center"/>
      <protection hidden="1"/>
    </xf>
    <xf numFmtId="0" fontId="59" fillId="12" borderId="0" xfId="2" applyFont="1" applyFill="1" applyProtection="1">
      <protection hidden="1"/>
    </xf>
    <xf numFmtId="0" fontId="23" fillId="12" borderId="0" xfId="2" applyFont="1" applyFill="1" applyProtection="1">
      <protection hidden="1"/>
    </xf>
    <xf numFmtId="0" fontId="23" fillId="0" borderId="52" xfId="2" applyFont="1" applyBorder="1" applyAlignment="1" applyProtection="1">
      <alignment horizontal="center" vertical="center"/>
      <protection hidden="1"/>
    </xf>
    <xf numFmtId="169" fontId="23" fillId="0" borderId="27" xfId="9" applyNumberFormat="1" applyFont="1" applyBorder="1" applyAlignment="1" applyProtection="1">
      <alignment vertical="center"/>
      <protection hidden="1"/>
    </xf>
    <xf numFmtId="176" fontId="23" fillId="0" borderId="53" xfId="11" applyNumberFormat="1" applyFont="1" applyBorder="1" applyAlignment="1" applyProtection="1">
      <alignment vertical="center"/>
      <protection hidden="1"/>
    </xf>
    <xf numFmtId="165" fontId="59" fillId="12" borderId="0" xfId="9" quotePrefix="1" applyFont="1" applyFill="1" applyAlignment="1" applyProtection="1">
      <alignment horizontal="center"/>
      <protection hidden="1"/>
    </xf>
    <xf numFmtId="9" fontId="59" fillId="12" borderId="0" xfId="2" quotePrefix="1" applyNumberFormat="1" applyFont="1" applyFill="1" applyAlignment="1" applyProtection="1">
      <alignment horizontal="center"/>
      <protection hidden="1"/>
    </xf>
    <xf numFmtId="0" fontId="59" fillId="12" borderId="0" xfId="2" quotePrefix="1" applyFont="1" applyFill="1" applyAlignment="1" applyProtection="1">
      <alignment horizontal="center"/>
      <protection hidden="1"/>
    </xf>
    <xf numFmtId="165" fontId="59" fillId="12" borderId="0" xfId="9" applyFont="1" applyFill="1" applyProtection="1">
      <protection hidden="1"/>
    </xf>
    <xf numFmtId="0" fontId="59" fillId="12" borderId="0" xfId="2" applyFont="1" applyFill="1" applyAlignment="1" applyProtection="1">
      <alignment horizontal="center"/>
      <protection hidden="1"/>
    </xf>
    <xf numFmtId="179" fontId="31" fillId="15" borderId="0" xfId="2" applyNumberFormat="1" applyFont="1" applyFill="1" applyProtection="1">
      <protection hidden="1"/>
    </xf>
    <xf numFmtId="9" fontId="23" fillId="0" borderId="0" xfId="2" applyNumberFormat="1" applyFont="1" applyProtection="1">
      <protection hidden="1"/>
    </xf>
    <xf numFmtId="169" fontId="23" fillId="0" borderId="0" xfId="9" applyNumberFormat="1" applyFont="1" applyProtection="1">
      <protection hidden="1"/>
    </xf>
    <xf numFmtId="0" fontId="23" fillId="0" borderId="54" xfId="2" applyFont="1" applyBorder="1" applyAlignment="1" applyProtection="1">
      <alignment horizontal="center" vertical="center"/>
      <protection hidden="1"/>
    </xf>
    <xf numFmtId="169" fontId="23" fillId="0" borderId="3" xfId="9" applyNumberFormat="1" applyFont="1" applyBorder="1" applyAlignment="1" applyProtection="1">
      <alignment vertical="center"/>
      <protection hidden="1"/>
    </xf>
    <xf numFmtId="169" fontId="23" fillId="0" borderId="3" xfId="9" applyNumberFormat="1" applyFont="1" applyBorder="1" applyAlignment="1" applyProtection="1">
      <alignment horizontal="center" vertical="center"/>
      <protection hidden="1"/>
    </xf>
    <xf numFmtId="176" fontId="23" fillId="0" borderId="55" xfId="11" applyNumberFormat="1" applyFont="1" applyBorder="1" applyAlignment="1" applyProtection="1">
      <alignment vertical="center"/>
      <protection hidden="1"/>
    </xf>
    <xf numFmtId="165" fontId="60" fillId="15" borderId="0" xfId="9" applyFont="1" applyFill="1" applyProtection="1">
      <protection hidden="1"/>
    </xf>
    <xf numFmtId="0" fontId="31" fillId="15" borderId="0" xfId="2" applyFont="1" applyFill="1" applyAlignment="1" applyProtection="1">
      <alignment vertical="center"/>
      <protection hidden="1"/>
    </xf>
    <xf numFmtId="176" fontId="60" fillId="15" borderId="0" xfId="11" applyNumberFormat="1" applyFont="1" applyFill="1" applyProtection="1">
      <protection hidden="1"/>
    </xf>
    <xf numFmtId="9" fontId="61" fillId="0" borderId="0" xfId="2" applyNumberFormat="1" applyFont="1" applyAlignment="1" applyProtection="1">
      <alignment horizontal="center"/>
      <protection hidden="1"/>
    </xf>
    <xf numFmtId="165" fontId="59" fillId="12" borderId="0" xfId="2" applyNumberFormat="1" applyFont="1" applyFill="1" applyProtection="1">
      <protection hidden="1"/>
    </xf>
    <xf numFmtId="165" fontId="31" fillId="15" borderId="0" xfId="9" applyFont="1" applyFill="1" applyProtection="1">
      <protection hidden="1"/>
    </xf>
    <xf numFmtId="165" fontId="62" fillId="12" borderId="0" xfId="9" quotePrefix="1" applyFont="1" applyFill="1" applyAlignment="1" applyProtection="1">
      <alignment horizontal="center"/>
      <protection hidden="1"/>
    </xf>
    <xf numFmtId="165" fontId="23" fillId="12" borderId="0" xfId="9" applyFont="1" applyFill="1" applyProtection="1">
      <protection hidden="1"/>
    </xf>
    <xf numFmtId="165" fontId="26" fillId="11" borderId="0" xfId="9" applyFont="1" applyFill="1" applyProtection="1">
      <protection hidden="1"/>
    </xf>
    <xf numFmtId="2" fontId="26" fillId="11" borderId="0" xfId="2" applyNumberFormat="1" applyFont="1" applyFill="1" applyProtection="1">
      <protection hidden="1"/>
    </xf>
    <xf numFmtId="0" fontId="23" fillId="12" borderId="0" xfId="2" applyFont="1" applyFill="1" applyAlignment="1" applyProtection="1">
      <alignment horizontal="right"/>
      <protection hidden="1"/>
    </xf>
    <xf numFmtId="1" fontId="31" fillId="15" borderId="0" xfId="2" applyNumberFormat="1" applyFont="1" applyFill="1" applyAlignment="1" applyProtection="1">
      <alignment vertical="center"/>
      <protection hidden="1"/>
    </xf>
    <xf numFmtId="0" fontId="31" fillId="11" borderId="0" xfId="2" applyFont="1" applyFill="1" applyAlignment="1" applyProtection="1">
      <alignment vertical="center"/>
      <protection hidden="1"/>
    </xf>
    <xf numFmtId="165" fontId="60" fillId="11" borderId="0" xfId="9" applyFont="1" applyFill="1" applyProtection="1">
      <protection hidden="1"/>
    </xf>
    <xf numFmtId="169" fontId="60" fillId="11" borderId="0" xfId="9" applyNumberFormat="1" applyFont="1" applyFill="1" applyProtection="1">
      <protection hidden="1"/>
    </xf>
    <xf numFmtId="176" fontId="23" fillId="0" borderId="0" xfId="11" applyNumberFormat="1" applyFont="1" applyProtection="1">
      <protection hidden="1"/>
    </xf>
    <xf numFmtId="0" fontId="23" fillId="11" borderId="0" xfId="2" applyFont="1" applyFill="1" applyProtection="1">
      <protection hidden="1"/>
    </xf>
    <xf numFmtId="176" fontId="60" fillId="11" borderId="0" xfId="11" applyNumberFormat="1" applyFont="1" applyFill="1" applyProtection="1">
      <protection hidden="1"/>
    </xf>
    <xf numFmtId="0" fontId="27" fillId="0" borderId="0" xfId="2" applyFont="1"/>
    <xf numFmtId="0" fontId="63" fillId="0" borderId="0" xfId="2" applyFont="1" applyProtection="1">
      <protection hidden="1"/>
    </xf>
    <xf numFmtId="0" fontId="64" fillId="0" borderId="0" xfId="2" applyFont="1" applyProtection="1">
      <protection hidden="1"/>
    </xf>
    <xf numFmtId="173" fontId="65" fillId="0" borderId="0" xfId="2" applyNumberFormat="1" applyFont="1" applyAlignment="1" applyProtection="1">
      <alignment horizontal="center"/>
      <protection hidden="1"/>
    </xf>
    <xf numFmtId="0" fontId="23" fillId="0" borderId="41" xfId="2" applyFont="1" applyBorder="1" applyAlignment="1" applyProtection="1">
      <alignment horizontal="center"/>
      <protection locked="0"/>
    </xf>
    <xf numFmtId="0" fontId="4" fillId="0" borderId="0" xfId="2" applyFont="1"/>
    <xf numFmtId="0" fontId="66" fillId="0" borderId="0" xfId="0" applyFont="1" applyAlignment="1">
      <alignment vertical="center"/>
    </xf>
    <xf numFmtId="40" fontId="66" fillId="0" borderId="0" xfId="0" applyNumberFormat="1" applyFont="1" applyAlignment="1">
      <alignment vertical="center"/>
    </xf>
    <xf numFmtId="40" fontId="23" fillId="14" borderId="0" xfId="2" applyNumberFormat="1" applyFont="1" applyFill="1" applyProtection="1">
      <protection hidden="1"/>
    </xf>
    <xf numFmtId="0" fontId="68" fillId="0" borderId="0" xfId="2" applyFont="1" applyProtection="1">
      <protection hidden="1"/>
    </xf>
    <xf numFmtId="164" fontId="69" fillId="0" borderId="0" xfId="2" applyNumberFormat="1" applyFont="1"/>
    <xf numFmtId="0" fontId="69" fillId="0" borderId="0" xfId="2" applyFont="1" applyAlignment="1" applyProtection="1">
      <alignment horizontal="right"/>
      <protection hidden="1"/>
    </xf>
    <xf numFmtId="172" fontId="69" fillId="0" borderId="0" xfId="2" applyNumberFormat="1" applyFont="1" applyAlignment="1" applyProtection="1">
      <alignment horizontal="center"/>
      <protection hidden="1"/>
    </xf>
    <xf numFmtId="172" fontId="69" fillId="0" borderId="0" xfId="2" applyNumberFormat="1" applyFont="1" applyAlignment="1" applyProtection="1">
      <protection hidden="1"/>
    </xf>
    <xf numFmtId="0" fontId="28" fillId="0" borderId="0" xfId="2" applyFont="1" applyAlignment="1"/>
    <xf numFmtId="173" fontId="45" fillId="0" borderId="0" xfId="2" applyNumberFormat="1" applyFont="1" applyAlignment="1" applyProtection="1">
      <alignment horizontal="center"/>
      <protection hidden="1"/>
    </xf>
    <xf numFmtId="0" fontId="45" fillId="0" borderId="0" xfId="2" applyFont="1" applyAlignment="1" applyProtection="1">
      <alignment horizontal="right"/>
      <protection hidden="1"/>
    </xf>
    <xf numFmtId="0" fontId="69" fillId="0" borderId="0" xfId="2" applyFont="1" applyProtection="1">
      <protection hidden="1"/>
    </xf>
    <xf numFmtId="0" fontId="70" fillId="0" borderId="0" xfId="2" applyFont="1" applyAlignment="1" applyProtection="1">
      <alignment horizontal="right"/>
      <protection hidden="1"/>
    </xf>
    <xf numFmtId="0" fontId="69" fillId="0" borderId="0" xfId="2" applyFont="1" applyAlignment="1" applyProtection="1">
      <alignment horizontal="left"/>
      <protection hidden="1"/>
    </xf>
    <xf numFmtId="0" fontId="70" fillId="0" borderId="0" xfId="2" applyFont="1" applyProtection="1">
      <protection hidden="1"/>
    </xf>
    <xf numFmtId="172" fontId="72" fillId="0" borderId="0" xfId="2" applyNumberFormat="1" applyFont="1" applyAlignment="1" applyProtection="1">
      <alignment horizontal="center"/>
      <protection hidden="1"/>
    </xf>
    <xf numFmtId="0" fontId="73" fillId="0" borderId="0" xfId="2" applyFont="1" applyAlignment="1" applyProtection="1">
      <alignment horizontal="left"/>
      <protection hidden="1"/>
    </xf>
    <xf numFmtId="0" fontId="69" fillId="0" borderId="0" xfId="2" applyFont="1" applyAlignment="1" applyProtection="1">
      <alignment horizontal="center" wrapText="1"/>
      <protection hidden="1"/>
    </xf>
    <xf numFmtId="172" fontId="69" fillId="0" borderId="0" xfId="2" applyNumberFormat="1" applyFont="1" applyAlignment="1" applyProtection="1">
      <alignment horizontal="center"/>
      <protection hidden="1"/>
    </xf>
    <xf numFmtId="164" fontId="4" fillId="0" borderId="0" xfId="2" applyNumberFormat="1" applyFont="1" applyFill="1"/>
    <xf numFmtId="0" fontId="23" fillId="0" borderId="27" xfId="2" applyFont="1" applyBorder="1" applyAlignment="1" applyProtection="1">
      <alignment horizontal="left"/>
      <protection locked="0"/>
    </xf>
    <xf numFmtId="0" fontId="20" fillId="0" borderId="0" xfId="2" applyFont="1" applyBorder="1" applyAlignment="1" applyProtection="1">
      <alignment horizontal="center"/>
      <protection locked="0"/>
    </xf>
    <xf numFmtId="0" fontId="28" fillId="0" borderId="0" xfId="2" applyFont="1" applyBorder="1" applyProtection="1">
      <protection hidden="1"/>
    </xf>
    <xf numFmtId="0" fontId="4" fillId="0" borderId="0" xfId="2" applyFont="1" applyBorder="1" applyAlignment="1" applyProtection="1">
      <alignment horizontal="center"/>
      <protection locked="0"/>
    </xf>
    <xf numFmtId="0" fontId="45" fillId="0" borderId="0" xfId="2" applyFont="1" applyBorder="1" applyAlignment="1" applyProtection="1">
      <alignment horizontal="center"/>
      <protection locked="0"/>
    </xf>
    <xf numFmtId="0" fontId="2" fillId="0" borderId="0" xfId="2" applyBorder="1" applyProtection="1">
      <protection hidden="1"/>
    </xf>
    <xf numFmtId="0" fontId="20" fillId="0" borderId="0" xfId="2" applyFont="1" applyBorder="1" applyAlignment="1" applyProtection="1">
      <alignment horizontal="center" vertical="center"/>
      <protection locked="0"/>
    </xf>
    <xf numFmtId="0" fontId="23" fillId="0" borderId="0" xfId="2" applyFont="1" applyBorder="1" applyAlignment="1" applyProtection="1">
      <alignment horizontal="center" vertical="center"/>
      <protection locked="0"/>
    </xf>
    <xf numFmtId="0" fontId="44" fillId="0" borderId="0" xfId="2" applyFont="1" applyAlignment="1" applyProtection="1">
      <alignment horizontal="left"/>
      <protection hidden="1"/>
    </xf>
    <xf numFmtId="0" fontId="23" fillId="0" borderId="0" xfId="2" applyFont="1" applyBorder="1" applyAlignment="1" applyProtection="1">
      <alignment horizontal="left"/>
      <protection locked="0"/>
    </xf>
    <xf numFmtId="0" fontId="47" fillId="0" borderId="0" xfId="10" applyFont="1" applyFill="1" applyBorder="1" applyAlignment="1" applyProtection="1">
      <alignment horizontal="left"/>
      <protection locked="0"/>
    </xf>
    <xf numFmtId="0" fontId="23" fillId="0" borderId="0" xfId="2" applyFont="1" applyBorder="1" applyAlignment="1" applyProtection="1">
      <alignment horizontal="left"/>
      <protection hidden="1"/>
    </xf>
    <xf numFmtId="0" fontId="2" fillId="0" borderId="0" xfId="2" applyBorder="1"/>
    <xf numFmtId="0" fontId="51" fillId="0" borderId="0" xfId="2" applyFont="1" applyAlignment="1" applyProtection="1">
      <alignment horizontal="left"/>
      <protection hidden="1"/>
    </xf>
    <xf numFmtId="0" fontId="28" fillId="0" borderId="0" xfId="2" applyFont="1" applyAlignment="1" applyProtection="1">
      <alignment horizontal="center"/>
    </xf>
    <xf numFmtId="0" fontId="76" fillId="0" borderId="0" xfId="2" applyFont="1" applyBorder="1" applyAlignment="1" applyProtection="1">
      <alignment horizontal="center"/>
    </xf>
    <xf numFmtId="44" fontId="28" fillId="0" borderId="0" xfId="13" applyFont="1" applyProtection="1">
      <protection hidden="1"/>
    </xf>
    <xf numFmtId="0" fontId="23" fillId="0" borderId="41" xfId="2" applyFont="1" applyBorder="1" applyAlignment="1" applyProtection="1">
      <alignment horizontal="center"/>
      <protection locked="0"/>
    </xf>
    <xf numFmtId="0" fontId="42" fillId="0" borderId="0" xfId="2" applyFont="1" applyAlignment="1" applyProtection="1">
      <alignment horizontal="left"/>
      <protection hidden="1"/>
    </xf>
    <xf numFmtId="172" fontId="69" fillId="0" borderId="0" xfId="2" applyNumberFormat="1" applyFont="1" applyAlignment="1" applyProtection="1">
      <alignment horizontal="center"/>
      <protection hidden="1"/>
    </xf>
    <xf numFmtId="0" fontId="30" fillId="0" borderId="38" xfId="2" applyFont="1" applyBorder="1" applyAlignment="1">
      <alignment horizontal="center" vertical="center"/>
    </xf>
    <xf numFmtId="0" fontId="4" fillId="0" borderId="0" xfId="2" applyFont="1" applyFill="1" applyAlignment="1" applyProtection="1">
      <alignment horizontal="center" wrapText="1"/>
      <protection hidden="1"/>
    </xf>
    <xf numFmtId="0" fontId="23" fillId="0" borderId="0" xfId="2" applyFont="1" applyFill="1" applyProtection="1">
      <protection hidden="1"/>
    </xf>
    <xf numFmtId="0" fontId="20" fillId="0" borderId="41" xfId="2" applyFont="1" applyBorder="1" applyAlignment="1" applyProtection="1">
      <alignment horizontal="left"/>
      <protection locked="0"/>
    </xf>
    <xf numFmtId="0" fontId="81" fillId="0" borderId="0" xfId="2" applyFont="1" applyFill="1" applyBorder="1" applyAlignment="1">
      <alignment horizontal="center" vertical="top"/>
    </xf>
    <xf numFmtId="0" fontId="21" fillId="0" borderId="0" xfId="2" applyFont="1" applyAlignment="1" applyProtection="1">
      <alignment horizontal="center"/>
      <protection hidden="1"/>
    </xf>
    <xf numFmtId="0" fontId="39" fillId="0" borderId="0" xfId="2" applyFont="1" applyAlignment="1">
      <alignment horizontal="center"/>
    </xf>
    <xf numFmtId="0" fontId="4" fillId="0" borderId="0" xfId="2" applyFont="1" applyFill="1" applyAlignment="1">
      <alignment horizontal="center"/>
    </xf>
    <xf numFmtId="0" fontId="4" fillId="0" borderId="0" xfId="2" applyFont="1" applyFill="1" applyAlignment="1"/>
    <xf numFmtId="172" fontId="82" fillId="0" borderId="0" xfId="2" applyNumberFormat="1" applyFont="1" applyAlignment="1" applyProtection="1">
      <alignment horizontal="center"/>
      <protection hidden="1"/>
    </xf>
    <xf numFmtId="0" fontId="30" fillId="0" borderId="0" xfId="2" applyFont="1" applyAlignment="1" applyProtection="1">
      <protection hidden="1"/>
    </xf>
    <xf numFmtId="172" fontId="69" fillId="0" borderId="0" xfId="2" applyNumberFormat="1" applyFont="1" applyAlignment="1" applyProtection="1">
      <alignment horizontal="center"/>
      <protection hidden="1"/>
    </xf>
    <xf numFmtId="0" fontId="28" fillId="0" borderId="0" xfId="2" applyFont="1"/>
    <xf numFmtId="0" fontId="3" fillId="0" borderId="0" xfId="2" applyFont="1" applyAlignment="1">
      <alignment horizontal="right"/>
    </xf>
    <xf numFmtId="0" fontId="22" fillId="0" borderId="0" xfId="2" applyFont="1"/>
    <xf numFmtId="0" fontId="3" fillId="0" borderId="38" xfId="2" applyFont="1" applyBorder="1" applyAlignment="1" applyProtection="1">
      <alignment horizontal="right" vertical="center"/>
      <protection hidden="1"/>
    </xf>
    <xf numFmtId="0" fontId="2" fillId="0" borderId="38" xfId="2" applyBorder="1" applyAlignment="1" applyProtection="1">
      <alignment horizontal="right" vertical="center"/>
      <protection hidden="1"/>
    </xf>
    <xf numFmtId="0" fontId="20" fillId="0" borderId="39" xfId="2" applyFont="1" applyBorder="1" applyAlignment="1" applyProtection="1">
      <alignment horizontal="center" vertical="center"/>
      <protection hidden="1"/>
    </xf>
    <xf numFmtId="0" fontId="2" fillId="0" borderId="39" xfId="2" applyBorder="1" applyAlignment="1" applyProtection="1">
      <alignment horizontal="center" vertical="center"/>
      <protection hidden="1"/>
    </xf>
    <xf numFmtId="15" fontId="2" fillId="0" borderId="0" xfId="2" applyNumberFormat="1" applyAlignment="1">
      <alignment horizontal="center" vertical="center"/>
    </xf>
    <xf numFmtId="0" fontId="42" fillId="0" borderId="0" xfId="2" applyFont="1" applyAlignment="1" applyProtection="1">
      <alignment horizontal="left"/>
      <protection hidden="1"/>
    </xf>
    <xf numFmtId="0" fontId="42" fillId="0" borderId="0" xfId="2" applyFont="1" applyBorder="1" applyAlignment="1" applyProtection="1">
      <alignment horizontal="left"/>
      <protection hidden="1"/>
    </xf>
    <xf numFmtId="0" fontId="30" fillId="0" borderId="0" xfId="2" applyFont="1" applyAlignment="1" applyProtection="1">
      <alignment horizontal="center" vertical="center" wrapText="1"/>
      <protection hidden="1"/>
    </xf>
    <xf numFmtId="0" fontId="30" fillId="0" borderId="0" xfId="2" applyFont="1" applyAlignment="1">
      <alignment horizontal="center" vertical="center" wrapText="1"/>
    </xf>
    <xf numFmtId="0" fontId="30" fillId="0" borderId="38" xfId="2" applyFont="1" applyBorder="1" applyAlignment="1">
      <alignment horizontal="center" vertical="center" wrapText="1"/>
    </xf>
    <xf numFmtId="0" fontId="29" fillId="0" borderId="0" xfId="2" applyFont="1" applyAlignment="1" applyProtection="1">
      <alignment horizontal="center" vertical="center" wrapText="1"/>
      <protection hidden="1"/>
    </xf>
    <xf numFmtId="0" fontId="29" fillId="0" borderId="0" xfId="2" applyFont="1" applyAlignment="1">
      <alignment horizontal="center" vertical="center" wrapText="1"/>
    </xf>
    <xf numFmtId="0" fontId="23" fillId="0" borderId="41" xfId="2" applyFont="1" applyBorder="1" applyAlignment="1" applyProtection="1">
      <alignment horizontal="center"/>
      <protection locked="0"/>
    </xf>
    <xf numFmtId="0" fontId="44" fillId="0" borderId="0" xfId="2" applyFont="1" applyAlignment="1">
      <alignment horizontal="center" vertical="center" wrapText="1"/>
    </xf>
    <xf numFmtId="0" fontId="23" fillId="0" borderId="27" xfId="2" applyFont="1" applyBorder="1" applyAlignment="1" applyProtection="1">
      <alignment horizontal="left"/>
      <protection locked="0"/>
    </xf>
    <xf numFmtId="0" fontId="0" fillId="0" borderId="27" xfId="0" applyBorder="1" applyAlignment="1">
      <alignment horizontal="left"/>
    </xf>
    <xf numFmtId="0" fontId="23" fillId="0" borderId="28" xfId="2" applyFont="1" applyBorder="1" applyAlignment="1" applyProtection="1">
      <alignment horizontal="left"/>
      <protection locked="0"/>
    </xf>
    <xf numFmtId="0" fontId="0" fillId="0" borderId="28" xfId="0" applyBorder="1" applyAlignment="1">
      <alignment horizontal="left"/>
    </xf>
    <xf numFmtId="0" fontId="69" fillId="0" borderId="0" xfId="2" applyFont="1" applyAlignment="1" applyProtection="1">
      <alignment horizontal="center" vertical="center" wrapText="1"/>
      <protection hidden="1"/>
    </xf>
    <xf numFmtId="0" fontId="28" fillId="0" borderId="0" xfId="2" applyFont="1" applyAlignment="1" applyProtection="1">
      <alignment horizontal="center" vertical="center" wrapText="1"/>
    </xf>
    <xf numFmtId="0" fontId="73" fillId="0" borderId="0" xfId="2" applyFont="1" applyAlignment="1" applyProtection="1">
      <alignment horizontal="center" wrapText="1"/>
      <protection hidden="1"/>
    </xf>
    <xf numFmtId="0" fontId="74" fillId="0" borderId="0" xfId="2" applyFont="1" applyAlignment="1" applyProtection="1">
      <alignment horizontal="center" wrapText="1"/>
    </xf>
    <xf numFmtId="0" fontId="71" fillId="0" borderId="0" xfId="2" applyFont="1" applyAlignment="1" applyProtection="1">
      <alignment horizontal="right" vertical="center"/>
      <protection hidden="1"/>
    </xf>
    <xf numFmtId="0" fontId="75" fillId="0" borderId="0" xfId="2" applyFont="1" applyProtection="1"/>
    <xf numFmtId="0" fontId="69" fillId="0" borderId="0" xfId="2" applyFont="1" applyAlignment="1" applyProtection="1">
      <alignment horizontal="center" wrapText="1"/>
    </xf>
    <xf numFmtId="0" fontId="69" fillId="0" borderId="0" xfId="2" applyFont="1" applyProtection="1"/>
    <xf numFmtId="0" fontId="76" fillId="0" borderId="0" xfId="2" applyFont="1" applyBorder="1" applyAlignment="1" applyProtection="1">
      <alignment horizontal="center" vertical="top" wrapText="1"/>
    </xf>
    <xf numFmtId="0" fontId="20" fillId="0" borderId="41" xfId="2" applyFont="1" applyBorder="1" applyAlignment="1" applyProtection="1">
      <alignment horizontal="center"/>
      <protection locked="0"/>
    </xf>
    <xf numFmtId="174" fontId="20" fillId="0" borderId="41" xfId="2" applyNumberFormat="1" applyFont="1" applyBorder="1" applyAlignment="1" applyProtection="1">
      <alignment horizontal="center"/>
      <protection locked="0"/>
    </xf>
    <xf numFmtId="172" fontId="36" fillId="0" borderId="27" xfId="9" applyNumberFormat="1" applyFont="1" applyFill="1" applyBorder="1" applyAlignment="1" applyProtection="1">
      <alignment horizontal="center"/>
      <protection locked="0"/>
    </xf>
    <xf numFmtId="0" fontId="30" fillId="0" borderId="0" xfId="2" applyFont="1" applyBorder="1" applyAlignment="1" applyProtection="1">
      <alignment horizontal="left"/>
      <protection hidden="1"/>
    </xf>
    <xf numFmtId="0" fontId="27" fillId="0" borderId="0" xfId="2" applyFont="1" applyBorder="1" applyAlignment="1" applyProtection="1">
      <alignment horizontal="left"/>
    </xf>
    <xf numFmtId="0" fontId="79" fillId="0" borderId="0" xfId="2" applyFont="1" applyBorder="1" applyAlignment="1" applyProtection="1">
      <alignment horizontal="center" vertical="center" wrapText="1"/>
      <protection hidden="1"/>
    </xf>
    <xf numFmtId="0" fontId="80" fillId="0" borderId="0" xfId="0" applyFont="1" applyAlignment="1">
      <alignment horizontal="center" vertical="center" wrapText="1"/>
    </xf>
    <xf numFmtId="0" fontId="16" fillId="0" borderId="0" xfId="0" applyFont="1" applyAlignment="1">
      <alignment wrapText="1"/>
    </xf>
    <xf numFmtId="0" fontId="2" fillId="0" borderId="41" xfId="2" applyBorder="1" applyAlignment="1">
      <alignment horizontal="center"/>
    </xf>
    <xf numFmtId="0" fontId="4" fillId="0" borderId="40" xfId="2" applyFont="1" applyBorder="1" applyAlignment="1" applyProtection="1">
      <alignment horizontal="center"/>
      <protection hidden="1"/>
    </xf>
    <xf numFmtId="0" fontId="2" fillId="0" borderId="40" xfId="2" applyBorder="1"/>
    <xf numFmtId="0" fontId="4" fillId="0" borderId="45" xfId="2" applyFont="1" applyBorder="1" applyAlignment="1" applyProtection="1">
      <alignment horizontal="center"/>
      <protection hidden="1"/>
    </xf>
    <xf numFmtId="0" fontId="23" fillId="0" borderId="0" xfId="2" applyFont="1" applyAlignment="1" applyProtection="1">
      <alignment horizontal="justify" vertical="center" wrapText="1"/>
      <protection hidden="1"/>
    </xf>
    <xf numFmtId="0" fontId="20" fillId="0" borderId="39" xfId="2" applyFont="1" applyBorder="1" applyAlignment="1" applyProtection="1">
      <alignment horizontal="center"/>
      <protection hidden="1"/>
    </xf>
    <xf numFmtId="0" fontId="51" fillId="0" borderId="0" xfId="2" applyFont="1" applyAlignment="1" applyProtection="1">
      <alignment horizontal="justify" vertical="justify" wrapText="1"/>
      <protection hidden="1"/>
    </xf>
    <xf numFmtId="0" fontId="51" fillId="0" borderId="0" xfId="2" applyFont="1" applyAlignment="1">
      <alignment horizontal="justify" vertical="justify" wrapText="1"/>
    </xf>
    <xf numFmtId="0" fontId="52" fillId="0" borderId="0" xfId="2" applyFont="1" applyAlignment="1">
      <alignment horizontal="center" vertical="center" wrapText="1"/>
    </xf>
    <xf numFmtId="0" fontId="53" fillId="0" borderId="0" xfId="2" applyFont="1" applyAlignment="1">
      <alignment horizontal="center" vertical="center" wrapText="1"/>
    </xf>
    <xf numFmtId="0" fontId="52" fillId="0" borderId="41" xfId="2" applyFont="1" applyBorder="1" applyAlignment="1">
      <alignment horizontal="center" vertical="center" wrapText="1"/>
    </xf>
    <xf numFmtId="0" fontId="53" fillId="0" borderId="41" xfId="2" applyFont="1" applyBorder="1" applyAlignment="1">
      <alignment horizontal="center" vertical="center" wrapText="1"/>
    </xf>
    <xf numFmtId="0" fontId="24" fillId="0" borderId="0" xfId="2" applyFont="1" applyBorder="1" applyAlignment="1" applyProtection="1">
      <alignment horizontal="center" vertical="center" wrapText="1"/>
      <protection locked="0" hidden="1"/>
    </xf>
    <xf numFmtId="0" fontId="24" fillId="0" borderId="0" xfId="2" applyFont="1" applyBorder="1" applyAlignment="1" applyProtection="1">
      <alignment horizontal="center" vertical="center" wrapText="1"/>
      <protection locked="0"/>
    </xf>
    <xf numFmtId="15" fontId="23" fillId="0" borderId="0" xfId="2" applyNumberFormat="1" applyFont="1" applyAlignment="1" applyProtection="1">
      <alignment horizontal="center"/>
      <protection hidden="1"/>
    </xf>
    <xf numFmtId="0" fontId="67" fillId="0" borderId="0" xfId="0" applyFont="1" applyAlignment="1">
      <alignment horizontal="center" vertical="center" wrapText="1"/>
    </xf>
    <xf numFmtId="172" fontId="35" fillId="0" borderId="27" xfId="9" applyNumberFormat="1" applyFont="1" applyFill="1" applyBorder="1" applyAlignment="1" applyProtection="1">
      <alignment horizontal="center"/>
      <protection locked="0"/>
    </xf>
    <xf numFmtId="0" fontId="77" fillId="0" borderId="0" xfId="2" applyFont="1" applyBorder="1" applyAlignment="1" applyProtection="1">
      <alignment horizontal="left"/>
      <protection hidden="1"/>
    </xf>
    <xf numFmtId="0" fontId="78" fillId="0" borderId="0" xfId="2" applyFont="1" applyBorder="1" applyAlignment="1">
      <alignment horizontal="left"/>
    </xf>
    <xf numFmtId="0" fontId="37" fillId="0" borderId="0" xfId="2" applyFont="1" applyAlignment="1" applyProtection="1">
      <alignment horizontal="center" vertical="center" wrapText="1"/>
      <protection hidden="1"/>
    </xf>
    <xf numFmtId="0" fontId="38" fillId="0" borderId="0" xfId="2" applyFont="1" applyAlignment="1">
      <alignment horizontal="center" vertical="center" wrapText="1"/>
    </xf>
    <xf numFmtId="0" fontId="34" fillId="0" borderId="0" xfId="2" applyFont="1" applyFill="1" applyAlignment="1" applyProtection="1">
      <alignment horizontal="right" vertical="center"/>
      <protection hidden="1"/>
    </xf>
    <xf numFmtId="0" fontId="40" fillId="0" borderId="0" xfId="2" applyFont="1" applyFill="1"/>
    <xf numFmtId="0" fontId="41" fillId="0" borderId="0" xfId="2" applyFont="1" applyAlignment="1" applyProtection="1">
      <alignment horizontal="center" vertical="center" wrapText="1"/>
      <protection hidden="1"/>
    </xf>
    <xf numFmtId="0" fontId="83" fillId="0" borderId="0" xfId="0" applyFont="1" applyAlignment="1">
      <alignment horizontal="center" vertical="center" wrapText="1"/>
    </xf>
    <xf numFmtId="0" fontId="79" fillId="0" borderId="0" xfId="2" applyFont="1" applyAlignment="1" applyProtection="1">
      <alignment horizontal="center" vertical="center" wrapText="1"/>
      <protection hidden="1"/>
    </xf>
    <xf numFmtId="0" fontId="34" fillId="0" borderId="0" xfId="2" applyFont="1" applyAlignment="1" applyProtection="1">
      <alignment horizontal="right" vertical="center"/>
      <protection hidden="1"/>
    </xf>
    <xf numFmtId="0" fontId="40" fillId="0" borderId="0" xfId="2" applyFont="1"/>
    <xf numFmtId="0" fontId="4" fillId="0" borderId="0" xfId="2" applyFont="1" applyAlignment="1">
      <alignment horizontal="center" wrapText="1"/>
    </xf>
    <xf numFmtId="0" fontId="4" fillId="0" borderId="0" xfId="2" applyFont="1"/>
    <xf numFmtId="0" fontId="41" fillId="0" borderId="41" xfId="2" applyFont="1" applyBorder="1" applyAlignment="1">
      <alignment horizontal="center" vertical="center" wrapText="1"/>
    </xf>
    <xf numFmtId="0" fontId="21" fillId="0" borderId="0" xfId="2" applyFont="1" applyAlignment="1" applyProtection="1">
      <alignment horizontal="center" vertical="center" wrapText="1"/>
      <protection hidden="1"/>
    </xf>
    <xf numFmtId="0" fontId="39" fillId="0" borderId="0" xfId="2" applyFont="1" applyAlignment="1">
      <alignment horizontal="center" vertical="center" wrapText="1"/>
    </xf>
    <xf numFmtId="0" fontId="4" fillId="13" borderId="11" xfId="2" applyFont="1" applyFill="1" applyBorder="1" applyAlignment="1">
      <alignment horizontal="center"/>
    </xf>
    <xf numFmtId="0" fontId="18" fillId="6" borderId="30" xfId="0" applyFont="1" applyFill="1" applyBorder="1" applyAlignment="1">
      <alignment horizontal="center" vertical="center" wrapText="1"/>
    </xf>
    <xf numFmtId="0" fontId="18" fillId="6" borderId="0" xfId="0" applyFont="1" applyFill="1" applyBorder="1" applyAlignment="1">
      <alignment horizontal="center" vertical="center" wrapText="1"/>
    </xf>
  </cellXfs>
  <cellStyles count="14">
    <cellStyle name="CENTURY 9-5" xfId="5" xr:uid="{00000000-0005-0000-0000-000000000000}"/>
    <cellStyle name="Hipervínculo" xfId="10" builtinId="8"/>
    <cellStyle name="Millares" xfId="7" builtinId="3"/>
    <cellStyle name="Millares 2" xfId="1" xr:uid="{00000000-0005-0000-0000-000003000000}"/>
    <cellStyle name="Millares 3" xfId="3" xr:uid="{00000000-0005-0000-0000-000004000000}"/>
    <cellStyle name="Millares 3 2" xfId="6" xr:uid="{00000000-0005-0000-0000-000005000000}"/>
    <cellStyle name="Millares 4" xfId="9" xr:uid="{29CBD269-36E2-4C06-94A8-EB8B9B28AB99}"/>
    <cellStyle name="Moneda" xfId="13" builtinId="4"/>
    <cellStyle name="Moneda 2" xfId="4" xr:uid="{00000000-0005-0000-0000-000007000000}"/>
    <cellStyle name="Moneda 3" xfId="12" xr:uid="{57571A91-F62F-4D0E-84C6-8D6890B71F98}"/>
    <cellStyle name="Normal" xfId="0" builtinId="0"/>
    <cellStyle name="Normal 2" xfId="2" xr:uid="{00000000-0005-0000-0000-000009000000}"/>
    <cellStyle name="Porcentaje" xfId="8" builtinId="5"/>
    <cellStyle name="Porcentaje 2" xfId="11" xr:uid="{3F494E08-9963-4E61-AEFB-C0C00AF526D5}"/>
  </cellStyles>
  <dxfs count="7"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7D7D"/>
      <color rgb="FF008000"/>
      <color rgb="FFFFFFCC"/>
      <color rgb="FFCCFFCC"/>
      <color rgb="FFFF00FF"/>
      <color rgb="FF00CC00"/>
      <color rgb="FF000099"/>
      <color rgb="FF33CC33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11" dropStyle="combo" dx="22" fmlaLink="requisitos!$I$14" fmlaRange="requisitos!$M$12:$M$22" noThreeD="1" sel="1" val="0"/>
</file>

<file path=xl/ctrlProps/ctrlProp2.xml><?xml version="1.0" encoding="utf-8"?>
<formControlPr xmlns="http://schemas.microsoft.com/office/spreadsheetml/2009/9/main" objectType="Drop" dropLines="33" dropStyle="combo" dx="22" fmlaLink="requisitos!$AE$2" fmlaRange="requisitos!$AF$2:$AF6" noThreeD="1" sel="1" val="0"/>
</file>

<file path=xl/ctrlProps/ctrlProp3.xml><?xml version="1.0" encoding="utf-8"?>
<formControlPr xmlns="http://schemas.microsoft.com/office/spreadsheetml/2009/9/main" objectType="Drop" dropLines="11" dropStyle="combo" dx="22" fmlaLink="requisitos!$I$14" fmlaRange="requisitos!$M$12:$M$22" noThreeD="1" sel="1" val="0"/>
</file>

<file path=xl/ctrlProps/ctrlProp4.xml><?xml version="1.0" encoding="utf-8"?>
<formControlPr xmlns="http://schemas.microsoft.com/office/spreadsheetml/2009/9/main" objectType="Drop" dropLines="33" dropStyle="combo" dx="22" fmlaLink="requisitos!$AE$2" fmlaRange="requisitos!$AF$2:$AF6" noThreeD="1" sel="1" val="0"/>
</file>

<file path=xl/ctrlProps/ctrlProp5.xml><?xml version="1.0" encoding="utf-8"?>
<formControlPr xmlns="http://schemas.microsoft.com/office/spreadsheetml/2009/9/main" objectType="Drop" dropLines="15" dropStyle="combo" dx="22" fmlaLink="anticipos!$C$3" fmlaRange="anticipos!$D$3:$D$18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26</xdr:row>
          <xdr:rowOff>142875</xdr:rowOff>
        </xdr:from>
        <xdr:to>
          <xdr:col>7</xdr:col>
          <xdr:colOff>19050</xdr:colOff>
          <xdr:row>28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31</xdr:row>
          <xdr:rowOff>0</xdr:rowOff>
        </xdr:from>
        <xdr:to>
          <xdr:col>10</xdr:col>
          <xdr:colOff>104775</xdr:colOff>
          <xdr:row>31</xdr:row>
          <xdr:rowOff>200025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171450</xdr:colOff>
      <xdr:row>0</xdr:row>
      <xdr:rowOff>76200</xdr:rowOff>
    </xdr:from>
    <xdr:to>
      <xdr:col>6</xdr:col>
      <xdr:colOff>704850</xdr:colOff>
      <xdr:row>4</xdr:row>
      <xdr:rowOff>161925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304" t="46645" r="39478" b="43411"/>
        <a:stretch>
          <a:fillRect/>
        </a:stretch>
      </xdr:blipFill>
      <xdr:spPr bwMode="auto">
        <a:xfrm>
          <a:off x="171450" y="76200"/>
          <a:ext cx="26003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25</xdr:row>
          <xdr:rowOff>142875</xdr:rowOff>
        </xdr:from>
        <xdr:to>
          <xdr:col>7</xdr:col>
          <xdr:colOff>19050</xdr:colOff>
          <xdr:row>27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30</xdr:row>
          <xdr:rowOff>0</xdr:rowOff>
        </xdr:from>
        <xdr:to>
          <xdr:col>10</xdr:col>
          <xdr:colOff>104775</xdr:colOff>
          <xdr:row>30</xdr:row>
          <xdr:rowOff>200025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171450</xdr:colOff>
      <xdr:row>0</xdr:row>
      <xdr:rowOff>76200</xdr:rowOff>
    </xdr:from>
    <xdr:to>
      <xdr:col>6</xdr:col>
      <xdr:colOff>704850</xdr:colOff>
      <xdr:row>4</xdr:row>
      <xdr:rowOff>161925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9E8109FE-204F-47F7-95B7-FD57E2177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304" t="46645" r="39478" b="43411"/>
        <a:stretch>
          <a:fillRect/>
        </a:stretch>
      </xdr:blipFill>
      <xdr:spPr bwMode="auto">
        <a:xfrm>
          <a:off x="171450" y="76200"/>
          <a:ext cx="2698750" cy="720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20</xdr:row>
          <xdr:rowOff>47625</xdr:rowOff>
        </xdr:from>
        <xdr:to>
          <xdr:col>19</xdr:col>
          <xdr:colOff>295275</xdr:colOff>
          <xdr:row>20</xdr:row>
          <xdr:rowOff>247650</xdr:rowOff>
        </xdr:to>
        <xdr:sp macro="" textlink="">
          <xdr:nvSpPr>
            <xdr:cNvPr id="6151" name="Drop Dow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CB90-152D-49B9-83FE-4C51E7C3D0F9}">
  <sheetPr>
    <pageSetUpPr fitToPage="1"/>
  </sheetPr>
  <dimension ref="A1:JB130"/>
  <sheetViews>
    <sheetView showGridLines="0" showZeros="0" topLeftCell="B1" zoomScaleNormal="100" workbookViewId="0">
      <selection activeCell="JC34" sqref="JC34"/>
    </sheetView>
  </sheetViews>
  <sheetFormatPr baseColWidth="10" defaultColWidth="3" defaultRowHeight="12.75" customHeight="1" zeroHeight="1" x14ac:dyDescent="0.2"/>
  <cols>
    <col min="1" max="1" width="3.5703125" style="92" customWidth="1"/>
    <col min="2" max="2" width="2.5703125" style="92" customWidth="1"/>
    <col min="3" max="3" width="3.42578125" style="92" customWidth="1"/>
    <col min="4" max="4" width="1.28515625" style="92" customWidth="1"/>
    <col min="5" max="5" width="6.7109375" style="93" customWidth="1"/>
    <col min="6" max="6" width="13.42578125" style="93" customWidth="1"/>
    <col min="7" max="7" width="14.5703125" style="92" customWidth="1"/>
    <col min="8" max="8" width="4.42578125" style="92" customWidth="1"/>
    <col min="9" max="9" width="8" style="92" customWidth="1"/>
    <col min="10" max="10" width="6.140625" style="92" customWidth="1"/>
    <col min="11" max="11" width="6.85546875" style="92" customWidth="1"/>
    <col min="12" max="12" width="4.28515625" style="92" customWidth="1"/>
    <col min="13" max="13" width="7.28515625" style="92" customWidth="1"/>
    <col min="14" max="14" width="12.140625" style="92" customWidth="1"/>
    <col min="15" max="15" width="13" style="92" customWidth="1"/>
    <col min="16" max="16" width="3.7109375" style="92" customWidth="1"/>
    <col min="17" max="17" width="14.42578125" style="92" customWidth="1"/>
    <col min="18" max="18" width="0.7109375" style="92" customWidth="1"/>
    <col min="19" max="19" width="3.7109375" style="92" customWidth="1"/>
    <col min="20" max="20" width="3.5703125" style="92" customWidth="1"/>
    <col min="21" max="21" width="1.7109375" style="92" customWidth="1"/>
    <col min="22" max="255" width="0" style="92" hidden="1" customWidth="1"/>
    <col min="256" max="256" width="3" style="92"/>
    <col min="257" max="257" width="3.5703125" style="92" customWidth="1"/>
    <col min="258" max="258" width="2.5703125" style="92" customWidth="1"/>
    <col min="259" max="259" width="3.42578125" style="92" customWidth="1"/>
    <col min="260" max="260" width="1.28515625" style="92" customWidth="1"/>
    <col min="261" max="261" width="6.7109375" style="92" customWidth="1"/>
    <col min="262" max="262" width="13.42578125" style="92" customWidth="1"/>
    <col min="263" max="263" width="14.5703125" style="92" customWidth="1"/>
    <col min="264" max="264" width="4.42578125" style="92" customWidth="1"/>
    <col min="265" max="265" width="8" style="92" customWidth="1"/>
    <col min="266" max="266" width="6.140625" style="92" customWidth="1"/>
    <col min="267" max="267" width="6.85546875" style="92" customWidth="1"/>
    <col min="268" max="268" width="4.28515625" style="92" customWidth="1"/>
    <col min="269" max="269" width="7.28515625" style="92" customWidth="1"/>
    <col min="270" max="270" width="12.140625" style="92" customWidth="1"/>
    <col min="271" max="271" width="13" style="92" customWidth="1"/>
    <col min="272" max="272" width="3.7109375" style="92" customWidth="1"/>
    <col min="273" max="273" width="14.42578125" style="92" customWidth="1"/>
    <col min="274" max="274" width="0.7109375" style="92" customWidth="1"/>
    <col min="275" max="275" width="3.7109375" style="92" customWidth="1"/>
    <col min="276" max="276" width="3.5703125" style="92" customWidth="1"/>
    <col min="277" max="277" width="1.7109375" style="92" customWidth="1"/>
    <col min="278" max="511" width="0" style="92" hidden="1" customWidth="1"/>
    <col min="512" max="512" width="3" style="92"/>
    <col min="513" max="513" width="3.5703125" style="92" customWidth="1"/>
    <col min="514" max="514" width="2.5703125" style="92" customWidth="1"/>
    <col min="515" max="515" width="3.42578125" style="92" customWidth="1"/>
    <col min="516" max="516" width="1.28515625" style="92" customWidth="1"/>
    <col min="517" max="517" width="6.7109375" style="92" customWidth="1"/>
    <col min="518" max="518" width="13.42578125" style="92" customWidth="1"/>
    <col min="519" max="519" width="14.5703125" style="92" customWidth="1"/>
    <col min="520" max="520" width="4.42578125" style="92" customWidth="1"/>
    <col min="521" max="521" width="8" style="92" customWidth="1"/>
    <col min="522" max="522" width="6.140625" style="92" customWidth="1"/>
    <col min="523" max="523" width="6.85546875" style="92" customWidth="1"/>
    <col min="524" max="524" width="4.28515625" style="92" customWidth="1"/>
    <col min="525" max="525" width="7.28515625" style="92" customWidth="1"/>
    <col min="526" max="526" width="12.140625" style="92" customWidth="1"/>
    <col min="527" max="527" width="13" style="92" customWidth="1"/>
    <col min="528" max="528" width="3.7109375" style="92" customWidth="1"/>
    <col min="529" max="529" width="14.42578125" style="92" customWidth="1"/>
    <col min="530" max="530" width="0.7109375" style="92" customWidth="1"/>
    <col min="531" max="531" width="3.7109375" style="92" customWidth="1"/>
    <col min="532" max="532" width="3.5703125" style="92" customWidth="1"/>
    <col min="533" max="533" width="1.7109375" style="92" customWidth="1"/>
    <col min="534" max="767" width="0" style="92" hidden="1" customWidth="1"/>
    <col min="768" max="768" width="3" style="92"/>
    <col min="769" max="769" width="3.5703125" style="92" customWidth="1"/>
    <col min="770" max="770" width="2.5703125" style="92" customWidth="1"/>
    <col min="771" max="771" width="3.42578125" style="92" customWidth="1"/>
    <col min="772" max="772" width="1.28515625" style="92" customWidth="1"/>
    <col min="773" max="773" width="6.7109375" style="92" customWidth="1"/>
    <col min="774" max="774" width="13.42578125" style="92" customWidth="1"/>
    <col min="775" max="775" width="14.5703125" style="92" customWidth="1"/>
    <col min="776" max="776" width="4.42578125" style="92" customWidth="1"/>
    <col min="777" max="777" width="8" style="92" customWidth="1"/>
    <col min="778" max="778" width="6.140625" style="92" customWidth="1"/>
    <col min="779" max="779" width="6.85546875" style="92" customWidth="1"/>
    <col min="780" max="780" width="4.28515625" style="92" customWidth="1"/>
    <col min="781" max="781" width="7.28515625" style="92" customWidth="1"/>
    <col min="782" max="782" width="12.140625" style="92" customWidth="1"/>
    <col min="783" max="783" width="13" style="92" customWidth="1"/>
    <col min="784" max="784" width="3.7109375" style="92" customWidth="1"/>
    <col min="785" max="785" width="14.42578125" style="92" customWidth="1"/>
    <col min="786" max="786" width="0.7109375" style="92" customWidth="1"/>
    <col min="787" max="787" width="3.7109375" style="92" customWidth="1"/>
    <col min="788" max="788" width="3.5703125" style="92" customWidth="1"/>
    <col min="789" max="789" width="1.7109375" style="92" customWidth="1"/>
    <col min="790" max="1023" width="0" style="92" hidden="1" customWidth="1"/>
    <col min="1024" max="1024" width="3" style="92"/>
    <col min="1025" max="1025" width="3.5703125" style="92" customWidth="1"/>
    <col min="1026" max="1026" width="2.5703125" style="92" customWidth="1"/>
    <col min="1027" max="1027" width="3.42578125" style="92" customWidth="1"/>
    <col min="1028" max="1028" width="1.28515625" style="92" customWidth="1"/>
    <col min="1029" max="1029" width="6.7109375" style="92" customWidth="1"/>
    <col min="1030" max="1030" width="13.42578125" style="92" customWidth="1"/>
    <col min="1031" max="1031" width="14.5703125" style="92" customWidth="1"/>
    <col min="1032" max="1032" width="4.42578125" style="92" customWidth="1"/>
    <col min="1033" max="1033" width="8" style="92" customWidth="1"/>
    <col min="1034" max="1034" width="6.140625" style="92" customWidth="1"/>
    <col min="1035" max="1035" width="6.85546875" style="92" customWidth="1"/>
    <col min="1036" max="1036" width="4.28515625" style="92" customWidth="1"/>
    <col min="1037" max="1037" width="7.28515625" style="92" customWidth="1"/>
    <col min="1038" max="1038" width="12.140625" style="92" customWidth="1"/>
    <col min="1039" max="1039" width="13" style="92" customWidth="1"/>
    <col min="1040" max="1040" width="3.7109375" style="92" customWidth="1"/>
    <col min="1041" max="1041" width="14.42578125" style="92" customWidth="1"/>
    <col min="1042" max="1042" width="0.7109375" style="92" customWidth="1"/>
    <col min="1043" max="1043" width="3.7109375" style="92" customWidth="1"/>
    <col min="1044" max="1044" width="3.5703125" style="92" customWidth="1"/>
    <col min="1045" max="1045" width="1.7109375" style="92" customWidth="1"/>
    <col min="1046" max="1279" width="0" style="92" hidden="1" customWidth="1"/>
    <col min="1280" max="1280" width="3" style="92"/>
    <col min="1281" max="1281" width="3.5703125" style="92" customWidth="1"/>
    <col min="1282" max="1282" width="2.5703125" style="92" customWidth="1"/>
    <col min="1283" max="1283" width="3.42578125" style="92" customWidth="1"/>
    <col min="1284" max="1284" width="1.28515625" style="92" customWidth="1"/>
    <col min="1285" max="1285" width="6.7109375" style="92" customWidth="1"/>
    <col min="1286" max="1286" width="13.42578125" style="92" customWidth="1"/>
    <col min="1287" max="1287" width="14.5703125" style="92" customWidth="1"/>
    <col min="1288" max="1288" width="4.42578125" style="92" customWidth="1"/>
    <col min="1289" max="1289" width="8" style="92" customWidth="1"/>
    <col min="1290" max="1290" width="6.140625" style="92" customWidth="1"/>
    <col min="1291" max="1291" width="6.85546875" style="92" customWidth="1"/>
    <col min="1292" max="1292" width="4.28515625" style="92" customWidth="1"/>
    <col min="1293" max="1293" width="7.28515625" style="92" customWidth="1"/>
    <col min="1294" max="1294" width="12.140625" style="92" customWidth="1"/>
    <col min="1295" max="1295" width="13" style="92" customWidth="1"/>
    <col min="1296" max="1296" width="3.7109375" style="92" customWidth="1"/>
    <col min="1297" max="1297" width="14.42578125" style="92" customWidth="1"/>
    <col min="1298" max="1298" width="0.7109375" style="92" customWidth="1"/>
    <col min="1299" max="1299" width="3.7109375" style="92" customWidth="1"/>
    <col min="1300" max="1300" width="3.5703125" style="92" customWidth="1"/>
    <col min="1301" max="1301" width="1.7109375" style="92" customWidth="1"/>
    <col min="1302" max="1535" width="0" style="92" hidden="1" customWidth="1"/>
    <col min="1536" max="1536" width="3" style="92"/>
    <col min="1537" max="1537" width="3.5703125" style="92" customWidth="1"/>
    <col min="1538" max="1538" width="2.5703125" style="92" customWidth="1"/>
    <col min="1539" max="1539" width="3.42578125" style="92" customWidth="1"/>
    <col min="1540" max="1540" width="1.28515625" style="92" customWidth="1"/>
    <col min="1541" max="1541" width="6.7109375" style="92" customWidth="1"/>
    <col min="1542" max="1542" width="13.42578125" style="92" customWidth="1"/>
    <col min="1543" max="1543" width="14.5703125" style="92" customWidth="1"/>
    <col min="1544" max="1544" width="4.42578125" style="92" customWidth="1"/>
    <col min="1545" max="1545" width="8" style="92" customWidth="1"/>
    <col min="1546" max="1546" width="6.140625" style="92" customWidth="1"/>
    <col min="1547" max="1547" width="6.85546875" style="92" customWidth="1"/>
    <col min="1548" max="1548" width="4.28515625" style="92" customWidth="1"/>
    <col min="1549" max="1549" width="7.28515625" style="92" customWidth="1"/>
    <col min="1550" max="1550" width="12.140625" style="92" customWidth="1"/>
    <col min="1551" max="1551" width="13" style="92" customWidth="1"/>
    <col min="1552" max="1552" width="3.7109375" style="92" customWidth="1"/>
    <col min="1553" max="1553" width="14.42578125" style="92" customWidth="1"/>
    <col min="1554" max="1554" width="0.7109375" style="92" customWidth="1"/>
    <col min="1555" max="1555" width="3.7109375" style="92" customWidth="1"/>
    <col min="1556" max="1556" width="3.5703125" style="92" customWidth="1"/>
    <col min="1557" max="1557" width="1.7109375" style="92" customWidth="1"/>
    <col min="1558" max="1791" width="0" style="92" hidden="1" customWidth="1"/>
    <col min="1792" max="1792" width="3" style="92"/>
    <col min="1793" max="1793" width="3.5703125" style="92" customWidth="1"/>
    <col min="1794" max="1794" width="2.5703125" style="92" customWidth="1"/>
    <col min="1795" max="1795" width="3.42578125" style="92" customWidth="1"/>
    <col min="1796" max="1796" width="1.28515625" style="92" customWidth="1"/>
    <col min="1797" max="1797" width="6.7109375" style="92" customWidth="1"/>
    <col min="1798" max="1798" width="13.42578125" style="92" customWidth="1"/>
    <col min="1799" max="1799" width="14.5703125" style="92" customWidth="1"/>
    <col min="1800" max="1800" width="4.42578125" style="92" customWidth="1"/>
    <col min="1801" max="1801" width="8" style="92" customWidth="1"/>
    <col min="1802" max="1802" width="6.140625" style="92" customWidth="1"/>
    <col min="1803" max="1803" width="6.85546875" style="92" customWidth="1"/>
    <col min="1804" max="1804" width="4.28515625" style="92" customWidth="1"/>
    <col min="1805" max="1805" width="7.28515625" style="92" customWidth="1"/>
    <col min="1806" max="1806" width="12.140625" style="92" customWidth="1"/>
    <col min="1807" max="1807" width="13" style="92" customWidth="1"/>
    <col min="1808" max="1808" width="3.7109375" style="92" customWidth="1"/>
    <col min="1809" max="1809" width="14.42578125" style="92" customWidth="1"/>
    <col min="1810" max="1810" width="0.7109375" style="92" customWidth="1"/>
    <col min="1811" max="1811" width="3.7109375" style="92" customWidth="1"/>
    <col min="1812" max="1812" width="3.5703125" style="92" customWidth="1"/>
    <col min="1813" max="1813" width="1.7109375" style="92" customWidth="1"/>
    <col min="1814" max="2047" width="0" style="92" hidden="1" customWidth="1"/>
    <col min="2048" max="2048" width="3" style="92"/>
    <col min="2049" max="2049" width="3.5703125" style="92" customWidth="1"/>
    <col min="2050" max="2050" width="2.5703125" style="92" customWidth="1"/>
    <col min="2051" max="2051" width="3.42578125" style="92" customWidth="1"/>
    <col min="2052" max="2052" width="1.28515625" style="92" customWidth="1"/>
    <col min="2053" max="2053" width="6.7109375" style="92" customWidth="1"/>
    <col min="2054" max="2054" width="13.42578125" style="92" customWidth="1"/>
    <col min="2055" max="2055" width="14.5703125" style="92" customWidth="1"/>
    <col min="2056" max="2056" width="4.42578125" style="92" customWidth="1"/>
    <col min="2057" max="2057" width="8" style="92" customWidth="1"/>
    <col min="2058" max="2058" width="6.140625" style="92" customWidth="1"/>
    <col min="2059" max="2059" width="6.85546875" style="92" customWidth="1"/>
    <col min="2060" max="2060" width="4.28515625" style="92" customWidth="1"/>
    <col min="2061" max="2061" width="7.28515625" style="92" customWidth="1"/>
    <col min="2062" max="2062" width="12.140625" style="92" customWidth="1"/>
    <col min="2063" max="2063" width="13" style="92" customWidth="1"/>
    <col min="2064" max="2064" width="3.7109375" style="92" customWidth="1"/>
    <col min="2065" max="2065" width="14.42578125" style="92" customWidth="1"/>
    <col min="2066" max="2066" width="0.7109375" style="92" customWidth="1"/>
    <col min="2067" max="2067" width="3.7109375" style="92" customWidth="1"/>
    <col min="2068" max="2068" width="3.5703125" style="92" customWidth="1"/>
    <col min="2069" max="2069" width="1.7109375" style="92" customWidth="1"/>
    <col min="2070" max="2303" width="0" style="92" hidden="1" customWidth="1"/>
    <col min="2304" max="2304" width="3" style="92"/>
    <col min="2305" max="2305" width="3.5703125" style="92" customWidth="1"/>
    <col min="2306" max="2306" width="2.5703125" style="92" customWidth="1"/>
    <col min="2307" max="2307" width="3.42578125" style="92" customWidth="1"/>
    <col min="2308" max="2308" width="1.28515625" style="92" customWidth="1"/>
    <col min="2309" max="2309" width="6.7109375" style="92" customWidth="1"/>
    <col min="2310" max="2310" width="13.42578125" style="92" customWidth="1"/>
    <col min="2311" max="2311" width="14.5703125" style="92" customWidth="1"/>
    <col min="2312" max="2312" width="4.42578125" style="92" customWidth="1"/>
    <col min="2313" max="2313" width="8" style="92" customWidth="1"/>
    <col min="2314" max="2314" width="6.140625" style="92" customWidth="1"/>
    <col min="2315" max="2315" width="6.85546875" style="92" customWidth="1"/>
    <col min="2316" max="2316" width="4.28515625" style="92" customWidth="1"/>
    <col min="2317" max="2317" width="7.28515625" style="92" customWidth="1"/>
    <col min="2318" max="2318" width="12.140625" style="92" customWidth="1"/>
    <col min="2319" max="2319" width="13" style="92" customWidth="1"/>
    <col min="2320" max="2320" width="3.7109375" style="92" customWidth="1"/>
    <col min="2321" max="2321" width="14.42578125" style="92" customWidth="1"/>
    <col min="2322" max="2322" width="0.7109375" style="92" customWidth="1"/>
    <col min="2323" max="2323" width="3.7109375" style="92" customWidth="1"/>
    <col min="2324" max="2324" width="3.5703125" style="92" customWidth="1"/>
    <col min="2325" max="2325" width="1.7109375" style="92" customWidth="1"/>
    <col min="2326" max="2559" width="0" style="92" hidden="1" customWidth="1"/>
    <col min="2560" max="2560" width="3" style="92"/>
    <col min="2561" max="2561" width="3.5703125" style="92" customWidth="1"/>
    <col min="2562" max="2562" width="2.5703125" style="92" customWidth="1"/>
    <col min="2563" max="2563" width="3.42578125" style="92" customWidth="1"/>
    <col min="2564" max="2564" width="1.28515625" style="92" customWidth="1"/>
    <col min="2565" max="2565" width="6.7109375" style="92" customWidth="1"/>
    <col min="2566" max="2566" width="13.42578125" style="92" customWidth="1"/>
    <col min="2567" max="2567" width="14.5703125" style="92" customWidth="1"/>
    <col min="2568" max="2568" width="4.42578125" style="92" customWidth="1"/>
    <col min="2569" max="2569" width="8" style="92" customWidth="1"/>
    <col min="2570" max="2570" width="6.140625" style="92" customWidth="1"/>
    <col min="2571" max="2571" width="6.85546875" style="92" customWidth="1"/>
    <col min="2572" max="2572" width="4.28515625" style="92" customWidth="1"/>
    <col min="2573" max="2573" width="7.28515625" style="92" customWidth="1"/>
    <col min="2574" max="2574" width="12.140625" style="92" customWidth="1"/>
    <col min="2575" max="2575" width="13" style="92" customWidth="1"/>
    <col min="2576" max="2576" width="3.7109375" style="92" customWidth="1"/>
    <col min="2577" max="2577" width="14.42578125" style="92" customWidth="1"/>
    <col min="2578" max="2578" width="0.7109375" style="92" customWidth="1"/>
    <col min="2579" max="2579" width="3.7109375" style="92" customWidth="1"/>
    <col min="2580" max="2580" width="3.5703125" style="92" customWidth="1"/>
    <col min="2581" max="2581" width="1.7109375" style="92" customWidth="1"/>
    <col min="2582" max="2815" width="0" style="92" hidden="1" customWidth="1"/>
    <col min="2816" max="2816" width="3" style="92"/>
    <col min="2817" max="2817" width="3.5703125" style="92" customWidth="1"/>
    <col min="2818" max="2818" width="2.5703125" style="92" customWidth="1"/>
    <col min="2819" max="2819" width="3.42578125" style="92" customWidth="1"/>
    <col min="2820" max="2820" width="1.28515625" style="92" customWidth="1"/>
    <col min="2821" max="2821" width="6.7109375" style="92" customWidth="1"/>
    <col min="2822" max="2822" width="13.42578125" style="92" customWidth="1"/>
    <col min="2823" max="2823" width="14.5703125" style="92" customWidth="1"/>
    <col min="2824" max="2824" width="4.42578125" style="92" customWidth="1"/>
    <col min="2825" max="2825" width="8" style="92" customWidth="1"/>
    <col min="2826" max="2826" width="6.140625" style="92" customWidth="1"/>
    <col min="2827" max="2827" width="6.85546875" style="92" customWidth="1"/>
    <col min="2828" max="2828" width="4.28515625" style="92" customWidth="1"/>
    <col min="2829" max="2829" width="7.28515625" style="92" customWidth="1"/>
    <col min="2830" max="2830" width="12.140625" style="92" customWidth="1"/>
    <col min="2831" max="2831" width="13" style="92" customWidth="1"/>
    <col min="2832" max="2832" width="3.7109375" style="92" customWidth="1"/>
    <col min="2833" max="2833" width="14.42578125" style="92" customWidth="1"/>
    <col min="2834" max="2834" width="0.7109375" style="92" customWidth="1"/>
    <col min="2835" max="2835" width="3.7109375" style="92" customWidth="1"/>
    <col min="2836" max="2836" width="3.5703125" style="92" customWidth="1"/>
    <col min="2837" max="2837" width="1.7109375" style="92" customWidth="1"/>
    <col min="2838" max="3071" width="0" style="92" hidden="1" customWidth="1"/>
    <col min="3072" max="3072" width="3" style="92"/>
    <col min="3073" max="3073" width="3.5703125" style="92" customWidth="1"/>
    <col min="3074" max="3074" width="2.5703125" style="92" customWidth="1"/>
    <col min="3075" max="3075" width="3.42578125" style="92" customWidth="1"/>
    <col min="3076" max="3076" width="1.28515625" style="92" customWidth="1"/>
    <col min="3077" max="3077" width="6.7109375" style="92" customWidth="1"/>
    <col min="3078" max="3078" width="13.42578125" style="92" customWidth="1"/>
    <col min="3079" max="3079" width="14.5703125" style="92" customWidth="1"/>
    <col min="3080" max="3080" width="4.42578125" style="92" customWidth="1"/>
    <col min="3081" max="3081" width="8" style="92" customWidth="1"/>
    <col min="3082" max="3082" width="6.140625" style="92" customWidth="1"/>
    <col min="3083" max="3083" width="6.85546875" style="92" customWidth="1"/>
    <col min="3084" max="3084" width="4.28515625" style="92" customWidth="1"/>
    <col min="3085" max="3085" width="7.28515625" style="92" customWidth="1"/>
    <col min="3086" max="3086" width="12.140625" style="92" customWidth="1"/>
    <col min="3087" max="3087" width="13" style="92" customWidth="1"/>
    <col min="3088" max="3088" width="3.7109375" style="92" customWidth="1"/>
    <col min="3089" max="3089" width="14.42578125" style="92" customWidth="1"/>
    <col min="3090" max="3090" width="0.7109375" style="92" customWidth="1"/>
    <col min="3091" max="3091" width="3.7109375" style="92" customWidth="1"/>
    <col min="3092" max="3092" width="3.5703125" style="92" customWidth="1"/>
    <col min="3093" max="3093" width="1.7109375" style="92" customWidth="1"/>
    <col min="3094" max="3327" width="0" style="92" hidden="1" customWidth="1"/>
    <col min="3328" max="3328" width="3" style="92"/>
    <col min="3329" max="3329" width="3.5703125" style="92" customWidth="1"/>
    <col min="3330" max="3330" width="2.5703125" style="92" customWidth="1"/>
    <col min="3331" max="3331" width="3.42578125" style="92" customWidth="1"/>
    <col min="3332" max="3332" width="1.28515625" style="92" customWidth="1"/>
    <col min="3333" max="3333" width="6.7109375" style="92" customWidth="1"/>
    <col min="3334" max="3334" width="13.42578125" style="92" customWidth="1"/>
    <col min="3335" max="3335" width="14.5703125" style="92" customWidth="1"/>
    <col min="3336" max="3336" width="4.42578125" style="92" customWidth="1"/>
    <col min="3337" max="3337" width="8" style="92" customWidth="1"/>
    <col min="3338" max="3338" width="6.140625" style="92" customWidth="1"/>
    <col min="3339" max="3339" width="6.85546875" style="92" customWidth="1"/>
    <col min="3340" max="3340" width="4.28515625" style="92" customWidth="1"/>
    <col min="3341" max="3341" width="7.28515625" style="92" customWidth="1"/>
    <col min="3342" max="3342" width="12.140625" style="92" customWidth="1"/>
    <col min="3343" max="3343" width="13" style="92" customWidth="1"/>
    <col min="3344" max="3344" width="3.7109375" style="92" customWidth="1"/>
    <col min="3345" max="3345" width="14.42578125" style="92" customWidth="1"/>
    <col min="3346" max="3346" width="0.7109375" style="92" customWidth="1"/>
    <col min="3347" max="3347" width="3.7109375" style="92" customWidth="1"/>
    <col min="3348" max="3348" width="3.5703125" style="92" customWidth="1"/>
    <col min="3349" max="3349" width="1.7109375" style="92" customWidth="1"/>
    <col min="3350" max="3583" width="0" style="92" hidden="1" customWidth="1"/>
    <col min="3584" max="3584" width="3" style="92"/>
    <col min="3585" max="3585" width="3.5703125" style="92" customWidth="1"/>
    <col min="3586" max="3586" width="2.5703125" style="92" customWidth="1"/>
    <col min="3587" max="3587" width="3.42578125" style="92" customWidth="1"/>
    <col min="3588" max="3588" width="1.28515625" style="92" customWidth="1"/>
    <col min="3589" max="3589" width="6.7109375" style="92" customWidth="1"/>
    <col min="3590" max="3590" width="13.42578125" style="92" customWidth="1"/>
    <col min="3591" max="3591" width="14.5703125" style="92" customWidth="1"/>
    <col min="3592" max="3592" width="4.42578125" style="92" customWidth="1"/>
    <col min="3593" max="3593" width="8" style="92" customWidth="1"/>
    <col min="3594" max="3594" width="6.140625" style="92" customWidth="1"/>
    <col min="3595" max="3595" width="6.85546875" style="92" customWidth="1"/>
    <col min="3596" max="3596" width="4.28515625" style="92" customWidth="1"/>
    <col min="3597" max="3597" width="7.28515625" style="92" customWidth="1"/>
    <col min="3598" max="3598" width="12.140625" style="92" customWidth="1"/>
    <col min="3599" max="3599" width="13" style="92" customWidth="1"/>
    <col min="3600" max="3600" width="3.7109375" style="92" customWidth="1"/>
    <col min="3601" max="3601" width="14.42578125" style="92" customWidth="1"/>
    <col min="3602" max="3602" width="0.7109375" style="92" customWidth="1"/>
    <col min="3603" max="3603" width="3.7109375" style="92" customWidth="1"/>
    <col min="3604" max="3604" width="3.5703125" style="92" customWidth="1"/>
    <col min="3605" max="3605" width="1.7109375" style="92" customWidth="1"/>
    <col min="3606" max="3839" width="0" style="92" hidden="1" customWidth="1"/>
    <col min="3840" max="3840" width="3" style="92"/>
    <col min="3841" max="3841" width="3.5703125" style="92" customWidth="1"/>
    <col min="3842" max="3842" width="2.5703125" style="92" customWidth="1"/>
    <col min="3843" max="3843" width="3.42578125" style="92" customWidth="1"/>
    <col min="3844" max="3844" width="1.28515625" style="92" customWidth="1"/>
    <col min="3845" max="3845" width="6.7109375" style="92" customWidth="1"/>
    <col min="3846" max="3846" width="13.42578125" style="92" customWidth="1"/>
    <col min="3847" max="3847" width="14.5703125" style="92" customWidth="1"/>
    <col min="3848" max="3848" width="4.42578125" style="92" customWidth="1"/>
    <col min="3849" max="3849" width="8" style="92" customWidth="1"/>
    <col min="3850" max="3850" width="6.140625" style="92" customWidth="1"/>
    <col min="3851" max="3851" width="6.85546875" style="92" customWidth="1"/>
    <col min="3852" max="3852" width="4.28515625" style="92" customWidth="1"/>
    <col min="3853" max="3853" width="7.28515625" style="92" customWidth="1"/>
    <col min="3854" max="3854" width="12.140625" style="92" customWidth="1"/>
    <col min="3855" max="3855" width="13" style="92" customWidth="1"/>
    <col min="3856" max="3856" width="3.7109375" style="92" customWidth="1"/>
    <col min="3857" max="3857" width="14.42578125" style="92" customWidth="1"/>
    <col min="3858" max="3858" width="0.7109375" style="92" customWidth="1"/>
    <col min="3859" max="3859" width="3.7109375" style="92" customWidth="1"/>
    <col min="3860" max="3860" width="3.5703125" style="92" customWidth="1"/>
    <col min="3861" max="3861" width="1.7109375" style="92" customWidth="1"/>
    <col min="3862" max="4095" width="0" style="92" hidden="1" customWidth="1"/>
    <col min="4096" max="4096" width="3" style="92"/>
    <col min="4097" max="4097" width="3.5703125" style="92" customWidth="1"/>
    <col min="4098" max="4098" width="2.5703125" style="92" customWidth="1"/>
    <col min="4099" max="4099" width="3.42578125" style="92" customWidth="1"/>
    <col min="4100" max="4100" width="1.28515625" style="92" customWidth="1"/>
    <col min="4101" max="4101" width="6.7109375" style="92" customWidth="1"/>
    <col min="4102" max="4102" width="13.42578125" style="92" customWidth="1"/>
    <col min="4103" max="4103" width="14.5703125" style="92" customWidth="1"/>
    <col min="4104" max="4104" width="4.42578125" style="92" customWidth="1"/>
    <col min="4105" max="4105" width="8" style="92" customWidth="1"/>
    <col min="4106" max="4106" width="6.140625" style="92" customWidth="1"/>
    <col min="4107" max="4107" width="6.85546875" style="92" customWidth="1"/>
    <col min="4108" max="4108" width="4.28515625" style="92" customWidth="1"/>
    <col min="4109" max="4109" width="7.28515625" style="92" customWidth="1"/>
    <col min="4110" max="4110" width="12.140625" style="92" customWidth="1"/>
    <col min="4111" max="4111" width="13" style="92" customWidth="1"/>
    <col min="4112" max="4112" width="3.7109375" style="92" customWidth="1"/>
    <col min="4113" max="4113" width="14.42578125" style="92" customWidth="1"/>
    <col min="4114" max="4114" width="0.7109375" style="92" customWidth="1"/>
    <col min="4115" max="4115" width="3.7109375" style="92" customWidth="1"/>
    <col min="4116" max="4116" width="3.5703125" style="92" customWidth="1"/>
    <col min="4117" max="4117" width="1.7109375" style="92" customWidth="1"/>
    <col min="4118" max="4351" width="0" style="92" hidden="1" customWidth="1"/>
    <col min="4352" max="4352" width="3" style="92"/>
    <col min="4353" max="4353" width="3.5703125" style="92" customWidth="1"/>
    <col min="4354" max="4354" width="2.5703125" style="92" customWidth="1"/>
    <col min="4355" max="4355" width="3.42578125" style="92" customWidth="1"/>
    <col min="4356" max="4356" width="1.28515625" style="92" customWidth="1"/>
    <col min="4357" max="4357" width="6.7109375" style="92" customWidth="1"/>
    <col min="4358" max="4358" width="13.42578125" style="92" customWidth="1"/>
    <col min="4359" max="4359" width="14.5703125" style="92" customWidth="1"/>
    <col min="4360" max="4360" width="4.42578125" style="92" customWidth="1"/>
    <col min="4361" max="4361" width="8" style="92" customWidth="1"/>
    <col min="4362" max="4362" width="6.140625" style="92" customWidth="1"/>
    <col min="4363" max="4363" width="6.85546875" style="92" customWidth="1"/>
    <col min="4364" max="4364" width="4.28515625" style="92" customWidth="1"/>
    <col min="4365" max="4365" width="7.28515625" style="92" customWidth="1"/>
    <col min="4366" max="4366" width="12.140625" style="92" customWidth="1"/>
    <col min="4367" max="4367" width="13" style="92" customWidth="1"/>
    <col min="4368" max="4368" width="3.7109375" style="92" customWidth="1"/>
    <col min="4369" max="4369" width="14.42578125" style="92" customWidth="1"/>
    <col min="4370" max="4370" width="0.7109375" style="92" customWidth="1"/>
    <col min="4371" max="4371" width="3.7109375" style="92" customWidth="1"/>
    <col min="4372" max="4372" width="3.5703125" style="92" customWidth="1"/>
    <col min="4373" max="4373" width="1.7109375" style="92" customWidth="1"/>
    <col min="4374" max="4607" width="0" style="92" hidden="1" customWidth="1"/>
    <col min="4608" max="4608" width="3" style="92"/>
    <col min="4609" max="4609" width="3.5703125" style="92" customWidth="1"/>
    <col min="4610" max="4610" width="2.5703125" style="92" customWidth="1"/>
    <col min="4611" max="4611" width="3.42578125" style="92" customWidth="1"/>
    <col min="4612" max="4612" width="1.28515625" style="92" customWidth="1"/>
    <col min="4613" max="4613" width="6.7109375" style="92" customWidth="1"/>
    <col min="4614" max="4614" width="13.42578125" style="92" customWidth="1"/>
    <col min="4615" max="4615" width="14.5703125" style="92" customWidth="1"/>
    <col min="4616" max="4616" width="4.42578125" style="92" customWidth="1"/>
    <col min="4617" max="4617" width="8" style="92" customWidth="1"/>
    <col min="4618" max="4618" width="6.140625" style="92" customWidth="1"/>
    <col min="4619" max="4619" width="6.85546875" style="92" customWidth="1"/>
    <col min="4620" max="4620" width="4.28515625" style="92" customWidth="1"/>
    <col min="4621" max="4621" width="7.28515625" style="92" customWidth="1"/>
    <col min="4622" max="4622" width="12.140625" style="92" customWidth="1"/>
    <col min="4623" max="4623" width="13" style="92" customWidth="1"/>
    <col min="4624" max="4624" width="3.7109375" style="92" customWidth="1"/>
    <col min="4625" max="4625" width="14.42578125" style="92" customWidth="1"/>
    <col min="4626" max="4626" width="0.7109375" style="92" customWidth="1"/>
    <col min="4627" max="4627" width="3.7109375" style="92" customWidth="1"/>
    <col min="4628" max="4628" width="3.5703125" style="92" customWidth="1"/>
    <col min="4629" max="4629" width="1.7109375" style="92" customWidth="1"/>
    <col min="4630" max="4863" width="0" style="92" hidden="1" customWidth="1"/>
    <col min="4864" max="4864" width="3" style="92"/>
    <col min="4865" max="4865" width="3.5703125" style="92" customWidth="1"/>
    <col min="4866" max="4866" width="2.5703125" style="92" customWidth="1"/>
    <col min="4867" max="4867" width="3.42578125" style="92" customWidth="1"/>
    <col min="4868" max="4868" width="1.28515625" style="92" customWidth="1"/>
    <col min="4869" max="4869" width="6.7109375" style="92" customWidth="1"/>
    <col min="4870" max="4870" width="13.42578125" style="92" customWidth="1"/>
    <col min="4871" max="4871" width="14.5703125" style="92" customWidth="1"/>
    <col min="4872" max="4872" width="4.42578125" style="92" customWidth="1"/>
    <col min="4873" max="4873" width="8" style="92" customWidth="1"/>
    <col min="4874" max="4874" width="6.140625" style="92" customWidth="1"/>
    <col min="4875" max="4875" width="6.85546875" style="92" customWidth="1"/>
    <col min="4876" max="4876" width="4.28515625" style="92" customWidth="1"/>
    <col min="4877" max="4877" width="7.28515625" style="92" customWidth="1"/>
    <col min="4878" max="4878" width="12.140625" style="92" customWidth="1"/>
    <col min="4879" max="4879" width="13" style="92" customWidth="1"/>
    <col min="4880" max="4880" width="3.7109375" style="92" customWidth="1"/>
    <col min="4881" max="4881" width="14.42578125" style="92" customWidth="1"/>
    <col min="4882" max="4882" width="0.7109375" style="92" customWidth="1"/>
    <col min="4883" max="4883" width="3.7109375" style="92" customWidth="1"/>
    <col min="4884" max="4884" width="3.5703125" style="92" customWidth="1"/>
    <col min="4885" max="4885" width="1.7109375" style="92" customWidth="1"/>
    <col min="4886" max="5119" width="0" style="92" hidden="1" customWidth="1"/>
    <col min="5120" max="5120" width="3" style="92"/>
    <col min="5121" max="5121" width="3.5703125" style="92" customWidth="1"/>
    <col min="5122" max="5122" width="2.5703125" style="92" customWidth="1"/>
    <col min="5123" max="5123" width="3.42578125" style="92" customWidth="1"/>
    <col min="5124" max="5124" width="1.28515625" style="92" customWidth="1"/>
    <col min="5125" max="5125" width="6.7109375" style="92" customWidth="1"/>
    <col min="5126" max="5126" width="13.42578125" style="92" customWidth="1"/>
    <col min="5127" max="5127" width="14.5703125" style="92" customWidth="1"/>
    <col min="5128" max="5128" width="4.42578125" style="92" customWidth="1"/>
    <col min="5129" max="5129" width="8" style="92" customWidth="1"/>
    <col min="5130" max="5130" width="6.140625" style="92" customWidth="1"/>
    <col min="5131" max="5131" width="6.85546875" style="92" customWidth="1"/>
    <col min="5132" max="5132" width="4.28515625" style="92" customWidth="1"/>
    <col min="5133" max="5133" width="7.28515625" style="92" customWidth="1"/>
    <col min="5134" max="5134" width="12.140625" style="92" customWidth="1"/>
    <col min="5135" max="5135" width="13" style="92" customWidth="1"/>
    <col min="5136" max="5136" width="3.7109375" style="92" customWidth="1"/>
    <col min="5137" max="5137" width="14.42578125" style="92" customWidth="1"/>
    <col min="5138" max="5138" width="0.7109375" style="92" customWidth="1"/>
    <col min="5139" max="5139" width="3.7109375" style="92" customWidth="1"/>
    <col min="5140" max="5140" width="3.5703125" style="92" customWidth="1"/>
    <col min="5141" max="5141" width="1.7109375" style="92" customWidth="1"/>
    <col min="5142" max="5375" width="0" style="92" hidden="1" customWidth="1"/>
    <col min="5376" max="5376" width="3" style="92"/>
    <col min="5377" max="5377" width="3.5703125" style="92" customWidth="1"/>
    <col min="5378" max="5378" width="2.5703125" style="92" customWidth="1"/>
    <col min="5379" max="5379" width="3.42578125" style="92" customWidth="1"/>
    <col min="5380" max="5380" width="1.28515625" style="92" customWidth="1"/>
    <col min="5381" max="5381" width="6.7109375" style="92" customWidth="1"/>
    <col min="5382" max="5382" width="13.42578125" style="92" customWidth="1"/>
    <col min="5383" max="5383" width="14.5703125" style="92" customWidth="1"/>
    <col min="5384" max="5384" width="4.42578125" style="92" customWidth="1"/>
    <col min="5385" max="5385" width="8" style="92" customWidth="1"/>
    <col min="5386" max="5386" width="6.140625" style="92" customWidth="1"/>
    <col min="5387" max="5387" width="6.85546875" style="92" customWidth="1"/>
    <col min="5388" max="5388" width="4.28515625" style="92" customWidth="1"/>
    <col min="5389" max="5389" width="7.28515625" style="92" customWidth="1"/>
    <col min="5390" max="5390" width="12.140625" style="92" customWidth="1"/>
    <col min="5391" max="5391" width="13" style="92" customWidth="1"/>
    <col min="5392" max="5392" width="3.7109375" style="92" customWidth="1"/>
    <col min="5393" max="5393" width="14.42578125" style="92" customWidth="1"/>
    <col min="5394" max="5394" width="0.7109375" style="92" customWidth="1"/>
    <col min="5395" max="5395" width="3.7109375" style="92" customWidth="1"/>
    <col min="5396" max="5396" width="3.5703125" style="92" customWidth="1"/>
    <col min="5397" max="5397" width="1.7109375" style="92" customWidth="1"/>
    <col min="5398" max="5631" width="0" style="92" hidden="1" customWidth="1"/>
    <col min="5632" max="5632" width="3" style="92"/>
    <col min="5633" max="5633" width="3.5703125" style="92" customWidth="1"/>
    <col min="5634" max="5634" width="2.5703125" style="92" customWidth="1"/>
    <col min="5635" max="5635" width="3.42578125" style="92" customWidth="1"/>
    <col min="5636" max="5636" width="1.28515625" style="92" customWidth="1"/>
    <col min="5637" max="5637" width="6.7109375" style="92" customWidth="1"/>
    <col min="5638" max="5638" width="13.42578125" style="92" customWidth="1"/>
    <col min="5639" max="5639" width="14.5703125" style="92" customWidth="1"/>
    <col min="5640" max="5640" width="4.42578125" style="92" customWidth="1"/>
    <col min="5641" max="5641" width="8" style="92" customWidth="1"/>
    <col min="5642" max="5642" width="6.140625" style="92" customWidth="1"/>
    <col min="5643" max="5643" width="6.85546875" style="92" customWidth="1"/>
    <col min="5644" max="5644" width="4.28515625" style="92" customWidth="1"/>
    <col min="5645" max="5645" width="7.28515625" style="92" customWidth="1"/>
    <col min="5646" max="5646" width="12.140625" style="92" customWidth="1"/>
    <col min="5647" max="5647" width="13" style="92" customWidth="1"/>
    <col min="5648" max="5648" width="3.7109375" style="92" customWidth="1"/>
    <col min="5649" max="5649" width="14.42578125" style="92" customWidth="1"/>
    <col min="5650" max="5650" width="0.7109375" style="92" customWidth="1"/>
    <col min="5651" max="5651" width="3.7109375" style="92" customWidth="1"/>
    <col min="5652" max="5652" width="3.5703125" style="92" customWidth="1"/>
    <col min="5653" max="5653" width="1.7109375" style="92" customWidth="1"/>
    <col min="5654" max="5887" width="0" style="92" hidden="1" customWidth="1"/>
    <col min="5888" max="5888" width="3" style="92"/>
    <col min="5889" max="5889" width="3.5703125" style="92" customWidth="1"/>
    <col min="5890" max="5890" width="2.5703125" style="92" customWidth="1"/>
    <col min="5891" max="5891" width="3.42578125" style="92" customWidth="1"/>
    <col min="5892" max="5892" width="1.28515625" style="92" customWidth="1"/>
    <col min="5893" max="5893" width="6.7109375" style="92" customWidth="1"/>
    <col min="5894" max="5894" width="13.42578125" style="92" customWidth="1"/>
    <col min="5895" max="5895" width="14.5703125" style="92" customWidth="1"/>
    <col min="5896" max="5896" width="4.42578125" style="92" customWidth="1"/>
    <col min="5897" max="5897" width="8" style="92" customWidth="1"/>
    <col min="5898" max="5898" width="6.140625" style="92" customWidth="1"/>
    <col min="5899" max="5899" width="6.85546875" style="92" customWidth="1"/>
    <col min="5900" max="5900" width="4.28515625" style="92" customWidth="1"/>
    <col min="5901" max="5901" width="7.28515625" style="92" customWidth="1"/>
    <col min="5902" max="5902" width="12.140625" style="92" customWidth="1"/>
    <col min="5903" max="5903" width="13" style="92" customWidth="1"/>
    <col min="5904" max="5904" width="3.7109375" style="92" customWidth="1"/>
    <col min="5905" max="5905" width="14.42578125" style="92" customWidth="1"/>
    <col min="5906" max="5906" width="0.7109375" style="92" customWidth="1"/>
    <col min="5907" max="5907" width="3.7109375" style="92" customWidth="1"/>
    <col min="5908" max="5908" width="3.5703125" style="92" customWidth="1"/>
    <col min="5909" max="5909" width="1.7109375" style="92" customWidth="1"/>
    <col min="5910" max="6143" width="0" style="92" hidden="1" customWidth="1"/>
    <col min="6144" max="6144" width="3" style="92"/>
    <col min="6145" max="6145" width="3.5703125" style="92" customWidth="1"/>
    <col min="6146" max="6146" width="2.5703125" style="92" customWidth="1"/>
    <col min="6147" max="6147" width="3.42578125" style="92" customWidth="1"/>
    <col min="6148" max="6148" width="1.28515625" style="92" customWidth="1"/>
    <col min="6149" max="6149" width="6.7109375" style="92" customWidth="1"/>
    <col min="6150" max="6150" width="13.42578125" style="92" customWidth="1"/>
    <col min="6151" max="6151" width="14.5703125" style="92" customWidth="1"/>
    <col min="6152" max="6152" width="4.42578125" style="92" customWidth="1"/>
    <col min="6153" max="6153" width="8" style="92" customWidth="1"/>
    <col min="6154" max="6154" width="6.140625" style="92" customWidth="1"/>
    <col min="6155" max="6155" width="6.85546875" style="92" customWidth="1"/>
    <col min="6156" max="6156" width="4.28515625" style="92" customWidth="1"/>
    <col min="6157" max="6157" width="7.28515625" style="92" customWidth="1"/>
    <col min="6158" max="6158" width="12.140625" style="92" customWidth="1"/>
    <col min="6159" max="6159" width="13" style="92" customWidth="1"/>
    <col min="6160" max="6160" width="3.7109375" style="92" customWidth="1"/>
    <col min="6161" max="6161" width="14.42578125" style="92" customWidth="1"/>
    <col min="6162" max="6162" width="0.7109375" style="92" customWidth="1"/>
    <col min="6163" max="6163" width="3.7109375" style="92" customWidth="1"/>
    <col min="6164" max="6164" width="3.5703125" style="92" customWidth="1"/>
    <col min="6165" max="6165" width="1.7109375" style="92" customWidth="1"/>
    <col min="6166" max="6399" width="0" style="92" hidden="1" customWidth="1"/>
    <col min="6400" max="6400" width="3" style="92"/>
    <col min="6401" max="6401" width="3.5703125" style="92" customWidth="1"/>
    <col min="6402" max="6402" width="2.5703125" style="92" customWidth="1"/>
    <col min="6403" max="6403" width="3.42578125" style="92" customWidth="1"/>
    <col min="6404" max="6404" width="1.28515625" style="92" customWidth="1"/>
    <col min="6405" max="6405" width="6.7109375" style="92" customWidth="1"/>
    <col min="6406" max="6406" width="13.42578125" style="92" customWidth="1"/>
    <col min="6407" max="6407" width="14.5703125" style="92" customWidth="1"/>
    <col min="6408" max="6408" width="4.42578125" style="92" customWidth="1"/>
    <col min="6409" max="6409" width="8" style="92" customWidth="1"/>
    <col min="6410" max="6410" width="6.140625" style="92" customWidth="1"/>
    <col min="6411" max="6411" width="6.85546875" style="92" customWidth="1"/>
    <col min="6412" max="6412" width="4.28515625" style="92" customWidth="1"/>
    <col min="6413" max="6413" width="7.28515625" style="92" customWidth="1"/>
    <col min="6414" max="6414" width="12.140625" style="92" customWidth="1"/>
    <col min="6415" max="6415" width="13" style="92" customWidth="1"/>
    <col min="6416" max="6416" width="3.7109375" style="92" customWidth="1"/>
    <col min="6417" max="6417" width="14.42578125" style="92" customWidth="1"/>
    <col min="6418" max="6418" width="0.7109375" style="92" customWidth="1"/>
    <col min="6419" max="6419" width="3.7109375" style="92" customWidth="1"/>
    <col min="6420" max="6420" width="3.5703125" style="92" customWidth="1"/>
    <col min="6421" max="6421" width="1.7109375" style="92" customWidth="1"/>
    <col min="6422" max="6655" width="0" style="92" hidden="1" customWidth="1"/>
    <col min="6656" max="6656" width="3" style="92"/>
    <col min="6657" max="6657" width="3.5703125" style="92" customWidth="1"/>
    <col min="6658" max="6658" width="2.5703125" style="92" customWidth="1"/>
    <col min="6659" max="6659" width="3.42578125" style="92" customWidth="1"/>
    <col min="6660" max="6660" width="1.28515625" style="92" customWidth="1"/>
    <col min="6661" max="6661" width="6.7109375" style="92" customWidth="1"/>
    <col min="6662" max="6662" width="13.42578125" style="92" customWidth="1"/>
    <col min="6663" max="6663" width="14.5703125" style="92" customWidth="1"/>
    <col min="6664" max="6664" width="4.42578125" style="92" customWidth="1"/>
    <col min="6665" max="6665" width="8" style="92" customWidth="1"/>
    <col min="6666" max="6666" width="6.140625" style="92" customWidth="1"/>
    <col min="6667" max="6667" width="6.85546875" style="92" customWidth="1"/>
    <col min="6668" max="6668" width="4.28515625" style="92" customWidth="1"/>
    <col min="6669" max="6669" width="7.28515625" style="92" customWidth="1"/>
    <col min="6670" max="6670" width="12.140625" style="92" customWidth="1"/>
    <col min="6671" max="6671" width="13" style="92" customWidth="1"/>
    <col min="6672" max="6672" width="3.7109375" style="92" customWidth="1"/>
    <col min="6673" max="6673" width="14.42578125" style="92" customWidth="1"/>
    <col min="6674" max="6674" width="0.7109375" style="92" customWidth="1"/>
    <col min="6675" max="6675" width="3.7109375" style="92" customWidth="1"/>
    <col min="6676" max="6676" width="3.5703125" style="92" customWidth="1"/>
    <col min="6677" max="6677" width="1.7109375" style="92" customWidth="1"/>
    <col min="6678" max="6911" width="0" style="92" hidden="1" customWidth="1"/>
    <col min="6912" max="6912" width="3" style="92"/>
    <col min="6913" max="6913" width="3.5703125" style="92" customWidth="1"/>
    <col min="6914" max="6914" width="2.5703125" style="92" customWidth="1"/>
    <col min="6915" max="6915" width="3.42578125" style="92" customWidth="1"/>
    <col min="6916" max="6916" width="1.28515625" style="92" customWidth="1"/>
    <col min="6917" max="6917" width="6.7109375" style="92" customWidth="1"/>
    <col min="6918" max="6918" width="13.42578125" style="92" customWidth="1"/>
    <col min="6919" max="6919" width="14.5703125" style="92" customWidth="1"/>
    <col min="6920" max="6920" width="4.42578125" style="92" customWidth="1"/>
    <col min="6921" max="6921" width="8" style="92" customWidth="1"/>
    <col min="6922" max="6922" width="6.140625" style="92" customWidth="1"/>
    <col min="6923" max="6923" width="6.85546875" style="92" customWidth="1"/>
    <col min="6924" max="6924" width="4.28515625" style="92" customWidth="1"/>
    <col min="6925" max="6925" width="7.28515625" style="92" customWidth="1"/>
    <col min="6926" max="6926" width="12.140625" style="92" customWidth="1"/>
    <col min="6927" max="6927" width="13" style="92" customWidth="1"/>
    <col min="6928" max="6928" width="3.7109375" style="92" customWidth="1"/>
    <col min="6929" max="6929" width="14.42578125" style="92" customWidth="1"/>
    <col min="6930" max="6930" width="0.7109375" style="92" customWidth="1"/>
    <col min="6931" max="6931" width="3.7109375" style="92" customWidth="1"/>
    <col min="6932" max="6932" width="3.5703125" style="92" customWidth="1"/>
    <col min="6933" max="6933" width="1.7109375" style="92" customWidth="1"/>
    <col min="6934" max="7167" width="0" style="92" hidden="1" customWidth="1"/>
    <col min="7168" max="7168" width="3" style="92"/>
    <col min="7169" max="7169" width="3.5703125" style="92" customWidth="1"/>
    <col min="7170" max="7170" width="2.5703125" style="92" customWidth="1"/>
    <col min="7171" max="7171" width="3.42578125" style="92" customWidth="1"/>
    <col min="7172" max="7172" width="1.28515625" style="92" customWidth="1"/>
    <col min="7173" max="7173" width="6.7109375" style="92" customWidth="1"/>
    <col min="7174" max="7174" width="13.42578125" style="92" customWidth="1"/>
    <col min="7175" max="7175" width="14.5703125" style="92" customWidth="1"/>
    <col min="7176" max="7176" width="4.42578125" style="92" customWidth="1"/>
    <col min="7177" max="7177" width="8" style="92" customWidth="1"/>
    <col min="7178" max="7178" width="6.140625" style="92" customWidth="1"/>
    <col min="7179" max="7179" width="6.85546875" style="92" customWidth="1"/>
    <col min="7180" max="7180" width="4.28515625" style="92" customWidth="1"/>
    <col min="7181" max="7181" width="7.28515625" style="92" customWidth="1"/>
    <col min="7182" max="7182" width="12.140625" style="92" customWidth="1"/>
    <col min="7183" max="7183" width="13" style="92" customWidth="1"/>
    <col min="7184" max="7184" width="3.7109375" style="92" customWidth="1"/>
    <col min="7185" max="7185" width="14.42578125" style="92" customWidth="1"/>
    <col min="7186" max="7186" width="0.7109375" style="92" customWidth="1"/>
    <col min="7187" max="7187" width="3.7109375" style="92" customWidth="1"/>
    <col min="7188" max="7188" width="3.5703125" style="92" customWidth="1"/>
    <col min="7189" max="7189" width="1.7109375" style="92" customWidth="1"/>
    <col min="7190" max="7423" width="0" style="92" hidden="1" customWidth="1"/>
    <col min="7424" max="7424" width="3" style="92"/>
    <col min="7425" max="7425" width="3.5703125" style="92" customWidth="1"/>
    <col min="7426" max="7426" width="2.5703125" style="92" customWidth="1"/>
    <col min="7427" max="7427" width="3.42578125" style="92" customWidth="1"/>
    <col min="7428" max="7428" width="1.28515625" style="92" customWidth="1"/>
    <col min="7429" max="7429" width="6.7109375" style="92" customWidth="1"/>
    <col min="7430" max="7430" width="13.42578125" style="92" customWidth="1"/>
    <col min="7431" max="7431" width="14.5703125" style="92" customWidth="1"/>
    <col min="7432" max="7432" width="4.42578125" style="92" customWidth="1"/>
    <col min="7433" max="7433" width="8" style="92" customWidth="1"/>
    <col min="7434" max="7434" width="6.140625" style="92" customWidth="1"/>
    <col min="7435" max="7435" width="6.85546875" style="92" customWidth="1"/>
    <col min="7436" max="7436" width="4.28515625" style="92" customWidth="1"/>
    <col min="7437" max="7437" width="7.28515625" style="92" customWidth="1"/>
    <col min="7438" max="7438" width="12.140625" style="92" customWidth="1"/>
    <col min="7439" max="7439" width="13" style="92" customWidth="1"/>
    <col min="7440" max="7440" width="3.7109375" style="92" customWidth="1"/>
    <col min="7441" max="7441" width="14.42578125" style="92" customWidth="1"/>
    <col min="7442" max="7442" width="0.7109375" style="92" customWidth="1"/>
    <col min="7443" max="7443" width="3.7109375" style="92" customWidth="1"/>
    <col min="7444" max="7444" width="3.5703125" style="92" customWidth="1"/>
    <col min="7445" max="7445" width="1.7109375" style="92" customWidth="1"/>
    <col min="7446" max="7679" width="0" style="92" hidden="1" customWidth="1"/>
    <col min="7680" max="7680" width="3" style="92"/>
    <col min="7681" max="7681" width="3.5703125" style="92" customWidth="1"/>
    <col min="7682" max="7682" width="2.5703125" style="92" customWidth="1"/>
    <col min="7683" max="7683" width="3.42578125" style="92" customWidth="1"/>
    <col min="7684" max="7684" width="1.28515625" style="92" customWidth="1"/>
    <col min="7685" max="7685" width="6.7109375" style="92" customWidth="1"/>
    <col min="7686" max="7686" width="13.42578125" style="92" customWidth="1"/>
    <col min="7687" max="7687" width="14.5703125" style="92" customWidth="1"/>
    <col min="7688" max="7688" width="4.42578125" style="92" customWidth="1"/>
    <col min="7689" max="7689" width="8" style="92" customWidth="1"/>
    <col min="7690" max="7690" width="6.140625" style="92" customWidth="1"/>
    <col min="7691" max="7691" width="6.85546875" style="92" customWidth="1"/>
    <col min="7692" max="7692" width="4.28515625" style="92" customWidth="1"/>
    <col min="7693" max="7693" width="7.28515625" style="92" customWidth="1"/>
    <col min="7694" max="7694" width="12.140625" style="92" customWidth="1"/>
    <col min="7695" max="7695" width="13" style="92" customWidth="1"/>
    <col min="7696" max="7696" width="3.7109375" style="92" customWidth="1"/>
    <col min="7697" max="7697" width="14.42578125" style="92" customWidth="1"/>
    <col min="7698" max="7698" width="0.7109375" style="92" customWidth="1"/>
    <col min="7699" max="7699" width="3.7109375" style="92" customWidth="1"/>
    <col min="7700" max="7700" width="3.5703125" style="92" customWidth="1"/>
    <col min="7701" max="7701" width="1.7109375" style="92" customWidth="1"/>
    <col min="7702" max="7935" width="0" style="92" hidden="1" customWidth="1"/>
    <col min="7936" max="7936" width="3" style="92"/>
    <col min="7937" max="7937" width="3.5703125" style="92" customWidth="1"/>
    <col min="7938" max="7938" width="2.5703125" style="92" customWidth="1"/>
    <col min="7939" max="7939" width="3.42578125" style="92" customWidth="1"/>
    <col min="7940" max="7940" width="1.28515625" style="92" customWidth="1"/>
    <col min="7941" max="7941" width="6.7109375" style="92" customWidth="1"/>
    <col min="7942" max="7942" width="13.42578125" style="92" customWidth="1"/>
    <col min="7943" max="7943" width="14.5703125" style="92" customWidth="1"/>
    <col min="7944" max="7944" width="4.42578125" style="92" customWidth="1"/>
    <col min="7945" max="7945" width="8" style="92" customWidth="1"/>
    <col min="7946" max="7946" width="6.140625" style="92" customWidth="1"/>
    <col min="7947" max="7947" width="6.85546875" style="92" customWidth="1"/>
    <col min="7948" max="7948" width="4.28515625" style="92" customWidth="1"/>
    <col min="7949" max="7949" width="7.28515625" style="92" customWidth="1"/>
    <col min="7950" max="7950" width="12.140625" style="92" customWidth="1"/>
    <col min="7951" max="7951" width="13" style="92" customWidth="1"/>
    <col min="7952" max="7952" width="3.7109375" style="92" customWidth="1"/>
    <col min="7953" max="7953" width="14.42578125" style="92" customWidth="1"/>
    <col min="7954" max="7954" width="0.7109375" style="92" customWidth="1"/>
    <col min="7955" max="7955" width="3.7109375" style="92" customWidth="1"/>
    <col min="7956" max="7956" width="3.5703125" style="92" customWidth="1"/>
    <col min="7957" max="7957" width="1.7109375" style="92" customWidth="1"/>
    <col min="7958" max="8191" width="0" style="92" hidden="1" customWidth="1"/>
    <col min="8192" max="8192" width="3" style="92"/>
    <col min="8193" max="8193" width="3.5703125" style="92" customWidth="1"/>
    <col min="8194" max="8194" width="2.5703125" style="92" customWidth="1"/>
    <col min="8195" max="8195" width="3.42578125" style="92" customWidth="1"/>
    <col min="8196" max="8196" width="1.28515625" style="92" customWidth="1"/>
    <col min="8197" max="8197" width="6.7109375" style="92" customWidth="1"/>
    <col min="8198" max="8198" width="13.42578125" style="92" customWidth="1"/>
    <col min="8199" max="8199" width="14.5703125" style="92" customWidth="1"/>
    <col min="8200" max="8200" width="4.42578125" style="92" customWidth="1"/>
    <col min="8201" max="8201" width="8" style="92" customWidth="1"/>
    <col min="8202" max="8202" width="6.140625" style="92" customWidth="1"/>
    <col min="8203" max="8203" width="6.85546875" style="92" customWidth="1"/>
    <col min="8204" max="8204" width="4.28515625" style="92" customWidth="1"/>
    <col min="8205" max="8205" width="7.28515625" style="92" customWidth="1"/>
    <col min="8206" max="8206" width="12.140625" style="92" customWidth="1"/>
    <col min="8207" max="8207" width="13" style="92" customWidth="1"/>
    <col min="8208" max="8208" width="3.7109375" style="92" customWidth="1"/>
    <col min="8209" max="8209" width="14.42578125" style="92" customWidth="1"/>
    <col min="8210" max="8210" width="0.7109375" style="92" customWidth="1"/>
    <col min="8211" max="8211" width="3.7109375" style="92" customWidth="1"/>
    <col min="8212" max="8212" width="3.5703125" style="92" customWidth="1"/>
    <col min="8213" max="8213" width="1.7109375" style="92" customWidth="1"/>
    <col min="8214" max="8447" width="0" style="92" hidden="1" customWidth="1"/>
    <col min="8448" max="8448" width="3" style="92"/>
    <col min="8449" max="8449" width="3.5703125" style="92" customWidth="1"/>
    <col min="8450" max="8450" width="2.5703125" style="92" customWidth="1"/>
    <col min="8451" max="8451" width="3.42578125" style="92" customWidth="1"/>
    <col min="8452" max="8452" width="1.28515625" style="92" customWidth="1"/>
    <col min="8453" max="8453" width="6.7109375" style="92" customWidth="1"/>
    <col min="8454" max="8454" width="13.42578125" style="92" customWidth="1"/>
    <col min="8455" max="8455" width="14.5703125" style="92" customWidth="1"/>
    <col min="8456" max="8456" width="4.42578125" style="92" customWidth="1"/>
    <col min="8457" max="8457" width="8" style="92" customWidth="1"/>
    <col min="8458" max="8458" width="6.140625" style="92" customWidth="1"/>
    <col min="8459" max="8459" width="6.85546875" style="92" customWidth="1"/>
    <col min="8460" max="8460" width="4.28515625" style="92" customWidth="1"/>
    <col min="8461" max="8461" width="7.28515625" style="92" customWidth="1"/>
    <col min="8462" max="8462" width="12.140625" style="92" customWidth="1"/>
    <col min="8463" max="8463" width="13" style="92" customWidth="1"/>
    <col min="8464" max="8464" width="3.7109375" style="92" customWidth="1"/>
    <col min="8465" max="8465" width="14.42578125" style="92" customWidth="1"/>
    <col min="8466" max="8466" width="0.7109375" style="92" customWidth="1"/>
    <col min="8467" max="8467" width="3.7109375" style="92" customWidth="1"/>
    <col min="8468" max="8468" width="3.5703125" style="92" customWidth="1"/>
    <col min="8469" max="8469" width="1.7109375" style="92" customWidth="1"/>
    <col min="8470" max="8703" width="0" style="92" hidden="1" customWidth="1"/>
    <col min="8704" max="8704" width="3" style="92"/>
    <col min="8705" max="8705" width="3.5703125" style="92" customWidth="1"/>
    <col min="8706" max="8706" width="2.5703125" style="92" customWidth="1"/>
    <col min="8707" max="8707" width="3.42578125" style="92" customWidth="1"/>
    <col min="8708" max="8708" width="1.28515625" style="92" customWidth="1"/>
    <col min="8709" max="8709" width="6.7109375" style="92" customWidth="1"/>
    <col min="8710" max="8710" width="13.42578125" style="92" customWidth="1"/>
    <col min="8711" max="8711" width="14.5703125" style="92" customWidth="1"/>
    <col min="8712" max="8712" width="4.42578125" style="92" customWidth="1"/>
    <col min="8713" max="8713" width="8" style="92" customWidth="1"/>
    <col min="8714" max="8714" width="6.140625" style="92" customWidth="1"/>
    <col min="8715" max="8715" width="6.85546875" style="92" customWidth="1"/>
    <col min="8716" max="8716" width="4.28515625" style="92" customWidth="1"/>
    <col min="8717" max="8717" width="7.28515625" style="92" customWidth="1"/>
    <col min="8718" max="8718" width="12.140625" style="92" customWidth="1"/>
    <col min="8719" max="8719" width="13" style="92" customWidth="1"/>
    <col min="8720" max="8720" width="3.7109375" style="92" customWidth="1"/>
    <col min="8721" max="8721" width="14.42578125" style="92" customWidth="1"/>
    <col min="8722" max="8722" width="0.7109375" style="92" customWidth="1"/>
    <col min="8723" max="8723" width="3.7109375" style="92" customWidth="1"/>
    <col min="8724" max="8724" width="3.5703125" style="92" customWidth="1"/>
    <col min="8725" max="8725" width="1.7109375" style="92" customWidth="1"/>
    <col min="8726" max="8959" width="0" style="92" hidden="1" customWidth="1"/>
    <col min="8960" max="8960" width="3" style="92"/>
    <col min="8961" max="8961" width="3.5703125" style="92" customWidth="1"/>
    <col min="8962" max="8962" width="2.5703125" style="92" customWidth="1"/>
    <col min="8963" max="8963" width="3.42578125" style="92" customWidth="1"/>
    <col min="8964" max="8964" width="1.28515625" style="92" customWidth="1"/>
    <col min="8965" max="8965" width="6.7109375" style="92" customWidth="1"/>
    <col min="8966" max="8966" width="13.42578125" style="92" customWidth="1"/>
    <col min="8967" max="8967" width="14.5703125" style="92" customWidth="1"/>
    <col min="8968" max="8968" width="4.42578125" style="92" customWidth="1"/>
    <col min="8969" max="8969" width="8" style="92" customWidth="1"/>
    <col min="8970" max="8970" width="6.140625" style="92" customWidth="1"/>
    <col min="8971" max="8971" width="6.85546875" style="92" customWidth="1"/>
    <col min="8972" max="8972" width="4.28515625" style="92" customWidth="1"/>
    <col min="8973" max="8973" width="7.28515625" style="92" customWidth="1"/>
    <col min="8974" max="8974" width="12.140625" style="92" customWidth="1"/>
    <col min="8975" max="8975" width="13" style="92" customWidth="1"/>
    <col min="8976" max="8976" width="3.7109375" style="92" customWidth="1"/>
    <col min="8977" max="8977" width="14.42578125" style="92" customWidth="1"/>
    <col min="8978" max="8978" width="0.7109375" style="92" customWidth="1"/>
    <col min="8979" max="8979" width="3.7109375" style="92" customWidth="1"/>
    <col min="8980" max="8980" width="3.5703125" style="92" customWidth="1"/>
    <col min="8981" max="8981" width="1.7109375" style="92" customWidth="1"/>
    <col min="8982" max="9215" width="0" style="92" hidden="1" customWidth="1"/>
    <col min="9216" max="9216" width="3" style="92"/>
    <col min="9217" max="9217" width="3.5703125" style="92" customWidth="1"/>
    <col min="9218" max="9218" width="2.5703125" style="92" customWidth="1"/>
    <col min="9219" max="9219" width="3.42578125" style="92" customWidth="1"/>
    <col min="9220" max="9220" width="1.28515625" style="92" customWidth="1"/>
    <col min="9221" max="9221" width="6.7109375" style="92" customWidth="1"/>
    <col min="9222" max="9222" width="13.42578125" style="92" customWidth="1"/>
    <col min="9223" max="9223" width="14.5703125" style="92" customWidth="1"/>
    <col min="9224" max="9224" width="4.42578125" style="92" customWidth="1"/>
    <col min="9225" max="9225" width="8" style="92" customWidth="1"/>
    <col min="9226" max="9226" width="6.140625" style="92" customWidth="1"/>
    <col min="9227" max="9227" width="6.85546875" style="92" customWidth="1"/>
    <col min="9228" max="9228" width="4.28515625" style="92" customWidth="1"/>
    <col min="9229" max="9229" width="7.28515625" style="92" customWidth="1"/>
    <col min="9230" max="9230" width="12.140625" style="92" customWidth="1"/>
    <col min="9231" max="9231" width="13" style="92" customWidth="1"/>
    <col min="9232" max="9232" width="3.7109375" style="92" customWidth="1"/>
    <col min="9233" max="9233" width="14.42578125" style="92" customWidth="1"/>
    <col min="9234" max="9234" width="0.7109375" style="92" customWidth="1"/>
    <col min="9235" max="9235" width="3.7109375" style="92" customWidth="1"/>
    <col min="9236" max="9236" width="3.5703125" style="92" customWidth="1"/>
    <col min="9237" max="9237" width="1.7109375" style="92" customWidth="1"/>
    <col min="9238" max="9471" width="0" style="92" hidden="1" customWidth="1"/>
    <col min="9472" max="9472" width="3" style="92"/>
    <col min="9473" max="9473" width="3.5703125" style="92" customWidth="1"/>
    <col min="9474" max="9474" width="2.5703125" style="92" customWidth="1"/>
    <col min="9475" max="9475" width="3.42578125" style="92" customWidth="1"/>
    <col min="9476" max="9476" width="1.28515625" style="92" customWidth="1"/>
    <col min="9477" max="9477" width="6.7109375" style="92" customWidth="1"/>
    <col min="9478" max="9478" width="13.42578125" style="92" customWidth="1"/>
    <col min="9479" max="9479" width="14.5703125" style="92" customWidth="1"/>
    <col min="9480" max="9480" width="4.42578125" style="92" customWidth="1"/>
    <col min="9481" max="9481" width="8" style="92" customWidth="1"/>
    <col min="9482" max="9482" width="6.140625" style="92" customWidth="1"/>
    <col min="9483" max="9483" width="6.85546875" style="92" customWidth="1"/>
    <col min="9484" max="9484" width="4.28515625" style="92" customWidth="1"/>
    <col min="9485" max="9485" width="7.28515625" style="92" customWidth="1"/>
    <col min="9486" max="9486" width="12.140625" style="92" customWidth="1"/>
    <col min="9487" max="9487" width="13" style="92" customWidth="1"/>
    <col min="9488" max="9488" width="3.7109375" style="92" customWidth="1"/>
    <col min="9489" max="9489" width="14.42578125" style="92" customWidth="1"/>
    <col min="9490" max="9490" width="0.7109375" style="92" customWidth="1"/>
    <col min="9491" max="9491" width="3.7109375" style="92" customWidth="1"/>
    <col min="9492" max="9492" width="3.5703125" style="92" customWidth="1"/>
    <col min="9493" max="9493" width="1.7109375" style="92" customWidth="1"/>
    <col min="9494" max="9727" width="0" style="92" hidden="1" customWidth="1"/>
    <col min="9728" max="9728" width="3" style="92"/>
    <col min="9729" max="9729" width="3.5703125" style="92" customWidth="1"/>
    <col min="9730" max="9730" width="2.5703125" style="92" customWidth="1"/>
    <col min="9731" max="9731" width="3.42578125" style="92" customWidth="1"/>
    <col min="9732" max="9732" width="1.28515625" style="92" customWidth="1"/>
    <col min="9733" max="9733" width="6.7109375" style="92" customWidth="1"/>
    <col min="9734" max="9734" width="13.42578125" style="92" customWidth="1"/>
    <col min="9735" max="9735" width="14.5703125" style="92" customWidth="1"/>
    <col min="9736" max="9736" width="4.42578125" style="92" customWidth="1"/>
    <col min="9737" max="9737" width="8" style="92" customWidth="1"/>
    <col min="9738" max="9738" width="6.140625" style="92" customWidth="1"/>
    <col min="9739" max="9739" width="6.85546875" style="92" customWidth="1"/>
    <col min="9740" max="9740" width="4.28515625" style="92" customWidth="1"/>
    <col min="9741" max="9741" width="7.28515625" style="92" customWidth="1"/>
    <col min="9742" max="9742" width="12.140625" style="92" customWidth="1"/>
    <col min="9743" max="9743" width="13" style="92" customWidth="1"/>
    <col min="9744" max="9744" width="3.7109375" style="92" customWidth="1"/>
    <col min="9745" max="9745" width="14.42578125" style="92" customWidth="1"/>
    <col min="9746" max="9746" width="0.7109375" style="92" customWidth="1"/>
    <col min="9747" max="9747" width="3.7109375" style="92" customWidth="1"/>
    <col min="9748" max="9748" width="3.5703125" style="92" customWidth="1"/>
    <col min="9749" max="9749" width="1.7109375" style="92" customWidth="1"/>
    <col min="9750" max="9983" width="0" style="92" hidden="1" customWidth="1"/>
    <col min="9984" max="9984" width="3" style="92"/>
    <col min="9985" max="9985" width="3.5703125" style="92" customWidth="1"/>
    <col min="9986" max="9986" width="2.5703125" style="92" customWidth="1"/>
    <col min="9987" max="9987" width="3.42578125" style="92" customWidth="1"/>
    <col min="9988" max="9988" width="1.28515625" style="92" customWidth="1"/>
    <col min="9989" max="9989" width="6.7109375" style="92" customWidth="1"/>
    <col min="9990" max="9990" width="13.42578125" style="92" customWidth="1"/>
    <col min="9991" max="9991" width="14.5703125" style="92" customWidth="1"/>
    <col min="9992" max="9992" width="4.42578125" style="92" customWidth="1"/>
    <col min="9993" max="9993" width="8" style="92" customWidth="1"/>
    <col min="9994" max="9994" width="6.140625" style="92" customWidth="1"/>
    <col min="9995" max="9995" width="6.85546875" style="92" customWidth="1"/>
    <col min="9996" max="9996" width="4.28515625" style="92" customWidth="1"/>
    <col min="9997" max="9997" width="7.28515625" style="92" customWidth="1"/>
    <col min="9998" max="9998" width="12.140625" style="92" customWidth="1"/>
    <col min="9999" max="9999" width="13" style="92" customWidth="1"/>
    <col min="10000" max="10000" width="3.7109375" style="92" customWidth="1"/>
    <col min="10001" max="10001" width="14.42578125" style="92" customWidth="1"/>
    <col min="10002" max="10002" width="0.7109375" style="92" customWidth="1"/>
    <col min="10003" max="10003" width="3.7109375" style="92" customWidth="1"/>
    <col min="10004" max="10004" width="3.5703125" style="92" customWidth="1"/>
    <col min="10005" max="10005" width="1.7109375" style="92" customWidth="1"/>
    <col min="10006" max="10239" width="0" style="92" hidden="1" customWidth="1"/>
    <col min="10240" max="10240" width="3" style="92"/>
    <col min="10241" max="10241" width="3.5703125" style="92" customWidth="1"/>
    <col min="10242" max="10242" width="2.5703125" style="92" customWidth="1"/>
    <col min="10243" max="10243" width="3.42578125" style="92" customWidth="1"/>
    <col min="10244" max="10244" width="1.28515625" style="92" customWidth="1"/>
    <col min="10245" max="10245" width="6.7109375" style="92" customWidth="1"/>
    <col min="10246" max="10246" width="13.42578125" style="92" customWidth="1"/>
    <col min="10247" max="10247" width="14.5703125" style="92" customWidth="1"/>
    <col min="10248" max="10248" width="4.42578125" style="92" customWidth="1"/>
    <col min="10249" max="10249" width="8" style="92" customWidth="1"/>
    <col min="10250" max="10250" width="6.140625" style="92" customWidth="1"/>
    <col min="10251" max="10251" width="6.85546875" style="92" customWidth="1"/>
    <col min="10252" max="10252" width="4.28515625" style="92" customWidth="1"/>
    <col min="10253" max="10253" width="7.28515625" style="92" customWidth="1"/>
    <col min="10254" max="10254" width="12.140625" style="92" customWidth="1"/>
    <col min="10255" max="10255" width="13" style="92" customWidth="1"/>
    <col min="10256" max="10256" width="3.7109375" style="92" customWidth="1"/>
    <col min="10257" max="10257" width="14.42578125" style="92" customWidth="1"/>
    <col min="10258" max="10258" width="0.7109375" style="92" customWidth="1"/>
    <col min="10259" max="10259" width="3.7109375" style="92" customWidth="1"/>
    <col min="10260" max="10260" width="3.5703125" style="92" customWidth="1"/>
    <col min="10261" max="10261" width="1.7109375" style="92" customWidth="1"/>
    <col min="10262" max="10495" width="0" style="92" hidden="1" customWidth="1"/>
    <col min="10496" max="10496" width="3" style="92"/>
    <col min="10497" max="10497" width="3.5703125" style="92" customWidth="1"/>
    <col min="10498" max="10498" width="2.5703125" style="92" customWidth="1"/>
    <col min="10499" max="10499" width="3.42578125" style="92" customWidth="1"/>
    <col min="10500" max="10500" width="1.28515625" style="92" customWidth="1"/>
    <col min="10501" max="10501" width="6.7109375" style="92" customWidth="1"/>
    <col min="10502" max="10502" width="13.42578125" style="92" customWidth="1"/>
    <col min="10503" max="10503" width="14.5703125" style="92" customWidth="1"/>
    <col min="10504" max="10504" width="4.42578125" style="92" customWidth="1"/>
    <col min="10505" max="10505" width="8" style="92" customWidth="1"/>
    <col min="10506" max="10506" width="6.140625" style="92" customWidth="1"/>
    <col min="10507" max="10507" width="6.85546875" style="92" customWidth="1"/>
    <col min="10508" max="10508" width="4.28515625" style="92" customWidth="1"/>
    <col min="10509" max="10509" width="7.28515625" style="92" customWidth="1"/>
    <col min="10510" max="10510" width="12.140625" style="92" customWidth="1"/>
    <col min="10511" max="10511" width="13" style="92" customWidth="1"/>
    <col min="10512" max="10512" width="3.7109375" style="92" customWidth="1"/>
    <col min="10513" max="10513" width="14.42578125" style="92" customWidth="1"/>
    <col min="10514" max="10514" width="0.7109375" style="92" customWidth="1"/>
    <col min="10515" max="10515" width="3.7109375" style="92" customWidth="1"/>
    <col min="10516" max="10516" width="3.5703125" style="92" customWidth="1"/>
    <col min="10517" max="10517" width="1.7109375" style="92" customWidth="1"/>
    <col min="10518" max="10751" width="0" style="92" hidden="1" customWidth="1"/>
    <col min="10752" max="10752" width="3" style="92"/>
    <col min="10753" max="10753" width="3.5703125" style="92" customWidth="1"/>
    <col min="10754" max="10754" width="2.5703125" style="92" customWidth="1"/>
    <col min="10755" max="10755" width="3.42578125" style="92" customWidth="1"/>
    <col min="10756" max="10756" width="1.28515625" style="92" customWidth="1"/>
    <col min="10757" max="10757" width="6.7109375" style="92" customWidth="1"/>
    <col min="10758" max="10758" width="13.42578125" style="92" customWidth="1"/>
    <col min="10759" max="10759" width="14.5703125" style="92" customWidth="1"/>
    <col min="10760" max="10760" width="4.42578125" style="92" customWidth="1"/>
    <col min="10761" max="10761" width="8" style="92" customWidth="1"/>
    <col min="10762" max="10762" width="6.140625" style="92" customWidth="1"/>
    <col min="10763" max="10763" width="6.85546875" style="92" customWidth="1"/>
    <col min="10764" max="10764" width="4.28515625" style="92" customWidth="1"/>
    <col min="10765" max="10765" width="7.28515625" style="92" customWidth="1"/>
    <col min="10766" max="10766" width="12.140625" style="92" customWidth="1"/>
    <col min="10767" max="10767" width="13" style="92" customWidth="1"/>
    <col min="10768" max="10768" width="3.7109375" style="92" customWidth="1"/>
    <col min="10769" max="10769" width="14.42578125" style="92" customWidth="1"/>
    <col min="10770" max="10770" width="0.7109375" style="92" customWidth="1"/>
    <col min="10771" max="10771" width="3.7109375" style="92" customWidth="1"/>
    <col min="10772" max="10772" width="3.5703125" style="92" customWidth="1"/>
    <col min="10773" max="10773" width="1.7109375" style="92" customWidth="1"/>
    <col min="10774" max="11007" width="0" style="92" hidden="1" customWidth="1"/>
    <col min="11008" max="11008" width="3" style="92"/>
    <col min="11009" max="11009" width="3.5703125" style="92" customWidth="1"/>
    <col min="11010" max="11010" width="2.5703125" style="92" customWidth="1"/>
    <col min="11011" max="11011" width="3.42578125" style="92" customWidth="1"/>
    <col min="11012" max="11012" width="1.28515625" style="92" customWidth="1"/>
    <col min="11013" max="11013" width="6.7109375" style="92" customWidth="1"/>
    <col min="11014" max="11014" width="13.42578125" style="92" customWidth="1"/>
    <col min="11015" max="11015" width="14.5703125" style="92" customWidth="1"/>
    <col min="11016" max="11016" width="4.42578125" style="92" customWidth="1"/>
    <col min="11017" max="11017" width="8" style="92" customWidth="1"/>
    <col min="11018" max="11018" width="6.140625" style="92" customWidth="1"/>
    <col min="11019" max="11019" width="6.85546875" style="92" customWidth="1"/>
    <col min="11020" max="11020" width="4.28515625" style="92" customWidth="1"/>
    <col min="11021" max="11021" width="7.28515625" style="92" customWidth="1"/>
    <col min="11022" max="11022" width="12.140625" style="92" customWidth="1"/>
    <col min="11023" max="11023" width="13" style="92" customWidth="1"/>
    <col min="11024" max="11024" width="3.7109375" style="92" customWidth="1"/>
    <col min="11025" max="11025" width="14.42578125" style="92" customWidth="1"/>
    <col min="11026" max="11026" width="0.7109375" style="92" customWidth="1"/>
    <col min="11027" max="11027" width="3.7109375" style="92" customWidth="1"/>
    <col min="11028" max="11028" width="3.5703125" style="92" customWidth="1"/>
    <col min="11029" max="11029" width="1.7109375" style="92" customWidth="1"/>
    <col min="11030" max="11263" width="0" style="92" hidden="1" customWidth="1"/>
    <col min="11264" max="11264" width="3" style="92"/>
    <col min="11265" max="11265" width="3.5703125" style="92" customWidth="1"/>
    <col min="11266" max="11266" width="2.5703125" style="92" customWidth="1"/>
    <col min="11267" max="11267" width="3.42578125" style="92" customWidth="1"/>
    <col min="11268" max="11268" width="1.28515625" style="92" customWidth="1"/>
    <col min="11269" max="11269" width="6.7109375" style="92" customWidth="1"/>
    <col min="11270" max="11270" width="13.42578125" style="92" customWidth="1"/>
    <col min="11271" max="11271" width="14.5703125" style="92" customWidth="1"/>
    <col min="11272" max="11272" width="4.42578125" style="92" customWidth="1"/>
    <col min="11273" max="11273" width="8" style="92" customWidth="1"/>
    <col min="11274" max="11274" width="6.140625" style="92" customWidth="1"/>
    <col min="11275" max="11275" width="6.85546875" style="92" customWidth="1"/>
    <col min="11276" max="11276" width="4.28515625" style="92" customWidth="1"/>
    <col min="11277" max="11277" width="7.28515625" style="92" customWidth="1"/>
    <col min="11278" max="11278" width="12.140625" style="92" customWidth="1"/>
    <col min="11279" max="11279" width="13" style="92" customWidth="1"/>
    <col min="11280" max="11280" width="3.7109375" style="92" customWidth="1"/>
    <col min="11281" max="11281" width="14.42578125" style="92" customWidth="1"/>
    <col min="11282" max="11282" width="0.7109375" style="92" customWidth="1"/>
    <col min="11283" max="11283" width="3.7109375" style="92" customWidth="1"/>
    <col min="11284" max="11284" width="3.5703125" style="92" customWidth="1"/>
    <col min="11285" max="11285" width="1.7109375" style="92" customWidth="1"/>
    <col min="11286" max="11519" width="0" style="92" hidden="1" customWidth="1"/>
    <col min="11520" max="11520" width="3" style="92"/>
    <col min="11521" max="11521" width="3.5703125" style="92" customWidth="1"/>
    <col min="11522" max="11522" width="2.5703125" style="92" customWidth="1"/>
    <col min="11523" max="11523" width="3.42578125" style="92" customWidth="1"/>
    <col min="11524" max="11524" width="1.28515625" style="92" customWidth="1"/>
    <col min="11525" max="11525" width="6.7109375" style="92" customWidth="1"/>
    <col min="11526" max="11526" width="13.42578125" style="92" customWidth="1"/>
    <col min="11527" max="11527" width="14.5703125" style="92" customWidth="1"/>
    <col min="11528" max="11528" width="4.42578125" style="92" customWidth="1"/>
    <col min="11529" max="11529" width="8" style="92" customWidth="1"/>
    <col min="11530" max="11530" width="6.140625" style="92" customWidth="1"/>
    <col min="11531" max="11531" width="6.85546875" style="92" customWidth="1"/>
    <col min="11532" max="11532" width="4.28515625" style="92" customWidth="1"/>
    <col min="11533" max="11533" width="7.28515625" style="92" customWidth="1"/>
    <col min="11534" max="11534" width="12.140625" style="92" customWidth="1"/>
    <col min="11535" max="11535" width="13" style="92" customWidth="1"/>
    <col min="11536" max="11536" width="3.7109375" style="92" customWidth="1"/>
    <col min="11537" max="11537" width="14.42578125" style="92" customWidth="1"/>
    <col min="11538" max="11538" width="0.7109375" style="92" customWidth="1"/>
    <col min="11539" max="11539" width="3.7109375" style="92" customWidth="1"/>
    <col min="11540" max="11540" width="3.5703125" style="92" customWidth="1"/>
    <col min="11541" max="11541" width="1.7109375" style="92" customWidth="1"/>
    <col min="11542" max="11775" width="0" style="92" hidden="1" customWidth="1"/>
    <col min="11776" max="11776" width="3" style="92"/>
    <col min="11777" max="11777" width="3.5703125" style="92" customWidth="1"/>
    <col min="11778" max="11778" width="2.5703125" style="92" customWidth="1"/>
    <col min="11779" max="11779" width="3.42578125" style="92" customWidth="1"/>
    <col min="11780" max="11780" width="1.28515625" style="92" customWidth="1"/>
    <col min="11781" max="11781" width="6.7109375" style="92" customWidth="1"/>
    <col min="11782" max="11782" width="13.42578125" style="92" customWidth="1"/>
    <col min="11783" max="11783" width="14.5703125" style="92" customWidth="1"/>
    <col min="11784" max="11784" width="4.42578125" style="92" customWidth="1"/>
    <col min="11785" max="11785" width="8" style="92" customWidth="1"/>
    <col min="11786" max="11786" width="6.140625" style="92" customWidth="1"/>
    <col min="11787" max="11787" width="6.85546875" style="92" customWidth="1"/>
    <col min="11788" max="11788" width="4.28515625" style="92" customWidth="1"/>
    <col min="11789" max="11789" width="7.28515625" style="92" customWidth="1"/>
    <col min="11790" max="11790" width="12.140625" style="92" customWidth="1"/>
    <col min="11791" max="11791" width="13" style="92" customWidth="1"/>
    <col min="11792" max="11792" width="3.7109375" style="92" customWidth="1"/>
    <col min="11793" max="11793" width="14.42578125" style="92" customWidth="1"/>
    <col min="11794" max="11794" width="0.7109375" style="92" customWidth="1"/>
    <col min="11795" max="11795" width="3.7109375" style="92" customWidth="1"/>
    <col min="11796" max="11796" width="3.5703125" style="92" customWidth="1"/>
    <col min="11797" max="11797" width="1.7109375" style="92" customWidth="1"/>
    <col min="11798" max="12031" width="0" style="92" hidden="1" customWidth="1"/>
    <col min="12032" max="12032" width="3" style="92"/>
    <col min="12033" max="12033" width="3.5703125" style="92" customWidth="1"/>
    <col min="12034" max="12034" width="2.5703125" style="92" customWidth="1"/>
    <col min="12035" max="12035" width="3.42578125" style="92" customWidth="1"/>
    <col min="12036" max="12036" width="1.28515625" style="92" customWidth="1"/>
    <col min="12037" max="12037" width="6.7109375" style="92" customWidth="1"/>
    <col min="12038" max="12038" width="13.42578125" style="92" customWidth="1"/>
    <col min="12039" max="12039" width="14.5703125" style="92" customWidth="1"/>
    <col min="12040" max="12040" width="4.42578125" style="92" customWidth="1"/>
    <col min="12041" max="12041" width="8" style="92" customWidth="1"/>
    <col min="12042" max="12042" width="6.140625" style="92" customWidth="1"/>
    <col min="12043" max="12043" width="6.85546875" style="92" customWidth="1"/>
    <col min="12044" max="12044" width="4.28515625" style="92" customWidth="1"/>
    <col min="12045" max="12045" width="7.28515625" style="92" customWidth="1"/>
    <col min="12046" max="12046" width="12.140625" style="92" customWidth="1"/>
    <col min="12047" max="12047" width="13" style="92" customWidth="1"/>
    <col min="12048" max="12048" width="3.7109375" style="92" customWidth="1"/>
    <col min="12049" max="12049" width="14.42578125" style="92" customWidth="1"/>
    <col min="12050" max="12050" width="0.7109375" style="92" customWidth="1"/>
    <col min="12051" max="12051" width="3.7109375" style="92" customWidth="1"/>
    <col min="12052" max="12052" width="3.5703125" style="92" customWidth="1"/>
    <col min="12053" max="12053" width="1.7109375" style="92" customWidth="1"/>
    <col min="12054" max="12287" width="0" style="92" hidden="1" customWidth="1"/>
    <col min="12288" max="12288" width="3" style="92"/>
    <col min="12289" max="12289" width="3.5703125" style="92" customWidth="1"/>
    <col min="12290" max="12290" width="2.5703125" style="92" customWidth="1"/>
    <col min="12291" max="12291" width="3.42578125" style="92" customWidth="1"/>
    <col min="12292" max="12292" width="1.28515625" style="92" customWidth="1"/>
    <col min="12293" max="12293" width="6.7109375" style="92" customWidth="1"/>
    <col min="12294" max="12294" width="13.42578125" style="92" customWidth="1"/>
    <col min="12295" max="12295" width="14.5703125" style="92" customWidth="1"/>
    <col min="12296" max="12296" width="4.42578125" style="92" customWidth="1"/>
    <col min="12297" max="12297" width="8" style="92" customWidth="1"/>
    <col min="12298" max="12298" width="6.140625" style="92" customWidth="1"/>
    <col min="12299" max="12299" width="6.85546875" style="92" customWidth="1"/>
    <col min="12300" max="12300" width="4.28515625" style="92" customWidth="1"/>
    <col min="12301" max="12301" width="7.28515625" style="92" customWidth="1"/>
    <col min="12302" max="12302" width="12.140625" style="92" customWidth="1"/>
    <col min="12303" max="12303" width="13" style="92" customWidth="1"/>
    <col min="12304" max="12304" width="3.7109375" style="92" customWidth="1"/>
    <col min="12305" max="12305" width="14.42578125" style="92" customWidth="1"/>
    <col min="12306" max="12306" width="0.7109375" style="92" customWidth="1"/>
    <col min="12307" max="12307" width="3.7109375" style="92" customWidth="1"/>
    <col min="12308" max="12308" width="3.5703125" style="92" customWidth="1"/>
    <col min="12309" max="12309" width="1.7109375" style="92" customWidth="1"/>
    <col min="12310" max="12543" width="0" style="92" hidden="1" customWidth="1"/>
    <col min="12544" max="12544" width="3" style="92"/>
    <col min="12545" max="12545" width="3.5703125" style="92" customWidth="1"/>
    <col min="12546" max="12546" width="2.5703125" style="92" customWidth="1"/>
    <col min="12547" max="12547" width="3.42578125" style="92" customWidth="1"/>
    <col min="12548" max="12548" width="1.28515625" style="92" customWidth="1"/>
    <col min="12549" max="12549" width="6.7109375" style="92" customWidth="1"/>
    <col min="12550" max="12550" width="13.42578125" style="92" customWidth="1"/>
    <col min="12551" max="12551" width="14.5703125" style="92" customWidth="1"/>
    <col min="12552" max="12552" width="4.42578125" style="92" customWidth="1"/>
    <col min="12553" max="12553" width="8" style="92" customWidth="1"/>
    <col min="12554" max="12554" width="6.140625" style="92" customWidth="1"/>
    <col min="12555" max="12555" width="6.85546875" style="92" customWidth="1"/>
    <col min="12556" max="12556" width="4.28515625" style="92" customWidth="1"/>
    <col min="12557" max="12557" width="7.28515625" style="92" customWidth="1"/>
    <col min="12558" max="12558" width="12.140625" style="92" customWidth="1"/>
    <col min="12559" max="12559" width="13" style="92" customWidth="1"/>
    <col min="12560" max="12560" width="3.7109375" style="92" customWidth="1"/>
    <col min="12561" max="12561" width="14.42578125" style="92" customWidth="1"/>
    <col min="12562" max="12562" width="0.7109375" style="92" customWidth="1"/>
    <col min="12563" max="12563" width="3.7109375" style="92" customWidth="1"/>
    <col min="12564" max="12564" width="3.5703125" style="92" customWidth="1"/>
    <col min="12565" max="12565" width="1.7109375" style="92" customWidth="1"/>
    <col min="12566" max="12799" width="0" style="92" hidden="1" customWidth="1"/>
    <col min="12800" max="12800" width="3" style="92"/>
    <col min="12801" max="12801" width="3.5703125" style="92" customWidth="1"/>
    <col min="12802" max="12802" width="2.5703125" style="92" customWidth="1"/>
    <col min="12803" max="12803" width="3.42578125" style="92" customWidth="1"/>
    <col min="12804" max="12804" width="1.28515625" style="92" customWidth="1"/>
    <col min="12805" max="12805" width="6.7109375" style="92" customWidth="1"/>
    <col min="12806" max="12806" width="13.42578125" style="92" customWidth="1"/>
    <col min="12807" max="12807" width="14.5703125" style="92" customWidth="1"/>
    <col min="12808" max="12808" width="4.42578125" style="92" customWidth="1"/>
    <col min="12809" max="12809" width="8" style="92" customWidth="1"/>
    <col min="12810" max="12810" width="6.140625" style="92" customWidth="1"/>
    <col min="12811" max="12811" width="6.85546875" style="92" customWidth="1"/>
    <col min="12812" max="12812" width="4.28515625" style="92" customWidth="1"/>
    <col min="12813" max="12813" width="7.28515625" style="92" customWidth="1"/>
    <col min="12814" max="12814" width="12.140625" style="92" customWidth="1"/>
    <col min="12815" max="12815" width="13" style="92" customWidth="1"/>
    <col min="12816" max="12816" width="3.7109375" style="92" customWidth="1"/>
    <col min="12817" max="12817" width="14.42578125" style="92" customWidth="1"/>
    <col min="12818" max="12818" width="0.7109375" style="92" customWidth="1"/>
    <col min="12819" max="12819" width="3.7109375" style="92" customWidth="1"/>
    <col min="12820" max="12820" width="3.5703125" style="92" customWidth="1"/>
    <col min="12821" max="12821" width="1.7109375" style="92" customWidth="1"/>
    <col min="12822" max="13055" width="0" style="92" hidden="1" customWidth="1"/>
    <col min="13056" max="13056" width="3" style="92"/>
    <col min="13057" max="13057" width="3.5703125" style="92" customWidth="1"/>
    <col min="13058" max="13058" width="2.5703125" style="92" customWidth="1"/>
    <col min="13059" max="13059" width="3.42578125" style="92" customWidth="1"/>
    <col min="13060" max="13060" width="1.28515625" style="92" customWidth="1"/>
    <col min="13061" max="13061" width="6.7109375" style="92" customWidth="1"/>
    <col min="13062" max="13062" width="13.42578125" style="92" customWidth="1"/>
    <col min="13063" max="13063" width="14.5703125" style="92" customWidth="1"/>
    <col min="13064" max="13064" width="4.42578125" style="92" customWidth="1"/>
    <col min="13065" max="13065" width="8" style="92" customWidth="1"/>
    <col min="13066" max="13066" width="6.140625" style="92" customWidth="1"/>
    <col min="13067" max="13067" width="6.85546875" style="92" customWidth="1"/>
    <col min="13068" max="13068" width="4.28515625" style="92" customWidth="1"/>
    <col min="13069" max="13069" width="7.28515625" style="92" customWidth="1"/>
    <col min="13070" max="13070" width="12.140625" style="92" customWidth="1"/>
    <col min="13071" max="13071" width="13" style="92" customWidth="1"/>
    <col min="13072" max="13072" width="3.7109375" style="92" customWidth="1"/>
    <col min="13073" max="13073" width="14.42578125" style="92" customWidth="1"/>
    <col min="13074" max="13074" width="0.7109375" style="92" customWidth="1"/>
    <col min="13075" max="13075" width="3.7109375" style="92" customWidth="1"/>
    <col min="13076" max="13076" width="3.5703125" style="92" customWidth="1"/>
    <col min="13077" max="13077" width="1.7109375" style="92" customWidth="1"/>
    <col min="13078" max="13311" width="0" style="92" hidden="1" customWidth="1"/>
    <col min="13312" max="13312" width="3" style="92"/>
    <col min="13313" max="13313" width="3.5703125" style="92" customWidth="1"/>
    <col min="13314" max="13314" width="2.5703125" style="92" customWidth="1"/>
    <col min="13315" max="13315" width="3.42578125" style="92" customWidth="1"/>
    <col min="13316" max="13316" width="1.28515625" style="92" customWidth="1"/>
    <col min="13317" max="13317" width="6.7109375" style="92" customWidth="1"/>
    <col min="13318" max="13318" width="13.42578125" style="92" customWidth="1"/>
    <col min="13319" max="13319" width="14.5703125" style="92" customWidth="1"/>
    <col min="13320" max="13320" width="4.42578125" style="92" customWidth="1"/>
    <col min="13321" max="13321" width="8" style="92" customWidth="1"/>
    <col min="13322" max="13322" width="6.140625" style="92" customWidth="1"/>
    <col min="13323" max="13323" width="6.85546875" style="92" customWidth="1"/>
    <col min="13324" max="13324" width="4.28515625" style="92" customWidth="1"/>
    <col min="13325" max="13325" width="7.28515625" style="92" customWidth="1"/>
    <col min="13326" max="13326" width="12.140625" style="92" customWidth="1"/>
    <col min="13327" max="13327" width="13" style="92" customWidth="1"/>
    <col min="13328" max="13328" width="3.7109375" style="92" customWidth="1"/>
    <col min="13329" max="13329" width="14.42578125" style="92" customWidth="1"/>
    <col min="13330" max="13330" width="0.7109375" style="92" customWidth="1"/>
    <col min="13331" max="13331" width="3.7109375" style="92" customWidth="1"/>
    <col min="13332" max="13332" width="3.5703125" style="92" customWidth="1"/>
    <col min="13333" max="13333" width="1.7109375" style="92" customWidth="1"/>
    <col min="13334" max="13567" width="0" style="92" hidden="1" customWidth="1"/>
    <col min="13568" max="13568" width="3" style="92"/>
    <col min="13569" max="13569" width="3.5703125" style="92" customWidth="1"/>
    <col min="13570" max="13570" width="2.5703125" style="92" customWidth="1"/>
    <col min="13571" max="13571" width="3.42578125" style="92" customWidth="1"/>
    <col min="13572" max="13572" width="1.28515625" style="92" customWidth="1"/>
    <col min="13573" max="13573" width="6.7109375" style="92" customWidth="1"/>
    <col min="13574" max="13574" width="13.42578125" style="92" customWidth="1"/>
    <col min="13575" max="13575" width="14.5703125" style="92" customWidth="1"/>
    <col min="13576" max="13576" width="4.42578125" style="92" customWidth="1"/>
    <col min="13577" max="13577" width="8" style="92" customWidth="1"/>
    <col min="13578" max="13578" width="6.140625" style="92" customWidth="1"/>
    <col min="13579" max="13579" width="6.85546875" style="92" customWidth="1"/>
    <col min="13580" max="13580" width="4.28515625" style="92" customWidth="1"/>
    <col min="13581" max="13581" width="7.28515625" style="92" customWidth="1"/>
    <col min="13582" max="13582" width="12.140625" style="92" customWidth="1"/>
    <col min="13583" max="13583" width="13" style="92" customWidth="1"/>
    <col min="13584" max="13584" width="3.7109375" style="92" customWidth="1"/>
    <col min="13585" max="13585" width="14.42578125" style="92" customWidth="1"/>
    <col min="13586" max="13586" width="0.7109375" style="92" customWidth="1"/>
    <col min="13587" max="13587" width="3.7109375" style="92" customWidth="1"/>
    <col min="13588" max="13588" width="3.5703125" style="92" customWidth="1"/>
    <col min="13589" max="13589" width="1.7109375" style="92" customWidth="1"/>
    <col min="13590" max="13823" width="0" style="92" hidden="1" customWidth="1"/>
    <col min="13824" max="13824" width="3" style="92"/>
    <col min="13825" max="13825" width="3.5703125" style="92" customWidth="1"/>
    <col min="13826" max="13826" width="2.5703125" style="92" customWidth="1"/>
    <col min="13827" max="13827" width="3.42578125" style="92" customWidth="1"/>
    <col min="13828" max="13828" width="1.28515625" style="92" customWidth="1"/>
    <col min="13829" max="13829" width="6.7109375" style="92" customWidth="1"/>
    <col min="13830" max="13830" width="13.42578125" style="92" customWidth="1"/>
    <col min="13831" max="13831" width="14.5703125" style="92" customWidth="1"/>
    <col min="13832" max="13832" width="4.42578125" style="92" customWidth="1"/>
    <col min="13833" max="13833" width="8" style="92" customWidth="1"/>
    <col min="13834" max="13834" width="6.140625" style="92" customWidth="1"/>
    <col min="13835" max="13835" width="6.85546875" style="92" customWidth="1"/>
    <col min="13836" max="13836" width="4.28515625" style="92" customWidth="1"/>
    <col min="13837" max="13837" width="7.28515625" style="92" customWidth="1"/>
    <col min="13838" max="13838" width="12.140625" style="92" customWidth="1"/>
    <col min="13839" max="13839" width="13" style="92" customWidth="1"/>
    <col min="13840" max="13840" width="3.7109375" style="92" customWidth="1"/>
    <col min="13841" max="13841" width="14.42578125" style="92" customWidth="1"/>
    <col min="13842" max="13842" width="0.7109375" style="92" customWidth="1"/>
    <col min="13843" max="13843" width="3.7109375" style="92" customWidth="1"/>
    <col min="13844" max="13844" width="3.5703125" style="92" customWidth="1"/>
    <col min="13845" max="13845" width="1.7109375" style="92" customWidth="1"/>
    <col min="13846" max="14079" width="0" style="92" hidden="1" customWidth="1"/>
    <col min="14080" max="14080" width="3" style="92"/>
    <col min="14081" max="14081" width="3.5703125" style="92" customWidth="1"/>
    <col min="14082" max="14082" width="2.5703125" style="92" customWidth="1"/>
    <col min="14083" max="14083" width="3.42578125" style="92" customWidth="1"/>
    <col min="14084" max="14084" width="1.28515625" style="92" customWidth="1"/>
    <col min="14085" max="14085" width="6.7109375" style="92" customWidth="1"/>
    <col min="14086" max="14086" width="13.42578125" style="92" customWidth="1"/>
    <col min="14087" max="14087" width="14.5703125" style="92" customWidth="1"/>
    <col min="14088" max="14088" width="4.42578125" style="92" customWidth="1"/>
    <col min="14089" max="14089" width="8" style="92" customWidth="1"/>
    <col min="14090" max="14090" width="6.140625" style="92" customWidth="1"/>
    <col min="14091" max="14091" width="6.85546875" style="92" customWidth="1"/>
    <col min="14092" max="14092" width="4.28515625" style="92" customWidth="1"/>
    <col min="14093" max="14093" width="7.28515625" style="92" customWidth="1"/>
    <col min="14094" max="14094" width="12.140625" style="92" customWidth="1"/>
    <col min="14095" max="14095" width="13" style="92" customWidth="1"/>
    <col min="14096" max="14096" width="3.7109375" style="92" customWidth="1"/>
    <col min="14097" max="14097" width="14.42578125" style="92" customWidth="1"/>
    <col min="14098" max="14098" width="0.7109375" style="92" customWidth="1"/>
    <col min="14099" max="14099" width="3.7109375" style="92" customWidth="1"/>
    <col min="14100" max="14100" width="3.5703125" style="92" customWidth="1"/>
    <col min="14101" max="14101" width="1.7109375" style="92" customWidth="1"/>
    <col min="14102" max="14335" width="0" style="92" hidden="1" customWidth="1"/>
    <col min="14336" max="14336" width="3" style="92"/>
    <col min="14337" max="14337" width="3.5703125" style="92" customWidth="1"/>
    <col min="14338" max="14338" width="2.5703125" style="92" customWidth="1"/>
    <col min="14339" max="14339" width="3.42578125" style="92" customWidth="1"/>
    <col min="14340" max="14340" width="1.28515625" style="92" customWidth="1"/>
    <col min="14341" max="14341" width="6.7109375" style="92" customWidth="1"/>
    <col min="14342" max="14342" width="13.42578125" style="92" customWidth="1"/>
    <col min="14343" max="14343" width="14.5703125" style="92" customWidth="1"/>
    <col min="14344" max="14344" width="4.42578125" style="92" customWidth="1"/>
    <col min="14345" max="14345" width="8" style="92" customWidth="1"/>
    <col min="14346" max="14346" width="6.140625" style="92" customWidth="1"/>
    <col min="14347" max="14347" width="6.85546875" style="92" customWidth="1"/>
    <col min="14348" max="14348" width="4.28515625" style="92" customWidth="1"/>
    <col min="14349" max="14349" width="7.28515625" style="92" customWidth="1"/>
    <col min="14350" max="14350" width="12.140625" style="92" customWidth="1"/>
    <col min="14351" max="14351" width="13" style="92" customWidth="1"/>
    <col min="14352" max="14352" width="3.7109375" style="92" customWidth="1"/>
    <col min="14353" max="14353" width="14.42578125" style="92" customWidth="1"/>
    <col min="14354" max="14354" width="0.7109375" style="92" customWidth="1"/>
    <col min="14355" max="14355" width="3.7109375" style="92" customWidth="1"/>
    <col min="14356" max="14356" width="3.5703125" style="92" customWidth="1"/>
    <col min="14357" max="14357" width="1.7109375" style="92" customWidth="1"/>
    <col min="14358" max="14591" width="0" style="92" hidden="1" customWidth="1"/>
    <col min="14592" max="14592" width="3" style="92"/>
    <col min="14593" max="14593" width="3.5703125" style="92" customWidth="1"/>
    <col min="14594" max="14594" width="2.5703125" style="92" customWidth="1"/>
    <col min="14595" max="14595" width="3.42578125" style="92" customWidth="1"/>
    <col min="14596" max="14596" width="1.28515625" style="92" customWidth="1"/>
    <col min="14597" max="14597" width="6.7109375" style="92" customWidth="1"/>
    <col min="14598" max="14598" width="13.42578125" style="92" customWidth="1"/>
    <col min="14599" max="14599" width="14.5703125" style="92" customWidth="1"/>
    <col min="14600" max="14600" width="4.42578125" style="92" customWidth="1"/>
    <col min="14601" max="14601" width="8" style="92" customWidth="1"/>
    <col min="14602" max="14602" width="6.140625" style="92" customWidth="1"/>
    <col min="14603" max="14603" width="6.85546875" style="92" customWidth="1"/>
    <col min="14604" max="14604" width="4.28515625" style="92" customWidth="1"/>
    <col min="14605" max="14605" width="7.28515625" style="92" customWidth="1"/>
    <col min="14606" max="14606" width="12.140625" style="92" customWidth="1"/>
    <col min="14607" max="14607" width="13" style="92" customWidth="1"/>
    <col min="14608" max="14608" width="3.7109375" style="92" customWidth="1"/>
    <col min="14609" max="14609" width="14.42578125" style="92" customWidth="1"/>
    <col min="14610" max="14610" width="0.7109375" style="92" customWidth="1"/>
    <col min="14611" max="14611" width="3.7109375" style="92" customWidth="1"/>
    <col min="14612" max="14612" width="3.5703125" style="92" customWidth="1"/>
    <col min="14613" max="14613" width="1.7109375" style="92" customWidth="1"/>
    <col min="14614" max="14847" width="0" style="92" hidden="1" customWidth="1"/>
    <col min="14848" max="14848" width="3" style="92"/>
    <col min="14849" max="14849" width="3.5703125" style="92" customWidth="1"/>
    <col min="14850" max="14850" width="2.5703125" style="92" customWidth="1"/>
    <col min="14851" max="14851" width="3.42578125" style="92" customWidth="1"/>
    <col min="14852" max="14852" width="1.28515625" style="92" customWidth="1"/>
    <col min="14853" max="14853" width="6.7109375" style="92" customWidth="1"/>
    <col min="14854" max="14854" width="13.42578125" style="92" customWidth="1"/>
    <col min="14855" max="14855" width="14.5703125" style="92" customWidth="1"/>
    <col min="14856" max="14856" width="4.42578125" style="92" customWidth="1"/>
    <col min="14857" max="14857" width="8" style="92" customWidth="1"/>
    <col min="14858" max="14858" width="6.140625" style="92" customWidth="1"/>
    <col min="14859" max="14859" width="6.85546875" style="92" customWidth="1"/>
    <col min="14860" max="14860" width="4.28515625" style="92" customWidth="1"/>
    <col min="14861" max="14861" width="7.28515625" style="92" customWidth="1"/>
    <col min="14862" max="14862" width="12.140625" style="92" customWidth="1"/>
    <col min="14863" max="14863" width="13" style="92" customWidth="1"/>
    <col min="14864" max="14864" width="3.7109375" style="92" customWidth="1"/>
    <col min="14865" max="14865" width="14.42578125" style="92" customWidth="1"/>
    <col min="14866" max="14866" width="0.7109375" style="92" customWidth="1"/>
    <col min="14867" max="14867" width="3.7109375" style="92" customWidth="1"/>
    <col min="14868" max="14868" width="3.5703125" style="92" customWidth="1"/>
    <col min="14869" max="14869" width="1.7109375" style="92" customWidth="1"/>
    <col min="14870" max="15103" width="0" style="92" hidden="1" customWidth="1"/>
    <col min="15104" max="15104" width="3" style="92"/>
    <col min="15105" max="15105" width="3.5703125" style="92" customWidth="1"/>
    <col min="15106" max="15106" width="2.5703125" style="92" customWidth="1"/>
    <col min="15107" max="15107" width="3.42578125" style="92" customWidth="1"/>
    <col min="15108" max="15108" width="1.28515625" style="92" customWidth="1"/>
    <col min="15109" max="15109" width="6.7109375" style="92" customWidth="1"/>
    <col min="15110" max="15110" width="13.42578125" style="92" customWidth="1"/>
    <col min="15111" max="15111" width="14.5703125" style="92" customWidth="1"/>
    <col min="15112" max="15112" width="4.42578125" style="92" customWidth="1"/>
    <col min="15113" max="15113" width="8" style="92" customWidth="1"/>
    <col min="15114" max="15114" width="6.140625" style="92" customWidth="1"/>
    <col min="15115" max="15115" width="6.85546875" style="92" customWidth="1"/>
    <col min="15116" max="15116" width="4.28515625" style="92" customWidth="1"/>
    <col min="15117" max="15117" width="7.28515625" style="92" customWidth="1"/>
    <col min="15118" max="15118" width="12.140625" style="92" customWidth="1"/>
    <col min="15119" max="15119" width="13" style="92" customWidth="1"/>
    <col min="15120" max="15120" width="3.7109375" style="92" customWidth="1"/>
    <col min="15121" max="15121" width="14.42578125" style="92" customWidth="1"/>
    <col min="15122" max="15122" width="0.7109375" style="92" customWidth="1"/>
    <col min="15123" max="15123" width="3.7109375" style="92" customWidth="1"/>
    <col min="15124" max="15124" width="3.5703125" style="92" customWidth="1"/>
    <col min="15125" max="15125" width="1.7109375" style="92" customWidth="1"/>
    <col min="15126" max="15359" width="0" style="92" hidden="1" customWidth="1"/>
    <col min="15360" max="15360" width="3" style="92"/>
    <col min="15361" max="15361" width="3.5703125" style="92" customWidth="1"/>
    <col min="15362" max="15362" width="2.5703125" style="92" customWidth="1"/>
    <col min="15363" max="15363" width="3.42578125" style="92" customWidth="1"/>
    <col min="15364" max="15364" width="1.28515625" style="92" customWidth="1"/>
    <col min="15365" max="15365" width="6.7109375" style="92" customWidth="1"/>
    <col min="15366" max="15366" width="13.42578125" style="92" customWidth="1"/>
    <col min="15367" max="15367" width="14.5703125" style="92" customWidth="1"/>
    <col min="15368" max="15368" width="4.42578125" style="92" customWidth="1"/>
    <col min="15369" max="15369" width="8" style="92" customWidth="1"/>
    <col min="15370" max="15370" width="6.140625" style="92" customWidth="1"/>
    <col min="15371" max="15371" width="6.85546875" style="92" customWidth="1"/>
    <col min="15372" max="15372" width="4.28515625" style="92" customWidth="1"/>
    <col min="15373" max="15373" width="7.28515625" style="92" customWidth="1"/>
    <col min="15374" max="15374" width="12.140625" style="92" customWidth="1"/>
    <col min="15375" max="15375" width="13" style="92" customWidth="1"/>
    <col min="15376" max="15376" width="3.7109375" style="92" customWidth="1"/>
    <col min="15377" max="15377" width="14.42578125" style="92" customWidth="1"/>
    <col min="15378" max="15378" width="0.7109375" style="92" customWidth="1"/>
    <col min="15379" max="15379" width="3.7109375" style="92" customWidth="1"/>
    <col min="15380" max="15380" width="3.5703125" style="92" customWidth="1"/>
    <col min="15381" max="15381" width="1.7109375" style="92" customWidth="1"/>
    <col min="15382" max="15615" width="0" style="92" hidden="1" customWidth="1"/>
    <col min="15616" max="15616" width="3" style="92"/>
    <col min="15617" max="15617" width="3.5703125" style="92" customWidth="1"/>
    <col min="15618" max="15618" width="2.5703125" style="92" customWidth="1"/>
    <col min="15619" max="15619" width="3.42578125" style="92" customWidth="1"/>
    <col min="15620" max="15620" width="1.28515625" style="92" customWidth="1"/>
    <col min="15621" max="15621" width="6.7109375" style="92" customWidth="1"/>
    <col min="15622" max="15622" width="13.42578125" style="92" customWidth="1"/>
    <col min="15623" max="15623" width="14.5703125" style="92" customWidth="1"/>
    <col min="15624" max="15624" width="4.42578125" style="92" customWidth="1"/>
    <col min="15625" max="15625" width="8" style="92" customWidth="1"/>
    <col min="15626" max="15626" width="6.140625" style="92" customWidth="1"/>
    <col min="15627" max="15627" width="6.85546875" style="92" customWidth="1"/>
    <col min="15628" max="15628" width="4.28515625" style="92" customWidth="1"/>
    <col min="15629" max="15629" width="7.28515625" style="92" customWidth="1"/>
    <col min="15630" max="15630" width="12.140625" style="92" customWidth="1"/>
    <col min="15631" max="15631" width="13" style="92" customWidth="1"/>
    <col min="15632" max="15632" width="3.7109375" style="92" customWidth="1"/>
    <col min="15633" max="15633" width="14.42578125" style="92" customWidth="1"/>
    <col min="15634" max="15634" width="0.7109375" style="92" customWidth="1"/>
    <col min="15635" max="15635" width="3.7109375" style="92" customWidth="1"/>
    <col min="15636" max="15636" width="3.5703125" style="92" customWidth="1"/>
    <col min="15637" max="15637" width="1.7109375" style="92" customWidth="1"/>
    <col min="15638" max="15871" width="0" style="92" hidden="1" customWidth="1"/>
    <col min="15872" max="15872" width="3" style="92"/>
    <col min="15873" max="15873" width="3.5703125" style="92" customWidth="1"/>
    <col min="15874" max="15874" width="2.5703125" style="92" customWidth="1"/>
    <col min="15875" max="15875" width="3.42578125" style="92" customWidth="1"/>
    <col min="15876" max="15876" width="1.28515625" style="92" customWidth="1"/>
    <col min="15877" max="15877" width="6.7109375" style="92" customWidth="1"/>
    <col min="15878" max="15878" width="13.42578125" style="92" customWidth="1"/>
    <col min="15879" max="15879" width="14.5703125" style="92" customWidth="1"/>
    <col min="15880" max="15880" width="4.42578125" style="92" customWidth="1"/>
    <col min="15881" max="15881" width="8" style="92" customWidth="1"/>
    <col min="15882" max="15882" width="6.140625" style="92" customWidth="1"/>
    <col min="15883" max="15883" width="6.85546875" style="92" customWidth="1"/>
    <col min="15884" max="15884" width="4.28515625" style="92" customWidth="1"/>
    <col min="15885" max="15885" width="7.28515625" style="92" customWidth="1"/>
    <col min="15886" max="15886" width="12.140625" style="92" customWidth="1"/>
    <col min="15887" max="15887" width="13" style="92" customWidth="1"/>
    <col min="15888" max="15888" width="3.7109375" style="92" customWidth="1"/>
    <col min="15889" max="15889" width="14.42578125" style="92" customWidth="1"/>
    <col min="15890" max="15890" width="0.7109375" style="92" customWidth="1"/>
    <col min="15891" max="15891" width="3.7109375" style="92" customWidth="1"/>
    <col min="15892" max="15892" width="3.5703125" style="92" customWidth="1"/>
    <col min="15893" max="15893" width="1.7109375" style="92" customWidth="1"/>
    <col min="15894" max="16127" width="0" style="92" hidden="1" customWidth="1"/>
    <col min="16128" max="16128" width="3" style="92"/>
    <col min="16129" max="16129" width="3.5703125" style="92" customWidth="1"/>
    <col min="16130" max="16130" width="2.5703125" style="92" customWidth="1"/>
    <col min="16131" max="16131" width="3.42578125" style="92" customWidth="1"/>
    <col min="16132" max="16132" width="1.28515625" style="92" customWidth="1"/>
    <col min="16133" max="16133" width="6.7109375" style="92" customWidth="1"/>
    <col min="16134" max="16134" width="13.42578125" style="92" customWidth="1"/>
    <col min="16135" max="16135" width="14.5703125" style="92" customWidth="1"/>
    <col min="16136" max="16136" width="4.42578125" style="92" customWidth="1"/>
    <col min="16137" max="16137" width="8" style="92" customWidth="1"/>
    <col min="16138" max="16138" width="6.140625" style="92" customWidth="1"/>
    <col min="16139" max="16139" width="6.85546875" style="92" customWidth="1"/>
    <col min="16140" max="16140" width="4.28515625" style="92" customWidth="1"/>
    <col min="16141" max="16141" width="7.28515625" style="92" customWidth="1"/>
    <col min="16142" max="16142" width="12.140625" style="92" customWidth="1"/>
    <col min="16143" max="16143" width="13" style="92" customWidth="1"/>
    <col min="16144" max="16144" width="3.7109375" style="92" customWidth="1"/>
    <col min="16145" max="16145" width="14.42578125" style="92" customWidth="1"/>
    <col min="16146" max="16146" width="0.7109375" style="92" customWidth="1"/>
    <col min="16147" max="16147" width="3.7109375" style="92" customWidth="1"/>
    <col min="16148" max="16148" width="3.5703125" style="92" customWidth="1"/>
    <col min="16149" max="16149" width="1.7109375" style="92" customWidth="1"/>
    <col min="16150" max="16383" width="0" style="92" hidden="1" customWidth="1"/>
    <col min="16384" max="16384" width="3" style="92"/>
  </cols>
  <sheetData>
    <row r="1" spans="1:257" x14ac:dyDescent="0.2"/>
    <row r="2" spans="1:257" ht="18" hidden="1" x14ac:dyDescent="0.25">
      <c r="O2" s="1"/>
      <c r="P2" s="94"/>
      <c r="Q2" s="94"/>
      <c r="R2" s="94"/>
      <c r="S2" s="95"/>
    </row>
    <row r="3" spans="1:257" ht="19.5" customHeight="1" x14ac:dyDescent="0.3">
      <c r="B3" s="1"/>
      <c r="C3" s="1"/>
      <c r="E3" s="1"/>
      <c r="J3" s="325" t="str">
        <f>+IF(requisitos!I14=9,"SOLICITUD DE AVALUO Y ESTUDIO DE COSTOS",IF(requisitos!I14=10,"SOLICITUD DE AVALUO Y ESTUDIO DE COSTOS","SOLICITUD AVALUO"))</f>
        <v>SOLICITUD AVALUO</v>
      </c>
      <c r="K3" s="326"/>
      <c r="L3" s="326"/>
      <c r="M3" s="326"/>
      <c r="N3" s="326"/>
      <c r="O3" s="326"/>
      <c r="P3" s="326"/>
      <c r="Q3" s="326"/>
      <c r="R3" s="326"/>
      <c r="S3" s="326"/>
      <c r="T3" s="326"/>
    </row>
    <row r="4" spans="1:257" ht="18" customHeight="1" x14ac:dyDescent="0.25"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7"/>
      <c r="P4" s="97"/>
      <c r="Q4" s="327" t="s">
        <v>42</v>
      </c>
      <c r="R4" s="327"/>
      <c r="S4" s="327"/>
      <c r="T4" s="328"/>
    </row>
    <row r="5" spans="1:257" ht="15" customHeight="1" x14ac:dyDescent="0.25"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8"/>
      <c r="P5" s="98"/>
      <c r="Q5" s="329" t="s">
        <v>43</v>
      </c>
      <c r="R5" s="329"/>
      <c r="S5" s="329"/>
      <c r="T5" s="330"/>
    </row>
    <row r="6" spans="1:257" ht="12.75" customHeight="1" x14ac:dyDescent="0.25">
      <c r="A6" s="99" t="s">
        <v>44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100"/>
      <c r="P6" s="100"/>
      <c r="Q6" s="331">
        <f ca="1">NOW()</f>
        <v>45800.397027199077</v>
      </c>
      <c r="R6" s="331"/>
      <c r="S6" s="331"/>
      <c r="T6" s="331"/>
    </row>
    <row r="7" spans="1:257" ht="12" customHeight="1" x14ac:dyDescent="0.25">
      <c r="A7" s="101" t="s">
        <v>45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</row>
    <row r="8" spans="1:257" ht="12" customHeight="1" x14ac:dyDescent="0.25">
      <c r="A8" s="101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</row>
    <row r="9" spans="1:257" ht="11.25" customHeight="1" x14ac:dyDescent="0.2">
      <c r="A9" s="101"/>
      <c r="O9" s="102"/>
      <c r="P9" s="103"/>
      <c r="Q9" s="104"/>
    </row>
    <row r="10" spans="1:257" x14ac:dyDescent="0.2">
      <c r="A10" s="105"/>
      <c r="C10" s="285" t="s">
        <v>46</v>
      </c>
      <c r="D10" s="117"/>
      <c r="E10" s="286"/>
      <c r="F10" s="286"/>
      <c r="G10" s="277"/>
      <c r="H10" s="285" t="s">
        <v>47</v>
      </c>
      <c r="I10" s="117"/>
      <c r="J10" s="117"/>
      <c r="L10" s="286" t="s">
        <v>48</v>
      </c>
      <c r="O10" s="108"/>
      <c r="P10" s="108"/>
      <c r="Q10" s="108"/>
      <c r="R10" s="108"/>
      <c r="S10" s="108"/>
      <c r="T10" s="108"/>
    </row>
    <row r="11" spans="1:257" ht="3.75" customHeight="1" thickBot="1" x14ac:dyDescent="0.25">
      <c r="A11" s="109"/>
      <c r="B11" s="109"/>
      <c r="C11" s="109"/>
      <c r="D11" s="109"/>
      <c r="E11" s="110"/>
      <c r="F11" s="110"/>
      <c r="G11" s="109"/>
      <c r="H11" s="109"/>
      <c r="I11" s="109"/>
      <c r="J11" s="109"/>
      <c r="K11" s="109"/>
      <c r="L11" s="109"/>
      <c r="M11" s="109"/>
      <c r="N11" s="109"/>
      <c r="O11" s="111"/>
      <c r="P11" s="112"/>
      <c r="Q11" s="109"/>
      <c r="R11" s="109"/>
      <c r="S11" s="109"/>
      <c r="T11" s="109"/>
    </row>
    <row r="12" spans="1:257" ht="3.75" customHeight="1" thickTop="1" x14ac:dyDescent="0.2">
      <c r="O12" s="113"/>
      <c r="P12" s="103"/>
    </row>
    <row r="13" spans="1:257" s="114" customFormat="1" ht="14.25" customHeight="1" x14ac:dyDescent="0.2">
      <c r="E13" s="115"/>
      <c r="F13" s="115"/>
      <c r="I13" s="116"/>
      <c r="J13" s="117"/>
      <c r="K13" s="117"/>
      <c r="L13" s="117"/>
      <c r="M13" s="275"/>
      <c r="N13" s="275"/>
      <c r="O13" s="276" t="b">
        <f>+IF(requisitos!I14=3,requisitos!R14,'CALCULO Empleados'!M21)</f>
        <v>0</v>
      </c>
      <c r="P13" s="277"/>
      <c r="Q13" s="278">
        <f>+IF(O13&lt;18000,O13,18000)</f>
        <v>18000</v>
      </c>
      <c r="R13" s="283"/>
      <c r="S13" s="283"/>
      <c r="T13" s="283"/>
      <c r="U13" s="268"/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68"/>
      <c r="AK13" s="268"/>
      <c r="AL13" s="268"/>
      <c r="AM13" s="268"/>
      <c r="AN13" s="268"/>
      <c r="AO13" s="268"/>
      <c r="AP13" s="268"/>
      <c r="AQ13" s="268"/>
      <c r="AR13" s="268"/>
      <c r="AS13" s="268"/>
      <c r="AT13" s="268"/>
      <c r="AU13" s="268"/>
      <c r="AV13" s="268"/>
      <c r="AW13" s="268"/>
      <c r="AX13" s="268"/>
      <c r="AY13" s="268"/>
      <c r="AZ13" s="268"/>
      <c r="BA13" s="268"/>
      <c r="BB13" s="268"/>
      <c r="BC13" s="268"/>
      <c r="BD13" s="268"/>
      <c r="BE13" s="268"/>
      <c r="BF13" s="268"/>
      <c r="BG13" s="268"/>
      <c r="BH13" s="268"/>
      <c r="BI13" s="268"/>
      <c r="BJ13" s="268"/>
      <c r="BK13" s="268"/>
      <c r="BL13" s="268"/>
      <c r="BM13" s="268"/>
      <c r="BN13" s="268"/>
      <c r="BO13" s="268"/>
      <c r="BP13" s="268"/>
      <c r="BQ13" s="268"/>
      <c r="BR13" s="268"/>
      <c r="BS13" s="268"/>
      <c r="BT13" s="268"/>
      <c r="BU13" s="268"/>
      <c r="BV13" s="268"/>
      <c r="BW13" s="268"/>
      <c r="BX13" s="268"/>
      <c r="BY13" s="268"/>
      <c r="BZ13" s="268"/>
      <c r="CA13" s="268"/>
      <c r="CB13" s="268"/>
      <c r="CC13" s="268"/>
      <c r="CD13" s="268"/>
      <c r="CE13" s="268"/>
      <c r="CF13" s="268"/>
      <c r="CG13" s="268"/>
      <c r="CH13" s="268"/>
      <c r="CI13" s="268"/>
      <c r="CJ13" s="268"/>
      <c r="CK13" s="268"/>
      <c r="CL13" s="268"/>
      <c r="CM13" s="268"/>
      <c r="CN13" s="268"/>
      <c r="CO13" s="268"/>
      <c r="CP13" s="268"/>
      <c r="CQ13" s="268"/>
      <c r="CR13" s="268"/>
      <c r="CS13" s="268"/>
      <c r="CT13" s="268"/>
      <c r="CU13" s="268"/>
      <c r="CV13" s="268"/>
      <c r="CW13" s="268"/>
      <c r="CX13" s="268"/>
      <c r="CY13" s="268"/>
      <c r="CZ13" s="268"/>
      <c r="DA13" s="268"/>
      <c r="DB13" s="268"/>
      <c r="DC13" s="268"/>
      <c r="DD13" s="268"/>
      <c r="DE13" s="268"/>
      <c r="DF13" s="268"/>
      <c r="DG13" s="268"/>
      <c r="DH13" s="268"/>
      <c r="DI13" s="268"/>
      <c r="DJ13" s="268"/>
      <c r="DK13" s="268"/>
      <c r="DL13" s="268"/>
      <c r="DM13" s="268"/>
      <c r="DN13" s="268"/>
      <c r="DO13" s="268"/>
      <c r="DP13" s="268"/>
      <c r="DQ13" s="268"/>
      <c r="DR13" s="268"/>
      <c r="DS13" s="268"/>
      <c r="DT13" s="268"/>
      <c r="DU13" s="268"/>
      <c r="DV13" s="268"/>
      <c r="DW13" s="268"/>
      <c r="DX13" s="268"/>
      <c r="DY13" s="268"/>
      <c r="DZ13" s="268"/>
      <c r="EA13" s="268"/>
      <c r="EB13" s="268"/>
      <c r="EC13" s="268"/>
      <c r="ED13" s="268"/>
      <c r="EE13" s="268"/>
      <c r="EF13" s="268"/>
      <c r="EG13" s="268"/>
      <c r="EH13" s="268"/>
      <c r="EI13" s="268"/>
      <c r="EJ13" s="268"/>
      <c r="EK13" s="268"/>
      <c r="EL13" s="268"/>
      <c r="EM13" s="268"/>
      <c r="EN13" s="268"/>
      <c r="EO13" s="268"/>
      <c r="EP13" s="268"/>
      <c r="EQ13" s="268"/>
      <c r="ER13" s="268"/>
      <c r="ES13" s="268"/>
      <c r="ET13" s="268"/>
      <c r="EU13" s="268"/>
      <c r="EV13" s="268"/>
      <c r="EW13" s="268"/>
      <c r="EX13" s="268"/>
      <c r="EY13" s="268"/>
      <c r="EZ13" s="268"/>
      <c r="FA13" s="268"/>
      <c r="FB13" s="268"/>
      <c r="FC13" s="268"/>
      <c r="FD13" s="268"/>
      <c r="FE13" s="268"/>
      <c r="FF13" s="268"/>
      <c r="FG13" s="268"/>
      <c r="FH13" s="268"/>
      <c r="FI13" s="268"/>
      <c r="FJ13" s="268"/>
      <c r="FK13" s="268"/>
      <c r="FL13" s="268"/>
      <c r="FM13" s="268"/>
      <c r="FN13" s="268"/>
      <c r="FO13" s="268"/>
      <c r="FP13" s="268"/>
      <c r="FQ13" s="268"/>
      <c r="FR13" s="268"/>
      <c r="FS13" s="268"/>
      <c r="FT13" s="268"/>
      <c r="FU13" s="268"/>
      <c r="FV13" s="268"/>
      <c r="FW13" s="268"/>
      <c r="FX13" s="268"/>
      <c r="FY13" s="268"/>
      <c r="FZ13" s="268"/>
      <c r="GA13" s="268"/>
      <c r="GB13" s="268"/>
      <c r="GC13" s="268"/>
      <c r="GD13" s="268"/>
      <c r="GE13" s="268"/>
      <c r="GF13" s="268"/>
      <c r="GG13" s="268"/>
      <c r="GH13" s="268"/>
      <c r="GI13" s="268"/>
      <c r="GJ13" s="268"/>
      <c r="GK13" s="268"/>
      <c r="GL13" s="268"/>
      <c r="GM13" s="268"/>
      <c r="GN13" s="268"/>
      <c r="GO13" s="268"/>
      <c r="GP13" s="268"/>
      <c r="GQ13" s="268"/>
      <c r="GR13" s="268"/>
      <c r="GS13" s="268"/>
      <c r="GT13" s="268"/>
      <c r="GU13" s="268"/>
      <c r="GV13" s="268"/>
      <c r="GW13" s="268"/>
      <c r="GX13" s="268"/>
      <c r="GY13" s="268"/>
      <c r="GZ13" s="268"/>
      <c r="HA13" s="268"/>
      <c r="HB13" s="268"/>
      <c r="HC13" s="268"/>
      <c r="HD13" s="268"/>
      <c r="HE13" s="268"/>
      <c r="HF13" s="268"/>
      <c r="HG13" s="268"/>
      <c r="HH13" s="268"/>
      <c r="HI13" s="268"/>
      <c r="HJ13" s="268"/>
      <c r="HK13" s="268"/>
      <c r="HL13" s="268"/>
      <c r="HM13" s="268"/>
      <c r="HN13" s="268"/>
      <c r="HO13" s="268"/>
      <c r="HP13" s="268"/>
      <c r="HQ13" s="268"/>
      <c r="HR13" s="268"/>
      <c r="HS13" s="268"/>
      <c r="HT13" s="268"/>
      <c r="HU13" s="268"/>
      <c r="HV13" s="268"/>
      <c r="HW13" s="268"/>
      <c r="HX13" s="268"/>
      <c r="HY13" s="268"/>
      <c r="HZ13" s="268"/>
      <c r="IA13" s="268"/>
      <c r="IB13" s="268"/>
      <c r="IC13" s="268"/>
      <c r="ID13" s="268"/>
      <c r="IE13" s="268"/>
      <c r="IF13" s="268"/>
      <c r="IG13" s="268"/>
      <c r="IH13" s="268"/>
      <c r="II13" s="268"/>
      <c r="IJ13" s="268"/>
      <c r="IK13" s="268"/>
      <c r="IL13" s="268"/>
      <c r="IM13" s="268"/>
      <c r="IN13" s="268"/>
      <c r="IO13" s="268"/>
      <c r="IP13" s="268"/>
      <c r="IQ13" s="268"/>
      <c r="IR13" s="268"/>
      <c r="IS13" s="268"/>
      <c r="IT13" s="268"/>
      <c r="IU13" s="268"/>
      <c r="IV13" s="268"/>
      <c r="IW13" s="268"/>
    </row>
    <row r="14" spans="1:257" s="114" customFormat="1" ht="15" customHeight="1" x14ac:dyDescent="0.2">
      <c r="C14" s="119"/>
      <c r="E14" s="115"/>
      <c r="F14" s="115"/>
      <c r="I14" s="116"/>
      <c r="J14" s="117"/>
      <c r="K14" s="117"/>
      <c r="L14" s="117"/>
      <c r="M14" s="117"/>
      <c r="N14" s="279"/>
      <c r="O14" s="280"/>
      <c r="P14" s="281"/>
      <c r="Q14" s="278">
        <f>IF(requisitos!I14=3,requisitos!R14,IF(requisitos!I14=4,requisitos!R15,IF(requisitos!I14=5,requisitos!R16,IF(requisitos!I14=9,requisitos!R20,IF(requisitos!I14=10,requisitos!R21,IF(requisitos!I14=11,requisitos!O22,requisitos!R12))))))</f>
        <v>1913</v>
      </c>
      <c r="R14" s="281"/>
      <c r="S14" s="281"/>
      <c r="T14" s="117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8"/>
      <c r="AH14" s="268"/>
      <c r="AI14" s="268"/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68"/>
      <c r="CA14" s="268"/>
      <c r="CB14" s="268"/>
      <c r="CC14" s="268"/>
      <c r="CD14" s="268"/>
      <c r="CE14" s="268"/>
      <c r="CF14" s="268"/>
      <c r="CG14" s="268"/>
      <c r="CH14" s="268"/>
      <c r="CI14" s="268"/>
      <c r="CJ14" s="268"/>
      <c r="CK14" s="268"/>
      <c r="CL14" s="268"/>
      <c r="CM14" s="268"/>
      <c r="CN14" s="268"/>
      <c r="CO14" s="268"/>
      <c r="CP14" s="268"/>
      <c r="CQ14" s="268"/>
      <c r="CR14" s="268"/>
      <c r="CS14" s="268"/>
      <c r="CT14" s="268"/>
      <c r="CU14" s="268"/>
      <c r="CV14" s="268"/>
      <c r="CW14" s="268"/>
      <c r="CX14" s="268"/>
      <c r="CY14" s="268"/>
      <c r="CZ14" s="268"/>
      <c r="DA14" s="268"/>
      <c r="DB14" s="268"/>
      <c r="DC14" s="268"/>
      <c r="DD14" s="268"/>
      <c r="DE14" s="268"/>
      <c r="DF14" s="268"/>
      <c r="DG14" s="268"/>
      <c r="DH14" s="268"/>
      <c r="DI14" s="268"/>
      <c r="DJ14" s="268"/>
      <c r="DK14" s="268"/>
      <c r="DL14" s="268"/>
      <c r="DM14" s="268"/>
      <c r="DN14" s="268"/>
      <c r="DO14" s="268"/>
      <c r="DP14" s="268"/>
      <c r="DQ14" s="268"/>
      <c r="DR14" s="268"/>
      <c r="DS14" s="268"/>
      <c r="DT14" s="268"/>
      <c r="DU14" s="268"/>
      <c r="DV14" s="268"/>
      <c r="DW14" s="268"/>
      <c r="DX14" s="268"/>
      <c r="DY14" s="268"/>
      <c r="DZ14" s="268"/>
      <c r="EA14" s="268"/>
      <c r="EB14" s="268"/>
      <c r="EC14" s="268"/>
      <c r="ED14" s="268"/>
      <c r="EE14" s="268"/>
      <c r="EF14" s="268"/>
      <c r="EG14" s="268"/>
      <c r="EH14" s="268"/>
      <c r="EI14" s="268"/>
      <c r="EJ14" s="268"/>
      <c r="EK14" s="268"/>
      <c r="EL14" s="268"/>
      <c r="EM14" s="268"/>
      <c r="EN14" s="268"/>
      <c r="EO14" s="268"/>
      <c r="EP14" s="268"/>
      <c r="EQ14" s="268"/>
      <c r="ER14" s="268"/>
      <c r="ES14" s="268"/>
      <c r="ET14" s="268"/>
      <c r="EU14" s="268"/>
      <c r="EV14" s="268"/>
      <c r="EW14" s="268"/>
      <c r="EX14" s="268"/>
      <c r="EY14" s="268"/>
      <c r="EZ14" s="268"/>
      <c r="FA14" s="268"/>
      <c r="FB14" s="268"/>
      <c r="FC14" s="268"/>
      <c r="FD14" s="268"/>
      <c r="FE14" s="268"/>
      <c r="FF14" s="268"/>
      <c r="FG14" s="268"/>
      <c r="FH14" s="268"/>
      <c r="FI14" s="268"/>
      <c r="FJ14" s="268"/>
      <c r="FK14" s="268"/>
      <c r="FL14" s="268"/>
      <c r="FM14" s="268"/>
      <c r="FN14" s="268"/>
      <c r="FO14" s="268"/>
      <c r="FP14" s="268"/>
      <c r="FQ14" s="268"/>
      <c r="FR14" s="268"/>
      <c r="FS14" s="268"/>
      <c r="FT14" s="268"/>
      <c r="FU14" s="268"/>
      <c r="FV14" s="268"/>
      <c r="FW14" s="268"/>
      <c r="FX14" s="268"/>
      <c r="FY14" s="268"/>
      <c r="FZ14" s="268"/>
      <c r="GA14" s="268"/>
      <c r="GB14" s="268"/>
      <c r="GC14" s="268"/>
      <c r="GD14" s="268"/>
      <c r="GE14" s="268"/>
      <c r="GF14" s="268"/>
      <c r="GG14" s="268"/>
      <c r="GH14" s="268"/>
      <c r="GI14" s="268"/>
      <c r="GJ14" s="268"/>
      <c r="GK14" s="268"/>
      <c r="GL14" s="268"/>
      <c r="GM14" s="268"/>
      <c r="GN14" s="268"/>
      <c r="GO14" s="268"/>
      <c r="GP14" s="268"/>
      <c r="GQ14" s="268"/>
      <c r="GR14" s="268"/>
      <c r="GS14" s="268"/>
      <c r="GT14" s="268"/>
      <c r="GU14" s="268"/>
      <c r="GV14" s="268"/>
      <c r="GW14" s="268"/>
      <c r="GX14" s="268"/>
      <c r="GY14" s="268"/>
      <c r="GZ14" s="268"/>
      <c r="HA14" s="268"/>
      <c r="HB14" s="268"/>
      <c r="HC14" s="268"/>
      <c r="HD14" s="268"/>
      <c r="HE14" s="268"/>
      <c r="HF14" s="268"/>
      <c r="HG14" s="268"/>
      <c r="HH14" s="268"/>
      <c r="HI14" s="268"/>
      <c r="HJ14" s="268"/>
      <c r="HK14" s="268"/>
      <c r="HL14" s="268"/>
      <c r="HM14" s="268"/>
      <c r="HN14" s="268"/>
      <c r="HO14" s="268"/>
      <c r="HP14" s="268"/>
      <c r="HQ14" s="268"/>
      <c r="HR14" s="268"/>
      <c r="HS14" s="268"/>
      <c r="HT14" s="268"/>
      <c r="HU14" s="268"/>
      <c r="HV14" s="268"/>
      <c r="HW14" s="268"/>
      <c r="HX14" s="268"/>
      <c r="HY14" s="268"/>
      <c r="HZ14" s="268"/>
      <c r="IA14" s="268"/>
      <c r="IB14" s="268"/>
      <c r="IC14" s="268"/>
      <c r="ID14" s="268"/>
      <c r="IE14" s="268"/>
      <c r="IF14" s="268"/>
      <c r="IG14" s="268"/>
      <c r="IH14" s="268"/>
      <c r="II14" s="268"/>
      <c r="IJ14" s="268"/>
      <c r="IK14" s="268"/>
      <c r="IL14" s="268"/>
      <c r="IM14" s="268"/>
      <c r="IN14" s="268"/>
      <c r="IO14" s="268"/>
      <c r="IP14" s="268"/>
      <c r="IQ14" s="268"/>
      <c r="IR14" s="268"/>
      <c r="IS14" s="268"/>
      <c r="IT14" s="268"/>
      <c r="IU14" s="268"/>
      <c r="IV14" s="268"/>
      <c r="IW14" s="268"/>
    </row>
    <row r="15" spans="1:257" x14ac:dyDescent="0.2">
      <c r="A15" s="106" t="str">
        <f>IF(requisitos!$T$3=2,"FUNCIONARIO QUE ATIENDE AL CLIENTE","DATOS DEL EMPLEADO")</f>
        <v>FUNCIONARIO QUE ATIENDE AL CLIENTE</v>
      </c>
      <c r="E15" s="94"/>
      <c r="F15" s="120"/>
      <c r="G15" s="120"/>
      <c r="H15" s="121"/>
      <c r="I15" s="122"/>
      <c r="J15" s="123"/>
      <c r="K15" s="123"/>
      <c r="L15" s="123"/>
      <c r="M15" s="117"/>
      <c r="N15" s="323">
        <f>+IF(Q15&lt;1412.88,"$1,413.00",Q15)</f>
        <v>1913</v>
      </c>
      <c r="O15" s="324"/>
      <c r="P15" s="282"/>
      <c r="Q15" s="278">
        <f>+IF(requisitos!T3=1,'Hipoteca Free'!Q13,'Hipoteca Free'!Q14)</f>
        <v>1913</v>
      </c>
      <c r="R15" s="117"/>
      <c r="S15" s="117"/>
      <c r="T15" s="117"/>
      <c r="U15" s="268"/>
      <c r="V15" s="268"/>
      <c r="W15" s="268"/>
      <c r="X15" s="268"/>
      <c r="Y15" s="268"/>
      <c r="Z15" s="268"/>
      <c r="AA15" s="268"/>
      <c r="AB15" s="268"/>
      <c r="AC15" s="268"/>
      <c r="AD15" s="268"/>
      <c r="AE15" s="268"/>
      <c r="AF15" s="268"/>
      <c r="AG15" s="268"/>
      <c r="AH15" s="268"/>
      <c r="AI15" s="268"/>
      <c r="AJ15" s="268"/>
      <c r="AK15" s="268"/>
      <c r="AL15" s="268"/>
      <c r="AM15" s="268"/>
      <c r="AN15" s="268"/>
      <c r="AO15" s="268"/>
      <c r="AP15" s="268"/>
      <c r="AQ15" s="268"/>
      <c r="AR15" s="268"/>
      <c r="AS15" s="268"/>
      <c r="AT15" s="268"/>
      <c r="AU15" s="268"/>
      <c r="AV15" s="268"/>
      <c r="AW15" s="268"/>
      <c r="AX15" s="268"/>
      <c r="AY15" s="268"/>
      <c r="AZ15" s="268"/>
      <c r="BA15" s="268"/>
      <c r="BB15" s="268"/>
      <c r="BC15" s="268"/>
      <c r="BD15" s="268"/>
      <c r="BE15" s="268"/>
      <c r="BF15" s="268"/>
      <c r="BG15" s="268"/>
      <c r="BH15" s="268"/>
      <c r="BI15" s="268"/>
      <c r="BJ15" s="268"/>
      <c r="BK15" s="268"/>
      <c r="BL15" s="268"/>
      <c r="BM15" s="268"/>
      <c r="BN15" s="268"/>
      <c r="BO15" s="268"/>
      <c r="BP15" s="268"/>
      <c r="BQ15" s="268"/>
      <c r="BR15" s="268"/>
      <c r="BS15" s="268"/>
      <c r="BT15" s="268"/>
      <c r="BU15" s="268"/>
      <c r="BV15" s="268"/>
      <c r="BW15" s="268"/>
      <c r="BX15" s="268"/>
      <c r="BY15" s="268"/>
      <c r="BZ15" s="268"/>
      <c r="CA15" s="268"/>
      <c r="CB15" s="268"/>
      <c r="CC15" s="268"/>
      <c r="CD15" s="268"/>
      <c r="CE15" s="268"/>
      <c r="CF15" s="268"/>
      <c r="CG15" s="268"/>
      <c r="CH15" s="268"/>
      <c r="CI15" s="268"/>
      <c r="CJ15" s="268"/>
      <c r="CK15" s="268"/>
      <c r="CL15" s="268"/>
      <c r="CM15" s="268"/>
      <c r="CN15" s="268"/>
      <c r="CO15" s="268"/>
      <c r="CP15" s="268"/>
      <c r="CQ15" s="268"/>
      <c r="CR15" s="268"/>
      <c r="CS15" s="268"/>
      <c r="CT15" s="268"/>
      <c r="CU15" s="268"/>
      <c r="CV15" s="268"/>
      <c r="CW15" s="268"/>
      <c r="CX15" s="268"/>
      <c r="CY15" s="268"/>
      <c r="CZ15" s="268"/>
      <c r="DA15" s="268"/>
      <c r="DB15" s="268"/>
      <c r="DC15" s="268"/>
      <c r="DD15" s="268"/>
      <c r="DE15" s="268"/>
      <c r="DF15" s="268"/>
      <c r="DG15" s="268"/>
      <c r="DH15" s="268"/>
      <c r="DI15" s="268"/>
      <c r="DJ15" s="268"/>
      <c r="DK15" s="268"/>
      <c r="DL15" s="268"/>
      <c r="DM15" s="268"/>
      <c r="DN15" s="268"/>
      <c r="DO15" s="268"/>
      <c r="DP15" s="268"/>
      <c r="DQ15" s="268"/>
      <c r="DR15" s="268"/>
      <c r="DS15" s="268"/>
      <c r="DT15" s="268"/>
      <c r="DU15" s="268"/>
      <c r="DV15" s="268"/>
      <c r="DW15" s="268"/>
      <c r="DX15" s="268"/>
      <c r="DY15" s="268"/>
      <c r="DZ15" s="268"/>
      <c r="EA15" s="268"/>
      <c r="EB15" s="268"/>
      <c r="EC15" s="268"/>
      <c r="ED15" s="268"/>
      <c r="EE15" s="268"/>
      <c r="EF15" s="268"/>
      <c r="EG15" s="268"/>
      <c r="EH15" s="268"/>
      <c r="EI15" s="268"/>
      <c r="EJ15" s="268"/>
      <c r="EK15" s="268"/>
      <c r="EL15" s="268"/>
      <c r="EM15" s="268"/>
      <c r="EN15" s="268"/>
      <c r="EO15" s="268"/>
      <c r="EP15" s="268"/>
      <c r="EQ15" s="268"/>
      <c r="ER15" s="268"/>
      <c r="ES15" s="268"/>
      <c r="ET15" s="268"/>
      <c r="EU15" s="268"/>
      <c r="EV15" s="268"/>
      <c r="EW15" s="268"/>
      <c r="EX15" s="268"/>
      <c r="EY15" s="268"/>
      <c r="EZ15" s="268"/>
      <c r="FA15" s="268"/>
      <c r="FB15" s="268"/>
      <c r="FC15" s="268"/>
      <c r="FD15" s="268"/>
      <c r="FE15" s="268"/>
      <c r="FF15" s="268"/>
      <c r="FG15" s="268"/>
      <c r="FH15" s="268"/>
      <c r="FI15" s="268"/>
      <c r="FJ15" s="268"/>
      <c r="FK15" s="268"/>
      <c r="FL15" s="268"/>
      <c r="FM15" s="268"/>
      <c r="FN15" s="268"/>
      <c r="FO15" s="268"/>
      <c r="FP15" s="268"/>
      <c r="FQ15" s="268"/>
      <c r="FR15" s="268"/>
      <c r="FS15" s="268"/>
      <c r="FT15" s="268"/>
      <c r="FU15" s="268"/>
      <c r="FV15" s="268"/>
      <c r="FW15" s="268"/>
      <c r="FX15" s="268"/>
      <c r="FY15" s="268"/>
      <c r="FZ15" s="268"/>
      <c r="GA15" s="268"/>
      <c r="GB15" s="268"/>
      <c r="GC15" s="268"/>
      <c r="GD15" s="268"/>
      <c r="GE15" s="268"/>
      <c r="GF15" s="268"/>
      <c r="GG15" s="268"/>
      <c r="GH15" s="268"/>
      <c r="GI15" s="268"/>
      <c r="GJ15" s="268"/>
      <c r="GK15" s="268"/>
      <c r="GL15" s="268"/>
      <c r="GM15" s="268"/>
      <c r="GN15" s="268"/>
      <c r="GO15" s="268"/>
      <c r="GP15" s="268"/>
      <c r="GQ15" s="268"/>
      <c r="GR15" s="268"/>
      <c r="GS15" s="268"/>
      <c r="GT15" s="268"/>
      <c r="GU15" s="268"/>
      <c r="GV15" s="268"/>
      <c r="GW15" s="268"/>
      <c r="GX15" s="268"/>
      <c r="GY15" s="268"/>
      <c r="GZ15" s="268"/>
      <c r="HA15" s="268"/>
      <c r="HB15" s="268"/>
      <c r="HC15" s="268"/>
      <c r="HD15" s="268"/>
      <c r="HE15" s="268"/>
      <c r="HF15" s="268"/>
      <c r="HG15" s="268"/>
      <c r="HH15" s="268"/>
      <c r="HI15" s="268"/>
      <c r="HJ15" s="268"/>
      <c r="HK15" s="268"/>
      <c r="HL15" s="268"/>
      <c r="HM15" s="268"/>
      <c r="HN15" s="268"/>
      <c r="HO15" s="268"/>
      <c r="HP15" s="268"/>
      <c r="HQ15" s="268"/>
      <c r="HR15" s="268"/>
      <c r="HS15" s="268"/>
      <c r="HT15" s="268"/>
      <c r="HU15" s="268"/>
      <c r="HV15" s="268"/>
      <c r="HW15" s="268"/>
      <c r="HX15" s="268"/>
      <c r="HY15" s="268"/>
      <c r="HZ15" s="268"/>
      <c r="IA15" s="268"/>
      <c r="IB15" s="268"/>
      <c r="IC15" s="268"/>
      <c r="ID15" s="268"/>
      <c r="IE15" s="268"/>
      <c r="IF15" s="268"/>
      <c r="IG15" s="268"/>
      <c r="IH15" s="268"/>
      <c r="II15" s="268"/>
      <c r="IJ15" s="268"/>
      <c r="IK15" s="268"/>
      <c r="IL15" s="268"/>
      <c r="IM15" s="268"/>
      <c r="IN15" s="268"/>
      <c r="IO15" s="268"/>
      <c r="IP15" s="268"/>
      <c r="IQ15" s="268"/>
      <c r="IR15" s="268"/>
      <c r="IS15" s="268"/>
      <c r="IT15" s="268"/>
      <c r="IU15" s="268"/>
      <c r="IV15" s="268"/>
      <c r="IW15" s="268"/>
    </row>
    <row r="16" spans="1:257" ht="2.25" customHeight="1" x14ac:dyDescent="0.2">
      <c r="D16" s="120"/>
      <c r="E16" s="94"/>
      <c r="F16" s="120"/>
      <c r="G16" s="120"/>
      <c r="H16" s="94"/>
      <c r="I16" s="94"/>
      <c r="J16" s="123"/>
      <c r="K16" s="123"/>
      <c r="L16" s="123"/>
      <c r="M16" s="117"/>
      <c r="N16" s="117"/>
      <c r="O16" s="284"/>
      <c r="P16" s="282"/>
      <c r="Q16" s="117"/>
      <c r="R16" s="117"/>
      <c r="S16" s="117"/>
      <c r="T16" s="117"/>
    </row>
    <row r="17" spans="1:262" x14ac:dyDescent="0.2">
      <c r="A17" s="124" t="s">
        <v>49</v>
      </c>
      <c r="E17" s="354"/>
      <c r="F17" s="354"/>
      <c r="G17" s="354"/>
      <c r="H17" s="124" t="s">
        <v>50</v>
      </c>
      <c r="I17" s="103"/>
      <c r="J17" s="354"/>
      <c r="K17" s="354"/>
      <c r="L17" s="354"/>
      <c r="M17" s="354"/>
      <c r="N17" s="354"/>
      <c r="O17" s="354"/>
      <c r="P17" s="113" t="s">
        <v>51</v>
      </c>
      <c r="Q17" s="355"/>
      <c r="R17" s="355"/>
      <c r="S17" s="355"/>
      <c r="T17" s="355"/>
    </row>
    <row r="18" spans="1:262" ht="5.0999999999999996" customHeight="1" x14ac:dyDescent="0.2">
      <c r="E18" s="125"/>
      <c r="F18" s="125"/>
      <c r="G18" s="126"/>
      <c r="K18" s="126"/>
      <c r="Q18" s="126"/>
      <c r="S18" s="126"/>
      <c r="T18" s="126"/>
    </row>
    <row r="19" spans="1:262" ht="7.5" customHeight="1" x14ac:dyDescent="0.2">
      <c r="A19" s="127"/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8"/>
      <c r="P19" s="129"/>
      <c r="Q19" s="128"/>
      <c r="R19" s="127"/>
      <c r="S19" s="127"/>
      <c r="T19" s="127"/>
    </row>
    <row r="20" spans="1:262" s="99" customFormat="1" ht="19.5" customHeight="1" x14ac:dyDescent="0.25">
      <c r="A20" s="106" t="str">
        <f>+IF(requisitos!I14=3,"VALOR ESTIMADO DEL INMUEBLE",IF(requisitos!I14=4,"VALOR ESTIMADO DEL INMUEBLE",IF(requisitos!I14=6,"VALOR ESTIMADO DEL INMUEBLE",IF(requisitos!I14=7,"VALOR ESTIMADO DEL INMUEBLE",IF(requisitos!I14=9,"V A L O R   P R O Y E C T O",IF(requisitos!I14=10,"V A L O R   P R O Y E C T O","P R E C I O   D E    C O M P R A V E N T A"))))))</f>
        <v>P R E C I O   D E    C O M P R A V E N T A</v>
      </c>
      <c r="B20" s="130"/>
      <c r="C20" s="124"/>
      <c r="H20" s="356"/>
      <c r="I20" s="356"/>
      <c r="J20" s="356"/>
      <c r="K20" s="359" t="str">
        <f>+IF(H20="","FALTA CAPTURAR COMPRAVENTA/VALOR ESTIMADO","")</f>
        <v>FALTA CAPTURAR COMPRAVENTA/VALOR ESTIMADO</v>
      </c>
      <c r="L20" s="360"/>
      <c r="M20" s="360"/>
      <c r="N20" s="361"/>
      <c r="O20" s="277" t="str">
        <f>+IF(requisitos!I14=3,"HONORARIOS",IF(requisitos!I14=4,"HONORARIOS","MONTO DEL ANTICIPO"))</f>
        <v>MONTO DEL ANTICIPO</v>
      </c>
      <c r="P20" s="117"/>
      <c r="Q20" s="287" t="str">
        <f>IF(H20=0,"",N15)</f>
        <v/>
      </c>
      <c r="R20" s="311"/>
      <c r="S20" s="311"/>
      <c r="T20" s="117"/>
      <c r="JB20" s="92"/>
    </row>
    <row r="21" spans="1:262" s="99" customFormat="1" ht="21.75" customHeight="1" x14ac:dyDescent="0.25">
      <c r="A21" s="357" t="str">
        <f>+IF(requisitos!I14=9,"PONER SUMA DEL VALOR TERRENO Y TOTAL DEL PRESUPUESTO",IF(requisitos!I14=10,"PONER SUMA DEL VALOR TERRENO Y TOTAL DEL PRESUPUESTO",""))</f>
        <v/>
      </c>
      <c r="B21" s="358"/>
      <c r="C21" s="358"/>
      <c r="D21" s="358"/>
      <c r="E21" s="358"/>
      <c r="F21" s="358"/>
      <c r="G21" s="358"/>
      <c r="H21" s="358"/>
      <c r="I21" s="358"/>
      <c r="J21" s="358"/>
      <c r="N21" s="288" t="s">
        <v>52</v>
      </c>
      <c r="O21" s="306"/>
      <c r="P21" s="306"/>
      <c r="Q21" s="306"/>
      <c r="R21" s="311"/>
      <c r="S21" s="311"/>
      <c r="T21" s="117"/>
    </row>
    <row r="22" spans="1:262" s="99" customFormat="1" ht="15" customHeight="1" x14ac:dyDescent="0.25">
      <c r="A22" s="345" t="str">
        <f>+IF(requisitos!I14=3,"PARA CREDITOS DE SUSTITUCIÓN  ES NECESARIO DEPOSITAR EL HONORARIO Y LOS VIATICOS TOTALES ANTES DE SOLICITAR EL AVALÚO.",IF(requisitos!I14=4,"PARA MEJORAS DE CONDICIONES ES NECESARIO DEPOSITAR LOS VIATICOS TOTALES JUNTO CON EL ANTICIPO ANTES DE SOLICITAR EL AVALÚO."," "))</f>
        <v xml:space="preserve"> 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190"/>
      <c r="M22" s="190"/>
      <c r="N22" s="347" t="s">
        <v>53</v>
      </c>
      <c r="O22" s="348"/>
      <c r="P22" s="348"/>
      <c r="Q22" s="348"/>
      <c r="R22" s="290"/>
      <c r="S22" s="290"/>
      <c r="T22" s="117"/>
    </row>
    <row r="23" spans="1:262" s="99" customFormat="1" ht="15" customHeight="1" x14ac:dyDescent="0.2">
      <c r="A23" s="346"/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9" t="s">
        <v>54</v>
      </c>
      <c r="M23" s="350"/>
      <c r="N23" s="289" t="s">
        <v>55</v>
      </c>
      <c r="O23" s="351" t="s">
        <v>56</v>
      </c>
      <c r="P23" s="352"/>
      <c r="Q23" s="352"/>
      <c r="R23" s="352"/>
      <c r="S23" s="352"/>
      <c r="T23" s="352"/>
    </row>
    <row r="24" spans="1:262" s="99" customFormat="1" ht="15" customHeight="1" x14ac:dyDescent="0.25">
      <c r="A24" s="346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190"/>
      <c r="M24" s="190"/>
      <c r="N24" s="307"/>
      <c r="O24" s="353">
        <f>+G52</f>
        <v>0</v>
      </c>
      <c r="P24" s="353"/>
      <c r="Q24" s="353"/>
      <c r="R24" s="353"/>
      <c r="S24" s="353"/>
      <c r="T24" s="353"/>
    </row>
    <row r="25" spans="1:262" s="99" customFormat="1" ht="5.25" customHeight="1" x14ac:dyDescent="0.2">
      <c r="E25" s="93"/>
      <c r="F25" s="93"/>
      <c r="I25" s="332"/>
      <c r="J25" s="332"/>
      <c r="K25" s="332"/>
      <c r="L25" s="332"/>
      <c r="M25" s="332"/>
      <c r="N25" s="333"/>
      <c r="O25" s="135"/>
      <c r="P25" s="135"/>
      <c r="Q25" s="136"/>
      <c r="R25" s="135"/>
      <c r="S25" s="135"/>
      <c r="T25" s="135"/>
    </row>
    <row r="26" spans="1:262" s="99" customFormat="1" x14ac:dyDescent="0.2">
      <c r="A26" s="137" t="s">
        <v>57</v>
      </c>
      <c r="E26" s="93"/>
      <c r="F26" s="118"/>
      <c r="H26" s="138"/>
      <c r="I26" s="332"/>
      <c r="J26" s="332"/>
      <c r="K26" s="332"/>
      <c r="L26" s="332"/>
      <c r="M26" s="332"/>
      <c r="N26" s="332"/>
      <c r="O26" s="139"/>
      <c r="P26" s="139"/>
      <c r="Q26" s="140"/>
      <c r="R26" s="135"/>
      <c r="S26" s="135"/>
      <c r="T26" s="135"/>
    </row>
    <row r="27" spans="1:262" s="99" customFormat="1" ht="14.25" customHeight="1" x14ac:dyDescent="0.2">
      <c r="A27" s="106"/>
      <c r="B27" s="141"/>
      <c r="D27" s="124"/>
      <c r="E27" s="124"/>
      <c r="F27" s="124"/>
      <c r="G27" s="124"/>
      <c r="I27" s="135"/>
      <c r="J27" s="142"/>
      <c r="K27" s="135"/>
      <c r="L27" s="334" t="str">
        <f>+IF(requisitos!I14=9,"PARA CREDITO DE CONSTRUCCION DEBE SEÑALAR LA OPCION TERRENO",IF(requisitos!I14=10,"PARA CREDITO DE CONSTRUCCIÓN Y ADQ. TERRENO DEBE SEÑALAR EN TIPO DE BIEN A VALUAR LA OPCION TERRENO.",""))</f>
        <v/>
      </c>
      <c r="M27" s="335"/>
      <c r="N27" s="335"/>
      <c r="O27" s="335"/>
      <c r="P27" s="335"/>
      <c r="Q27" s="335"/>
      <c r="R27" s="335"/>
      <c r="S27" s="335"/>
      <c r="T27" s="335"/>
    </row>
    <row r="28" spans="1:262" s="99" customFormat="1" ht="12.75" customHeight="1" x14ac:dyDescent="0.2">
      <c r="A28" s="106"/>
      <c r="B28" s="141"/>
      <c r="D28" s="124"/>
      <c r="E28" s="124"/>
      <c r="F28" s="124"/>
      <c r="G28" s="124"/>
      <c r="I28" s="135"/>
      <c r="J28" s="142"/>
      <c r="K28" s="135"/>
      <c r="L28" s="335"/>
      <c r="M28" s="335"/>
      <c r="N28" s="335"/>
      <c r="O28" s="335"/>
      <c r="P28" s="335"/>
      <c r="Q28" s="335"/>
      <c r="R28" s="335"/>
      <c r="S28" s="335"/>
      <c r="T28" s="335"/>
    </row>
    <row r="29" spans="1:262" s="99" customFormat="1" ht="6.75" customHeight="1" x14ac:dyDescent="0.2">
      <c r="I29" s="135"/>
      <c r="J29" s="135"/>
      <c r="K29" s="135"/>
      <c r="L29" s="336"/>
      <c r="M29" s="336"/>
      <c r="N29" s="336"/>
      <c r="O29" s="336"/>
      <c r="P29" s="336"/>
      <c r="Q29" s="336"/>
      <c r="R29" s="336"/>
      <c r="S29" s="336"/>
      <c r="T29" s="336"/>
    </row>
    <row r="30" spans="1:262" ht="5.0999999999999996" customHeight="1" x14ac:dyDescent="0.2">
      <c r="A30" s="127"/>
      <c r="B30" s="127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8"/>
      <c r="P30" s="129"/>
      <c r="Q30" s="128"/>
      <c r="R30" s="127"/>
      <c r="S30" s="127"/>
      <c r="T30" s="127"/>
      <c r="V30" s="1"/>
    </row>
    <row r="31" spans="1:262" x14ac:dyDescent="0.2">
      <c r="A31" s="106" t="s">
        <v>58</v>
      </c>
      <c r="D31" s="94"/>
      <c r="E31" s="120"/>
      <c r="F31" s="120"/>
      <c r="G31" s="94"/>
      <c r="H31" s="94"/>
      <c r="I31" s="94"/>
      <c r="J31" s="94"/>
      <c r="K31" s="94"/>
      <c r="L31" s="94"/>
      <c r="M31" s="106" t="s">
        <v>59</v>
      </c>
      <c r="O31" s="94"/>
      <c r="P31" s="94"/>
      <c r="Q31" s="94"/>
      <c r="U31" s="1"/>
      <c r="V31" s="1"/>
    </row>
    <row r="32" spans="1:262" ht="16.5" customHeight="1" x14ac:dyDescent="0.2">
      <c r="A32" s="99" t="s">
        <v>60</v>
      </c>
      <c r="G32" s="124" t="str">
        <f>IF(ISERROR(INDEX(requisitos!AF2:AF7,requisitos!AE2)),"",(INDEX(requisitos!AF2:AF7,requisitos!AE2)))</f>
        <v>CASA SOLA</v>
      </c>
      <c r="M32" s="143" t="s">
        <v>61</v>
      </c>
      <c r="N32" s="93"/>
      <c r="U32" s="1"/>
      <c r="V32" s="1"/>
    </row>
    <row r="33" spans="1:22" x14ac:dyDescent="0.2">
      <c r="A33" s="99" t="s">
        <v>62</v>
      </c>
      <c r="G33" s="144"/>
      <c r="J33" s="297"/>
      <c r="M33" s="143" t="s">
        <v>63</v>
      </c>
      <c r="O33" s="145"/>
      <c r="P33" s="145"/>
      <c r="Q33" s="145"/>
      <c r="U33" s="1"/>
      <c r="V33" s="1"/>
    </row>
    <row r="34" spans="1:22" ht="16.5" customHeight="1" x14ac:dyDescent="0.2">
      <c r="A34" s="99" t="s">
        <v>260</v>
      </c>
      <c r="G34" s="146"/>
      <c r="I34" s="99" t="s">
        <v>261</v>
      </c>
      <c r="J34" s="144"/>
      <c r="M34" s="143" t="s">
        <v>65</v>
      </c>
      <c r="O34" s="145"/>
      <c r="P34" s="138" t="str">
        <f>+IF(requisitos!I14=9,requisitos!H27,IF(requisitos!I14=10,requisitos!H27,""))</f>
        <v/>
      </c>
      <c r="Q34" s="145"/>
      <c r="S34" s="113"/>
      <c r="T34" s="147"/>
      <c r="U34" s="1"/>
      <c r="V34" s="1"/>
    </row>
    <row r="35" spans="1:22" ht="16.5" customHeight="1" x14ac:dyDescent="0.2">
      <c r="A35" s="99" t="s">
        <v>66</v>
      </c>
      <c r="G35" s="146"/>
      <c r="M35" s="143" t="s">
        <v>68</v>
      </c>
      <c r="O35" s="145"/>
      <c r="P35" s="145"/>
      <c r="Q35" s="145"/>
      <c r="U35" s="1"/>
      <c r="V35" s="1"/>
    </row>
    <row r="36" spans="1:22" ht="16.5" customHeight="1" x14ac:dyDescent="0.2">
      <c r="A36" s="148" t="s">
        <v>67</v>
      </c>
      <c r="B36" s="149"/>
      <c r="G36" s="159"/>
      <c r="O36" s="145"/>
      <c r="P36" s="145"/>
      <c r="Q36" s="145"/>
      <c r="U36" s="1"/>
      <c r="V36" s="1"/>
    </row>
    <row r="37" spans="1:22" ht="15" customHeight="1" x14ac:dyDescent="0.2">
      <c r="A37" s="99" t="s">
        <v>69</v>
      </c>
      <c r="G37" s="146"/>
      <c r="M37" s="143" t="str">
        <f>+IF(requisitos!I14=9,requisitos!H28,IF(requisitos!I14=10,requisitos!H28,""))</f>
        <v/>
      </c>
      <c r="O37" s="145"/>
      <c r="P37" s="145"/>
      <c r="Q37" s="145"/>
      <c r="U37" s="1"/>
      <c r="V37" s="1"/>
    </row>
    <row r="38" spans="1:22" ht="15" customHeight="1" x14ac:dyDescent="0.2">
      <c r="A38" s="99" t="s">
        <v>70</v>
      </c>
      <c r="G38" s="146"/>
      <c r="M38" s="143" t="str">
        <f>IF(requisitos!AE2=2,requisitos!G27,IF(requisitos!AE2=3,requisitos!G27,""))</f>
        <v/>
      </c>
      <c r="O38" s="145"/>
      <c r="P38" s="145"/>
      <c r="Q38" s="145"/>
      <c r="U38" s="1"/>
      <c r="V38" s="1"/>
    </row>
    <row r="39" spans="1:22" ht="15" customHeight="1" x14ac:dyDescent="0.2">
      <c r="A39" s="99" t="s">
        <v>71</v>
      </c>
      <c r="G39" s="150"/>
      <c r="M39" s="143" t="str">
        <f>IF(requisitos!AE2=2,requisitos!G28,IF(requisitos!AE2=3,requisitos!G28,""))</f>
        <v/>
      </c>
      <c r="O39" s="145"/>
      <c r="P39" s="145"/>
      <c r="Q39" s="145"/>
      <c r="U39" s="1"/>
      <c r="V39" s="1"/>
    </row>
    <row r="40" spans="1:22" x14ac:dyDescent="0.2">
      <c r="A40" s="99" t="s">
        <v>72</v>
      </c>
      <c r="G40" s="146"/>
      <c r="M40" s="337" t="str">
        <f>+IF(requisitos!AE2=2,"VIVIENDA NUEVA EN CONDOMINIO SE RECOMIENDA ANEXAR CONTRATO DE COMPRAVENTA.",IF(requisitos!AE2=3,"VIVIENDA NUEVA EN CONDOMINIO SE RECOMIENDA ANEXAR CONTRATO DE COMPRAVENTA.",""))</f>
        <v/>
      </c>
      <c r="N40" s="338"/>
      <c r="O40" s="338"/>
      <c r="P40" s="338"/>
      <c r="Q40" s="338"/>
      <c r="R40" s="338"/>
      <c r="S40" s="338"/>
      <c r="T40" s="338"/>
      <c r="U40" s="1"/>
      <c r="V40" s="1"/>
    </row>
    <row r="41" spans="1:22" x14ac:dyDescent="0.2">
      <c r="A41" s="99" t="s">
        <v>73</v>
      </c>
      <c r="G41" s="146"/>
      <c r="M41" s="338"/>
      <c r="N41" s="338"/>
      <c r="O41" s="338"/>
      <c r="P41" s="338"/>
      <c r="Q41" s="338"/>
      <c r="R41" s="338"/>
      <c r="S41" s="338"/>
      <c r="T41" s="338"/>
      <c r="U41" s="1"/>
      <c r="V41" s="1"/>
    </row>
    <row r="42" spans="1:22" x14ac:dyDescent="0.2">
      <c r="A42" s="99"/>
      <c r="G42" s="151"/>
      <c r="M42" s="99"/>
      <c r="O42" s="138"/>
      <c r="P42" s="138"/>
      <c r="Q42" s="138"/>
      <c r="U42" s="1"/>
      <c r="V42" s="1"/>
    </row>
    <row r="43" spans="1:22" ht="12.75" customHeight="1" x14ac:dyDescent="0.2">
      <c r="E43" s="102"/>
      <c r="F43" s="102"/>
      <c r="M43" s="99"/>
    </row>
    <row r="44" spans="1:22" ht="2.25" customHeight="1" x14ac:dyDescent="0.2">
      <c r="E44" s="102"/>
      <c r="F44" s="102"/>
      <c r="M44" s="152"/>
      <c r="N44" s="153"/>
      <c r="O44" s="153"/>
      <c r="P44" s="153"/>
      <c r="Q44" s="153"/>
      <c r="R44" s="153"/>
      <c r="S44" s="153"/>
      <c r="T44" s="153"/>
    </row>
    <row r="45" spans="1:22" ht="12.6" customHeight="1" x14ac:dyDescent="0.2">
      <c r="A45" s="106" t="s">
        <v>74</v>
      </c>
      <c r="C45" s="137"/>
      <c r="D45" s="137"/>
      <c r="E45" s="137"/>
      <c r="F45" s="137"/>
      <c r="G45" s="57"/>
      <c r="H45" s="93"/>
      <c r="L45" s="94"/>
      <c r="M45" s="153"/>
      <c r="N45" s="153"/>
      <c r="O45" s="153"/>
      <c r="P45" s="153"/>
      <c r="Q45" s="153"/>
      <c r="R45" s="153"/>
      <c r="S45" s="153"/>
      <c r="T45" s="153"/>
    </row>
    <row r="46" spans="1:22" ht="12.6" customHeight="1" x14ac:dyDescent="0.2">
      <c r="A46" s="124" t="s">
        <v>49</v>
      </c>
      <c r="E46" s="92"/>
      <c r="F46" s="339"/>
      <c r="G46" s="339"/>
      <c r="H46" s="339"/>
      <c r="I46" s="339"/>
      <c r="J46" s="339"/>
      <c r="M46" s="113" t="s">
        <v>75</v>
      </c>
      <c r="N46" s="154"/>
      <c r="O46" s="113" t="s">
        <v>76</v>
      </c>
      <c r="P46" s="155"/>
      <c r="Q46" s="154"/>
      <c r="R46" s="155"/>
      <c r="S46" s="155"/>
    </row>
    <row r="47" spans="1:22" ht="5.0999999999999996" customHeight="1" x14ac:dyDescent="0.2">
      <c r="A47" s="124"/>
      <c r="E47" s="92"/>
      <c r="F47" s="155"/>
      <c r="G47" s="155"/>
      <c r="H47" s="155"/>
      <c r="M47" s="113"/>
      <c r="N47" s="155"/>
      <c r="O47" s="155"/>
      <c r="Q47" s="113"/>
      <c r="R47" s="155"/>
      <c r="S47" s="155"/>
      <c r="T47" s="155"/>
      <c r="U47" s="155"/>
    </row>
    <row r="48" spans="1:22" ht="5.25" customHeight="1" x14ac:dyDescent="0.2">
      <c r="A48" s="124"/>
      <c r="E48" s="92"/>
      <c r="G48" s="103"/>
      <c r="H48" s="155"/>
      <c r="I48" s="155"/>
      <c r="J48" s="155"/>
      <c r="L48" s="156"/>
      <c r="M48" s="155"/>
      <c r="N48" s="155"/>
      <c r="Q48" s="113"/>
      <c r="R48" s="102"/>
    </row>
    <row r="49" spans="1:256" ht="5.0999999999999996" customHeight="1" x14ac:dyDescent="0.2">
      <c r="E49" s="92"/>
      <c r="F49" s="92"/>
    </row>
    <row r="50" spans="1:256" ht="5.0999999999999996" customHeight="1" x14ac:dyDescent="0.2">
      <c r="A50" s="127"/>
      <c r="B50" s="127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</row>
    <row r="51" spans="1:256" ht="12.75" customHeight="1" x14ac:dyDescent="0.2">
      <c r="A51" s="106" t="s">
        <v>77</v>
      </c>
      <c r="D51" s="94"/>
      <c r="E51" s="120"/>
      <c r="F51" s="120"/>
      <c r="G51" s="94"/>
      <c r="H51" s="94"/>
      <c r="I51" s="94"/>
      <c r="J51" s="106" t="s">
        <v>78</v>
      </c>
      <c r="L51" s="94"/>
      <c r="M51" s="106"/>
      <c r="O51" s="94"/>
      <c r="P51" s="94"/>
      <c r="Q51" s="94"/>
      <c r="R51" s="94"/>
    </row>
    <row r="52" spans="1:256" s="117" customFormat="1" ht="15" x14ac:dyDescent="0.25">
      <c r="A52" s="124" t="s">
        <v>49</v>
      </c>
      <c r="B52" s="157"/>
      <c r="C52" s="158"/>
      <c r="D52" s="158"/>
      <c r="E52" s="157"/>
      <c r="F52" s="92"/>
      <c r="G52" s="159"/>
      <c r="H52" s="92"/>
      <c r="I52" s="92"/>
      <c r="J52" s="300" t="s">
        <v>49</v>
      </c>
      <c r="K52" s="157"/>
      <c r="L52" s="92"/>
      <c r="M52" s="341"/>
      <c r="N52" s="342"/>
      <c r="O52" s="342"/>
      <c r="P52" s="92"/>
      <c r="Q52" s="92"/>
      <c r="R52" s="92"/>
      <c r="S52" s="92"/>
      <c r="T52" s="92"/>
    </row>
    <row r="53" spans="1:256" s="117" customFormat="1" ht="15" x14ac:dyDescent="0.25">
      <c r="A53" s="124" t="str">
        <f>IF(OR(requisitos!$I$14=8,requisitos!$I$14=2),"NUMERO DE SEGURIDAD SOCIAL (NSS)","")</f>
        <v/>
      </c>
      <c r="B53" s="157"/>
      <c r="C53" s="158"/>
      <c r="D53" s="158"/>
      <c r="E53" s="157"/>
      <c r="F53" s="92"/>
      <c r="G53" s="160"/>
      <c r="H53" s="92"/>
      <c r="I53" s="92"/>
      <c r="J53" s="300" t="str">
        <f>IF(OR(requisitos!$I$14=8,requisitos!$I$14=2),"NUMERO DE SEGURIDAD SOCIAL (NSS)","")</f>
        <v/>
      </c>
      <c r="K53" s="157"/>
      <c r="L53" s="92"/>
      <c r="M53" s="99"/>
      <c r="N53" s="343"/>
      <c r="O53" s="344"/>
      <c r="P53" s="124"/>
      <c r="Q53" s="92"/>
      <c r="R53" s="92"/>
      <c r="S53" s="92"/>
      <c r="T53" s="92"/>
    </row>
    <row r="54" spans="1:256" s="117" customFormat="1" ht="15" x14ac:dyDescent="0.25">
      <c r="A54" s="124" t="str">
        <f>IF(OR(requisitos!$I$14=8,requisitos!$I$14=2),"R.F.C","")</f>
        <v/>
      </c>
      <c r="B54" s="157"/>
      <c r="C54" s="158"/>
      <c r="D54" s="158"/>
      <c r="E54" s="157"/>
      <c r="F54" s="92"/>
      <c r="G54" s="146"/>
      <c r="H54" s="92"/>
      <c r="I54" s="124"/>
      <c r="J54" s="300" t="str">
        <f>IF(OR(requisitos!$I$14=8,requisitos!$I$14=2),"R.F.C","")</f>
        <v/>
      </c>
      <c r="K54" s="157"/>
      <c r="L54" s="92"/>
      <c r="M54" s="341"/>
      <c r="N54" s="342"/>
      <c r="O54" s="342"/>
      <c r="P54" s="92"/>
      <c r="Q54" s="92"/>
      <c r="R54" s="92"/>
      <c r="S54" s="92"/>
      <c r="T54" s="92"/>
    </row>
    <row r="55" spans="1:256" s="117" customFormat="1" ht="15" x14ac:dyDescent="0.25">
      <c r="A55" s="124" t="str">
        <f>IF(OR(requisitos!$I$14=8,requisitos!$I$14=2),"CURP","")</f>
        <v/>
      </c>
      <c r="B55" s="157"/>
      <c r="C55" s="158"/>
      <c r="D55" s="158"/>
      <c r="E55" s="157"/>
      <c r="F55" s="92"/>
      <c r="G55" s="146"/>
      <c r="H55" s="92"/>
      <c r="I55" s="124"/>
      <c r="J55" s="300" t="str">
        <f>IF(OR(requisitos!$I$14=8,requisitos!$I$14=2),"CURP","")</f>
        <v/>
      </c>
      <c r="K55" s="157"/>
      <c r="L55" s="92"/>
      <c r="M55" s="343"/>
      <c r="N55" s="344"/>
      <c r="O55" s="344"/>
      <c r="P55" s="161"/>
      <c r="Q55" s="161"/>
      <c r="R55" s="92"/>
      <c r="S55" s="162"/>
      <c r="T55" s="162"/>
      <c r="U55" s="117">
        <f>+IF(requisitos!AE2=1,1,"")</f>
        <v>1</v>
      </c>
      <c r="V55" s="117" t="str">
        <f>+IF(requisitos!AF2=1,1,"")</f>
        <v/>
      </c>
      <c r="W55" s="117" t="str">
        <f>+IF(requisitos!AG2=1,1,"")</f>
        <v/>
      </c>
      <c r="X55" s="117" t="str">
        <f>+IF(requisitos!AH2=1,1,"")</f>
        <v/>
      </c>
      <c r="Y55" s="117" t="str">
        <f>+IF(requisitos!AI2=1,1,"")</f>
        <v/>
      </c>
      <c r="Z55" s="117" t="str">
        <f>+IF(requisitos!AJ2=1,1,"")</f>
        <v/>
      </c>
      <c r="AA55" s="117" t="str">
        <f>+IF(requisitos!AK2=1,1,"")</f>
        <v/>
      </c>
      <c r="AB55" s="117" t="str">
        <f>+IF(requisitos!AL2=1,1,"")</f>
        <v/>
      </c>
      <c r="AC55" s="117" t="str">
        <f>+IF(requisitos!AM2=1,1,"")</f>
        <v/>
      </c>
      <c r="AD55" s="117" t="str">
        <f>+IF(requisitos!AN2=1,1,"")</f>
        <v/>
      </c>
      <c r="AE55" s="117" t="str">
        <f>+IF(requisitos!AO2=1,1,"")</f>
        <v/>
      </c>
      <c r="AF55" s="117" t="str">
        <f>+IF(requisitos!AP2=1,1,"")</f>
        <v/>
      </c>
      <c r="AG55" s="117" t="str">
        <f>+IF(requisitos!AQ2=1,1,"")</f>
        <v/>
      </c>
      <c r="AH55" s="117" t="str">
        <f>+IF(requisitos!AR2=1,1,"")</f>
        <v/>
      </c>
      <c r="AI55" s="117" t="str">
        <f>+IF(requisitos!AS2=1,1,"")</f>
        <v/>
      </c>
      <c r="AJ55" s="117" t="str">
        <f>+IF(requisitos!AT2=1,1,"")</f>
        <v/>
      </c>
      <c r="AK55" s="117" t="str">
        <f>+IF(requisitos!AU2=1,1,"")</f>
        <v/>
      </c>
      <c r="AL55" s="117" t="str">
        <f>+IF(requisitos!AV2=1,1,"")</f>
        <v/>
      </c>
      <c r="AM55" s="117" t="str">
        <f>+IF(requisitos!AW2=1,1,"")</f>
        <v/>
      </c>
      <c r="AN55" s="117" t="str">
        <f>+IF(requisitos!AX2=1,1,"")</f>
        <v/>
      </c>
      <c r="AO55" s="117" t="str">
        <f>+IF(requisitos!AY2=1,1,"")</f>
        <v/>
      </c>
      <c r="AP55" s="117" t="str">
        <f>+IF(requisitos!AZ2=1,1,"")</f>
        <v/>
      </c>
      <c r="AQ55" s="117" t="str">
        <f>+IF(requisitos!BA2=1,1,"")</f>
        <v/>
      </c>
      <c r="AR55" s="117" t="str">
        <f>+IF(requisitos!BB2=1,1,"")</f>
        <v/>
      </c>
      <c r="AS55" s="117" t="str">
        <f>+IF(requisitos!BC2=1,1,"")</f>
        <v/>
      </c>
      <c r="AT55" s="117" t="str">
        <f>+IF(requisitos!BD2=1,1,"")</f>
        <v/>
      </c>
      <c r="AU55" s="117" t="str">
        <f>+IF(requisitos!BE2=1,1,"")</f>
        <v/>
      </c>
      <c r="AV55" s="117" t="str">
        <f>+IF(requisitos!BF2=1,1,"")</f>
        <v/>
      </c>
      <c r="AW55" s="117" t="str">
        <f>+IF(requisitos!BG2=1,1,"")</f>
        <v/>
      </c>
      <c r="AX55" s="117" t="str">
        <f>+IF(requisitos!BH2=1,1,"")</f>
        <v/>
      </c>
      <c r="AY55" s="117" t="str">
        <f>+IF(requisitos!BI2=1,1,"")</f>
        <v/>
      </c>
      <c r="AZ55" s="117" t="str">
        <f>+IF(requisitos!BJ2=1,1,"")</f>
        <v/>
      </c>
      <c r="BA55" s="117" t="str">
        <f>+IF(requisitos!BK2=1,1,"")</f>
        <v/>
      </c>
      <c r="BB55" s="117" t="str">
        <f>+IF(requisitos!BL2=1,1,"")</f>
        <v/>
      </c>
      <c r="BC55" s="117" t="str">
        <f>+IF(requisitos!BM2=1,1,"")</f>
        <v/>
      </c>
      <c r="BD55" s="117" t="str">
        <f>+IF(requisitos!BN2=1,1,"")</f>
        <v/>
      </c>
      <c r="BE55" s="117" t="str">
        <f>+IF(requisitos!BO2=1,1,"")</f>
        <v/>
      </c>
      <c r="BF55" s="117" t="str">
        <f>+IF(requisitos!BP2=1,1,"")</f>
        <v/>
      </c>
      <c r="BG55" s="117" t="str">
        <f>+IF(requisitos!BQ2=1,1,"")</f>
        <v/>
      </c>
      <c r="BH55" s="117" t="str">
        <f>+IF(requisitos!BR2=1,1,"")</f>
        <v/>
      </c>
      <c r="BI55" s="117" t="str">
        <f>+IF(requisitos!BS2=1,1,"")</f>
        <v/>
      </c>
      <c r="BJ55" s="117" t="str">
        <f>+IF(requisitos!BT2=1,1,"")</f>
        <v/>
      </c>
      <c r="BK55" s="117" t="str">
        <f>+IF(requisitos!BU2=1,1,"")</f>
        <v/>
      </c>
      <c r="BL55" s="117" t="str">
        <f>+IF(requisitos!BV2=1,1,"")</f>
        <v/>
      </c>
      <c r="BM55" s="117" t="str">
        <f>+IF(requisitos!BW2=1,1,"")</f>
        <v/>
      </c>
      <c r="BN55" s="117" t="str">
        <f>+IF(requisitos!BX2=1,1,"")</f>
        <v/>
      </c>
      <c r="BO55" s="117" t="str">
        <f>+IF(requisitos!BY2=1,1,"")</f>
        <v/>
      </c>
      <c r="BP55" s="117" t="str">
        <f>+IF(requisitos!BZ2=1,1,"")</f>
        <v/>
      </c>
      <c r="BQ55" s="117" t="str">
        <f>+IF(requisitos!CA2=1,1,"")</f>
        <v/>
      </c>
      <c r="BR55" s="117" t="str">
        <f>+IF(requisitos!CB2=1,1,"")</f>
        <v/>
      </c>
      <c r="BS55" s="117" t="str">
        <f>+IF(requisitos!CC2=1,1,"")</f>
        <v/>
      </c>
      <c r="BT55" s="117" t="str">
        <f>+IF(requisitos!CD2=1,1,"")</f>
        <v/>
      </c>
      <c r="BU55" s="117" t="str">
        <f>+IF(requisitos!CE2=1,1,"")</f>
        <v/>
      </c>
      <c r="BV55" s="117" t="str">
        <f>+IF(requisitos!CF2=1,1,"")</f>
        <v/>
      </c>
      <c r="BW55" s="117" t="str">
        <f>+IF(requisitos!CG2=1,1,"")</f>
        <v/>
      </c>
      <c r="BX55" s="117" t="str">
        <f>+IF(requisitos!CH2=1,1,"")</f>
        <v/>
      </c>
      <c r="BY55" s="117" t="str">
        <f>+IF(requisitos!CI2=1,1,"")</f>
        <v/>
      </c>
      <c r="BZ55" s="117" t="str">
        <f>+IF(requisitos!CJ2=1,1,"")</f>
        <v/>
      </c>
      <c r="CA55" s="117" t="str">
        <f>+IF(requisitos!CK2=1,1,"")</f>
        <v/>
      </c>
      <c r="CB55" s="117" t="str">
        <f>+IF(requisitos!CL2=1,1,"")</f>
        <v/>
      </c>
      <c r="CC55" s="117" t="str">
        <f>+IF(requisitos!CM2=1,1,"")</f>
        <v/>
      </c>
      <c r="CD55" s="117" t="str">
        <f>+IF(requisitos!CN2=1,1,"")</f>
        <v/>
      </c>
      <c r="CE55" s="117" t="str">
        <f>+IF(requisitos!CO2=1,1,"")</f>
        <v/>
      </c>
      <c r="CF55" s="117" t="str">
        <f>+IF(requisitos!CP2=1,1,"")</f>
        <v/>
      </c>
      <c r="CG55" s="117" t="str">
        <f>+IF(requisitos!CQ2=1,1,"")</f>
        <v/>
      </c>
      <c r="CH55" s="117" t="str">
        <f>+IF(requisitos!CR2=1,1,"")</f>
        <v/>
      </c>
      <c r="CI55" s="117" t="str">
        <f>+IF(requisitos!CS2=1,1,"")</f>
        <v/>
      </c>
      <c r="CJ55" s="117" t="str">
        <f>+IF(requisitos!CT2=1,1,"")</f>
        <v/>
      </c>
      <c r="CK55" s="117" t="str">
        <f>+IF(requisitos!CU2=1,1,"")</f>
        <v/>
      </c>
      <c r="CL55" s="117" t="str">
        <f>+IF(requisitos!CV2=1,1,"")</f>
        <v/>
      </c>
      <c r="CM55" s="117" t="str">
        <f>+IF(requisitos!CW2=1,1,"")</f>
        <v/>
      </c>
      <c r="CN55" s="117" t="str">
        <f>+IF(requisitos!CX2=1,1,"")</f>
        <v/>
      </c>
      <c r="CO55" s="117" t="str">
        <f>+IF(requisitos!CY2=1,1,"")</f>
        <v/>
      </c>
      <c r="CP55" s="117" t="str">
        <f>+IF(requisitos!CZ2=1,1,"")</f>
        <v/>
      </c>
      <c r="CQ55" s="117" t="str">
        <f>+IF(requisitos!DA2=1,1,"")</f>
        <v/>
      </c>
      <c r="CR55" s="117" t="str">
        <f>+IF(requisitos!DB2=1,1,"")</f>
        <v/>
      </c>
      <c r="CS55" s="117" t="str">
        <f>+IF(requisitos!DC2=1,1,"")</f>
        <v/>
      </c>
      <c r="CT55" s="117" t="str">
        <f>+IF(requisitos!DD2=1,1,"")</f>
        <v/>
      </c>
      <c r="CU55" s="117" t="str">
        <f>+IF(requisitos!DE2=1,1,"")</f>
        <v/>
      </c>
      <c r="CV55" s="117" t="str">
        <f>+IF(requisitos!DF2=1,1,"")</f>
        <v/>
      </c>
      <c r="CW55" s="117" t="str">
        <f>+IF(requisitos!DG2=1,1,"")</f>
        <v/>
      </c>
      <c r="CX55" s="117" t="str">
        <f>+IF(requisitos!DH2=1,1,"")</f>
        <v/>
      </c>
      <c r="CY55" s="117" t="str">
        <f>+IF(requisitos!DI2=1,1,"")</f>
        <v/>
      </c>
      <c r="CZ55" s="117" t="str">
        <f>+IF(requisitos!DJ2=1,1,"")</f>
        <v/>
      </c>
      <c r="DA55" s="117" t="str">
        <f>+IF(requisitos!DK2=1,1,"")</f>
        <v/>
      </c>
      <c r="DB55" s="117" t="str">
        <f>+IF(requisitos!DL2=1,1,"")</f>
        <v/>
      </c>
      <c r="DC55" s="117" t="str">
        <f>+IF(requisitos!DM2=1,1,"")</f>
        <v/>
      </c>
      <c r="DD55" s="117" t="str">
        <f>+IF(requisitos!DN2=1,1,"")</f>
        <v/>
      </c>
      <c r="DE55" s="117" t="str">
        <f>+IF(requisitos!DO2=1,1,"")</f>
        <v/>
      </c>
      <c r="DF55" s="117" t="str">
        <f>+IF(requisitos!DP2=1,1,"")</f>
        <v/>
      </c>
      <c r="DG55" s="117" t="str">
        <f>+IF(requisitos!DQ2=1,1,"")</f>
        <v/>
      </c>
      <c r="DH55" s="117" t="str">
        <f>+IF(requisitos!DR2=1,1,"")</f>
        <v/>
      </c>
      <c r="DI55" s="117" t="str">
        <f>+IF(requisitos!DS2=1,1,"")</f>
        <v/>
      </c>
      <c r="DJ55" s="117" t="str">
        <f>+IF(requisitos!DT2=1,1,"")</f>
        <v/>
      </c>
      <c r="DK55" s="117" t="str">
        <f>+IF(requisitos!DU2=1,1,"")</f>
        <v/>
      </c>
      <c r="DL55" s="117" t="str">
        <f>+IF(requisitos!DV2=1,1,"")</f>
        <v/>
      </c>
      <c r="DM55" s="117" t="str">
        <f>+IF(requisitos!DW2=1,1,"")</f>
        <v/>
      </c>
      <c r="DN55" s="117" t="str">
        <f>+IF(requisitos!DX2=1,1,"")</f>
        <v/>
      </c>
      <c r="DO55" s="117" t="str">
        <f>+IF(requisitos!DY2=1,1,"")</f>
        <v/>
      </c>
      <c r="DP55" s="117" t="str">
        <f>+IF(requisitos!DZ2=1,1,"")</f>
        <v/>
      </c>
      <c r="DQ55" s="117" t="str">
        <f>+IF(requisitos!EA2=1,1,"")</f>
        <v/>
      </c>
      <c r="DR55" s="117" t="str">
        <f>+IF(requisitos!EB2=1,1,"")</f>
        <v/>
      </c>
      <c r="DS55" s="117" t="str">
        <f>+IF(requisitos!EC2=1,1,"")</f>
        <v/>
      </c>
      <c r="DT55" s="117" t="str">
        <f>+IF(requisitos!ED2=1,1,"")</f>
        <v/>
      </c>
      <c r="DU55" s="117" t="str">
        <f>+IF(requisitos!EE2=1,1,"")</f>
        <v/>
      </c>
      <c r="DV55" s="117" t="str">
        <f>+IF(requisitos!EF2=1,1,"")</f>
        <v/>
      </c>
      <c r="DW55" s="117" t="str">
        <f>+IF(requisitos!EG2=1,1,"")</f>
        <v/>
      </c>
      <c r="DX55" s="117" t="str">
        <f>+IF(requisitos!EH2=1,1,"")</f>
        <v/>
      </c>
      <c r="DY55" s="117" t="str">
        <f>+IF(requisitos!EI2=1,1,"")</f>
        <v/>
      </c>
      <c r="DZ55" s="117" t="str">
        <f>+IF(requisitos!EJ2=1,1,"")</f>
        <v/>
      </c>
      <c r="EA55" s="117" t="str">
        <f>+IF(requisitos!EK2=1,1,"")</f>
        <v/>
      </c>
      <c r="EB55" s="117" t="str">
        <f>+IF(requisitos!EL2=1,1,"")</f>
        <v/>
      </c>
      <c r="EC55" s="117" t="str">
        <f>+IF(requisitos!EM2=1,1,"")</f>
        <v/>
      </c>
      <c r="ED55" s="117" t="str">
        <f>+IF(requisitos!EN2=1,1,"")</f>
        <v/>
      </c>
      <c r="EE55" s="117" t="str">
        <f>+IF(requisitos!EO2=1,1,"")</f>
        <v/>
      </c>
      <c r="EF55" s="117" t="str">
        <f>+IF(requisitos!EP2=1,1,"")</f>
        <v/>
      </c>
      <c r="EG55" s="117" t="str">
        <f>+IF(requisitos!EQ2=1,1,"")</f>
        <v/>
      </c>
      <c r="EH55" s="117" t="str">
        <f>+IF(requisitos!ER2=1,1,"")</f>
        <v/>
      </c>
      <c r="EI55" s="117" t="str">
        <f>+IF(requisitos!ES2=1,1,"")</f>
        <v/>
      </c>
      <c r="EJ55" s="117" t="str">
        <f>+IF(requisitos!ET2=1,1,"")</f>
        <v/>
      </c>
      <c r="EK55" s="117" t="str">
        <f>+IF(requisitos!EU2=1,1,"")</f>
        <v/>
      </c>
      <c r="EL55" s="117" t="str">
        <f>+IF(requisitos!EV2=1,1,"")</f>
        <v/>
      </c>
      <c r="EM55" s="117" t="str">
        <f>+IF(requisitos!EW2=1,1,"")</f>
        <v/>
      </c>
      <c r="EN55" s="117" t="str">
        <f>+IF(requisitos!EX2=1,1,"")</f>
        <v/>
      </c>
      <c r="EO55" s="117" t="str">
        <f>+IF(requisitos!EY2=1,1,"")</f>
        <v/>
      </c>
      <c r="EP55" s="117" t="str">
        <f>+IF(requisitos!EZ2=1,1,"")</f>
        <v/>
      </c>
      <c r="EQ55" s="117" t="str">
        <f>+IF(requisitos!FA2=1,1,"")</f>
        <v/>
      </c>
      <c r="ER55" s="117" t="str">
        <f>+IF(requisitos!FB2=1,1,"")</f>
        <v/>
      </c>
      <c r="ES55" s="117" t="str">
        <f>+IF(requisitos!FC2=1,1,"")</f>
        <v/>
      </c>
      <c r="ET55" s="117" t="str">
        <f>+IF(requisitos!FD2=1,1,"")</f>
        <v/>
      </c>
      <c r="EU55" s="117" t="str">
        <f>+IF(requisitos!FE2=1,1,"")</f>
        <v/>
      </c>
      <c r="EV55" s="117" t="str">
        <f>+IF(requisitos!FF2=1,1,"")</f>
        <v/>
      </c>
      <c r="EW55" s="117" t="str">
        <f>+IF(requisitos!FG2=1,1,"")</f>
        <v/>
      </c>
      <c r="EX55" s="117" t="str">
        <f>+IF(requisitos!FH2=1,1,"")</f>
        <v/>
      </c>
      <c r="EY55" s="117" t="str">
        <f>+IF(requisitos!FI2=1,1,"")</f>
        <v/>
      </c>
      <c r="EZ55" s="117" t="str">
        <f>+IF(requisitos!FJ2=1,1,"")</f>
        <v/>
      </c>
      <c r="FA55" s="117" t="str">
        <f>+IF(requisitos!FK2=1,1,"")</f>
        <v/>
      </c>
      <c r="FB55" s="117" t="str">
        <f>+IF(requisitos!FL2=1,1,"")</f>
        <v/>
      </c>
      <c r="FC55" s="117" t="str">
        <f>+IF(requisitos!FM2=1,1,"")</f>
        <v/>
      </c>
      <c r="FD55" s="117" t="str">
        <f>+IF(requisitos!FN2=1,1,"")</f>
        <v/>
      </c>
      <c r="FE55" s="117" t="str">
        <f>+IF(requisitos!FO2=1,1,"")</f>
        <v/>
      </c>
      <c r="FF55" s="117" t="str">
        <f>+IF(requisitos!FP2=1,1,"")</f>
        <v/>
      </c>
      <c r="FG55" s="117" t="str">
        <f>+IF(requisitos!FQ2=1,1,"")</f>
        <v/>
      </c>
      <c r="FH55" s="117" t="str">
        <f>+IF(requisitos!FR2=1,1,"")</f>
        <v/>
      </c>
      <c r="FI55" s="117" t="str">
        <f>+IF(requisitos!FS2=1,1,"")</f>
        <v/>
      </c>
      <c r="FJ55" s="117" t="str">
        <f>+IF(requisitos!FT2=1,1,"")</f>
        <v/>
      </c>
      <c r="FK55" s="117" t="str">
        <f>+IF(requisitos!FU2=1,1,"")</f>
        <v/>
      </c>
      <c r="FL55" s="117" t="str">
        <f>+IF(requisitos!FV2=1,1,"")</f>
        <v/>
      </c>
      <c r="FM55" s="117" t="str">
        <f>+IF(requisitos!FW2=1,1,"")</f>
        <v/>
      </c>
      <c r="FN55" s="117" t="str">
        <f>+IF(requisitos!FX2=1,1,"")</f>
        <v/>
      </c>
      <c r="FO55" s="117" t="str">
        <f>+IF(requisitos!FY2=1,1,"")</f>
        <v/>
      </c>
      <c r="FP55" s="117" t="str">
        <f>+IF(requisitos!FZ2=1,1,"")</f>
        <v/>
      </c>
      <c r="FQ55" s="117" t="str">
        <f>+IF(requisitos!GA2=1,1,"")</f>
        <v/>
      </c>
      <c r="FR55" s="117" t="str">
        <f>+IF(requisitos!GB2=1,1,"")</f>
        <v/>
      </c>
      <c r="FS55" s="117" t="str">
        <f>+IF(requisitos!GC2=1,1,"")</f>
        <v/>
      </c>
      <c r="FT55" s="117" t="str">
        <f>+IF(requisitos!GD2=1,1,"")</f>
        <v/>
      </c>
      <c r="FU55" s="117" t="str">
        <f>+IF(requisitos!GE2=1,1,"")</f>
        <v/>
      </c>
      <c r="FV55" s="117" t="str">
        <f>+IF(requisitos!GF2=1,1,"")</f>
        <v/>
      </c>
      <c r="FW55" s="117" t="str">
        <f>+IF(requisitos!GG2=1,1,"")</f>
        <v/>
      </c>
      <c r="FX55" s="117" t="str">
        <f>+IF(requisitos!GH2=1,1,"")</f>
        <v/>
      </c>
      <c r="FY55" s="117" t="str">
        <f>+IF(requisitos!GI2=1,1,"")</f>
        <v/>
      </c>
      <c r="FZ55" s="117" t="str">
        <f>+IF(requisitos!GJ2=1,1,"")</f>
        <v/>
      </c>
      <c r="GA55" s="117" t="str">
        <f>+IF(requisitos!GK2=1,1,"")</f>
        <v/>
      </c>
      <c r="GB55" s="117" t="str">
        <f>+IF(requisitos!GL2=1,1,"")</f>
        <v/>
      </c>
      <c r="GC55" s="117" t="str">
        <f>+IF(requisitos!GM2=1,1,"")</f>
        <v/>
      </c>
      <c r="GD55" s="117" t="str">
        <f>+IF(requisitos!GN2=1,1,"")</f>
        <v/>
      </c>
      <c r="GE55" s="117" t="str">
        <f>+IF(requisitos!GO2=1,1,"")</f>
        <v/>
      </c>
      <c r="GF55" s="117" t="str">
        <f>+IF(requisitos!GP2=1,1,"")</f>
        <v/>
      </c>
      <c r="GG55" s="117" t="str">
        <f>+IF(requisitos!GQ2=1,1,"")</f>
        <v/>
      </c>
      <c r="GH55" s="117" t="str">
        <f>+IF(requisitos!GR2=1,1,"")</f>
        <v/>
      </c>
      <c r="GI55" s="117" t="str">
        <f>+IF(requisitos!GS2=1,1,"")</f>
        <v/>
      </c>
      <c r="GJ55" s="117" t="str">
        <f>+IF(requisitos!GT2=1,1,"")</f>
        <v/>
      </c>
      <c r="GK55" s="117" t="str">
        <f>+IF(requisitos!GU2=1,1,"")</f>
        <v/>
      </c>
      <c r="GL55" s="117" t="str">
        <f>+IF(requisitos!GV2=1,1,"")</f>
        <v/>
      </c>
      <c r="GM55" s="117" t="str">
        <f>+IF(requisitos!GW2=1,1,"")</f>
        <v/>
      </c>
      <c r="GN55" s="117" t="str">
        <f>+IF(requisitos!GX2=1,1,"")</f>
        <v/>
      </c>
      <c r="GO55" s="117" t="str">
        <f>+IF(requisitos!GY2=1,1,"")</f>
        <v/>
      </c>
      <c r="GP55" s="117" t="str">
        <f>+IF(requisitos!GZ2=1,1,"")</f>
        <v/>
      </c>
      <c r="GQ55" s="117" t="str">
        <f>+IF(requisitos!HA2=1,1,"")</f>
        <v/>
      </c>
      <c r="GR55" s="117" t="str">
        <f>+IF(requisitos!HB2=1,1,"")</f>
        <v/>
      </c>
      <c r="GS55" s="117" t="str">
        <f>+IF(requisitos!HC2=1,1,"")</f>
        <v/>
      </c>
      <c r="GT55" s="117" t="str">
        <f>+IF(requisitos!HD2=1,1,"")</f>
        <v/>
      </c>
      <c r="GU55" s="117" t="str">
        <f>+IF(requisitos!HE2=1,1,"")</f>
        <v/>
      </c>
      <c r="GV55" s="117" t="str">
        <f>+IF(requisitos!HF2=1,1,"")</f>
        <v/>
      </c>
      <c r="GW55" s="117" t="str">
        <f>+IF(requisitos!HG2=1,1,"")</f>
        <v/>
      </c>
      <c r="GX55" s="117" t="str">
        <f>+IF(requisitos!HH2=1,1,"")</f>
        <v/>
      </c>
      <c r="GY55" s="117" t="str">
        <f>+IF(requisitos!HI2=1,1,"")</f>
        <v/>
      </c>
      <c r="GZ55" s="117" t="str">
        <f>+IF(requisitos!HJ2=1,1,"")</f>
        <v/>
      </c>
      <c r="HA55" s="117" t="str">
        <f>+IF(requisitos!HK2=1,1,"")</f>
        <v/>
      </c>
      <c r="HB55" s="117" t="str">
        <f>+IF(requisitos!HL2=1,1,"")</f>
        <v/>
      </c>
      <c r="HC55" s="117" t="str">
        <f>+IF(requisitos!HM2=1,1,"")</f>
        <v/>
      </c>
      <c r="HD55" s="117" t="str">
        <f>+IF(requisitos!HN2=1,1,"")</f>
        <v/>
      </c>
      <c r="HE55" s="117" t="str">
        <f>+IF(requisitos!HO2=1,1,"")</f>
        <v/>
      </c>
      <c r="HF55" s="117" t="str">
        <f>+IF(requisitos!HP2=1,1,"")</f>
        <v/>
      </c>
      <c r="HG55" s="117" t="str">
        <f>+IF(requisitos!HQ2=1,1,"")</f>
        <v/>
      </c>
      <c r="HH55" s="117" t="str">
        <f>+IF(requisitos!HR2=1,1,"")</f>
        <v/>
      </c>
      <c r="HI55" s="117" t="str">
        <f>+IF(requisitos!HS2=1,1,"")</f>
        <v/>
      </c>
      <c r="HJ55" s="117" t="str">
        <f>+IF(requisitos!HT2=1,1,"")</f>
        <v/>
      </c>
      <c r="HK55" s="117" t="str">
        <f>+IF(requisitos!HU2=1,1,"")</f>
        <v/>
      </c>
      <c r="HL55" s="117" t="str">
        <f>+IF(requisitos!HV2=1,1,"")</f>
        <v/>
      </c>
      <c r="HM55" s="117" t="str">
        <f>+IF(requisitos!HW2=1,1,"")</f>
        <v/>
      </c>
      <c r="HN55" s="117" t="str">
        <f>+IF(requisitos!HX2=1,1,"")</f>
        <v/>
      </c>
      <c r="HO55" s="117" t="str">
        <f>+IF(requisitos!HY2=1,1,"")</f>
        <v/>
      </c>
      <c r="HP55" s="117" t="str">
        <f>+IF(requisitos!HZ2=1,1,"")</f>
        <v/>
      </c>
      <c r="HQ55" s="117" t="str">
        <f>+IF(requisitos!IA2=1,1,"")</f>
        <v/>
      </c>
      <c r="HR55" s="117" t="str">
        <f>+IF(requisitos!IB2=1,1,"")</f>
        <v/>
      </c>
      <c r="HS55" s="117" t="str">
        <f>+IF(requisitos!IC2=1,1,"")</f>
        <v/>
      </c>
      <c r="HT55" s="117" t="str">
        <f>+IF(requisitos!ID2=1,1,"")</f>
        <v/>
      </c>
      <c r="HU55" s="117" t="str">
        <f>+IF(requisitos!IE2=1,1,"")</f>
        <v/>
      </c>
      <c r="HV55" s="117" t="str">
        <f>+IF(requisitos!IF2=1,1,"")</f>
        <v/>
      </c>
      <c r="HW55" s="117" t="str">
        <f>+IF(requisitos!IG2=1,1,"")</f>
        <v/>
      </c>
      <c r="HX55" s="117" t="str">
        <f>+IF(requisitos!IH2=1,1,"")</f>
        <v/>
      </c>
      <c r="HY55" s="117" t="str">
        <f>+IF(requisitos!II2=1,1,"")</f>
        <v/>
      </c>
      <c r="HZ55" s="117" t="str">
        <f>+IF(requisitos!IJ2=1,1,"")</f>
        <v/>
      </c>
      <c r="IA55" s="117" t="str">
        <f>+IF(requisitos!IK2=1,1,"")</f>
        <v/>
      </c>
      <c r="IB55" s="117" t="str">
        <f>+IF(requisitos!IL2=1,1,"")</f>
        <v/>
      </c>
      <c r="IC55" s="117" t="str">
        <f>+IF(requisitos!IM2=1,1,"")</f>
        <v/>
      </c>
      <c r="ID55" s="117" t="str">
        <f>+IF(requisitos!IN2=1,1,"")</f>
        <v/>
      </c>
      <c r="IE55" s="117" t="str">
        <f>+IF(requisitos!IO2=1,1,"")</f>
        <v/>
      </c>
      <c r="IF55" s="117" t="str">
        <f>+IF(requisitos!IP2=1,1,"")</f>
        <v/>
      </c>
      <c r="IG55" s="117" t="str">
        <f>+IF(requisitos!IQ2=1,1,"")</f>
        <v/>
      </c>
      <c r="IH55" s="117" t="str">
        <f>+IF(requisitos!IR2=1,1,"")</f>
        <v/>
      </c>
      <c r="II55" s="117" t="str">
        <f>+IF(requisitos!IS2=1,1,"")</f>
        <v/>
      </c>
      <c r="IJ55" s="117" t="str">
        <f>+IF(requisitos!IT2=1,1,"")</f>
        <v/>
      </c>
      <c r="IK55" s="117" t="str">
        <f>+IF(requisitos!IU2=1,1,"")</f>
        <v/>
      </c>
      <c r="IL55" s="117" t="str">
        <f>+IF(requisitos!IV2=1,1,"")</f>
        <v/>
      </c>
      <c r="IM55" s="117" t="e">
        <f>+IF(requisitos!#REF!=1,1,"")</f>
        <v>#REF!</v>
      </c>
      <c r="IN55" s="117" t="e">
        <f>+IF(requisitos!#REF!=1,1,"")</f>
        <v>#REF!</v>
      </c>
      <c r="IO55" s="117" t="e">
        <f>+IF(requisitos!#REF!=1,1,"")</f>
        <v>#REF!</v>
      </c>
      <c r="IP55" s="117" t="e">
        <f>+IF(requisitos!#REF!=1,1,"")</f>
        <v>#REF!</v>
      </c>
      <c r="IQ55" s="117" t="e">
        <f>+IF(requisitos!#REF!=1,1,"")</f>
        <v>#REF!</v>
      </c>
      <c r="IR55" s="117" t="e">
        <f>+IF(requisitos!#REF!=1,1,"")</f>
        <v>#REF!</v>
      </c>
      <c r="IS55" s="117" t="e">
        <f>+IF(requisitos!#REF!=1,1,"")</f>
        <v>#REF!</v>
      </c>
      <c r="IT55" s="117" t="e">
        <f>+IF(requisitos!#REF!=1,1,"")</f>
        <v>#REF!</v>
      </c>
      <c r="IU55" s="117" t="e">
        <f>+IF(requisitos!#REF!=1,1,"")</f>
        <v>#REF!</v>
      </c>
      <c r="IV55" s="117">
        <f>+IF(requisitos!AE2=1,1,"")</f>
        <v>1</v>
      </c>
    </row>
    <row r="56" spans="1:256" s="117" customFormat="1" x14ac:dyDescent="0.2">
      <c r="A56" s="158" t="s">
        <v>79</v>
      </c>
      <c r="B56" s="157"/>
      <c r="C56" s="158"/>
      <c r="D56" s="158"/>
      <c r="E56" s="157"/>
      <c r="F56" s="92"/>
      <c r="G56" s="124"/>
      <c r="H56" s="92"/>
      <c r="I56" s="92"/>
      <c r="J56" s="158"/>
      <c r="K56" s="157"/>
      <c r="L56" s="92"/>
      <c r="M56" s="99"/>
      <c r="N56" s="92"/>
      <c r="O56" s="124"/>
      <c r="P56" s="124"/>
      <c r="Q56" s="92"/>
      <c r="R56" s="145"/>
      <c r="S56" s="293"/>
      <c r="T56" s="293"/>
      <c r="U56" s="294">
        <f>+IF(S56="",1,2)</f>
        <v>1</v>
      </c>
      <c r="V56" s="294">
        <f t="shared" ref="V56:AK58" si="0">+IF(T56="",1,2)</f>
        <v>1</v>
      </c>
      <c r="W56" s="294">
        <f t="shared" si="0"/>
        <v>2</v>
      </c>
      <c r="X56" s="294">
        <f t="shared" si="0"/>
        <v>2</v>
      </c>
      <c r="Y56" s="294">
        <f t="shared" si="0"/>
        <v>2</v>
      </c>
      <c r="Z56" s="294">
        <f t="shared" si="0"/>
        <v>2</v>
      </c>
      <c r="AA56" s="294">
        <f t="shared" si="0"/>
        <v>2</v>
      </c>
      <c r="AB56" s="294">
        <f t="shared" si="0"/>
        <v>2</v>
      </c>
      <c r="AC56" s="294">
        <f t="shared" si="0"/>
        <v>2</v>
      </c>
      <c r="AD56" s="294">
        <f t="shared" si="0"/>
        <v>2</v>
      </c>
      <c r="AE56" s="294">
        <f t="shared" si="0"/>
        <v>2</v>
      </c>
      <c r="AF56" s="294">
        <f t="shared" si="0"/>
        <v>2</v>
      </c>
      <c r="AG56" s="294">
        <f t="shared" si="0"/>
        <v>2</v>
      </c>
      <c r="AH56" s="294">
        <f t="shared" si="0"/>
        <v>2</v>
      </c>
      <c r="AI56" s="294">
        <f t="shared" si="0"/>
        <v>2</v>
      </c>
      <c r="AJ56" s="294">
        <f t="shared" si="0"/>
        <v>2</v>
      </c>
      <c r="AK56" s="294">
        <f t="shared" si="0"/>
        <v>2</v>
      </c>
      <c r="AL56" s="294">
        <f t="shared" ref="AL56:BA58" si="1">+IF(AJ56="",1,2)</f>
        <v>2</v>
      </c>
      <c r="AM56" s="294">
        <f t="shared" si="1"/>
        <v>2</v>
      </c>
      <c r="AN56" s="294">
        <f t="shared" si="1"/>
        <v>2</v>
      </c>
      <c r="AO56" s="294">
        <f t="shared" si="1"/>
        <v>2</v>
      </c>
      <c r="AP56" s="294">
        <f t="shared" si="1"/>
        <v>2</v>
      </c>
      <c r="AQ56" s="294">
        <f t="shared" si="1"/>
        <v>2</v>
      </c>
      <c r="AR56" s="294">
        <f t="shared" si="1"/>
        <v>2</v>
      </c>
      <c r="AS56" s="294">
        <f t="shared" si="1"/>
        <v>2</v>
      </c>
      <c r="AT56" s="294">
        <f t="shared" si="1"/>
        <v>2</v>
      </c>
      <c r="AU56" s="294">
        <f t="shared" si="1"/>
        <v>2</v>
      </c>
      <c r="AV56" s="294">
        <f t="shared" si="1"/>
        <v>2</v>
      </c>
      <c r="AW56" s="294">
        <f t="shared" si="1"/>
        <v>2</v>
      </c>
      <c r="AX56" s="294">
        <f t="shared" si="1"/>
        <v>2</v>
      </c>
      <c r="AY56" s="294">
        <f t="shared" si="1"/>
        <v>2</v>
      </c>
      <c r="AZ56" s="294">
        <f t="shared" si="1"/>
        <v>2</v>
      </c>
      <c r="BA56" s="294">
        <f t="shared" si="1"/>
        <v>2</v>
      </c>
      <c r="BB56" s="294">
        <f t="shared" ref="BB56:BQ58" si="2">+IF(AZ56="",1,2)</f>
        <v>2</v>
      </c>
      <c r="BC56" s="294">
        <f t="shared" si="2"/>
        <v>2</v>
      </c>
      <c r="BD56" s="294">
        <f t="shared" si="2"/>
        <v>2</v>
      </c>
      <c r="BE56" s="294">
        <f t="shared" si="2"/>
        <v>2</v>
      </c>
      <c r="BF56" s="294">
        <f t="shared" si="2"/>
        <v>2</v>
      </c>
      <c r="BG56" s="294">
        <f t="shared" si="2"/>
        <v>2</v>
      </c>
      <c r="BH56" s="294">
        <f t="shared" si="2"/>
        <v>2</v>
      </c>
      <c r="BI56" s="294">
        <f t="shared" si="2"/>
        <v>2</v>
      </c>
      <c r="BJ56" s="294">
        <f t="shared" si="2"/>
        <v>2</v>
      </c>
      <c r="BK56" s="294">
        <f t="shared" si="2"/>
        <v>2</v>
      </c>
      <c r="BL56" s="294">
        <f t="shared" si="2"/>
        <v>2</v>
      </c>
      <c r="BM56" s="294">
        <f t="shared" si="2"/>
        <v>2</v>
      </c>
      <c r="BN56" s="294">
        <f t="shared" si="2"/>
        <v>2</v>
      </c>
      <c r="BO56" s="294">
        <f t="shared" si="2"/>
        <v>2</v>
      </c>
      <c r="BP56" s="294">
        <f t="shared" si="2"/>
        <v>2</v>
      </c>
      <c r="BQ56" s="294">
        <f t="shared" si="2"/>
        <v>2</v>
      </c>
      <c r="BR56" s="294">
        <f t="shared" ref="BR56:CG58" si="3">+IF(BP56="",1,2)</f>
        <v>2</v>
      </c>
      <c r="BS56" s="294">
        <f t="shared" si="3"/>
        <v>2</v>
      </c>
      <c r="BT56" s="294">
        <f t="shared" si="3"/>
        <v>2</v>
      </c>
      <c r="BU56" s="294">
        <f t="shared" si="3"/>
        <v>2</v>
      </c>
      <c r="BV56" s="294">
        <f t="shared" si="3"/>
        <v>2</v>
      </c>
      <c r="BW56" s="294">
        <f t="shared" si="3"/>
        <v>2</v>
      </c>
      <c r="BX56" s="294">
        <f t="shared" si="3"/>
        <v>2</v>
      </c>
      <c r="BY56" s="294">
        <f t="shared" si="3"/>
        <v>2</v>
      </c>
      <c r="BZ56" s="294">
        <f t="shared" si="3"/>
        <v>2</v>
      </c>
      <c r="CA56" s="294">
        <f t="shared" si="3"/>
        <v>2</v>
      </c>
      <c r="CB56" s="294">
        <f t="shared" si="3"/>
        <v>2</v>
      </c>
      <c r="CC56" s="294">
        <f t="shared" si="3"/>
        <v>2</v>
      </c>
      <c r="CD56" s="294">
        <f t="shared" si="3"/>
        <v>2</v>
      </c>
      <c r="CE56" s="294">
        <f t="shared" si="3"/>
        <v>2</v>
      </c>
      <c r="CF56" s="294">
        <f t="shared" si="3"/>
        <v>2</v>
      </c>
      <c r="CG56" s="294">
        <f t="shared" si="3"/>
        <v>2</v>
      </c>
      <c r="CH56" s="294">
        <f t="shared" ref="CH56:CW58" si="4">+IF(CF56="",1,2)</f>
        <v>2</v>
      </c>
      <c r="CI56" s="294">
        <f t="shared" si="4"/>
        <v>2</v>
      </c>
      <c r="CJ56" s="294">
        <f t="shared" si="4"/>
        <v>2</v>
      </c>
      <c r="CK56" s="294">
        <f t="shared" si="4"/>
        <v>2</v>
      </c>
      <c r="CL56" s="294">
        <f t="shared" si="4"/>
        <v>2</v>
      </c>
      <c r="CM56" s="294">
        <f t="shared" si="4"/>
        <v>2</v>
      </c>
      <c r="CN56" s="294">
        <f t="shared" si="4"/>
        <v>2</v>
      </c>
      <c r="CO56" s="294">
        <f t="shared" si="4"/>
        <v>2</v>
      </c>
      <c r="CP56" s="294">
        <f t="shared" si="4"/>
        <v>2</v>
      </c>
      <c r="CQ56" s="294">
        <f t="shared" si="4"/>
        <v>2</v>
      </c>
      <c r="CR56" s="294">
        <f t="shared" si="4"/>
        <v>2</v>
      </c>
      <c r="CS56" s="294">
        <f t="shared" si="4"/>
        <v>2</v>
      </c>
      <c r="CT56" s="294">
        <f t="shared" si="4"/>
        <v>2</v>
      </c>
      <c r="CU56" s="294">
        <f t="shared" si="4"/>
        <v>2</v>
      </c>
      <c r="CV56" s="294">
        <f t="shared" si="4"/>
        <v>2</v>
      </c>
      <c r="CW56" s="294">
        <f t="shared" si="4"/>
        <v>2</v>
      </c>
      <c r="CX56" s="294">
        <f t="shared" ref="CX56:DM58" si="5">+IF(CV56="",1,2)</f>
        <v>2</v>
      </c>
      <c r="CY56" s="294">
        <f t="shared" si="5"/>
        <v>2</v>
      </c>
      <c r="CZ56" s="294">
        <f t="shared" si="5"/>
        <v>2</v>
      </c>
      <c r="DA56" s="294">
        <f t="shared" si="5"/>
        <v>2</v>
      </c>
      <c r="DB56" s="294">
        <f t="shared" si="5"/>
        <v>2</v>
      </c>
      <c r="DC56" s="294">
        <f t="shared" si="5"/>
        <v>2</v>
      </c>
      <c r="DD56" s="294">
        <f t="shared" si="5"/>
        <v>2</v>
      </c>
      <c r="DE56" s="294">
        <f t="shared" si="5"/>
        <v>2</v>
      </c>
      <c r="DF56" s="294">
        <f t="shared" si="5"/>
        <v>2</v>
      </c>
      <c r="DG56" s="294">
        <f t="shared" si="5"/>
        <v>2</v>
      </c>
      <c r="DH56" s="294">
        <f t="shared" si="5"/>
        <v>2</v>
      </c>
      <c r="DI56" s="294">
        <f t="shared" si="5"/>
        <v>2</v>
      </c>
      <c r="DJ56" s="294">
        <f t="shared" si="5"/>
        <v>2</v>
      </c>
      <c r="DK56" s="294">
        <f t="shared" si="5"/>
        <v>2</v>
      </c>
      <c r="DL56" s="294">
        <f t="shared" si="5"/>
        <v>2</v>
      </c>
      <c r="DM56" s="294">
        <f t="shared" si="5"/>
        <v>2</v>
      </c>
      <c r="DN56" s="294">
        <f t="shared" ref="DN56:EC58" si="6">+IF(DL56="",1,2)</f>
        <v>2</v>
      </c>
      <c r="DO56" s="294">
        <f t="shared" si="6"/>
        <v>2</v>
      </c>
      <c r="DP56" s="294">
        <f t="shared" si="6"/>
        <v>2</v>
      </c>
      <c r="DQ56" s="294">
        <f t="shared" si="6"/>
        <v>2</v>
      </c>
      <c r="DR56" s="294">
        <f t="shared" si="6"/>
        <v>2</v>
      </c>
      <c r="DS56" s="294">
        <f t="shared" si="6"/>
        <v>2</v>
      </c>
      <c r="DT56" s="294">
        <f t="shared" si="6"/>
        <v>2</v>
      </c>
      <c r="DU56" s="294">
        <f t="shared" si="6"/>
        <v>2</v>
      </c>
      <c r="DV56" s="294">
        <f t="shared" si="6"/>
        <v>2</v>
      </c>
      <c r="DW56" s="294">
        <f t="shared" si="6"/>
        <v>2</v>
      </c>
      <c r="DX56" s="294">
        <f t="shared" si="6"/>
        <v>2</v>
      </c>
      <c r="DY56" s="294">
        <f t="shared" si="6"/>
        <v>2</v>
      </c>
      <c r="DZ56" s="294">
        <f t="shared" si="6"/>
        <v>2</v>
      </c>
      <c r="EA56" s="294">
        <f t="shared" si="6"/>
        <v>2</v>
      </c>
      <c r="EB56" s="294">
        <f t="shared" si="6"/>
        <v>2</v>
      </c>
      <c r="EC56" s="294">
        <f t="shared" si="6"/>
        <v>2</v>
      </c>
      <c r="ED56" s="294">
        <f t="shared" ref="ED56:ES58" si="7">+IF(EB56="",1,2)</f>
        <v>2</v>
      </c>
      <c r="EE56" s="294">
        <f t="shared" si="7"/>
        <v>2</v>
      </c>
      <c r="EF56" s="294">
        <f t="shared" si="7"/>
        <v>2</v>
      </c>
      <c r="EG56" s="294">
        <f t="shared" si="7"/>
        <v>2</v>
      </c>
      <c r="EH56" s="294">
        <f t="shared" si="7"/>
        <v>2</v>
      </c>
      <c r="EI56" s="294">
        <f t="shared" si="7"/>
        <v>2</v>
      </c>
      <c r="EJ56" s="294">
        <f t="shared" si="7"/>
        <v>2</v>
      </c>
      <c r="EK56" s="294">
        <f t="shared" si="7"/>
        <v>2</v>
      </c>
      <c r="EL56" s="294">
        <f t="shared" si="7"/>
        <v>2</v>
      </c>
      <c r="EM56" s="294">
        <f t="shared" si="7"/>
        <v>2</v>
      </c>
      <c r="EN56" s="294">
        <f t="shared" si="7"/>
        <v>2</v>
      </c>
      <c r="EO56" s="294">
        <f t="shared" si="7"/>
        <v>2</v>
      </c>
      <c r="EP56" s="294">
        <f t="shared" si="7"/>
        <v>2</v>
      </c>
      <c r="EQ56" s="294">
        <f t="shared" si="7"/>
        <v>2</v>
      </c>
      <c r="ER56" s="294">
        <f t="shared" si="7"/>
        <v>2</v>
      </c>
      <c r="ES56" s="294">
        <f t="shared" si="7"/>
        <v>2</v>
      </c>
      <c r="ET56" s="294">
        <f t="shared" ref="ET56:FI58" si="8">+IF(ER56="",1,2)</f>
        <v>2</v>
      </c>
      <c r="EU56" s="294">
        <f t="shared" si="8"/>
        <v>2</v>
      </c>
      <c r="EV56" s="294">
        <f t="shared" si="8"/>
        <v>2</v>
      </c>
      <c r="EW56" s="294">
        <f t="shared" si="8"/>
        <v>2</v>
      </c>
      <c r="EX56" s="294">
        <f t="shared" si="8"/>
        <v>2</v>
      </c>
      <c r="EY56" s="294">
        <f t="shared" si="8"/>
        <v>2</v>
      </c>
      <c r="EZ56" s="294">
        <f t="shared" si="8"/>
        <v>2</v>
      </c>
      <c r="FA56" s="294">
        <f t="shared" si="8"/>
        <v>2</v>
      </c>
      <c r="FB56" s="294">
        <f t="shared" si="8"/>
        <v>2</v>
      </c>
      <c r="FC56" s="294">
        <f t="shared" si="8"/>
        <v>2</v>
      </c>
      <c r="FD56" s="294">
        <f t="shared" si="8"/>
        <v>2</v>
      </c>
      <c r="FE56" s="294">
        <f t="shared" si="8"/>
        <v>2</v>
      </c>
      <c r="FF56" s="294">
        <f t="shared" si="8"/>
        <v>2</v>
      </c>
      <c r="FG56" s="294">
        <f t="shared" si="8"/>
        <v>2</v>
      </c>
      <c r="FH56" s="294">
        <f t="shared" si="8"/>
        <v>2</v>
      </c>
      <c r="FI56" s="294">
        <f t="shared" si="8"/>
        <v>2</v>
      </c>
      <c r="FJ56" s="294">
        <f t="shared" ref="FJ56:FY58" si="9">+IF(FH56="",1,2)</f>
        <v>2</v>
      </c>
      <c r="FK56" s="294">
        <f t="shared" si="9"/>
        <v>2</v>
      </c>
      <c r="FL56" s="294">
        <f t="shared" si="9"/>
        <v>2</v>
      </c>
      <c r="FM56" s="294">
        <f t="shared" si="9"/>
        <v>2</v>
      </c>
      <c r="FN56" s="294">
        <f t="shared" si="9"/>
        <v>2</v>
      </c>
      <c r="FO56" s="294">
        <f t="shared" si="9"/>
        <v>2</v>
      </c>
      <c r="FP56" s="294">
        <f t="shared" si="9"/>
        <v>2</v>
      </c>
      <c r="FQ56" s="294">
        <f t="shared" si="9"/>
        <v>2</v>
      </c>
      <c r="FR56" s="294">
        <f t="shared" si="9"/>
        <v>2</v>
      </c>
      <c r="FS56" s="294">
        <f t="shared" si="9"/>
        <v>2</v>
      </c>
      <c r="FT56" s="294">
        <f t="shared" si="9"/>
        <v>2</v>
      </c>
      <c r="FU56" s="294">
        <f t="shared" si="9"/>
        <v>2</v>
      </c>
      <c r="FV56" s="294">
        <f t="shared" si="9"/>
        <v>2</v>
      </c>
      <c r="FW56" s="294">
        <f t="shared" si="9"/>
        <v>2</v>
      </c>
      <c r="FX56" s="294">
        <f t="shared" si="9"/>
        <v>2</v>
      </c>
      <c r="FY56" s="294">
        <f t="shared" si="9"/>
        <v>2</v>
      </c>
      <c r="FZ56" s="294">
        <f t="shared" ref="FZ56:GO58" si="10">+IF(FX56="",1,2)</f>
        <v>2</v>
      </c>
      <c r="GA56" s="294">
        <f t="shared" si="10"/>
        <v>2</v>
      </c>
      <c r="GB56" s="294">
        <f t="shared" si="10"/>
        <v>2</v>
      </c>
      <c r="GC56" s="294">
        <f t="shared" si="10"/>
        <v>2</v>
      </c>
      <c r="GD56" s="294">
        <f t="shared" si="10"/>
        <v>2</v>
      </c>
      <c r="GE56" s="294">
        <f t="shared" si="10"/>
        <v>2</v>
      </c>
      <c r="GF56" s="294">
        <f t="shared" si="10"/>
        <v>2</v>
      </c>
      <c r="GG56" s="294">
        <f t="shared" si="10"/>
        <v>2</v>
      </c>
      <c r="GH56" s="294">
        <f t="shared" si="10"/>
        <v>2</v>
      </c>
      <c r="GI56" s="294">
        <f t="shared" si="10"/>
        <v>2</v>
      </c>
      <c r="GJ56" s="294">
        <f t="shared" si="10"/>
        <v>2</v>
      </c>
      <c r="GK56" s="294">
        <f t="shared" si="10"/>
        <v>2</v>
      </c>
      <c r="GL56" s="294">
        <f t="shared" si="10"/>
        <v>2</v>
      </c>
      <c r="GM56" s="294">
        <f t="shared" si="10"/>
        <v>2</v>
      </c>
      <c r="GN56" s="294">
        <f t="shared" si="10"/>
        <v>2</v>
      </c>
      <c r="GO56" s="294">
        <f t="shared" si="10"/>
        <v>2</v>
      </c>
      <c r="GP56" s="294">
        <f t="shared" ref="GP56:HE58" si="11">+IF(GN56="",1,2)</f>
        <v>2</v>
      </c>
      <c r="GQ56" s="294">
        <f t="shared" si="11"/>
        <v>2</v>
      </c>
      <c r="GR56" s="294">
        <f t="shared" si="11"/>
        <v>2</v>
      </c>
      <c r="GS56" s="294">
        <f t="shared" si="11"/>
        <v>2</v>
      </c>
      <c r="GT56" s="294">
        <f t="shared" si="11"/>
        <v>2</v>
      </c>
      <c r="GU56" s="294">
        <f t="shared" si="11"/>
        <v>2</v>
      </c>
      <c r="GV56" s="294">
        <f t="shared" si="11"/>
        <v>2</v>
      </c>
      <c r="GW56" s="294">
        <f t="shared" si="11"/>
        <v>2</v>
      </c>
      <c r="GX56" s="294">
        <f t="shared" si="11"/>
        <v>2</v>
      </c>
      <c r="GY56" s="294">
        <f t="shared" si="11"/>
        <v>2</v>
      </c>
      <c r="GZ56" s="294">
        <f t="shared" si="11"/>
        <v>2</v>
      </c>
      <c r="HA56" s="294">
        <f t="shared" si="11"/>
        <v>2</v>
      </c>
      <c r="HB56" s="294">
        <f t="shared" si="11"/>
        <v>2</v>
      </c>
      <c r="HC56" s="294">
        <f t="shared" si="11"/>
        <v>2</v>
      </c>
      <c r="HD56" s="294">
        <f t="shared" si="11"/>
        <v>2</v>
      </c>
      <c r="HE56" s="294">
        <f t="shared" si="11"/>
        <v>2</v>
      </c>
      <c r="HF56" s="294">
        <f t="shared" ref="HF56:HU58" si="12">+IF(HD56="",1,2)</f>
        <v>2</v>
      </c>
      <c r="HG56" s="294">
        <f t="shared" si="12"/>
        <v>2</v>
      </c>
      <c r="HH56" s="294">
        <f t="shared" si="12"/>
        <v>2</v>
      </c>
      <c r="HI56" s="294">
        <f t="shared" si="12"/>
        <v>2</v>
      </c>
      <c r="HJ56" s="294">
        <f t="shared" si="12"/>
        <v>2</v>
      </c>
      <c r="HK56" s="294">
        <f t="shared" si="12"/>
        <v>2</v>
      </c>
      <c r="HL56" s="294">
        <f t="shared" si="12"/>
        <v>2</v>
      </c>
      <c r="HM56" s="294">
        <f t="shared" si="12"/>
        <v>2</v>
      </c>
      <c r="HN56" s="294">
        <f t="shared" si="12"/>
        <v>2</v>
      </c>
      <c r="HO56" s="294">
        <f t="shared" si="12"/>
        <v>2</v>
      </c>
      <c r="HP56" s="294">
        <f t="shared" si="12"/>
        <v>2</v>
      </c>
      <c r="HQ56" s="294">
        <f t="shared" si="12"/>
        <v>2</v>
      </c>
      <c r="HR56" s="294">
        <f t="shared" si="12"/>
        <v>2</v>
      </c>
      <c r="HS56" s="294">
        <f t="shared" si="12"/>
        <v>2</v>
      </c>
      <c r="HT56" s="294">
        <f t="shared" si="12"/>
        <v>2</v>
      </c>
      <c r="HU56" s="294">
        <f t="shared" si="12"/>
        <v>2</v>
      </c>
      <c r="HV56" s="294">
        <f t="shared" ref="HV56:IK58" si="13">+IF(HT56="",1,2)</f>
        <v>2</v>
      </c>
      <c r="HW56" s="294">
        <f t="shared" si="13"/>
        <v>2</v>
      </c>
      <c r="HX56" s="294">
        <f t="shared" si="13"/>
        <v>2</v>
      </c>
      <c r="HY56" s="294">
        <f t="shared" si="13"/>
        <v>2</v>
      </c>
      <c r="HZ56" s="294">
        <f t="shared" si="13"/>
        <v>2</v>
      </c>
      <c r="IA56" s="294">
        <f t="shared" si="13"/>
        <v>2</v>
      </c>
      <c r="IB56" s="294">
        <f t="shared" si="13"/>
        <v>2</v>
      </c>
      <c r="IC56" s="294">
        <f t="shared" si="13"/>
        <v>2</v>
      </c>
      <c r="ID56" s="294">
        <f t="shared" si="13"/>
        <v>2</v>
      </c>
      <c r="IE56" s="294">
        <f t="shared" si="13"/>
        <v>2</v>
      </c>
      <c r="IF56" s="294">
        <f t="shared" si="13"/>
        <v>2</v>
      </c>
      <c r="IG56" s="294">
        <f t="shared" si="13"/>
        <v>2</v>
      </c>
      <c r="IH56" s="294">
        <f t="shared" si="13"/>
        <v>2</v>
      </c>
      <c r="II56" s="294">
        <f t="shared" si="13"/>
        <v>2</v>
      </c>
      <c r="IJ56" s="294">
        <f t="shared" si="13"/>
        <v>2</v>
      </c>
      <c r="IK56" s="294">
        <f t="shared" si="13"/>
        <v>2</v>
      </c>
      <c r="IL56" s="294">
        <f t="shared" ref="IL56:IU58" si="14">+IF(IJ56="",1,2)</f>
        <v>2</v>
      </c>
      <c r="IM56" s="294">
        <f t="shared" si="14"/>
        <v>2</v>
      </c>
      <c r="IN56" s="294">
        <f t="shared" si="14"/>
        <v>2</v>
      </c>
      <c r="IO56" s="294">
        <f t="shared" si="14"/>
        <v>2</v>
      </c>
      <c r="IP56" s="294">
        <f t="shared" si="14"/>
        <v>2</v>
      </c>
      <c r="IQ56" s="294">
        <f t="shared" si="14"/>
        <v>2</v>
      </c>
      <c r="IR56" s="294">
        <f t="shared" si="14"/>
        <v>2</v>
      </c>
      <c r="IS56" s="294">
        <f t="shared" si="14"/>
        <v>2</v>
      </c>
      <c r="IT56" s="294">
        <f t="shared" si="14"/>
        <v>2</v>
      </c>
      <c r="IU56" s="294">
        <f t="shared" si="14"/>
        <v>2</v>
      </c>
      <c r="IV56" s="294">
        <f>+IF(T56="",1,2)</f>
        <v>1</v>
      </c>
    </row>
    <row r="57" spans="1:256" s="117" customFormat="1" x14ac:dyDescent="0.2">
      <c r="A57" s="124" t="s">
        <v>62</v>
      </c>
      <c r="B57" s="92"/>
      <c r="C57" s="158"/>
      <c r="D57" s="158"/>
      <c r="E57" s="92"/>
      <c r="F57" s="92"/>
      <c r="G57" s="144"/>
      <c r="H57" s="92"/>
      <c r="I57" s="92"/>
      <c r="J57" s="124"/>
      <c r="K57" s="92"/>
      <c r="L57" s="92"/>
      <c r="M57" s="159"/>
      <c r="N57" s="92"/>
      <c r="O57" s="124"/>
      <c r="P57" s="92"/>
      <c r="Q57" s="92"/>
      <c r="R57" s="92"/>
      <c r="S57" s="293"/>
      <c r="T57" s="293"/>
      <c r="U57" s="294">
        <f>+IF(S57="",1,2)</f>
        <v>1</v>
      </c>
      <c r="V57" s="294">
        <f t="shared" si="0"/>
        <v>1</v>
      </c>
      <c r="W57" s="294">
        <f t="shared" si="0"/>
        <v>2</v>
      </c>
      <c r="X57" s="294">
        <f t="shared" si="0"/>
        <v>2</v>
      </c>
      <c r="Y57" s="294">
        <f t="shared" si="0"/>
        <v>2</v>
      </c>
      <c r="Z57" s="294">
        <f t="shared" si="0"/>
        <v>2</v>
      </c>
      <c r="AA57" s="294">
        <f t="shared" si="0"/>
        <v>2</v>
      </c>
      <c r="AB57" s="294">
        <f t="shared" si="0"/>
        <v>2</v>
      </c>
      <c r="AC57" s="294">
        <f t="shared" si="0"/>
        <v>2</v>
      </c>
      <c r="AD57" s="294">
        <f t="shared" si="0"/>
        <v>2</v>
      </c>
      <c r="AE57" s="294">
        <f t="shared" si="0"/>
        <v>2</v>
      </c>
      <c r="AF57" s="294">
        <f t="shared" si="0"/>
        <v>2</v>
      </c>
      <c r="AG57" s="294">
        <f t="shared" si="0"/>
        <v>2</v>
      </c>
      <c r="AH57" s="294">
        <f t="shared" si="0"/>
        <v>2</v>
      </c>
      <c r="AI57" s="294">
        <f t="shared" si="0"/>
        <v>2</v>
      </c>
      <c r="AJ57" s="294">
        <f t="shared" si="0"/>
        <v>2</v>
      </c>
      <c r="AK57" s="294">
        <f t="shared" si="0"/>
        <v>2</v>
      </c>
      <c r="AL57" s="294">
        <f t="shared" si="1"/>
        <v>2</v>
      </c>
      <c r="AM57" s="294">
        <f t="shared" si="1"/>
        <v>2</v>
      </c>
      <c r="AN57" s="294">
        <f t="shared" si="1"/>
        <v>2</v>
      </c>
      <c r="AO57" s="294">
        <f t="shared" si="1"/>
        <v>2</v>
      </c>
      <c r="AP57" s="294">
        <f t="shared" si="1"/>
        <v>2</v>
      </c>
      <c r="AQ57" s="294">
        <f t="shared" si="1"/>
        <v>2</v>
      </c>
      <c r="AR57" s="294">
        <f t="shared" si="1"/>
        <v>2</v>
      </c>
      <c r="AS57" s="294">
        <f t="shared" si="1"/>
        <v>2</v>
      </c>
      <c r="AT57" s="294">
        <f t="shared" si="1"/>
        <v>2</v>
      </c>
      <c r="AU57" s="294">
        <f t="shared" si="1"/>
        <v>2</v>
      </c>
      <c r="AV57" s="294">
        <f t="shared" si="1"/>
        <v>2</v>
      </c>
      <c r="AW57" s="294">
        <f t="shared" si="1"/>
        <v>2</v>
      </c>
      <c r="AX57" s="294">
        <f t="shared" si="1"/>
        <v>2</v>
      </c>
      <c r="AY57" s="294">
        <f t="shared" si="1"/>
        <v>2</v>
      </c>
      <c r="AZ57" s="294">
        <f t="shared" si="1"/>
        <v>2</v>
      </c>
      <c r="BA57" s="294">
        <f t="shared" si="1"/>
        <v>2</v>
      </c>
      <c r="BB57" s="294">
        <f t="shared" si="2"/>
        <v>2</v>
      </c>
      <c r="BC57" s="294">
        <f t="shared" si="2"/>
        <v>2</v>
      </c>
      <c r="BD57" s="294">
        <f t="shared" si="2"/>
        <v>2</v>
      </c>
      <c r="BE57" s="294">
        <f t="shared" si="2"/>
        <v>2</v>
      </c>
      <c r="BF57" s="294">
        <f t="shared" si="2"/>
        <v>2</v>
      </c>
      <c r="BG57" s="294">
        <f t="shared" si="2"/>
        <v>2</v>
      </c>
      <c r="BH57" s="294">
        <f t="shared" si="2"/>
        <v>2</v>
      </c>
      <c r="BI57" s="294">
        <f t="shared" si="2"/>
        <v>2</v>
      </c>
      <c r="BJ57" s="294">
        <f t="shared" si="2"/>
        <v>2</v>
      </c>
      <c r="BK57" s="294">
        <f t="shared" si="2"/>
        <v>2</v>
      </c>
      <c r="BL57" s="294">
        <f t="shared" si="2"/>
        <v>2</v>
      </c>
      <c r="BM57" s="294">
        <f t="shared" si="2"/>
        <v>2</v>
      </c>
      <c r="BN57" s="294">
        <f t="shared" si="2"/>
        <v>2</v>
      </c>
      <c r="BO57" s="294">
        <f t="shared" si="2"/>
        <v>2</v>
      </c>
      <c r="BP57" s="294">
        <f t="shared" si="2"/>
        <v>2</v>
      </c>
      <c r="BQ57" s="294">
        <f t="shared" si="2"/>
        <v>2</v>
      </c>
      <c r="BR57" s="294">
        <f t="shared" si="3"/>
        <v>2</v>
      </c>
      <c r="BS57" s="294">
        <f t="shared" si="3"/>
        <v>2</v>
      </c>
      <c r="BT57" s="294">
        <f t="shared" si="3"/>
        <v>2</v>
      </c>
      <c r="BU57" s="294">
        <f t="shared" si="3"/>
        <v>2</v>
      </c>
      <c r="BV57" s="294">
        <f t="shared" si="3"/>
        <v>2</v>
      </c>
      <c r="BW57" s="294">
        <f t="shared" si="3"/>
        <v>2</v>
      </c>
      <c r="BX57" s="294">
        <f t="shared" si="3"/>
        <v>2</v>
      </c>
      <c r="BY57" s="294">
        <f t="shared" si="3"/>
        <v>2</v>
      </c>
      <c r="BZ57" s="294">
        <f t="shared" si="3"/>
        <v>2</v>
      </c>
      <c r="CA57" s="294">
        <f t="shared" si="3"/>
        <v>2</v>
      </c>
      <c r="CB57" s="294">
        <f t="shared" si="3"/>
        <v>2</v>
      </c>
      <c r="CC57" s="294">
        <f t="shared" si="3"/>
        <v>2</v>
      </c>
      <c r="CD57" s="294">
        <f t="shared" si="3"/>
        <v>2</v>
      </c>
      <c r="CE57" s="294">
        <f t="shared" si="3"/>
        <v>2</v>
      </c>
      <c r="CF57" s="294">
        <f t="shared" si="3"/>
        <v>2</v>
      </c>
      <c r="CG57" s="294">
        <f t="shared" si="3"/>
        <v>2</v>
      </c>
      <c r="CH57" s="294">
        <f t="shared" si="4"/>
        <v>2</v>
      </c>
      <c r="CI57" s="294">
        <f t="shared" si="4"/>
        <v>2</v>
      </c>
      <c r="CJ57" s="294">
        <f t="shared" si="4"/>
        <v>2</v>
      </c>
      <c r="CK57" s="294">
        <f t="shared" si="4"/>
        <v>2</v>
      </c>
      <c r="CL57" s="294">
        <f t="shared" si="4"/>
        <v>2</v>
      </c>
      <c r="CM57" s="294">
        <f t="shared" si="4"/>
        <v>2</v>
      </c>
      <c r="CN57" s="294">
        <f t="shared" si="4"/>
        <v>2</v>
      </c>
      <c r="CO57" s="294">
        <f t="shared" si="4"/>
        <v>2</v>
      </c>
      <c r="CP57" s="294">
        <f t="shared" si="4"/>
        <v>2</v>
      </c>
      <c r="CQ57" s="294">
        <f t="shared" si="4"/>
        <v>2</v>
      </c>
      <c r="CR57" s="294">
        <f t="shared" si="4"/>
        <v>2</v>
      </c>
      <c r="CS57" s="294">
        <f t="shared" si="4"/>
        <v>2</v>
      </c>
      <c r="CT57" s="294">
        <f t="shared" si="4"/>
        <v>2</v>
      </c>
      <c r="CU57" s="294">
        <f t="shared" si="4"/>
        <v>2</v>
      </c>
      <c r="CV57" s="294">
        <f t="shared" si="4"/>
        <v>2</v>
      </c>
      <c r="CW57" s="294">
        <f t="shared" si="4"/>
        <v>2</v>
      </c>
      <c r="CX57" s="294">
        <f t="shared" si="5"/>
        <v>2</v>
      </c>
      <c r="CY57" s="294">
        <f t="shared" si="5"/>
        <v>2</v>
      </c>
      <c r="CZ57" s="294">
        <f t="shared" si="5"/>
        <v>2</v>
      </c>
      <c r="DA57" s="294">
        <f t="shared" si="5"/>
        <v>2</v>
      </c>
      <c r="DB57" s="294">
        <f t="shared" si="5"/>
        <v>2</v>
      </c>
      <c r="DC57" s="294">
        <f t="shared" si="5"/>
        <v>2</v>
      </c>
      <c r="DD57" s="294">
        <f t="shared" si="5"/>
        <v>2</v>
      </c>
      <c r="DE57" s="294">
        <f t="shared" si="5"/>
        <v>2</v>
      </c>
      <c r="DF57" s="294">
        <f t="shared" si="5"/>
        <v>2</v>
      </c>
      <c r="DG57" s="294">
        <f t="shared" si="5"/>
        <v>2</v>
      </c>
      <c r="DH57" s="294">
        <f t="shared" si="5"/>
        <v>2</v>
      </c>
      <c r="DI57" s="294">
        <f t="shared" si="5"/>
        <v>2</v>
      </c>
      <c r="DJ57" s="294">
        <f t="shared" si="5"/>
        <v>2</v>
      </c>
      <c r="DK57" s="294">
        <f t="shared" si="5"/>
        <v>2</v>
      </c>
      <c r="DL57" s="294">
        <f t="shared" si="5"/>
        <v>2</v>
      </c>
      <c r="DM57" s="294">
        <f t="shared" si="5"/>
        <v>2</v>
      </c>
      <c r="DN57" s="294">
        <f t="shared" si="6"/>
        <v>2</v>
      </c>
      <c r="DO57" s="294">
        <f t="shared" si="6"/>
        <v>2</v>
      </c>
      <c r="DP57" s="294">
        <f t="shared" si="6"/>
        <v>2</v>
      </c>
      <c r="DQ57" s="294">
        <f t="shared" si="6"/>
        <v>2</v>
      </c>
      <c r="DR57" s="294">
        <f t="shared" si="6"/>
        <v>2</v>
      </c>
      <c r="DS57" s="294">
        <f t="shared" si="6"/>
        <v>2</v>
      </c>
      <c r="DT57" s="294">
        <f t="shared" si="6"/>
        <v>2</v>
      </c>
      <c r="DU57" s="294">
        <f t="shared" si="6"/>
        <v>2</v>
      </c>
      <c r="DV57" s="294">
        <f t="shared" si="6"/>
        <v>2</v>
      </c>
      <c r="DW57" s="294">
        <f t="shared" si="6"/>
        <v>2</v>
      </c>
      <c r="DX57" s="294">
        <f t="shared" si="6"/>
        <v>2</v>
      </c>
      <c r="DY57" s="294">
        <f t="shared" si="6"/>
        <v>2</v>
      </c>
      <c r="DZ57" s="294">
        <f t="shared" si="6"/>
        <v>2</v>
      </c>
      <c r="EA57" s="294">
        <f t="shared" si="6"/>
        <v>2</v>
      </c>
      <c r="EB57" s="294">
        <f t="shared" si="6"/>
        <v>2</v>
      </c>
      <c r="EC57" s="294">
        <f t="shared" si="6"/>
        <v>2</v>
      </c>
      <c r="ED57" s="294">
        <f t="shared" si="7"/>
        <v>2</v>
      </c>
      <c r="EE57" s="294">
        <f t="shared" si="7"/>
        <v>2</v>
      </c>
      <c r="EF57" s="294">
        <f t="shared" si="7"/>
        <v>2</v>
      </c>
      <c r="EG57" s="294">
        <f t="shared" si="7"/>
        <v>2</v>
      </c>
      <c r="EH57" s="294">
        <f t="shared" si="7"/>
        <v>2</v>
      </c>
      <c r="EI57" s="294">
        <f t="shared" si="7"/>
        <v>2</v>
      </c>
      <c r="EJ57" s="294">
        <f t="shared" si="7"/>
        <v>2</v>
      </c>
      <c r="EK57" s="294">
        <f t="shared" si="7"/>
        <v>2</v>
      </c>
      <c r="EL57" s="294">
        <f t="shared" si="7"/>
        <v>2</v>
      </c>
      <c r="EM57" s="294">
        <f t="shared" si="7"/>
        <v>2</v>
      </c>
      <c r="EN57" s="294">
        <f t="shared" si="7"/>
        <v>2</v>
      </c>
      <c r="EO57" s="294">
        <f t="shared" si="7"/>
        <v>2</v>
      </c>
      <c r="EP57" s="294">
        <f t="shared" si="7"/>
        <v>2</v>
      </c>
      <c r="EQ57" s="294">
        <f t="shared" si="7"/>
        <v>2</v>
      </c>
      <c r="ER57" s="294">
        <f t="shared" si="7"/>
        <v>2</v>
      </c>
      <c r="ES57" s="294">
        <f t="shared" si="7"/>
        <v>2</v>
      </c>
      <c r="ET57" s="294">
        <f t="shared" si="8"/>
        <v>2</v>
      </c>
      <c r="EU57" s="294">
        <f t="shared" si="8"/>
        <v>2</v>
      </c>
      <c r="EV57" s="294">
        <f t="shared" si="8"/>
        <v>2</v>
      </c>
      <c r="EW57" s="294">
        <f t="shared" si="8"/>
        <v>2</v>
      </c>
      <c r="EX57" s="294">
        <f t="shared" si="8"/>
        <v>2</v>
      </c>
      <c r="EY57" s="294">
        <f t="shared" si="8"/>
        <v>2</v>
      </c>
      <c r="EZ57" s="294">
        <f t="shared" si="8"/>
        <v>2</v>
      </c>
      <c r="FA57" s="294">
        <f t="shared" si="8"/>
        <v>2</v>
      </c>
      <c r="FB57" s="294">
        <f t="shared" si="8"/>
        <v>2</v>
      </c>
      <c r="FC57" s="294">
        <f t="shared" si="8"/>
        <v>2</v>
      </c>
      <c r="FD57" s="294">
        <f t="shared" si="8"/>
        <v>2</v>
      </c>
      <c r="FE57" s="294">
        <f t="shared" si="8"/>
        <v>2</v>
      </c>
      <c r="FF57" s="294">
        <f t="shared" si="8"/>
        <v>2</v>
      </c>
      <c r="FG57" s="294">
        <f t="shared" si="8"/>
        <v>2</v>
      </c>
      <c r="FH57" s="294">
        <f t="shared" si="8"/>
        <v>2</v>
      </c>
      <c r="FI57" s="294">
        <f t="shared" si="8"/>
        <v>2</v>
      </c>
      <c r="FJ57" s="294">
        <f t="shared" si="9"/>
        <v>2</v>
      </c>
      <c r="FK57" s="294">
        <f t="shared" si="9"/>
        <v>2</v>
      </c>
      <c r="FL57" s="294">
        <f t="shared" si="9"/>
        <v>2</v>
      </c>
      <c r="FM57" s="294">
        <f t="shared" si="9"/>
        <v>2</v>
      </c>
      <c r="FN57" s="294">
        <f t="shared" si="9"/>
        <v>2</v>
      </c>
      <c r="FO57" s="294">
        <f t="shared" si="9"/>
        <v>2</v>
      </c>
      <c r="FP57" s="294">
        <f t="shared" si="9"/>
        <v>2</v>
      </c>
      <c r="FQ57" s="294">
        <f t="shared" si="9"/>
        <v>2</v>
      </c>
      <c r="FR57" s="294">
        <f t="shared" si="9"/>
        <v>2</v>
      </c>
      <c r="FS57" s="294">
        <f t="shared" si="9"/>
        <v>2</v>
      </c>
      <c r="FT57" s="294">
        <f t="shared" si="9"/>
        <v>2</v>
      </c>
      <c r="FU57" s="294">
        <f t="shared" si="9"/>
        <v>2</v>
      </c>
      <c r="FV57" s="294">
        <f t="shared" si="9"/>
        <v>2</v>
      </c>
      <c r="FW57" s="294">
        <f t="shared" si="9"/>
        <v>2</v>
      </c>
      <c r="FX57" s="294">
        <f t="shared" si="9"/>
        <v>2</v>
      </c>
      <c r="FY57" s="294">
        <f t="shared" si="9"/>
        <v>2</v>
      </c>
      <c r="FZ57" s="294">
        <f t="shared" si="10"/>
        <v>2</v>
      </c>
      <c r="GA57" s="294">
        <f t="shared" si="10"/>
        <v>2</v>
      </c>
      <c r="GB57" s="294">
        <f t="shared" si="10"/>
        <v>2</v>
      </c>
      <c r="GC57" s="294">
        <f t="shared" si="10"/>
        <v>2</v>
      </c>
      <c r="GD57" s="294">
        <f t="shared" si="10"/>
        <v>2</v>
      </c>
      <c r="GE57" s="294">
        <f t="shared" si="10"/>
        <v>2</v>
      </c>
      <c r="GF57" s="294">
        <f t="shared" si="10"/>
        <v>2</v>
      </c>
      <c r="GG57" s="294">
        <f t="shared" si="10"/>
        <v>2</v>
      </c>
      <c r="GH57" s="294">
        <f t="shared" si="10"/>
        <v>2</v>
      </c>
      <c r="GI57" s="294">
        <f t="shared" si="10"/>
        <v>2</v>
      </c>
      <c r="GJ57" s="294">
        <f t="shared" si="10"/>
        <v>2</v>
      </c>
      <c r="GK57" s="294">
        <f t="shared" si="10"/>
        <v>2</v>
      </c>
      <c r="GL57" s="294">
        <f t="shared" si="10"/>
        <v>2</v>
      </c>
      <c r="GM57" s="294">
        <f t="shared" si="10"/>
        <v>2</v>
      </c>
      <c r="GN57" s="294">
        <f t="shared" si="10"/>
        <v>2</v>
      </c>
      <c r="GO57" s="294">
        <f t="shared" si="10"/>
        <v>2</v>
      </c>
      <c r="GP57" s="294">
        <f t="shared" si="11"/>
        <v>2</v>
      </c>
      <c r="GQ57" s="294">
        <f t="shared" si="11"/>
        <v>2</v>
      </c>
      <c r="GR57" s="294">
        <f t="shared" si="11"/>
        <v>2</v>
      </c>
      <c r="GS57" s="294">
        <f t="shared" si="11"/>
        <v>2</v>
      </c>
      <c r="GT57" s="294">
        <f t="shared" si="11"/>
        <v>2</v>
      </c>
      <c r="GU57" s="294">
        <f t="shared" si="11"/>
        <v>2</v>
      </c>
      <c r="GV57" s="294">
        <f t="shared" si="11"/>
        <v>2</v>
      </c>
      <c r="GW57" s="294">
        <f t="shared" si="11"/>
        <v>2</v>
      </c>
      <c r="GX57" s="294">
        <f t="shared" si="11"/>
        <v>2</v>
      </c>
      <c r="GY57" s="294">
        <f t="shared" si="11"/>
        <v>2</v>
      </c>
      <c r="GZ57" s="294">
        <f t="shared" si="11"/>
        <v>2</v>
      </c>
      <c r="HA57" s="294">
        <f t="shared" si="11"/>
        <v>2</v>
      </c>
      <c r="HB57" s="294">
        <f t="shared" si="11"/>
        <v>2</v>
      </c>
      <c r="HC57" s="294">
        <f t="shared" si="11"/>
        <v>2</v>
      </c>
      <c r="HD57" s="294">
        <f t="shared" si="11"/>
        <v>2</v>
      </c>
      <c r="HE57" s="294">
        <f t="shared" si="11"/>
        <v>2</v>
      </c>
      <c r="HF57" s="294">
        <f t="shared" si="12"/>
        <v>2</v>
      </c>
      <c r="HG57" s="294">
        <f t="shared" si="12"/>
        <v>2</v>
      </c>
      <c r="HH57" s="294">
        <f t="shared" si="12"/>
        <v>2</v>
      </c>
      <c r="HI57" s="294">
        <f t="shared" si="12"/>
        <v>2</v>
      </c>
      <c r="HJ57" s="294">
        <f t="shared" si="12"/>
        <v>2</v>
      </c>
      <c r="HK57" s="294">
        <f t="shared" si="12"/>
        <v>2</v>
      </c>
      <c r="HL57" s="294">
        <f t="shared" si="12"/>
        <v>2</v>
      </c>
      <c r="HM57" s="294">
        <f t="shared" si="12"/>
        <v>2</v>
      </c>
      <c r="HN57" s="294">
        <f t="shared" si="12"/>
        <v>2</v>
      </c>
      <c r="HO57" s="294">
        <f t="shared" si="12"/>
        <v>2</v>
      </c>
      <c r="HP57" s="294">
        <f t="shared" si="12"/>
        <v>2</v>
      </c>
      <c r="HQ57" s="294">
        <f t="shared" si="12"/>
        <v>2</v>
      </c>
      <c r="HR57" s="294">
        <f t="shared" si="12"/>
        <v>2</v>
      </c>
      <c r="HS57" s="294">
        <f t="shared" si="12"/>
        <v>2</v>
      </c>
      <c r="HT57" s="294">
        <f t="shared" si="12"/>
        <v>2</v>
      </c>
      <c r="HU57" s="294">
        <f t="shared" si="12"/>
        <v>2</v>
      </c>
      <c r="HV57" s="294">
        <f t="shared" si="13"/>
        <v>2</v>
      </c>
      <c r="HW57" s="294">
        <f t="shared" si="13"/>
        <v>2</v>
      </c>
      <c r="HX57" s="294">
        <f t="shared" si="13"/>
        <v>2</v>
      </c>
      <c r="HY57" s="294">
        <f t="shared" si="13"/>
        <v>2</v>
      </c>
      <c r="HZ57" s="294">
        <f t="shared" si="13"/>
        <v>2</v>
      </c>
      <c r="IA57" s="294">
        <f t="shared" si="13"/>
        <v>2</v>
      </c>
      <c r="IB57" s="294">
        <f t="shared" si="13"/>
        <v>2</v>
      </c>
      <c r="IC57" s="294">
        <f t="shared" si="13"/>
        <v>2</v>
      </c>
      <c r="ID57" s="294">
        <f t="shared" si="13"/>
        <v>2</v>
      </c>
      <c r="IE57" s="294">
        <f t="shared" si="13"/>
        <v>2</v>
      </c>
      <c r="IF57" s="294">
        <f t="shared" si="13"/>
        <v>2</v>
      </c>
      <c r="IG57" s="294">
        <f t="shared" si="13"/>
        <v>2</v>
      </c>
      <c r="IH57" s="294">
        <f t="shared" si="13"/>
        <v>2</v>
      </c>
      <c r="II57" s="294">
        <f t="shared" si="13"/>
        <v>2</v>
      </c>
      <c r="IJ57" s="294">
        <f t="shared" si="13"/>
        <v>2</v>
      </c>
      <c r="IK57" s="294">
        <f t="shared" si="13"/>
        <v>2</v>
      </c>
      <c r="IL57" s="294">
        <f t="shared" si="14"/>
        <v>2</v>
      </c>
      <c r="IM57" s="294">
        <f t="shared" si="14"/>
        <v>2</v>
      </c>
      <c r="IN57" s="294">
        <f t="shared" si="14"/>
        <v>2</v>
      </c>
      <c r="IO57" s="294">
        <f t="shared" si="14"/>
        <v>2</v>
      </c>
      <c r="IP57" s="294">
        <f t="shared" si="14"/>
        <v>2</v>
      </c>
      <c r="IQ57" s="294">
        <f t="shared" si="14"/>
        <v>2</v>
      </c>
      <c r="IR57" s="294">
        <f t="shared" si="14"/>
        <v>2</v>
      </c>
      <c r="IS57" s="294">
        <f t="shared" si="14"/>
        <v>2</v>
      </c>
      <c r="IT57" s="294">
        <f t="shared" si="14"/>
        <v>2</v>
      </c>
      <c r="IU57" s="294">
        <f t="shared" si="14"/>
        <v>2</v>
      </c>
      <c r="IV57" s="294">
        <f>+IF(T57="",1,2)</f>
        <v>1</v>
      </c>
    </row>
    <row r="58" spans="1:256" s="117" customFormat="1" x14ac:dyDescent="0.2">
      <c r="A58" s="124" t="s">
        <v>64</v>
      </c>
      <c r="B58" s="92"/>
      <c r="C58" s="158"/>
      <c r="D58" s="158"/>
      <c r="E58" s="92"/>
      <c r="F58" s="92"/>
      <c r="G58" s="146"/>
      <c r="H58" s="92"/>
      <c r="I58" s="92"/>
      <c r="J58" s="124"/>
      <c r="K58" s="92"/>
      <c r="L58" s="92"/>
      <c r="M58" s="159"/>
      <c r="N58" s="92"/>
      <c r="O58" s="124"/>
      <c r="P58" s="92"/>
      <c r="Q58" s="92"/>
      <c r="R58" s="92"/>
      <c r="S58" s="293"/>
      <c r="T58" s="293"/>
      <c r="U58" s="294">
        <f>+IF(S58="",1,2)</f>
        <v>1</v>
      </c>
      <c r="V58" s="294">
        <f t="shared" si="0"/>
        <v>1</v>
      </c>
      <c r="W58" s="294">
        <f t="shared" si="0"/>
        <v>2</v>
      </c>
      <c r="X58" s="294">
        <f t="shared" si="0"/>
        <v>2</v>
      </c>
      <c r="Y58" s="294">
        <f t="shared" si="0"/>
        <v>2</v>
      </c>
      <c r="Z58" s="294">
        <f t="shared" si="0"/>
        <v>2</v>
      </c>
      <c r="AA58" s="294">
        <f t="shared" si="0"/>
        <v>2</v>
      </c>
      <c r="AB58" s="294">
        <f t="shared" si="0"/>
        <v>2</v>
      </c>
      <c r="AC58" s="294">
        <f t="shared" si="0"/>
        <v>2</v>
      </c>
      <c r="AD58" s="294">
        <f t="shared" si="0"/>
        <v>2</v>
      </c>
      <c r="AE58" s="294">
        <f t="shared" si="0"/>
        <v>2</v>
      </c>
      <c r="AF58" s="294">
        <f t="shared" si="0"/>
        <v>2</v>
      </c>
      <c r="AG58" s="294">
        <f t="shared" si="0"/>
        <v>2</v>
      </c>
      <c r="AH58" s="294">
        <f t="shared" si="0"/>
        <v>2</v>
      </c>
      <c r="AI58" s="294">
        <f t="shared" si="0"/>
        <v>2</v>
      </c>
      <c r="AJ58" s="294">
        <f t="shared" si="0"/>
        <v>2</v>
      </c>
      <c r="AK58" s="294">
        <f t="shared" si="0"/>
        <v>2</v>
      </c>
      <c r="AL58" s="294">
        <f t="shared" si="1"/>
        <v>2</v>
      </c>
      <c r="AM58" s="294">
        <f t="shared" si="1"/>
        <v>2</v>
      </c>
      <c r="AN58" s="294">
        <f t="shared" si="1"/>
        <v>2</v>
      </c>
      <c r="AO58" s="294">
        <f t="shared" si="1"/>
        <v>2</v>
      </c>
      <c r="AP58" s="294">
        <f t="shared" si="1"/>
        <v>2</v>
      </c>
      <c r="AQ58" s="294">
        <f t="shared" si="1"/>
        <v>2</v>
      </c>
      <c r="AR58" s="294">
        <f t="shared" si="1"/>
        <v>2</v>
      </c>
      <c r="AS58" s="294">
        <f t="shared" si="1"/>
        <v>2</v>
      </c>
      <c r="AT58" s="294">
        <f t="shared" si="1"/>
        <v>2</v>
      </c>
      <c r="AU58" s="294">
        <f t="shared" si="1"/>
        <v>2</v>
      </c>
      <c r="AV58" s="294">
        <f t="shared" si="1"/>
        <v>2</v>
      </c>
      <c r="AW58" s="294">
        <f t="shared" si="1"/>
        <v>2</v>
      </c>
      <c r="AX58" s="294">
        <f t="shared" si="1"/>
        <v>2</v>
      </c>
      <c r="AY58" s="294">
        <f t="shared" si="1"/>
        <v>2</v>
      </c>
      <c r="AZ58" s="294">
        <f t="shared" si="1"/>
        <v>2</v>
      </c>
      <c r="BA58" s="294">
        <f t="shared" si="1"/>
        <v>2</v>
      </c>
      <c r="BB58" s="294">
        <f t="shared" si="2"/>
        <v>2</v>
      </c>
      <c r="BC58" s="294">
        <f t="shared" si="2"/>
        <v>2</v>
      </c>
      <c r="BD58" s="294">
        <f t="shared" si="2"/>
        <v>2</v>
      </c>
      <c r="BE58" s="294">
        <f t="shared" si="2"/>
        <v>2</v>
      </c>
      <c r="BF58" s="294">
        <f t="shared" si="2"/>
        <v>2</v>
      </c>
      <c r="BG58" s="294">
        <f t="shared" si="2"/>
        <v>2</v>
      </c>
      <c r="BH58" s="294">
        <f t="shared" si="2"/>
        <v>2</v>
      </c>
      <c r="BI58" s="294">
        <f t="shared" si="2"/>
        <v>2</v>
      </c>
      <c r="BJ58" s="294">
        <f t="shared" si="2"/>
        <v>2</v>
      </c>
      <c r="BK58" s="294">
        <f t="shared" si="2"/>
        <v>2</v>
      </c>
      <c r="BL58" s="294">
        <f t="shared" si="2"/>
        <v>2</v>
      </c>
      <c r="BM58" s="294">
        <f t="shared" si="2"/>
        <v>2</v>
      </c>
      <c r="BN58" s="294">
        <f t="shared" si="2"/>
        <v>2</v>
      </c>
      <c r="BO58" s="294">
        <f t="shared" si="2"/>
        <v>2</v>
      </c>
      <c r="BP58" s="294">
        <f t="shared" si="2"/>
        <v>2</v>
      </c>
      <c r="BQ58" s="294">
        <f t="shared" si="2"/>
        <v>2</v>
      </c>
      <c r="BR58" s="294">
        <f t="shared" si="3"/>
        <v>2</v>
      </c>
      <c r="BS58" s="294">
        <f t="shared" si="3"/>
        <v>2</v>
      </c>
      <c r="BT58" s="294">
        <f t="shared" si="3"/>
        <v>2</v>
      </c>
      <c r="BU58" s="294">
        <f t="shared" si="3"/>
        <v>2</v>
      </c>
      <c r="BV58" s="294">
        <f t="shared" si="3"/>
        <v>2</v>
      </c>
      <c r="BW58" s="294">
        <f t="shared" si="3"/>
        <v>2</v>
      </c>
      <c r="BX58" s="294">
        <f t="shared" si="3"/>
        <v>2</v>
      </c>
      <c r="BY58" s="294">
        <f t="shared" si="3"/>
        <v>2</v>
      </c>
      <c r="BZ58" s="294">
        <f t="shared" si="3"/>
        <v>2</v>
      </c>
      <c r="CA58" s="294">
        <f t="shared" si="3"/>
        <v>2</v>
      </c>
      <c r="CB58" s="294">
        <f t="shared" si="3"/>
        <v>2</v>
      </c>
      <c r="CC58" s="294">
        <f t="shared" si="3"/>
        <v>2</v>
      </c>
      <c r="CD58" s="294">
        <f t="shared" si="3"/>
        <v>2</v>
      </c>
      <c r="CE58" s="294">
        <f t="shared" si="3"/>
        <v>2</v>
      </c>
      <c r="CF58" s="294">
        <f t="shared" si="3"/>
        <v>2</v>
      </c>
      <c r="CG58" s="294">
        <f t="shared" si="3"/>
        <v>2</v>
      </c>
      <c r="CH58" s="294">
        <f t="shared" si="4"/>
        <v>2</v>
      </c>
      <c r="CI58" s="294">
        <f t="shared" si="4"/>
        <v>2</v>
      </c>
      <c r="CJ58" s="294">
        <f t="shared" si="4"/>
        <v>2</v>
      </c>
      <c r="CK58" s="294">
        <f t="shared" si="4"/>
        <v>2</v>
      </c>
      <c r="CL58" s="294">
        <f t="shared" si="4"/>
        <v>2</v>
      </c>
      <c r="CM58" s="294">
        <f t="shared" si="4"/>
        <v>2</v>
      </c>
      <c r="CN58" s="294">
        <f t="shared" si="4"/>
        <v>2</v>
      </c>
      <c r="CO58" s="294">
        <f t="shared" si="4"/>
        <v>2</v>
      </c>
      <c r="CP58" s="294">
        <f t="shared" si="4"/>
        <v>2</v>
      </c>
      <c r="CQ58" s="294">
        <f t="shared" si="4"/>
        <v>2</v>
      </c>
      <c r="CR58" s="294">
        <f t="shared" si="4"/>
        <v>2</v>
      </c>
      <c r="CS58" s="294">
        <f t="shared" si="4"/>
        <v>2</v>
      </c>
      <c r="CT58" s="294">
        <f t="shared" si="4"/>
        <v>2</v>
      </c>
      <c r="CU58" s="294">
        <f t="shared" si="4"/>
        <v>2</v>
      </c>
      <c r="CV58" s="294">
        <f t="shared" si="4"/>
        <v>2</v>
      </c>
      <c r="CW58" s="294">
        <f t="shared" si="4"/>
        <v>2</v>
      </c>
      <c r="CX58" s="294">
        <f t="shared" si="5"/>
        <v>2</v>
      </c>
      <c r="CY58" s="294">
        <f t="shared" si="5"/>
        <v>2</v>
      </c>
      <c r="CZ58" s="294">
        <f t="shared" si="5"/>
        <v>2</v>
      </c>
      <c r="DA58" s="294">
        <f t="shared" si="5"/>
        <v>2</v>
      </c>
      <c r="DB58" s="294">
        <f t="shared" si="5"/>
        <v>2</v>
      </c>
      <c r="DC58" s="294">
        <f t="shared" si="5"/>
        <v>2</v>
      </c>
      <c r="DD58" s="294">
        <f t="shared" si="5"/>
        <v>2</v>
      </c>
      <c r="DE58" s="294">
        <f t="shared" si="5"/>
        <v>2</v>
      </c>
      <c r="DF58" s="294">
        <f t="shared" si="5"/>
        <v>2</v>
      </c>
      <c r="DG58" s="294">
        <f t="shared" si="5"/>
        <v>2</v>
      </c>
      <c r="DH58" s="294">
        <f t="shared" si="5"/>
        <v>2</v>
      </c>
      <c r="DI58" s="294">
        <f t="shared" si="5"/>
        <v>2</v>
      </c>
      <c r="DJ58" s="294">
        <f t="shared" si="5"/>
        <v>2</v>
      </c>
      <c r="DK58" s="294">
        <f t="shared" si="5"/>
        <v>2</v>
      </c>
      <c r="DL58" s="294">
        <f t="shared" si="5"/>
        <v>2</v>
      </c>
      <c r="DM58" s="294">
        <f t="shared" si="5"/>
        <v>2</v>
      </c>
      <c r="DN58" s="294">
        <f t="shared" si="6"/>
        <v>2</v>
      </c>
      <c r="DO58" s="294">
        <f t="shared" si="6"/>
        <v>2</v>
      </c>
      <c r="DP58" s="294">
        <f t="shared" si="6"/>
        <v>2</v>
      </c>
      <c r="DQ58" s="294">
        <f t="shared" si="6"/>
        <v>2</v>
      </c>
      <c r="DR58" s="294">
        <f t="shared" si="6"/>
        <v>2</v>
      </c>
      <c r="DS58" s="294">
        <f t="shared" si="6"/>
        <v>2</v>
      </c>
      <c r="DT58" s="294">
        <f t="shared" si="6"/>
        <v>2</v>
      </c>
      <c r="DU58" s="294">
        <f t="shared" si="6"/>
        <v>2</v>
      </c>
      <c r="DV58" s="294">
        <f t="shared" si="6"/>
        <v>2</v>
      </c>
      <c r="DW58" s="294">
        <f t="shared" si="6"/>
        <v>2</v>
      </c>
      <c r="DX58" s="294">
        <f t="shared" si="6"/>
        <v>2</v>
      </c>
      <c r="DY58" s="294">
        <f t="shared" si="6"/>
        <v>2</v>
      </c>
      <c r="DZ58" s="294">
        <f t="shared" si="6"/>
        <v>2</v>
      </c>
      <c r="EA58" s="294">
        <f t="shared" si="6"/>
        <v>2</v>
      </c>
      <c r="EB58" s="294">
        <f t="shared" si="6"/>
        <v>2</v>
      </c>
      <c r="EC58" s="294">
        <f t="shared" si="6"/>
        <v>2</v>
      </c>
      <c r="ED58" s="294">
        <f t="shared" si="7"/>
        <v>2</v>
      </c>
      <c r="EE58" s="294">
        <f t="shared" si="7"/>
        <v>2</v>
      </c>
      <c r="EF58" s="294">
        <f t="shared" si="7"/>
        <v>2</v>
      </c>
      <c r="EG58" s="294">
        <f t="shared" si="7"/>
        <v>2</v>
      </c>
      <c r="EH58" s="294">
        <f t="shared" si="7"/>
        <v>2</v>
      </c>
      <c r="EI58" s="294">
        <f t="shared" si="7"/>
        <v>2</v>
      </c>
      <c r="EJ58" s="294">
        <f t="shared" si="7"/>
        <v>2</v>
      </c>
      <c r="EK58" s="294">
        <f t="shared" si="7"/>
        <v>2</v>
      </c>
      <c r="EL58" s="294">
        <f t="shared" si="7"/>
        <v>2</v>
      </c>
      <c r="EM58" s="294">
        <f t="shared" si="7"/>
        <v>2</v>
      </c>
      <c r="EN58" s="294">
        <f t="shared" si="7"/>
        <v>2</v>
      </c>
      <c r="EO58" s="294">
        <f t="shared" si="7"/>
        <v>2</v>
      </c>
      <c r="EP58" s="294">
        <f t="shared" si="7"/>
        <v>2</v>
      </c>
      <c r="EQ58" s="294">
        <f t="shared" si="7"/>
        <v>2</v>
      </c>
      <c r="ER58" s="294">
        <f t="shared" si="7"/>
        <v>2</v>
      </c>
      <c r="ES58" s="294">
        <f t="shared" si="7"/>
        <v>2</v>
      </c>
      <c r="ET58" s="294">
        <f t="shared" si="8"/>
        <v>2</v>
      </c>
      <c r="EU58" s="294">
        <f t="shared" si="8"/>
        <v>2</v>
      </c>
      <c r="EV58" s="294">
        <f t="shared" si="8"/>
        <v>2</v>
      </c>
      <c r="EW58" s="294">
        <f t="shared" si="8"/>
        <v>2</v>
      </c>
      <c r="EX58" s="294">
        <f t="shared" si="8"/>
        <v>2</v>
      </c>
      <c r="EY58" s="294">
        <f t="shared" si="8"/>
        <v>2</v>
      </c>
      <c r="EZ58" s="294">
        <f t="shared" si="8"/>
        <v>2</v>
      </c>
      <c r="FA58" s="294">
        <f t="shared" si="8"/>
        <v>2</v>
      </c>
      <c r="FB58" s="294">
        <f t="shared" si="8"/>
        <v>2</v>
      </c>
      <c r="FC58" s="294">
        <f t="shared" si="8"/>
        <v>2</v>
      </c>
      <c r="FD58" s="294">
        <f t="shared" si="8"/>
        <v>2</v>
      </c>
      <c r="FE58" s="294">
        <f t="shared" si="8"/>
        <v>2</v>
      </c>
      <c r="FF58" s="294">
        <f t="shared" si="8"/>
        <v>2</v>
      </c>
      <c r="FG58" s="294">
        <f t="shared" si="8"/>
        <v>2</v>
      </c>
      <c r="FH58" s="294">
        <f t="shared" si="8"/>
        <v>2</v>
      </c>
      <c r="FI58" s="294">
        <f t="shared" si="8"/>
        <v>2</v>
      </c>
      <c r="FJ58" s="294">
        <f t="shared" si="9"/>
        <v>2</v>
      </c>
      <c r="FK58" s="294">
        <f t="shared" si="9"/>
        <v>2</v>
      </c>
      <c r="FL58" s="294">
        <f t="shared" si="9"/>
        <v>2</v>
      </c>
      <c r="FM58" s="294">
        <f t="shared" si="9"/>
        <v>2</v>
      </c>
      <c r="FN58" s="294">
        <f t="shared" si="9"/>
        <v>2</v>
      </c>
      <c r="FO58" s="294">
        <f t="shared" si="9"/>
        <v>2</v>
      </c>
      <c r="FP58" s="294">
        <f t="shared" si="9"/>
        <v>2</v>
      </c>
      <c r="FQ58" s="294">
        <f t="shared" si="9"/>
        <v>2</v>
      </c>
      <c r="FR58" s="294">
        <f t="shared" si="9"/>
        <v>2</v>
      </c>
      <c r="FS58" s="294">
        <f t="shared" si="9"/>
        <v>2</v>
      </c>
      <c r="FT58" s="294">
        <f t="shared" si="9"/>
        <v>2</v>
      </c>
      <c r="FU58" s="294">
        <f t="shared" si="9"/>
        <v>2</v>
      </c>
      <c r="FV58" s="294">
        <f t="shared" si="9"/>
        <v>2</v>
      </c>
      <c r="FW58" s="294">
        <f t="shared" si="9"/>
        <v>2</v>
      </c>
      <c r="FX58" s="294">
        <f t="shared" si="9"/>
        <v>2</v>
      </c>
      <c r="FY58" s="294">
        <f t="shared" si="9"/>
        <v>2</v>
      </c>
      <c r="FZ58" s="294">
        <f t="shared" si="10"/>
        <v>2</v>
      </c>
      <c r="GA58" s="294">
        <f t="shared" si="10"/>
        <v>2</v>
      </c>
      <c r="GB58" s="294">
        <f t="shared" si="10"/>
        <v>2</v>
      </c>
      <c r="GC58" s="294">
        <f t="shared" si="10"/>
        <v>2</v>
      </c>
      <c r="GD58" s="294">
        <f t="shared" si="10"/>
        <v>2</v>
      </c>
      <c r="GE58" s="294">
        <f t="shared" si="10"/>
        <v>2</v>
      </c>
      <c r="GF58" s="294">
        <f t="shared" si="10"/>
        <v>2</v>
      </c>
      <c r="GG58" s="294">
        <f t="shared" si="10"/>
        <v>2</v>
      </c>
      <c r="GH58" s="294">
        <f t="shared" si="10"/>
        <v>2</v>
      </c>
      <c r="GI58" s="294">
        <f t="shared" si="10"/>
        <v>2</v>
      </c>
      <c r="GJ58" s="294">
        <f t="shared" si="10"/>
        <v>2</v>
      </c>
      <c r="GK58" s="294">
        <f t="shared" si="10"/>
        <v>2</v>
      </c>
      <c r="GL58" s="294">
        <f t="shared" si="10"/>
        <v>2</v>
      </c>
      <c r="GM58" s="294">
        <f t="shared" si="10"/>
        <v>2</v>
      </c>
      <c r="GN58" s="294">
        <f t="shared" si="10"/>
        <v>2</v>
      </c>
      <c r="GO58" s="294">
        <f t="shared" si="10"/>
        <v>2</v>
      </c>
      <c r="GP58" s="294">
        <f t="shared" si="11"/>
        <v>2</v>
      </c>
      <c r="GQ58" s="294">
        <f t="shared" si="11"/>
        <v>2</v>
      </c>
      <c r="GR58" s="294">
        <f t="shared" si="11"/>
        <v>2</v>
      </c>
      <c r="GS58" s="294">
        <f t="shared" si="11"/>
        <v>2</v>
      </c>
      <c r="GT58" s="294">
        <f t="shared" si="11"/>
        <v>2</v>
      </c>
      <c r="GU58" s="294">
        <f t="shared" si="11"/>
        <v>2</v>
      </c>
      <c r="GV58" s="294">
        <f t="shared" si="11"/>
        <v>2</v>
      </c>
      <c r="GW58" s="294">
        <f t="shared" si="11"/>
        <v>2</v>
      </c>
      <c r="GX58" s="294">
        <f t="shared" si="11"/>
        <v>2</v>
      </c>
      <c r="GY58" s="294">
        <f t="shared" si="11"/>
        <v>2</v>
      </c>
      <c r="GZ58" s="294">
        <f t="shared" si="11"/>
        <v>2</v>
      </c>
      <c r="HA58" s="294">
        <f t="shared" si="11"/>
        <v>2</v>
      </c>
      <c r="HB58" s="294">
        <f t="shared" si="11"/>
        <v>2</v>
      </c>
      <c r="HC58" s="294">
        <f t="shared" si="11"/>
        <v>2</v>
      </c>
      <c r="HD58" s="294">
        <f t="shared" si="11"/>
        <v>2</v>
      </c>
      <c r="HE58" s="294">
        <f t="shared" si="11"/>
        <v>2</v>
      </c>
      <c r="HF58" s="294">
        <f t="shared" si="12"/>
        <v>2</v>
      </c>
      <c r="HG58" s="294">
        <f t="shared" si="12"/>
        <v>2</v>
      </c>
      <c r="HH58" s="294">
        <f t="shared" si="12"/>
        <v>2</v>
      </c>
      <c r="HI58" s="294">
        <f t="shared" si="12"/>
        <v>2</v>
      </c>
      <c r="HJ58" s="294">
        <f t="shared" si="12"/>
        <v>2</v>
      </c>
      <c r="HK58" s="294">
        <f t="shared" si="12"/>
        <v>2</v>
      </c>
      <c r="HL58" s="294">
        <f t="shared" si="12"/>
        <v>2</v>
      </c>
      <c r="HM58" s="294">
        <f t="shared" si="12"/>
        <v>2</v>
      </c>
      <c r="HN58" s="294">
        <f t="shared" si="12"/>
        <v>2</v>
      </c>
      <c r="HO58" s="294">
        <f t="shared" si="12"/>
        <v>2</v>
      </c>
      <c r="HP58" s="294">
        <f t="shared" si="12"/>
        <v>2</v>
      </c>
      <c r="HQ58" s="294">
        <f t="shared" si="12"/>
        <v>2</v>
      </c>
      <c r="HR58" s="294">
        <f t="shared" si="12"/>
        <v>2</v>
      </c>
      <c r="HS58" s="294">
        <f t="shared" si="12"/>
        <v>2</v>
      </c>
      <c r="HT58" s="294">
        <f t="shared" si="12"/>
        <v>2</v>
      </c>
      <c r="HU58" s="294">
        <f t="shared" si="12"/>
        <v>2</v>
      </c>
      <c r="HV58" s="294">
        <f t="shared" si="13"/>
        <v>2</v>
      </c>
      <c r="HW58" s="294">
        <f t="shared" si="13"/>
        <v>2</v>
      </c>
      <c r="HX58" s="294">
        <f t="shared" si="13"/>
        <v>2</v>
      </c>
      <c r="HY58" s="294">
        <f t="shared" si="13"/>
        <v>2</v>
      </c>
      <c r="HZ58" s="294">
        <f t="shared" si="13"/>
        <v>2</v>
      </c>
      <c r="IA58" s="294">
        <f t="shared" si="13"/>
        <v>2</v>
      </c>
      <c r="IB58" s="294">
        <f t="shared" si="13"/>
        <v>2</v>
      </c>
      <c r="IC58" s="294">
        <f t="shared" si="13"/>
        <v>2</v>
      </c>
      <c r="ID58" s="294">
        <f t="shared" si="13"/>
        <v>2</v>
      </c>
      <c r="IE58" s="294">
        <f t="shared" si="13"/>
        <v>2</v>
      </c>
      <c r="IF58" s="294">
        <f t="shared" si="13"/>
        <v>2</v>
      </c>
      <c r="IG58" s="294">
        <f t="shared" si="13"/>
        <v>2</v>
      </c>
      <c r="IH58" s="294">
        <f t="shared" si="13"/>
        <v>2</v>
      </c>
      <c r="II58" s="294">
        <f t="shared" si="13"/>
        <v>2</v>
      </c>
      <c r="IJ58" s="294">
        <f t="shared" si="13"/>
        <v>2</v>
      </c>
      <c r="IK58" s="294">
        <f t="shared" si="13"/>
        <v>2</v>
      </c>
      <c r="IL58" s="294">
        <f t="shared" si="14"/>
        <v>2</v>
      </c>
      <c r="IM58" s="294">
        <f t="shared" si="14"/>
        <v>2</v>
      </c>
      <c r="IN58" s="294">
        <f t="shared" si="14"/>
        <v>2</v>
      </c>
      <c r="IO58" s="294">
        <f t="shared" si="14"/>
        <v>2</v>
      </c>
      <c r="IP58" s="294">
        <f t="shared" si="14"/>
        <v>2</v>
      </c>
      <c r="IQ58" s="294">
        <f t="shared" si="14"/>
        <v>2</v>
      </c>
      <c r="IR58" s="294">
        <f t="shared" si="14"/>
        <v>2</v>
      </c>
      <c r="IS58" s="294">
        <f t="shared" si="14"/>
        <v>2</v>
      </c>
      <c r="IT58" s="294">
        <f t="shared" si="14"/>
        <v>2</v>
      </c>
      <c r="IU58" s="294">
        <f t="shared" si="14"/>
        <v>2</v>
      </c>
      <c r="IV58" s="294">
        <f>+IF(T58="",1,2)</f>
        <v>1</v>
      </c>
    </row>
    <row r="59" spans="1:256" s="117" customFormat="1" x14ac:dyDescent="0.2">
      <c r="A59" s="124" t="s">
        <v>66</v>
      </c>
      <c r="B59" s="92"/>
      <c r="C59" s="158"/>
      <c r="D59" s="158"/>
      <c r="E59" s="92"/>
      <c r="F59" s="92"/>
      <c r="G59" s="146"/>
      <c r="H59" s="92"/>
      <c r="I59" s="92"/>
      <c r="J59" s="124"/>
      <c r="K59" s="92"/>
      <c r="L59" s="92"/>
      <c r="M59" s="159"/>
      <c r="N59" s="163"/>
      <c r="O59" s="337"/>
      <c r="P59" s="340"/>
      <c r="Q59" s="340"/>
      <c r="R59" s="92"/>
      <c r="S59" s="295"/>
      <c r="T59" s="296"/>
      <c r="U59" s="294">
        <f>+SUM(U55:U58)</f>
        <v>4</v>
      </c>
      <c r="V59" s="294">
        <f t="shared" ref="V59:CG59" si="15">+SUM(V55:V58)</f>
        <v>3</v>
      </c>
      <c r="W59" s="294">
        <f t="shared" si="15"/>
        <v>6</v>
      </c>
      <c r="X59" s="294">
        <f t="shared" si="15"/>
        <v>6</v>
      </c>
      <c r="Y59" s="294">
        <f t="shared" si="15"/>
        <v>6</v>
      </c>
      <c r="Z59" s="294">
        <f t="shared" si="15"/>
        <v>6</v>
      </c>
      <c r="AA59" s="294">
        <f t="shared" si="15"/>
        <v>6</v>
      </c>
      <c r="AB59" s="294">
        <f t="shared" si="15"/>
        <v>6</v>
      </c>
      <c r="AC59" s="294">
        <f t="shared" si="15"/>
        <v>6</v>
      </c>
      <c r="AD59" s="294">
        <f t="shared" si="15"/>
        <v>6</v>
      </c>
      <c r="AE59" s="294">
        <f t="shared" si="15"/>
        <v>6</v>
      </c>
      <c r="AF59" s="294">
        <f t="shared" si="15"/>
        <v>6</v>
      </c>
      <c r="AG59" s="294">
        <f t="shared" si="15"/>
        <v>6</v>
      </c>
      <c r="AH59" s="294">
        <f t="shared" si="15"/>
        <v>6</v>
      </c>
      <c r="AI59" s="294">
        <f t="shared" si="15"/>
        <v>6</v>
      </c>
      <c r="AJ59" s="294">
        <f t="shared" si="15"/>
        <v>6</v>
      </c>
      <c r="AK59" s="294">
        <f t="shared" si="15"/>
        <v>6</v>
      </c>
      <c r="AL59" s="294">
        <f t="shared" si="15"/>
        <v>6</v>
      </c>
      <c r="AM59" s="294">
        <f t="shared" si="15"/>
        <v>6</v>
      </c>
      <c r="AN59" s="294">
        <f t="shared" si="15"/>
        <v>6</v>
      </c>
      <c r="AO59" s="294">
        <f t="shared" si="15"/>
        <v>6</v>
      </c>
      <c r="AP59" s="294">
        <f t="shared" si="15"/>
        <v>6</v>
      </c>
      <c r="AQ59" s="294">
        <f t="shared" si="15"/>
        <v>6</v>
      </c>
      <c r="AR59" s="294">
        <f t="shared" si="15"/>
        <v>6</v>
      </c>
      <c r="AS59" s="294">
        <f t="shared" si="15"/>
        <v>6</v>
      </c>
      <c r="AT59" s="294">
        <f t="shared" si="15"/>
        <v>6</v>
      </c>
      <c r="AU59" s="294">
        <f t="shared" si="15"/>
        <v>6</v>
      </c>
      <c r="AV59" s="294">
        <f t="shared" si="15"/>
        <v>6</v>
      </c>
      <c r="AW59" s="294">
        <f t="shared" si="15"/>
        <v>6</v>
      </c>
      <c r="AX59" s="294">
        <f t="shared" si="15"/>
        <v>6</v>
      </c>
      <c r="AY59" s="294">
        <f t="shared" si="15"/>
        <v>6</v>
      </c>
      <c r="AZ59" s="294">
        <f t="shared" si="15"/>
        <v>6</v>
      </c>
      <c r="BA59" s="294">
        <f t="shared" si="15"/>
        <v>6</v>
      </c>
      <c r="BB59" s="294">
        <f t="shared" si="15"/>
        <v>6</v>
      </c>
      <c r="BC59" s="294">
        <f t="shared" si="15"/>
        <v>6</v>
      </c>
      <c r="BD59" s="294">
        <f t="shared" si="15"/>
        <v>6</v>
      </c>
      <c r="BE59" s="294">
        <f t="shared" si="15"/>
        <v>6</v>
      </c>
      <c r="BF59" s="294">
        <f t="shared" si="15"/>
        <v>6</v>
      </c>
      <c r="BG59" s="294">
        <f t="shared" si="15"/>
        <v>6</v>
      </c>
      <c r="BH59" s="294">
        <f t="shared" si="15"/>
        <v>6</v>
      </c>
      <c r="BI59" s="294">
        <f t="shared" si="15"/>
        <v>6</v>
      </c>
      <c r="BJ59" s="294">
        <f t="shared" si="15"/>
        <v>6</v>
      </c>
      <c r="BK59" s="294">
        <f t="shared" si="15"/>
        <v>6</v>
      </c>
      <c r="BL59" s="294">
        <f t="shared" si="15"/>
        <v>6</v>
      </c>
      <c r="BM59" s="294">
        <f t="shared" si="15"/>
        <v>6</v>
      </c>
      <c r="BN59" s="294">
        <f t="shared" si="15"/>
        <v>6</v>
      </c>
      <c r="BO59" s="294">
        <f t="shared" si="15"/>
        <v>6</v>
      </c>
      <c r="BP59" s="294">
        <f t="shared" si="15"/>
        <v>6</v>
      </c>
      <c r="BQ59" s="294">
        <f t="shared" si="15"/>
        <v>6</v>
      </c>
      <c r="BR59" s="294">
        <f t="shared" si="15"/>
        <v>6</v>
      </c>
      <c r="BS59" s="294">
        <f t="shared" si="15"/>
        <v>6</v>
      </c>
      <c r="BT59" s="294">
        <f t="shared" si="15"/>
        <v>6</v>
      </c>
      <c r="BU59" s="294">
        <f t="shared" si="15"/>
        <v>6</v>
      </c>
      <c r="BV59" s="294">
        <f t="shared" si="15"/>
        <v>6</v>
      </c>
      <c r="BW59" s="294">
        <f t="shared" si="15"/>
        <v>6</v>
      </c>
      <c r="BX59" s="294">
        <f t="shared" si="15"/>
        <v>6</v>
      </c>
      <c r="BY59" s="294">
        <f t="shared" si="15"/>
        <v>6</v>
      </c>
      <c r="BZ59" s="294">
        <f t="shared" si="15"/>
        <v>6</v>
      </c>
      <c r="CA59" s="294">
        <f t="shared" si="15"/>
        <v>6</v>
      </c>
      <c r="CB59" s="294">
        <f t="shared" si="15"/>
        <v>6</v>
      </c>
      <c r="CC59" s="294">
        <f t="shared" si="15"/>
        <v>6</v>
      </c>
      <c r="CD59" s="294">
        <f t="shared" si="15"/>
        <v>6</v>
      </c>
      <c r="CE59" s="294">
        <f t="shared" si="15"/>
        <v>6</v>
      </c>
      <c r="CF59" s="294">
        <f t="shared" si="15"/>
        <v>6</v>
      </c>
      <c r="CG59" s="294">
        <f t="shared" si="15"/>
        <v>6</v>
      </c>
      <c r="CH59" s="294">
        <f t="shared" ref="CH59:ES59" si="16">+SUM(CH55:CH58)</f>
        <v>6</v>
      </c>
      <c r="CI59" s="294">
        <f t="shared" si="16"/>
        <v>6</v>
      </c>
      <c r="CJ59" s="294">
        <f t="shared" si="16"/>
        <v>6</v>
      </c>
      <c r="CK59" s="294">
        <f t="shared" si="16"/>
        <v>6</v>
      </c>
      <c r="CL59" s="294">
        <f t="shared" si="16"/>
        <v>6</v>
      </c>
      <c r="CM59" s="294">
        <f t="shared" si="16"/>
        <v>6</v>
      </c>
      <c r="CN59" s="294">
        <f t="shared" si="16"/>
        <v>6</v>
      </c>
      <c r="CO59" s="294">
        <f t="shared" si="16"/>
        <v>6</v>
      </c>
      <c r="CP59" s="294">
        <f t="shared" si="16"/>
        <v>6</v>
      </c>
      <c r="CQ59" s="294">
        <f t="shared" si="16"/>
        <v>6</v>
      </c>
      <c r="CR59" s="294">
        <f t="shared" si="16"/>
        <v>6</v>
      </c>
      <c r="CS59" s="294">
        <f t="shared" si="16"/>
        <v>6</v>
      </c>
      <c r="CT59" s="294">
        <f t="shared" si="16"/>
        <v>6</v>
      </c>
      <c r="CU59" s="294">
        <f t="shared" si="16"/>
        <v>6</v>
      </c>
      <c r="CV59" s="294">
        <f t="shared" si="16"/>
        <v>6</v>
      </c>
      <c r="CW59" s="294">
        <f t="shared" si="16"/>
        <v>6</v>
      </c>
      <c r="CX59" s="294">
        <f t="shared" si="16"/>
        <v>6</v>
      </c>
      <c r="CY59" s="294">
        <f t="shared" si="16"/>
        <v>6</v>
      </c>
      <c r="CZ59" s="294">
        <f t="shared" si="16"/>
        <v>6</v>
      </c>
      <c r="DA59" s="294">
        <f t="shared" si="16"/>
        <v>6</v>
      </c>
      <c r="DB59" s="294">
        <f t="shared" si="16"/>
        <v>6</v>
      </c>
      <c r="DC59" s="294">
        <f t="shared" si="16"/>
        <v>6</v>
      </c>
      <c r="DD59" s="294">
        <f t="shared" si="16"/>
        <v>6</v>
      </c>
      <c r="DE59" s="294">
        <f t="shared" si="16"/>
        <v>6</v>
      </c>
      <c r="DF59" s="294">
        <f t="shared" si="16"/>
        <v>6</v>
      </c>
      <c r="DG59" s="294">
        <f t="shared" si="16"/>
        <v>6</v>
      </c>
      <c r="DH59" s="294">
        <f t="shared" si="16"/>
        <v>6</v>
      </c>
      <c r="DI59" s="294">
        <f t="shared" si="16"/>
        <v>6</v>
      </c>
      <c r="DJ59" s="294">
        <f t="shared" si="16"/>
        <v>6</v>
      </c>
      <c r="DK59" s="294">
        <f t="shared" si="16"/>
        <v>6</v>
      </c>
      <c r="DL59" s="294">
        <f t="shared" si="16"/>
        <v>6</v>
      </c>
      <c r="DM59" s="294">
        <f t="shared" si="16"/>
        <v>6</v>
      </c>
      <c r="DN59" s="294">
        <f t="shared" si="16"/>
        <v>6</v>
      </c>
      <c r="DO59" s="294">
        <f t="shared" si="16"/>
        <v>6</v>
      </c>
      <c r="DP59" s="294">
        <f t="shared" si="16"/>
        <v>6</v>
      </c>
      <c r="DQ59" s="294">
        <f t="shared" si="16"/>
        <v>6</v>
      </c>
      <c r="DR59" s="294">
        <f t="shared" si="16"/>
        <v>6</v>
      </c>
      <c r="DS59" s="294">
        <f t="shared" si="16"/>
        <v>6</v>
      </c>
      <c r="DT59" s="294">
        <f t="shared" si="16"/>
        <v>6</v>
      </c>
      <c r="DU59" s="294">
        <f t="shared" si="16"/>
        <v>6</v>
      </c>
      <c r="DV59" s="294">
        <f t="shared" si="16"/>
        <v>6</v>
      </c>
      <c r="DW59" s="294">
        <f t="shared" si="16"/>
        <v>6</v>
      </c>
      <c r="DX59" s="294">
        <f t="shared" si="16"/>
        <v>6</v>
      </c>
      <c r="DY59" s="294">
        <f t="shared" si="16"/>
        <v>6</v>
      </c>
      <c r="DZ59" s="294">
        <f t="shared" si="16"/>
        <v>6</v>
      </c>
      <c r="EA59" s="294">
        <f t="shared" si="16"/>
        <v>6</v>
      </c>
      <c r="EB59" s="294">
        <f t="shared" si="16"/>
        <v>6</v>
      </c>
      <c r="EC59" s="294">
        <f t="shared" si="16"/>
        <v>6</v>
      </c>
      <c r="ED59" s="294">
        <f t="shared" si="16"/>
        <v>6</v>
      </c>
      <c r="EE59" s="294">
        <f t="shared" si="16"/>
        <v>6</v>
      </c>
      <c r="EF59" s="294">
        <f t="shared" si="16"/>
        <v>6</v>
      </c>
      <c r="EG59" s="294">
        <f t="shared" si="16"/>
        <v>6</v>
      </c>
      <c r="EH59" s="294">
        <f t="shared" si="16"/>
        <v>6</v>
      </c>
      <c r="EI59" s="294">
        <f t="shared" si="16"/>
        <v>6</v>
      </c>
      <c r="EJ59" s="294">
        <f t="shared" si="16"/>
        <v>6</v>
      </c>
      <c r="EK59" s="294">
        <f t="shared" si="16"/>
        <v>6</v>
      </c>
      <c r="EL59" s="294">
        <f t="shared" si="16"/>
        <v>6</v>
      </c>
      <c r="EM59" s="294">
        <f t="shared" si="16"/>
        <v>6</v>
      </c>
      <c r="EN59" s="294">
        <f t="shared" si="16"/>
        <v>6</v>
      </c>
      <c r="EO59" s="294">
        <f t="shared" si="16"/>
        <v>6</v>
      </c>
      <c r="EP59" s="294">
        <f t="shared" si="16"/>
        <v>6</v>
      </c>
      <c r="EQ59" s="294">
        <f t="shared" si="16"/>
        <v>6</v>
      </c>
      <c r="ER59" s="294">
        <f t="shared" si="16"/>
        <v>6</v>
      </c>
      <c r="ES59" s="294">
        <f t="shared" si="16"/>
        <v>6</v>
      </c>
      <c r="ET59" s="294">
        <f t="shared" ref="ET59:HE59" si="17">+SUM(ET55:ET58)</f>
        <v>6</v>
      </c>
      <c r="EU59" s="294">
        <f t="shared" si="17"/>
        <v>6</v>
      </c>
      <c r="EV59" s="294">
        <f t="shared" si="17"/>
        <v>6</v>
      </c>
      <c r="EW59" s="294">
        <f t="shared" si="17"/>
        <v>6</v>
      </c>
      <c r="EX59" s="294">
        <f t="shared" si="17"/>
        <v>6</v>
      </c>
      <c r="EY59" s="294">
        <f t="shared" si="17"/>
        <v>6</v>
      </c>
      <c r="EZ59" s="294">
        <f t="shared" si="17"/>
        <v>6</v>
      </c>
      <c r="FA59" s="294">
        <f t="shared" si="17"/>
        <v>6</v>
      </c>
      <c r="FB59" s="294">
        <f t="shared" si="17"/>
        <v>6</v>
      </c>
      <c r="FC59" s="294">
        <f t="shared" si="17"/>
        <v>6</v>
      </c>
      <c r="FD59" s="294">
        <f t="shared" si="17"/>
        <v>6</v>
      </c>
      <c r="FE59" s="294">
        <f t="shared" si="17"/>
        <v>6</v>
      </c>
      <c r="FF59" s="294">
        <f t="shared" si="17"/>
        <v>6</v>
      </c>
      <c r="FG59" s="294">
        <f t="shared" si="17"/>
        <v>6</v>
      </c>
      <c r="FH59" s="294">
        <f t="shared" si="17"/>
        <v>6</v>
      </c>
      <c r="FI59" s="294">
        <f t="shared" si="17"/>
        <v>6</v>
      </c>
      <c r="FJ59" s="294">
        <f t="shared" si="17"/>
        <v>6</v>
      </c>
      <c r="FK59" s="294">
        <f t="shared" si="17"/>
        <v>6</v>
      </c>
      <c r="FL59" s="294">
        <f t="shared" si="17"/>
        <v>6</v>
      </c>
      <c r="FM59" s="294">
        <f t="shared" si="17"/>
        <v>6</v>
      </c>
      <c r="FN59" s="294">
        <f t="shared" si="17"/>
        <v>6</v>
      </c>
      <c r="FO59" s="294">
        <f t="shared" si="17"/>
        <v>6</v>
      </c>
      <c r="FP59" s="294">
        <f t="shared" si="17"/>
        <v>6</v>
      </c>
      <c r="FQ59" s="294">
        <f t="shared" si="17"/>
        <v>6</v>
      </c>
      <c r="FR59" s="294">
        <f t="shared" si="17"/>
        <v>6</v>
      </c>
      <c r="FS59" s="294">
        <f t="shared" si="17"/>
        <v>6</v>
      </c>
      <c r="FT59" s="294">
        <f t="shared" si="17"/>
        <v>6</v>
      </c>
      <c r="FU59" s="294">
        <f t="shared" si="17"/>
        <v>6</v>
      </c>
      <c r="FV59" s="294">
        <f t="shared" si="17"/>
        <v>6</v>
      </c>
      <c r="FW59" s="294">
        <f t="shared" si="17"/>
        <v>6</v>
      </c>
      <c r="FX59" s="294">
        <f t="shared" si="17"/>
        <v>6</v>
      </c>
      <c r="FY59" s="294">
        <f t="shared" si="17"/>
        <v>6</v>
      </c>
      <c r="FZ59" s="294">
        <f t="shared" si="17"/>
        <v>6</v>
      </c>
      <c r="GA59" s="294">
        <f t="shared" si="17"/>
        <v>6</v>
      </c>
      <c r="GB59" s="294">
        <f t="shared" si="17"/>
        <v>6</v>
      </c>
      <c r="GC59" s="294">
        <f t="shared" si="17"/>
        <v>6</v>
      </c>
      <c r="GD59" s="294">
        <f t="shared" si="17"/>
        <v>6</v>
      </c>
      <c r="GE59" s="294">
        <f t="shared" si="17"/>
        <v>6</v>
      </c>
      <c r="GF59" s="294">
        <f t="shared" si="17"/>
        <v>6</v>
      </c>
      <c r="GG59" s="294">
        <f t="shared" si="17"/>
        <v>6</v>
      </c>
      <c r="GH59" s="294">
        <f t="shared" si="17"/>
        <v>6</v>
      </c>
      <c r="GI59" s="294">
        <f t="shared" si="17"/>
        <v>6</v>
      </c>
      <c r="GJ59" s="294">
        <f t="shared" si="17"/>
        <v>6</v>
      </c>
      <c r="GK59" s="294">
        <f t="shared" si="17"/>
        <v>6</v>
      </c>
      <c r="GL59" s="294">
        <f t="shared" si="17"/>
        <v>6</v>
      </c>
      <c r="GM59" s="294">
        <f t="shared" si="17"/>
        <v>6</v>
      </c>
      <c r="GN59" s="294">
        <f t="shared" si="17"/>
        <v>6</v>
      </c>
      <c r="GO59" s="294">
        <f t="shared" si="17"/>
        <v>6</v>
      </c>
      <c r="GP59" s="294">
        <f t="shared" si="17"/>
        <v>6</v>
      </c>
      <c r="GQ59" s="294">
        <f t="shared" si="17"/>
        <v>6</v>
      </c>
      <c r="GR59" s="294">
        <f t="shared" si="17"/>
        <v>6</v>
      </c>
      <c r="GS59" s="294">
        <f t="shared" si="17"/>
        <v>6</v>
      </c>
      <c r="GT59" s="294">
        <f t="shared" si="17"/>
        <v>6</v>
      </c>
      <c r="GU59" s="294">
        <f t="shared" si="17"/>
        <v>6</v>
      </c>
      <c r="GV59" s="294">
        <f t="shared" si="17"/>
        <v>6</v>
      </c>
      <c r="GW59" s="294">
        <f t="shared" si="17"/>
        <v>6</v>
      </c>
      <c r="GX59" s="294">
        <f t="shared" si="17"/>
        <v>6</v>
      </c>
      <c r="GY59" s="294">
        <f t="shared" si="17"/>
        <v>6</v>
      </c>
      <c r="GZ59" s="294">
        <f t="shared" si="17"/>
        <v>6</v>
      </c>
      <c r="HA59" s="294">
        <f t="shared" si="17"/>
        <v>6</v>
      </c>
      <c r="HB59" s="294">
        <f t="shared" si="17"/>
        <v>6</v>
      </c>
      <c r="HC59" s="294">
        <f t="shared" si="17"/>
        <v>6</v>
      </c>
      <c r="HD59" s="294">
        <f t="shared" si="17"/>
        <v>6</v>
      </c>
      <c r="HE59" s="294">
        <f t="shared" si="17"/>
        <v>6</v>
      </c>
      <c r="HF59" s="294">
        <f t="shared" ref="HF59:IV59" si="18">+SUM(HF55:HF58)</f>
        <v>6</v>
      </c>
      <c r="HG59" s="294">
        <f t="shared" si="18"/>
        <v>6</v>
      </c>
      <c r="HH59" s="294">
        <f t="shared" si="18"/>
        <v>6</v>
      </c>
      <c r="HI59" s="294">
        <f t="shared" si="18"/>
        <v>6</v>
      </c>
      <c r="HJ59" s="294">
        <f t="shared" si="18"/>
        <v>6</v>
      </c>
      <c r="HK59" s="294">
        <f t="shared" si="18"/>
        <v>6</v>
      </c>
      <c r="HL59" s="294">
        <f t="shared" si="18"/>
        <v>6</v>
      </c>
      <c r="HM59" s="294">
        <f t="shared" si="18"/>
        <v>6</v>
      </c>
      <c r="HN59" s="294">
        <f t="shared" si="18"/>
        <v>6</v>
      </c>
      <c r="HO59" s="294">
        <f t="shared" si="18"/>
        <v>6</v>
      </c>
      <c r="HP59" s="294">
        <f t="shared" si="18"/>
        <v>6</v>
      </c>
      <c r="HQ59" s="294">
        <f t="shared" si="18"/>
        <v>6</v>
      </c>
      <c r="HR59" s="294">
        <f t="shared" si="18"/>
        <v>6</v>
      </c>
      <c r="HS59" s="294">
        <f t="shared" si="18"/>
        <v>6</v>
      </c>
      <c r="HT59" s="294">
        <f t="shared" si="18"/>
        <v>6</v>
      </c>
      <c r="HU59" s="294">
        <f t="shared" si="18"/>
        <v>6</v>
      </c>
      <c r="HV59" s="294">
        <f t="shared" si="18"/>
        <v>6</v>
      </c>
      <c r="HW59" s="294">
        <f t="shared" si="18"/>
        <v>6</v>
      </c>
      <c r="HX59" s="294">
        <f t="shared" si="18"/>
        <v>6</v>
      </c>
      <c r="HY59" s="294">
        <f t="shared" si="18"/>
        <v>6</v>
      </c>
      <c r="HZ59" s="294">
        <f t="shared" si="18"/>
        <v>6</v>
      </c>
      <c r="IA59" s="294">
        <f t="shared" si="18"/>
        <v>6</v>
      </c>
      <c r="IB59" s="294">
        <f t="shared" si="18"/>
        <v>6</v>
      </c>
      <c r="IC59" s="294">
        <f t="shared" si="18"/>
        <v>6</v>
      </c>
      <c r="ID59" s="294">
        <f t="shared" si="18"/>
        <v>6</v>
      </c>
      <c r="IE59" s="294">
        <f t="shared" si="18"/>
        <v>6</v>
      </c>
      <c r="IF59" s="294">
        <f t="shared" si="18"/>
        <v>6</v>
      </c>
      <c r="IG59" s="294">
        <f t="shared" si="18"/>
        <v>6</v>
      </c>
      <c r="IH59" s="294">
        <f t="shared" si="18"/>
        <v>6</v>
      </c>
      <c r="II59" s="294">
        <f t="shared" si="18"/>
        <v>6</v>
      </c>
      <c r="IJ59" s="294">
        <f t="shared" si="18"/>
        <v>6</v>
      </c>
      <c r="IK59" s="294">
        <f t="shared" si="18"/>
        <v>6</v>
      </c>
      <c r="IL59" s="294">
        <f t="shared" si="18"/>
        <v>6</v>
      </c>
      <c r="IM59" s="294" t="e">
        <f t="shared" si="18"/>
        <v>#REF!</v>
      </c>
      <c r="IN59" s="294" t="e">
        <f t="shared" si="18"/>
        <v>#REF!</v>
      </c>
      <c r="IO59" s="294" t="e">
        <f t="shared" si="18"/>
        <v>#REF!</v>
      </c>
      <c r="IP59" s="294" t="e">
        <f t="shared" si="18"/>
        <v>#REF!</v>
      </c>
      <c r="IQ59" s="294" t="e">
        <f t="shared" si="18"/>
        <v>#REF!</v>
      </c>
      <c r="IR59" s="294" t="e">
        <f t="shared" si="18"/>
        <v>#REF!</v>
      </c>
      <c r="IS59" s="294" t="e">
        <f t="shared" si="18"/>
        <v>#REF!</v>
      </c>
      <c r="IT59" s="294" t="e">
        <f t="shared" si="18"/>
        <v>#REF!</v>
      </c>
      <c r="IU59" s="294" t="e">
        <f t="shared" si="18"/>
        <v>#REF!</v>
      </c>
      <c r="IV59" s="294">
        <f t="shared" si="18"/>
        <v>4</v>
      </c>
    </row>
    <row r="60" spans="1:256" x14ac:dyDescent="0.2">
      <c r="A60" s="124" t="s">
        <v>70</v>
      </c>
      <c r="C60" s="158"/>
      <c r="D60" s="158"/>
      <c r="E60" s="92"/>
      <c r="F60" s="92"/>
      <c r="G60" s="146"/>
      <c r="J60" s="124"/>
      <c r="M60" s="159"/>
      <c r="N60" s="164"/>
      <c r="O60" s="340"/>
      <c r="P60" s="340"/>
      <c r="Q60" s="340"/>
      <c r="S60" s="297"/>
      <c r="T60" s="297"/>
      <c r="U60" s="294" t="str">
        <f>+IF(requisitos!AE2=2,1,IF(requisitos!AE2=3,1,""))</f>
        <v/>
      </c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297"/>
      <c r="AK60" s="297"/>
      <c r="AL60" s="297"/>
      <c r="AM60" s="297"/>
      <c r="AN60" s="297"/>
      <c r="AO60" s="297"/>
      <c r="AP60" s="297"/>
      <c r="AQ60" s="297"/>
      <c r="AR60" s="297"/>
      <c r="AS60" s="297"/>
      <c r="AT60" s="297"/>
      <c r="AU60" s="297"/>
      <c r="AV60" s="297"/>
      <c r="AW60" s="297"/>
      <c r="AX60" s="297"/>
      <c r="AY60" s="297"/>
      <c r="AZ60" s="297"/>
      <c r="BA60" s="297"/>
      <c r="BB60" s="297"/>
      <c r="BC60" s="297"/>
      <c r="BD60" s="297"/>
      <c r="BE60" s="297"/>
      <c r="BF60" s="297"/>
      <c r="BG60" s="297"/>
      <c r="BH60" s="297"/>
      <c r="BI60" s="297"/>
      <c r="BJ60" s="297"/>
      <c r="BK60" s="297"/>
      <c r="BL60" s="297"/>
      <c r="BM60" s="297"/>
      <c r="BN60" s="297"/>
      <c r="BO60" s="297"/>
      <c r="BP60" s="297"/>
      <c r="BQ60" s="297"/>
      <c r="BR60" s="297"/>
      <c r="BS60" s="297"/>
      <c r="BT60" s="297"/>
      <c r="BU60" s="297"/>
      <c r="BV60" s="297"/>
      <c r="BW60" s="297"/>
      <c r="BX60" s="297"/>
      <c r="BY60" s="297"/>
      <c r="BZ60" s="297"/>
      <c r="CA60" s="297"/>
      <c r="CB60" s="297"/>
      <c r="CC60" s="297"/>
      <c r="CD60" s="297"/>
      <c r="CE60" s="297"/>
      <c r="CF60" s="297"/>
      <c r="CG60" s="297"/>
      <c r="CH60" s="297"/>
      <c r="CI60" s="297"/>
      <c r="CJ60" s="297"/>
      <c r="CK60" s="297"/>
      <c r="CL60" s="297"/>
      <c r="CM60" s="297"/>
      <c r="CN60" s="297"/>
      <c r="CO60" s="297"/>
      <c r="CP60" s="297"/>
      <c r="CQ60" s="297"/>
      <c r="CR60" s="297"/>
      <c r="CS60" s="297"/>
      <c r="CT60" s="297"/>
      <c r="CU60" s="297"/>
      <c r="CV60" s="297"/>
      <c r="CW60" s="297"/>
      <c r="CX60" s="297"/>
      <c r="CY60" s="297"/>
      <c r="CZ60" s="297"/>
      <c r="DA60" s="297"/>
      <c r="DB60" s="297"/>
      <c r="DC60" s="297"/>
      <c r="DD60" s="297"/>
      <c r="DE60" s="297"/>
      <c r="DF60" s="297"/>
      <c r="DG60" s="297"/>
      <c r="DH60" s="297"/>
      <c r="DI60" s="297"/>
      <c r="DJ60" s="297"/>
      <c r="DK60" s="297"/>
      <c r="DL60" s="297"/>
      <c r="DM60" s="297"/>
      <c r="DN60" s="297"/>
      <c r="DO60" s="297"/>
      <c r="DP60" s="297"/>
      <c r="DQ60" s="297"/>
      <c r="DR60" s="297"/>
      <c r="DS60" s="297"/>
      <c r="DT60" s="297"/>
      <c r="DU60" s="297"/>
      <c r="DV60" s="297"/>
      <c r="DW60" s="297"/>
      <c r="DX60" s="297"/>
      <c r="DY60" s="297"/>
      <c r="DZ60" s="297"/>
      <c r="EA60" s="297"/>
      <c r="EB60" s="297"/>
      <c r="EC60" s="297"/>
      <c r="ED60" s="297"/>
      <c r="EE60" s="297"/>
      <c r="EF60" s="297"/>
      <c r="EG60" s="297"/>
      <c r="EH60" s="297"/>
      <c r="EI60" s="297"/>
      <c r="EJ60" s="297"/>
      <c r="EK60" s="297"/>
      <c r="EL60" s="297"/>
      <c r="EM60" s="297"/>
      <c r="EN60" s="297"/>
      <c r="EO60" s="297"/>
      <c r="EP60" s="297"/>
      <c r="EQ60" s="297"/>
      <c r="ER60" s="297"/>
      <c r="ES60" s="297"/>
      <c r="ET60" s="297"/>
      <c r="EU60" s="297"/>
      <c r="EV60" s="297"/>
      <c r="EW60" s="297"/>
      <c r="EX60" s="297"/>
      <c r="EY60" s="297"/>
      <c r="EZ60" s="297"/>
      <c r="FA60" s="297"/>
      <c r="FB60" s="297"/>
      <c r="FC60" s="297"/>
      <c r="FD60" s="297"/>
      <c r="FE60" s="297"/>
      <c r="FF60" s="297"/>
      <c r="FG60" s="297"/>
      <c r="FH60" s="297"/>
      <c r="FI60" s="297"/>
      <c r="FJ60" s="297"/>
      <c r="FK60" s="297"/>
      <c r="FL60" s="297"/>
      <c r="FM60" s="297"/>
      <c r="FN60" s="297"/>
      <c r="FO60" s="297"/>
      <c r="FP60" s="297"/>
      <c r="FQ60" s="297"/>
      <c r="FR60" s="297"/>
      <c r="FS60" s="297"/>
      <c r="FT60" s="297"/>
      <c r="FU60" s="297"/>
      <c r="FV60" s="297"/>
      <c r="FW60" s="297"/>
      <c r="FX60" s="297"/>
      <c r="FY60" s="297"/>
      <c r="FZ60" s="297"/>
      <c r="GA60" s="297"/>
      <c r="GB60" s="297"/>
      <c r="GC60" s="297"/>
      <c r="GD60" s="297"/>
      <c r="GE60" s="297"/>
      <c r="GF60" s="297"/>
      <c r="GG60" s="297"/>
      <c r="GH60" s="297"/>
      <c r="GI60" s="297"/>
      <c r="GJ60" s="297"/>
      <c r="GK60" s="297"/>
      <c r="GL60" s="297"/>
      <c r="GM60" s="297"/>
      <c r="GN60" s="297"/>
      <c r="GO60" s="297"/>
      <c r="GP60" s="297"/>
      <c r="GQ60" s="297"/>
      <c r="GR60" s="297"/>
      <c r="GS60" s="297"/>
      <c r="GT60" s="297"/>
      <c r="GU60" s="297"/>
      <c r="GV60" s="297"/>
      <c r="GW60" s="297"/>
      <c r="GX60" s="297"/>
      <c r="GY60" s="297"/>
      <c r="GZ60" s="297"/>
      <c r="HA60" s="297"/>
      <c r="HB60" s="297"/>
      <c r="HC60" s="297"/>
      <c r="HD60" s="297"/>
      <c r="HE60" s="297"/>
      <c r="HF60" s="297"/>
      <c r="HG60" s="297"/>
      <c r="HH60" s="297"/>
      <c r="HI60" s="297"/>
      <c r="HJ60" s="297"/>
      <c r="HK60" s="297"/>
      <c r="HL60" s="297"/>
      <c r="HM60" s="297"/>
      <c r="HN60" s="297"/>
      <c r="HO60" s="297"/>
      <c r="HP60" s="297"/>
      <c r="HQ60" s="297"/>
      <c r="HR60" s="297"/>
      <c r="HS60" s="297"/>
      <c r="HT60" s="297"/>
      <c r="HU60" s="297"/>
      <c r="HV60" s="297"/>
      <c r="HW60" s="297"/>
      <c r="HX60" s="297"/>
      <c r="HY60" s="297"/>
      <c r="HZ60" s="297"/>
      <c r="IA60" s="297"/>
      <c r="IB60" s="297"/>
      <c r="IC60" s="297"/>
      <c r="ID60" s="297"/>
      <c r="IE60" s="297"/>
      <c r="IF60" s="297"/>
      <c r="IG60" s="297"/>
      <c r="IH60" s="297"/>
      <c r="II60" s="297"/>
      <c r="IJ60" s="297"/>
      <c r="IK60" s="297"/>
      <c r="IL60" s="297"/>
      <c r="IM60" s="297"/>
      <c r="IN60" s="297"/>
      <c r="IO60" s="297"/>
      <c r="IP60" s="297"/>
      <c r="IQ60" s="297"/>
      <c r="IR60" s="297"/>
      <c r="IS60" s="297"/>
      <c r="IT60" s="297"/>
      <c r="IU60" s="297"/>
      <c r="IV60" s="297"/>
    </row>
    <row r="61" spans="1:256" x14ac:dyDescent="0.2">
      <c r="A61" s="124" t="s">
        <v>69</v>
      </c>
      <c r="C61" s="158"/>
      <c r="D61" s="158"/>
      <c r="E61" s="92"/>
      <c r="F61" s="92"/>
      <c r="G61" s="146"/>
      <c r="J61" s="124"/>
      <c r="M61" s="159"/>
      <c r="O61" s="124"/>
      <c r="S61" s="298"/>
      <c r="T61" s="299"/>
      <c r="U61" s="294">
        <f>+IF(S61="",1,2)</f>
        <v>1</v>
      </c>
      <c r="V61" s="297"/>
      <c r="W61" s="297"/>
      <c r="X61" s="297"/>
      <c r="Y61" s="297"/>
      <c r="Z61" s="297"/>
      <c r="AA61" s="297"/>
      <c r="AB61" s="297"/>
      <c r="AC61" s="297"/>
      <c r="AD61" s="297"/>
      <c r="AE61" s="297"/>
      <c r="AF61" s="297"/>
      <c r="AG61" s="297"/>
      <c r="AH61" s="297"/>
      <c r="AI61" s="297"/>
      <c r="AJ61" s="297"/>
      <c r="AK61" s="297"/>
      <c r="AL61" s="297"/>
      <c r="AM61" s="297"/>
      <c r="AN61" s="297"/>
      <c r="AO61" s="297"/>
      <c r="AP61" s="297"/>
      <c r="AQ61" s="297"/>
      <c r="AR61" s="297"/>
      <c r="AS61" s="297"/>
      <c r="AT61" s="297"/>
      <c r="AU61" s="297"/>
      <c r="AV61" s="297"/>
      <c r="AW61" s="297"/>
      <c r="AX61" s="297"/>
      <c r="AY61" s="297"/>
      <c r="AZ61" s="297"/>
      <c r="BA61" s="297"/>
      <c r="BB61" s="297"/>
      <c r="BC61" s="297"/>
      <c r="BD61" s="297"/>
      <c r="BE61" s="297"/>
      <c r="BF61" s="297"/>
      <c r="BG61" s="297"/>
      <c r="BH61" s="297"/>
      <c r="BI61" s="297"/>
      <c r="BJ61" s="297"/>
      <c r="BK61" s="297"/>
      <c r="BL61" s="297"/>
      <c r="BM61" s="297"/>
      <c r="BN61" s="297"/>
      <c r="BO61" s="297"/>
      <c r="BP61" s="297"/>
      <c r="BQ61" s="297"/>
      <c r="BR61" s="297"/>
      <c r="BS61" s="297"/>
      <c r="BT61" s="297"/>
      <c r="BU61" s="297"/>
      <c r="BV61" s="297"/>
      <c r="BW61" s="297"/>
      <c r="BX61" s="297"/>
      <c r="BY61" s="297"/>
      <c r="BZ61" s="297"/>
      <c r="CA61" s="297"/>
      <c r="CB61" s="297"/>
      <c r="CC61" s="297"/>
      <c r="CD61" s="297"/>
      <c r="CE61" s="297"/>
      <c r="CF61" s="297"/>
      <c r="CG61" s="297"/>
      <c r="CH61" s="297"/>
      <c r="CI61" s="297"/>
      <c r="CJ61" s="297"/>
      <c r="CK61" s="297"/>
      <c r="CL61" s="297"/>
      <c r="CM61" s="297"/>
      <c r="CN61" s="297"/>
      <c r="CO61" s="297"/>
      <c r="CP61" s="297"/>
      <c r="CQ61" s="297"/>
      <c r="CR61" s="297"/>
      <c r="CS61" s="297"/>
      <c r="CT61" s="297"/>
      <c r="CU61" s="297"/>
      <c r="CV61" s="297"/>
      <c r="CW61" s="297"/>
      <c r="CX61" s="297"/>
      <c r="CY61" s="297"/>
      <c r="CZ61" s="297"/>
      <c r="DA61" s="297"/>
      <c r="DB61" s="297"/>
      <c r="DC61" s="297"/>
      <c r="DD61" s="297"/>
      <c r="DE61" s="297"/>
      <c r="DF61" s="297"/>
      <c r="DG61" s="297"/>
      <c r="DH61" s="297"/>
      <c r="DI61" s="297"/>
      <c r="DJ61" s="297"/>
      <c r="DK61" s="297"/>
      <c r="DL61" s="297"/>
      <c r="DM61" s="297"/>
      <c r="DN61" s="297"/>
      <c r="DO61" s="297"/>
      <c r="DP61" s="297"/>
      <c r="DQ61" s="297"/>
      <c r="DR61" s="297"/>
      <c r="DS61" s="297"/>
      <c r="DT61" s="297"/>
      <c r="DU61" s="297"/>
      <c r="DV61" s="297"/>
      <c r="DW61" s="297"/>
      <c r="DX61" s="297"/>
      <c r="DY61" s="297"/>
      <c r="DZ61" s="297"/>
      <c r="EA61" s="297"/>
      <c r="EB61" s="297"/>
      <c r="EC61" s="297"/>
      <c r="ED61" s="297"/>
      <c r="EE61" s="297"/>
      <c r="EF61" s="297"/>
      <c r="EG61" s="297"/>
      <c r="EH61" s="297"/>
      <c r="EI61" s="297"/>
      <c r="EJ61" s="297"/>
      <c r="EK61" s="297"/>
      <c r="EL61" s="297"/>
      <c r="EM61" s="297"/>
      <c r="EN61" s="297"/>
      <c r="EO61" s="297"/>
      <c r="EP61" s="297"/>
      <c r="EQ61" s="297"/>
      <c r="ER61" s="297"/>
      <c r="ES61" s="297"/>
      <c r="ET61" s="297"/>
      <c r="EU61" s="297"/>
      <c r="EV61" s="297"/>
      <c r="EW61" s="297"/>
      <c r="EX61" s="297"/>
      <c r="EY61" s="297"/>
      <c r="EZ61" s="297"/>
      <c r="FA61" s="297"/>
      <c r="FB61" s="297"/>
      <c r="FC61" s="297"/>
      <c r="FD61" s="297"/>
      <c r="FE61" s="297"/>
      <c r="FF61" s="297"/>
      <c r="FG61" s="297"/>
      <c r="FH61" s="297"/>
      <c r="FI61" s="297"/>
      <c r="FJ61" s="297"/>
      <c r="FK61" s="297"/>
      <c r="FL61" s="297"/>
      <c r="FM61" s="297"/>
      <c r="FN61" s="297"/>
      <c r="FO61" s="297"/>
      <c r="FP61" s="297"/>
      <c r="FQ61" s="297"/>
      <c r="FR61" s="297"/>
      <c r="FS61" s="297"/>
      <c r="FT61" s="297"/>
      <c r="FU61" s="297"/>
      <c r="FV61" s="297"/>
      <c r="FW61" s="297"/>
      <c r="FX61" s="297"/>
      <c r="FY61" s="297"/>
      <c r="FZ61" s="297"/>
      <c r="GA61" s="297"/>
      <c r="GB61" s="297"/>
      <c r="GC61" s="297"/>
      <c r="GD61" s="297"/>
      <c r="GE61" s="297"/>
      <c r="GF61" s="297"/>
      <c r="GG61" s="297"/>
      <c r="GH61" s="297"/>
      <c r="GI61" s="297"/>
      <c r="GJ61" s="297"/>
      <c r="GK61" s="297"/>
      <c r="GL61" s="297"/>
      <c r="GM61" s="297"/>
      <c r="GN61" s="297"/>
      <c r="GO61" s="297"/>
      <c r="GP61" s="297"/>
      <c r="GQ61" s="297"/>
      <c r="GR61" s="297"/>
      <c r="GS61" s="297"/>
      <c r="GT61" s="297"/>
      <c r="GU61" s="297"/>
      <c r="GV61" s="297"/>
      <c r="GW61" s="297"/>
      <c r="GX61" s="297"/>
      <c r="GY61" s="297"/>
      <c r="GZ61" s="297"/>
      <c r="HA61" s="297"/>
      <c r="HB61" s="297"/>
      <c r="HC61" s="297"/>
      <c r="HD61" s="297"/>
      <c r="HE61" s="297"/>
      <c r="HF61" s="297"/>
      <c r="HG61" s="297"/>
      <c r="HH61" s="297"/>
      <c r="HI61" s="297"/>
      <c r="HJ61" s="297"/>
      <c r="HK61" s="297"/>
      <c r="HL61" s="297"/>
      <c r="HM61" s="297"/>
      <c r="HN61" s="297"/>
      <c r="HO61" s="297"/>
      <c r="HP61" s="297"/>
      <c r="HQ61" s="297"/>
      <c r="HR61" s="297"/>
      <c r="HS61" s="297"/>
      <c r="HT61" s="297"/>
      <c r="HU61" s="297"/>
      <c r="HV61" s="297"/>
      <c r="HW61" s="297"/>
      <c r="HX61" s="297"/>
      <c r="HY61" s="297"/>
      <c r="HZ61" s="297"/>
      <c r="IA61" s="297"/>
      <c r="IB61" s="297"/>
      <c r="IC61" s="297"/>
      <c r="ID61" s="297"/>
      <c r="IE61" s="297"/>
      <c r="IF61" s="297"/>
      <c r="IG61" s="297"/>
      <c r="IH61" s="297"/>
      <c r="II61" s="297"/>
      <c r="IJ61" s="297"/>
      <c r="IK61" s="297"/>
      <c r="IL61" s="297"/>
      <c r="IM61" s="297"/>
      <c r="IN61" s="297"/>
      <c r="IO61" s="297"/>
      <c r="IP61" s="297"/>
      <c r="IQ61" s="297"/>
      <c r="IR61" s="297"/>
      <c r="IS61" s="297"/>
      <c r="IT61" s="297"/>
      <c r="IU61" s="297"/>
      <c r="IV61" s="297"/>
    </row>
    <row r="62" spans="1:256" x14ac:dyDescent="0.2">
      <c r="A62" s="124" t="s">
        <v>80</v>
      </c>
      <c r="C62" s="158"/>
      <c r="D62" s="158"/>
      <c r="E62" s="92"/>
      <c r="F62" s="92"/>
      <c r="G62" s="146"/>
      <c r="J62" s="303"/>
      <c r="K62" s="297"/>
      <c r="M62" s="159"/>
      <c r="O62" s="99"/>
      <c r="S62" s="298"/>
      <c r="T62" s="299"/>
      <c r="U62" s="294">
        <f>+IF(S62="",1,2)</f>
        <v>1</v>
      </c>
      <c r="V62" s="297"/>
      <c r="W62" s="297"/>
      <c r="X62" s="297"/>
      <c r="Y62" s="297"/>
      <c r="Z62" s="297"/>
      <c r="AA62" s="297"/>
      <c r="AB62" s="297"/>
      <c r="AC62" s="297"/>
      <c r="AD62" s="297"/>
      <c r="AE62" s="297"/>
      <c r="AF62" s="297"/>
      <c r="AG62" s="297"/>
      <c r="AH62" s="297"/>
      <c r="AI62" s="297"/>
      <c r="AJ62" s="297"/>
      <c r="AK62" s="297"/>
      <c r="AL62" s="297"/>
      <c r="AM62" s="297"/>
      <c r="AN62" s="297"/>
      <c r="AO62" s="297"/>
      <c r="AP62" s="297"/>
      <c r="AQ62" s="297"/>
      <c r="AR62" s="297"/>
      <c r="AS62" s="297"/>
      <c r="AT62" s="297"/>
      <c r="AU62" s="297"/>
      <c r="AV62" s="297"/>
      <c r="AW62" s="297"/>
      <c r="AX62" s="297"/>
      <c r="AY62" s="297"/>
      <c r="AZ62" s="297"/>
      <c r="BA62" s="297"/>
      <c r="BB62" s="297"/>
      <c r="BC62" s="297"/>
      <c r="BD62" s="297"/>
      <c r="BE62" s="297"/>
      <c r="BF62" s="297"/>
      <c r="BG62" s="297"/>
      <c r="BH62" s="297"/>
      <c r="BI62" s="297"/>
      <c r="BJ62" s="297"/>
      <c r="BK62" s="297"/>
      <c r="BL62" s="297"/>
      <c r="BM62" s="297"/>
      <c r="BN62" s="297"/>
      <c r="BO62" s="297"/>
      <c r="BP62" s="297"/>
      <c r="BQ62" s="297"/>
      <c r="BR62" s="297"/>
      <c r="BS62" s="297"/>
      <c r="BT62" s="297"/>
      <c r="BU62" s="297"/>
      <c r="BV62" s="297"/>
      <c r="BW62" s="297"/>
      <c r="BX62" s="297"/>
      <c r="BY62" s="297"/>
      <c r="BZ62" s="297"/>
      <c r="CA62" s="297"/>
      <c r="CB62" s="297"/>
      <c r="CC62" s="297"/>
      <c r="CD62" s="297"/>
      <c r="CE62" s="297"/>
      <c r="CF62" s="297"/>
      <c r="CG62" s="297"/>
      <c r="CH62" s="297"/>
      <c r="CI62" s="297"/>
      <c r="CJ62" s="297"/>
      <c r="CK62" s="297"/>
      <c r="CL62" s="297"/>
      <c r="CM62" s="297"/>
      <c r="CN62" s="297"/>
      <c r="CO62" s="297"/>
      <c r="CP62" s="297"/>
      <c r="CQ62" s="297"/>
      <c r="CR62" s="297"/>
      <c r="CS62" s="297"/>
      <c r="CT62" s="297"/>
      <c r="CU62" s="297"/>
      <c r="CV62" s="297"/>
      <c r="CW62" s="297"/>
      <c r="CX62" s="297"/>
      <c r="CY62" s="297"/>
      <c r="CZ62" s="297"/>
      <c r="DA62" s="297"/>
      <c r="DB62" s="297"/>
      <c r="DC62" s="297"/>
      <c r="DD62" s="297"/>
      <c r="DE62" s="297"/>
      <c r="DF62" s="297"/>
      <c r="DG62" s="297"/>
      <c r="DH62" s="297"/>
      <c r="DI62" s="297"/>
      <c r="DJ62" s="297"/>
      <c r="DK62" s="297"/>
      <c r="DL62" s="297"/>
      <c r="DM62" s="297"/>
      <c r="DN62" s="297"/>
      <c r="DO62" s="297"/>
      <c r="DP62" s="297"/>
      <c r="DQ62" s="297"/>
      <c r="DR62" s="297"/>
      <c r="DS62" s="297"/>
      <c r="DT62" s="297"/>
      <c r="DU62" s="297"/>
      <c r="DV62" s="297"/>
      <c r="DW62" s="297"/>
      <c r="DX62" s="297"/>
      <c r="DY62" s="297"/>
      <c r="DZ62" s="297"/>
      <c r="EA62" s="297"/>
      <c r="EB62" s="297"/>
      <c r="EC62" s="297"/>
      <c r="ED62" s="297"/>
      <c r="EE62" s="297"/>
      <c r="EF62" s="297"/>
      <c r="EG62" s="297"/>
      <c r="EH62" s="297"/>
      <c r="EI62" s="297"/>
      <c r="EJ62" s="297"/>
      <c r="EK62" s="297"/>
      <c r="EL62" s="297"/>
      <c r="EM62" s="297"/>
      <c r="EN62" s="297"/>
      <c r="EO62" s="297"/>
      <c r="EP62" s="297"/>
      <c r="EQ62" s="297"/>
      <c r="ER62" s="297"/>
      <c r="ES62" s="297"/>
      <c r="ET62" s="297"/>
      <c r="EU62" s="297"/>
      <c r="EV62" s="297"/>
      <c r="EW62" s="297"/>
      <c r="EX62" s="297"/>
      <c r="EY62" s="297"/>
      <c r="EZ62" s="297"/>
      <c r="FA62" s="297"/>
      <c r="FB62" s="297"/>
      <c r="FC62" s="297"/>
      <c r="FD62" s="297"/>
      <c r="FE62" s="297"/>
      <c r="FF62" s="297"/>
      <c r="FG62" s="297"/>
      <c r="FH62" s="297"/>
      <c r="FI62" s="297"/>
      <c r="FJ62" s="297"/>
      <c r="FK62" s="297"/>
      <c r="FL62" s="297"/>
      <c r="FM62" s="297"/>
      <c r="FN62" s="297"/>
      <c r="FO62" s="297"/>
      <c r="FP62" s="297"/>
      <c r="FQ62" s="297"/>
      <c r="FR62" s="297"/>
      <c r="FS62" s="297"/>
      <c r="FT62" s="297"/>
      <c r="FU62" s="297"/>
      <c r="FV62" s="297"/>
      <c r="FW62" s="297"/>
      <c r="FX62" s="297"/>
      <c r="FY62" s="297"/>
      <c r="FZ62" s="297"/>
      <c r="GA62" s="297"/>
      <c r="GB62" s="297"/>
      <c r="GC62" s="297"/>
      <c r="GD62" s="297"/>
      <c r="GE62" s="297"/>
      <c r="GF62" s="297"/>
      <c r="GG62" s="297"/>
      <c r="GH62" s="297"/>
      <c r="GI62" s="297"/>
      <c r="GJ62" s="297"/>
      <c r="GK62" s="297"/>
      <c r="GL62" s="297"/>
      <c r="GM62" s="297"/>
      <c r="GN62" s="297"/>
      <c r="GO62" s="297"/>
      <c r="GP62" s="297"/>
      <c r="GQ62" s="297"/>
      <c r="GR62" s="297"/>
      <c r="GS62" s="297"/>
      <c r="GT62" s="297"/>
      <c r="GU62" s="297"/>
      <c r="GV62" s="297"/>
      <c r="GW62" s="297"/>
      <c r="GX62" s="297"/>
      <c r="GY62" s="297"/>
      <c r="GZ62" s="297"/>
      <c r="HA62" s="297"/>
      <c r="HB62" s="297"/>
      <c r="HC62" s="297"/>
      <c r="HD62" s="297"/>
      <c r="HE62" s="297"/>
      <c r="HF62" s="297"/>
      <c r="HG62" s="297"/>
      <c r="HH62" s="297"/>
      <c r="HI62" s="297"/>
      <c r="HJ62" s="297"/>
      <c r="HK62" s="297"/>
      <c r="HL62" s="297"/>
      <c r="HM62" s="297"/>
      <c r="HN62" s="297"/>
      <c r="HO62" s="297"/>
      <c r="HP62" s="297"/>
      <c r="HQ62" s="297"/>
      <c r="HR62" s="297"/>
      <c r="HS62" s="297"/>
      <c r="HT62" s="297"/>
      <c r="HU62" s="297"/>
      <c r="HV62" s="297"/>
      <c r="HW62" s="297"/>
      <c r="HX62" s="297"/>
      <c r="HY62" s="297"/>
      <c r="HZ62" s="297"/>
      <c r="IA62" s="297"/>
      <c r="IB62" s="297"/>
      <c r="IC62" s="297"/>
      <c r="ID62" s="297"/>
      <c r="IE62" s="297"/>
      <c r="IF62" s="297"/>
      <c r="IG62" s="297"/>
      <c r="IH62" s="297"/>
      <c r="II62" s="297"/>
      <c r="IJ62" s="297"/>
      <c r="IK62" s="297"/>
      <c r="IL62" s="297"/>
      <c r="IM62" s="297"/>
      <c r="IN62" s="297"/>
      <c r="IO62" s="297"/>
      <c r="IP62" s="297"/>
      <c r="IQ62" s="297"/>
      <c r="IR62" s="297"/>
      <c r="IS62" s="297"/>
      <c r="IT62" s="297"/>
      <c r="IU62" s="297"/>
      <c r="IV62" s="297"/>
    </row>
    <row r="63" spans="1:256" x14ac:dyDescent="0.2">
      <c r="A63" s="124" t="s">
        <v>71</v>
      </c>
      <c r="C63" s="158"/>
      <c r="D63" s="158"/>
      <c r="E63" s="92"/>
      <c r="F63" s="92"/>
      <c r="G63" s="146"/>
      <c r="J63" s="303"/>
      <c r="K63" s="297"/>
      <c r="M63" s="159"/>
      <c r="O63" s="99"/>
      <c r="S63" s="298"/>
      <c r="T63" s="299"/>
      <c r="U63" s="294">
        <f>+IF(S63="",1,2)</f>
        <v>1</v>
      </c>
      <c r="V63" s="297"/>
      <c r="W63" s="297"/>
      <c r="X63" s="297"/>
      <c r="Y63" s="297"/>
      <c r="Z63" s="297"/>
      <c r="AA63" s="297"/>
      <c r="AB63" s="297"/>
      <c r="AC63" s="297"/>
      <c r="AD63" s="297"/>
      <c r="AE63" s="297"/>
      <c r="AF63" s="297"/>
      <c r="AG63" s="297"/>
      <c r="AH63" s="297"/>
      <c r="AI63" s="297"/>
      <c r="AJ63" s="297"/>
      <c r="AK63" s="297"/>
      <c r="AL63" s="297"/>
      <c r="AM63" s="297"/>
      <c r="AN63" s="297"/>
      <c r="AO63" s="297"/>
      <c r="AP63" s="297"/>
      <c r="AQ63" s="297"/>
      <c r="AR63" s="297"/>
      <c r="AS63" s="297"/>
      <c r="AT63" s="297"/>
      <c r="AU63" s="297"/>
      <c r="AV63" s="297"/>
      <c r="AW63" s="297"/>
      <c r="AX63" s="297"/>
      <c r="AY63" s="297"/>
      <c r="AZ63" s="297"/>
      <c r="BA63" s="297"/>
      <c r="BB63" s="297"/>
      <c r="BC63" s="297"/>
      <c r="BD63" s="297"/>
      <c r="BE63" s="297"/>
      <c r="BF63" s="297"/>
      <c r="BG63" s="297"/>
      <c r="BH63" s="297"/>
      <c r="BI63" s="297"/>
      <c r="BJ63" s="297"/>
      <c r="BK63" s="297"/>
      <c r="BL63" s="297"/>
      <c r="BM63" s="297"/>
      <c r="BN63" s="297"/>
      <c r="BO63" s="297"/>
      <c r="BP63" s="297"/>
      <c r="BQ63" s="297"/>
      <c r="BR63" s="297"/>
      <c r="BS63" s="297"/>
      <c r="BT63" s="297"/>
      <c r="BU63" s="297"/>
      <c r="BV63" s="297"/>
      <c r="BW63" s="297"/>
      <c r="BX63" s="297"/>
      <c r="BY63" s="297"/>
      <c r="BZ63" s="297"/>
      <c r="CA63" s="297"/>
      <c r="CB63" s="297"/>
      <c r="CC63" s="297"/>
      <c r="CD63" s="297"/>
      <c r="CE63" s="297"/>
      <c r="CF63" s="297"/>
      <c r="CG63" s="297"/>
      <c r="CH63" s="297"/>
      <c r="CI63" s="297"/>
      <c r="CJ63" s="297"/>
      <c r="CK63" s="297"/>
      <c r="CL63" s="297"/>
      <c r="CM63" s="297"/>
      <c r="CN63" s="297"/>
      <c r="CO63" s="297"/>
      <c r="CP63" s="297"/>
      <c r="CQ63" s="297"/>
      <c r="CR63" s="297"/>
      <c r="CS63" s="297"/>
      <c r="CT63" s="297"/>
      <c r="CU63" s="297"/>
      <c r="CV63" s="297"/>
      <c r="CW63" s="297"/>
      <c r="CX63" s="297"/>
      <c r="CY63" s="297"/>
      <c r="CZ63" s="297"/>
      <c r="DA63" s="297"/>
      <c r="DB63" s="297"/>
      <c r="DC63" s="297"/>
      <c r="DD63" s="297"/>
      <c r="DE63" s="297"/>
      <c r="DF63" s="297"/>
      <c r="DG63" s="297"/>
      <c r="DH63" s="297"/>
      <c r="DI63" s="297"/>
      <c r="DJ63" s="297"/>
      <c r="DK63" s="297"/>
      <c r="DL63" s="297"/>
      <c r="DM63" s="297"/>
      <c r="DN63" s="297"/>
      <c r="DO63" s="297"/>
      <c r="DP63" s="297"/>
      <c r="DQ63" s="297"/>
      <c r="DR63" s="297"/>
      <c r="DS63" s="297"/>
      <c r="DT63" s="297"/>
      <c r="DU63" s="297"/>
      <c r="DV63" s="297"/>
      <c r="DW63" s="297"/>
      <c r="DX63" s="297"/>
      <c r="DY63" s="297"/>
      <c r="DZ63" s="297"/>
      <c r="EA63" s="297"/>
      <c r="EB63" s="297"/>
      <c r="EC63" s="297"/>
      <c r="ED63" s="297"/>
      <c r="EE63" s="297"/>
      <c r="EF63" s="297"/>
      <c r="EG63" s="297"/>
      <c r="EH63" s="297"/>
      <c r="EI63" s="297"/>
      <c r="EJ63" s="297"/>
      <c r="EK63" s="297"/>
      <c r="EL63" s="297"/>
      <c r="EM63" s="297"/>
      <c r="EN63" s="297"/>
      <c r="EO63" s="297"/>
      <c r="EP63" s="297"/>
      <c r="EQ63" s="297"/>
      <c r="ER63" s="297"/>
      <c r="ES63" s="297"/>
      <c r="ET63" s="297"/>
      <c r="EU63" s="297"/>
      <c r="EV63" s="297"/>
      <c r="EW63" s="297"/>
      <c r="EX63" s="297"/>
      <c r="EY63" s="297"/>
      <c r="EZ63" s="297"/>
      <c r="FA63" s="297"/>
      <c r="FB63" s="297"/>
      <c r="FC63" s="297"/>
      <c r="FD63" s="297"/>
      <c r="FE63" s="297"/>
      <c r="FF63" s="297"/>
      <c r="FG63" s="297"/>
      <c r="FH63" s="297"/>
      <c r="FI63" s="297"/>
      <c r="FJ63" s="297"/>
      <c r="FK63" s="297"/>
      <c r="FL63" s="297"/>
      <c r="FM63" s="297"/>
      <c r="FN63" s="297"/>
      <c r="FO63" s="297"/>
      <c r="FP63" s="297"/>
      <c r="FQ63" s="297"/>
      <c r="FR63" s="297"/>
      <c r="FS63" s="297"/>
      <c r="FT63" s="297"/>
      <c r="FU63" s="297"/>
      <c r="FV63" s="297"/>
      <c r="FW63" s="297"/>
      <c r="FX63" s="297"/>
      <c r="FY63" s="297"/>
      <c r="FZ63" s="297"/>
      <c r="GA63" s="297"/>
      <c r="GB63" s="297"/>
      <c r="GC63" s="297"/>
      <c r="GD63" s="297"/>
      <c r="GE63" s="297"/>
      <c r="GF63" s="297"/>
      <c r="GG63" s="297"/>
      <c r="GH63" s="297"/>
      <c r="GI63" s="297"/>
      <c r="GJ63" s="297"/>
      <c r="GK63" s="297"/>
      <c r="GL63" s="297"/>
      <c r="GM63" s="297"/>
      <c r="GN63" s="297"/>
      <c r="GO63" s="297"/>
      <c r="GP63" s="297"/>
      <c r="GQ63" s="297"/>
      <c r="GR63" s="297"/>
      <c r="GS63" s="297"/>
      <c r="GT63" s="297"/>
      <c r="GU63" s="297"/>
      <c r="GV63" s="297"/>
      <c r="GW63" s="297"/>
      <c r="GX63" s="297"/>
      <c r="GY63" s="297"/>
      <c r="GZ63" s="297"/>
      <c r="HA63" s="297"/>
      <c r="HB63" s="297"/>
      <c r="HC63" s="297"/>
      <c r="HD63" s="297"/>
      <c r="HE63" s="297"/>
      <c r="HF63" s="297"/>
      <c r="HG63" s="297"/>
      <c r="HH63" s="297"/>
      <c r="HI63" s="297"/>
      <c r="HJ63" s="297"/>
      <c r="HK63" s="297"/>
      <c r="HL63" s="297"/>
      <c r="HM63" s="297"/>
      <c r="HN63" s="297"/>
      <c r="HO63" s="297"/>
      <c r="HP63" s="297"/>
      <c r="HQ63" s="297"/>
      <c r="HR63" s="297"/>
      <c r="HS63" s="297"/>
      <c r="HT63" s="297"/>
      <c r="HU63" s="297"/>
      <c r="HV63" s="297"/>
      <c r="HW63" s="297"/>
      <c r="HX63" s="297"/>
      <c r="HY63" s="297"/>
      <c r="HZ63" s="297"/>
      <c r="IA63" s="297"/>
      <c r="IB63" s="297"/>
      <c r="IC63" s="297"/>
      <c r="ID63" s="297"/>
      <c r="IE63" s="297"/>
      <c r="IF63" s="297"/>
      <c r="IG63" s="297"/>
      <c r="IH63" s="297"/>
      <c r="II63" s="297"/>
      <c r="IJ63" s="297"/>
      <c r="IK63" s="297"/>
      <c r="IL63" s="297"/>
      <c r="IM63" s="297"/>
      <c r="IN63" s="297"/>
      <c r="IO63" s="297"/>
      <c r="IP63" s="297"/>
      <c r="IQ63" s="297"/>
      <c r="IR63" s="297"/>
      <c r="IS63" s="297"/>
      <c r="IT63" s="297"/>
      <c r="IU63" s="297"/>
      <c r="IV63" s="297"/>
    </row>
    <row r="64" spans="1:256" x14ac:dyDescent="0.2">
      <c r="A64" s="124" t="s">
        <v>81</v>
      </c>
      <c r="C64" s="158"/>
      <c r="D64" s="158"/>
      <c r="E64" s="92"/>
      <c r="F64" s="92"/>
      <c r="G64" s="146"/>
      <c r="J64" s="301"/>
      <c r="K64" s="304"/>
      <c r="M64" s="159"/>
      <c r="N64" s="1"/>
      <c r="O64" s="99"/>
      <c r="P64" s="374"/>
      <c r="Q64" s="375"/>
      <c r="R64" s="375"/>
      <c r="S64" s="375"/>
      <c r="T64" s="375"/>
      <c r="U64" s="117">
        <f>+SUM(U60:IV63)</f>
        <v>3</v>
      </c>
    </row>
    <row r="65" spans="1:22" x14ac:dyDescent="0.2">
      <c r="A65" s="124" t="s">
        <v>82</v>
      </c>
      <c r="C65" s="158"/>
      <c r="D65" s="158"/>
      <c r="E65" s="92"/>
      <c r="F65" s="92"/>
      <c r="G65" s="165"/>
      <c r="J65" s="166"/>
      <c r="K65" s="297"/>
      <c r="M65" s="166"/>
      <c r="U65" s="117"/>
    </row>
    <row r="66" spans="1:22" ht="5.0999999999999996" customHeight="1" x14ac:dyDescent="0.2">
      <c r="A66" s="126"/>
      <c r="B66" s="126"/>
      <c r="C66" s="126"/>
      <c r="D66" s="126"/>
      <c r="E66" s="125"/>
      <c r="F66" s="125"/>
      <c r="G66" s="126"/>
      <c r="H66" s="126"/>
      <c r="I66" s="126" t="str">
        <f>IF(requisitos!C28=1,"INDICAR REGIMEN DE PROPIEDAD","")</f>
        <v/>
      </c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V66" s="1"/>
    </row>
    <row r="67" spans="1:22" ht="5.0999999999999996" customHeight="1" x14ac:dyDescent="0.2">
      <c r="O67" s="127"/>
      <c r="P67" s="127"/>
      <c r="Q67" s="127"/>
      <c r="R67" s="127"/>
      <c r="S67" s="127"/>
      <c r="T67" s="127"/>
      <c r="V67" s="1"/>
    </row>
    <row r="68" spans="1:22" ht="12.75" customHeight="1" x14ac:dyDescent="0.2">
      <c r="A68" s="106" t="s">
        <v>83</v>
      </c>
      <c r="D68" s="94"/>
      <c r="E68" s="120"/>
      <c r="F68" s="120"/>
      <c r="G68" s="94"/>
      <c r="H68" s="94"/>
      <c r="I68" s="94"/>
      <c r="J68" s="94"/>
      <c r="K68" s="94"/>
      <c r="L68" s="94"/>
      <c r="N68" s="106"/>
      <c r="O68" s="105"/>
      <c r="P68" s="113"/>
      <c r="Q68" s="376"/>
      <c r="R68" s="376"/>
      <c r="S68" s="376"/>
    </row>
    <row r="69" spans="1:22" ht="12.75" customHeight="1" x14ac:dyDescent="0.2">
      <c r="A69" s="305" t="s">
        <v>84</v>
      </c>
      <c r="B69" s="157"/>
      <c r="C69" s="158"/>
      <c r="D69" s="158"/>
      <c r="E69" s="157"/>
      <c r="F69" s="339"/>
      <c r="G69" s="362"/>
      <c r="H69" s="362"/>
      <c r="I69" s="362"/>
      <c r="J69" s="362"/>
      <c r="K69" s="362"/>
      <c r="L69" s="362"/>
      <c r="M69" s="113"/>
      <c r="N69" s="113" t="s">
        <v>85</v>
      </c>
      <c r="O69" s="339"/>
      <c r="P69" s="362"/>
      <c r="Q69" s="362"/>
      <c r="R69" s="362"/>
    </row>
    <row r="70" spans="1:22" ht="12.75" customHeight="1" x14ac:dyDescent="0.2">
      <c r="A70" s="124"/>
      <c r="C70" s="158"/>
      <c r="D70" s="158"/>
      <c r="E70" s="92"/>
      <c r="F70" s="92"/>
      <c r="G70" s="124"/>
      <c r="H70" s="94"/>
      <c r="I70" s="94"/>
      <c r="J70" s="94"/>
      <c r="K70" s="94"/>
      <c r="L70" s="94"/>
      <c r="O70" s="105"/>
      <c r="P70" s="124"/>
      <c r="Q70" s="376"/>
      <c r="R70" s="376"/>
      <c r="S70" s="376"/>
    </row>
    <row r="71" spans="1:22" ht="12.75" customHeight="1" x14ac:dyDescent="0.2">
      <c r="A71" s="124" t="s">
        <v>67</v>
      </c>
      <c r="C71" s="158"/>
      <c r="D71" s="158"/>
      <c r="E71" s="339"/>
      <c r="F71" s="362"/>
      <c r="G71" s="124" t="s">
        <v>86</v>
      </c>
      <c r="H71" s="339"/>
      <c r="I71" s="362"/>
      <c r="J71" s="362"/>
      <c r="K71" s="362"/>
      <c r="L71" s="362"/>
      <c r="M71" s="99"/>
      <c r="N71" s="113" t="s">
        <v>259</v>
      </c>
      <c r="O71" s="339"/>
      <c r="P71" s="362"/>
      <c r="Q71" s="362"/>
      <c r="R71" s="362"/>
    </row>
    <row r="72" spans="1:22" ht="12.75" customHeight="1" x14ac:dyDescent="0.2">
      <c r="A72" s="124"/>
      <c r="C72" s="158"/>
      <c r="D72" s="158"/>
      <c r="E72" s="92"/>
      <c r="F72" s="92"/>
      <c r="G72" s="124"/>
      <c r="M72" s="124"/>
      <c r="O72" s="124"/>
    </row>
    <row r="73" spans="1:22" ht="5.0999999999999996" customHeight="1" x14ac:dyDescent="0.2">
      <c r="A73" s="126"/>
      <c r="B73" s="126"/>
      <c r="C73" s="126"/>
      <c r="D73" s="126"/>
      <c r="E73" s="126"/>
      <c r="F73" s="125"/>
      <c r="G73" s="126"/>
      <c r="H73" s="167"/>
      <c r="I73" s="167"/>
      <c r="J73" s="167"/>
      <c r="K73" s="126"/>
      <c r="L73" s="126"/>
      <c r="M73" s="168"/>
      <c r="N73" s="126"/>
      <c r="O73" s="169"/>
      <c r="P73" s="126"/>
      <c r="Q73" s="169"/>
      <c r="R73" s="126"/>
      <c r="S73" s="126"/>
      <c r="T73" s="126"/>
    </row>
    <row r="74" spans="1:22" ht="6" customHeight="1" x14ac:dyDescent="0.2">
      <c r="E74" s="92"/>
      <c r="H74" s="99"/>
      <c r="I74" s="99"/>
      <c r="J74" s="99"/>
      <c r="M74" s="103"/>
      <c r="O74" s="102"/>
      <c r="Q74" s="102"/>
    </row>
    <row r="75" spans="1:22" ht="12.75" customHeight="1" x14ac:dyDescent="0.2">
      <c r="A75" s="170"/>
      <c r="B75" s="170"/>
      <c r="C75" s="170"/>
      <c r="D75" s="170"/>
      <c r="E75" s="99"/>
      <c r="F75" s="99"/>
      <c r="G75" s="99"/>
      <c r="Q75" s="171"/>
      <c r="R75" s="171"/>
    </row>
    <row r="76" spans="1:22" ht="12.75" customHeight="1" x14ac:dyDescent="0.2">
      <c r="A76" s="170"/>
      <c r="C76" s="172"/>
      <c r="D76" s="172"/>
      <c r="E76" s="173"/>
      <c r="F76" s="173"/>
      <c r="G76" s="174"/>
      <c r="H76" s="172"/>
      <c r="I76" s="172"/>
      <c r="J76" s="172"/>
      <c r="K76" s="172"/>
      <c r="L76" s="172"/>
      <c r="M76" s="175"/>
      <c r="N76" s="172"/>
      <c r="O76" s="172"/>
      <c r="P76" s="172"/>
      <c r="Q76" s="176"/>
      <c r="R76" s="176"/>
      <c r="S76" s="172"/>
      <c r="T76" s="172"/>
      <c r="U76" s="172"/>
    </row>
    <row r="77" spans="1:22" ht="12.75" customHeight="1" x14ac:dyDescent="0.2">
      <c r="A77" s="93"/>
      <c r="C77" s="177"/>
      <c r="D77" s="172"/>
      <c r="E77" s="173"/>
      <c r="F77" s="173"/>
      <c r="G77" s="174"/>
      <c r="H77" s="172"/>
      <c r="I77" s="172"/>
      <c r="J77" s="172"/>
      <c r="K77" s="172"/>
      <c r="L77" s="178"/>
      <c r="M77" s="173"/>
      <c r="N77" s="172"/>
      <c r="O77" s="172"/>
      <c r="P77" s="172"/>
      <c r="Q77" s="172"/>
      <c r="R77" s="172"/>
      <c r="S77" s="172"/>
      <c r="T77" s="172"/>
      <c r="U77" s="172"/>
    </row>
    <row r="78" spans="1:22" ht="12.95" customHeight="1" x14ac:dyDescent="0.2">
      <c r="A78" s="99"/>
      <c r="B78" s="179"/>
      <c r="C78" s="180"/>
      <c r="D78" s="172"/>
      <c r="E78" s="181"/>
      <c r="F78" s="177"/>
      <c r="G78" s="173"/>
      <c r="H78" s="172"/>
      <c r="I78" s="172"/>
      <c r="J78" s="172"/>
      <c r="K78" s="172"/>
      <c r="L78" s="172"/>
      <c r="M78" s="175"/>
      <c r="N78" s="172"/>
      <c r="O78" s="172"/>
      <c r="P78" s="172"/>
      <c r="Q78" s="172"/>
      <c r="R78" s="172"/>
      <c r="S78" s="172"/>
      <c r="T78" s="172"/>
      <c r="U78" s="172"/>
    </row>
    <row r="79" spans="1:22" ht="12.95" customHeight="1" x14ac:dyDescent="0.2">
      <c r="A79" s="99"/>
      <c r="B79" s="179"/>
      <c r="C79" s="182"/>
      <c r="D79" s="172"/>
      <c r="E79" s="181"/>
      <c r="F79" s="177"/>
      <c r="G79" s="173"/>
      <c r="H79" s="172"/>
      <c r="I79" s="172"/>
      <c r="J79" s="172"/>
      <c r="K79" s="172"/>
      <c r="L79" s="172"/>
      <c r="M79" s="175"/>
      <c r="N79" s="172"/>
      <c r="O79" s="172"/>
      <c r="P79" s="172"/>
      <c r="Q79" s="172"/>
      <c r="R79" s="172"/>
      <c r="S79" s="172"/>
      <c r="T79" s="172"/>
      <c r="U79" s="172"/>
    </row>
    <row r="80" spans="1:22" ht="6" customHeight="1" x14ac:dyDescent="0.2">
      <c r="A80" s="99"/>
      <c r="B80" s="179"/>
      <c r="C80" s="172"/>
      <c r="D80" s="172"/>
      <c r="E80" s="183"/>
      <c r="F80" s="173"/>
      <c r="G80" s="174"/>
      <c r="H80" s="172"/>
      <c r="I80" s="172"/>
      <c r="J80" s="172"/>
      <c r="K80" s="172"/>
      <c r="L80" s="172"/>
      <c r="M80" s="173"/>
      <c r="N80" s="172"/>
      <c r="O80" s="172"/>
      <c r="P80" s="172"/>
      <c r="Q80" s="172"/>
      <c r="R80" s="172"/>
      <c r="S80" s="172"/>
      <c r="T80" s="172"/>
      <c r="U80" s="172"/>
    </row>
    <row r="81" spans="1:22" x14ac:dyDescent="0.2">
      <c r="A81" s="99"/>
      <c r="B81" s="179"/>
      <c r="C81" s="180"/>
      <c r="D81" s="172"/>
      <c r="E81" s="181"/>
      <c r="F81" s="173"/>
      <c r="G81" s="173"/>
      <c r="H81" s="172"/>
      <c r="I81" s="172"/>
      <c r="J81" s="172"/>
      <c r="K81" s="172"/>
      <c r="L81" s="172"/>
      <c r="M81" s="173"/>
      <c r="N81" s="172"/>
      <c r="O81" s="172"/>
      <c r="P81" s="172"/>
      <c r="Q81" s="172"/>
      <c r="R81" s="172"/>
      <c r="S81" s="172"/>
      <c r="T81" s="172"/>
      <c r="U81" s="172"/>
    </row>
    <row r="82" spans="1:22" ht="9" customHeight="1" x14ac:dyDescent="0.2">
      <c r="A82" s="99"/>
      <c r="B82" s="179"/>
      <c r="E82" s="170"/>
      <c r="F82" s="92"/>
      <c r="I82" s="99"/>
      <c r="M82" s="99"/>
    </row>
    <row r="83" spans="1:22" ht="12.75" customHeight="1" x14ac:dyDescent="0.2">
      <c r="A83" s="99"/>
      <c r="B83" s="179"/>
      <c r="E83" s="184"/>
      <c r="F83" s="92"/>
      <c r="I83" s="99"/>
      <c r="M83" s="99"/>
    </row>
    <row r="84" spans="1:22" ht="5.0999999999999996" customHeight="1" x14ac:dyDescent="0.2">
      <c r="A84" s="167"/>
      <c r="E84" s="92"/>
      <c r="F84" s="92"/>
    </row>
    <row r="85" spans="1:22" ht="5.0999999999999996" customHeight="1" x14ac:dyDescent="0.2">
      <c r="B85" s="127"/>
      <c r="C85" s="127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</row>
    <row r="86" spans="1:22" x14ac:dyDescent="0.2">
      <c r="A86" s="137" t="s">
        <v>87</v>
      </c>
      <c r="E86" s="92"/>
    </row>
    <row r="87" spans="1:22" ht="12" customHeight="1" x14ac:dyDescent="0.2">
      <c r="A87" s="99" t="s">
        <v>88</v>
      </c>
      <c r="C87" s="99"/>
      <c r="E87" s="92"/>
      <c r="F87" s="92"/>
    </row>
    <row r="88" spans="1:22" x14ac:dyDescent="0.2">
      <c r="A88" s="113" t="s">
        <v>89</v>
      </c>
      <c r="B88" s="99" t="s">
        <v>90</v>
      </c>
    </row>
    <row r="89" spans="1:22" ht="12.6" customHeight="1" x14ac:dyDescent="0.2">
      <c r="A89" s="99"/>
      <c r="B89" s="99" t="s">
        <v>91</v>
      </c>
      <c r="E89" s="92"/>
    </row>
    <row r="90" spans="1:22" ht="12.6" customHeight="1" x14ac:dyDescent="0.2">
      <c r="A90" s="113" t="s">
        <v>92</v>
      </c>
      <c r="B90" s="366" t="s">
        <v>93</v>
      </c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</row>
    <row r="91" spans="1:22" ht="12.6" customHeight="1" x14ac:dyDescent="0.2">
      <c r="A91" s="126"/>
      <c r="B91" s="126"/>
      <c r="C91" s="126"/>
      <c r="D91" s="126"/>
      <c r="E91" s="126"/>
      <c r="F91" s="126"/>
      <c r="G91" s="126"/>
    </row>
    <row r="92" spans="1:22" x14ac:dyDescent="0.2">
      <c r="B92" s="93" t="str">
        <f>+IF(A15="DATOS DEL EMPLEADO","","USUARIO / BANCO")</f>
        <v>USUARIO / BANCO</v>
      </c>
      <c r="F92" s="120"/>
      <c r="G92" s="94"/>
      <c r="H92" s="367" t="s">
        <v>94</v>
      </c>
      <c r="I92" s="367"/>
      <c r="J92" s="367"/>
      <c r="K92" s="367"/>
      <c r="L92" s="367"/>
      <c r="M92" s="367"/>
      <c r="N92" s="367"/>
      <c r="O92" s="367"/>
      <c r="P92" s="367"/>
      <c r="Q92" s="367"/>
      <c r="R92" s="367"/>
      <c r="S92" s="367"/>
      <c r="T92" s="367"/>
    </row>
    <row r="93" spans="1:22" ht="12.75" customHeight="1" x14ac:dyDescent="0.2">
      <c r="A93" s="106"/>
      <c r="H93" s="368" t="s">
        <v>95</v>
      </c>
      <c r="I93" s="368"/>
      <c r="J93" s="368"/>
      <c r="K93" s="368"/>
      <c r="L93" s="368"/>
      <c r="M93" s="368"/>
      <c r="N93" s="368"/>
      <c r="O93" s="368"/>
      <c r="P93" s="368"/>
      <c r="Q93" s="368"/>
      <c r="R93" s="368"/>
      <c r="S93" s="368"/>
      <c r="T93" s="368"/>
      <c r="U93" s="185"/>
      <c r="V93" s="185"/>
    </row>
    <row r="94" spans="1:22" x14ac:dyDescent="0.2">
      <c r="A94" s="99"/>
      <c r="G94" s="186"/>
      <c r="H94" s="368"/>
      <c r="I94" s="368"/>
      <c r="J94" s="368"/>
      <c r="K94" s="368"/>
      <c r="L94" s="368"/>
      <c r="M94" s="368"/>
      <c r="N94" s="368"/>
      <c r="O94" s="368"/>
      <c r="P94" s="368"/>
      <c r="Q94" s="368"/>
      <c r="R94" s="368"/>
      <c r="S94" s="368"/>
      <c r="T94" s="368"/>
      <c r="U94" s="185"/>
      <c r="V94" s="185"/>
    </row>
    <row r="95" spans="1:22" x14ac:dyDescent="0.2">
      <c r="G95" s="186"/>
      <c r="H95" s="368"/>
      <c r="I95" s="368"/>
      <c r="J95" s="368"/>
      <c r="K95" s="368"/>
      <c r="L95" s="368"/>
      <c r="M95" s="368"/>
      <c r="N95" s="368"/>
      <c r="O95" s="368"/>
      <c r="P95" s="368"/>
      <c r="Q95" s="368"/>
      <c r="R95" s="368"/>
      <c r="S95" s="368"/>
      <c r="T95" s="368"/>
      <c r="U95" s="185"/>
      <c r="V95" s="185"/>
    </row>
    <row r="96" spans="1:22" x14ac:dyDescent="0.2">
      <c r="G96" s="186"/>
      <c r="H96" s="368"/>
      <c r="I96" s="368"/>
      <c r="J96" s="368"/>
      <c r="K96" s="368"/>
      <c r="L96" s="368"/>
      <c r="M96" s="368"/>
      <c r="N96" s="368"/>
      <c r="O96" s="368"/>
      <c r="P96" s="368"/>
      <c r="Q96" s="368"/>
      <c r="R96" s="368"/>
      <c r="S96" s="368"/>
      <c r="T96" s="368"/>
      <c r="U96" s="185"/>
      <c r="V96" s="185"/>
    </row>
    <row r="97" spans="1:22" x14ac:dyDescent="0.2">
      <c r="G97" s="186"/>
      <c r="H97" s="368"/>
      <c r="I97" s="368"/>
      <c r="J97" s="368"/>
      <c r="K97" s="368"/>
      <c r="L97" s="368"/>
      <c r="M97" s="368"/>
      <c r="N97" s="368"/>
      <c r="O97" s="368"/>
      <c r="P97" s="368"/>
      <c r="Q97" s="368"/>
      <c r="R97" s="368"/>
      <c r="S97" s="368"/>
      <c r="T97" s="368"/>
      <c r="U97" s="185"/>
      <c r="V97" s="187"/>
    </row>
    <row r="98" spans="1:22" x14ac:dyDescent="0.2">
      <c r="G98" s="186"/>
      <c r="H98" s="368" t="str">
        <f>+IF(requisitos!I14=5,'Hipoteca Free'!B120,"")</f>
        <v/>
      </c>
      <c r="I98" s="369"/>
      <c r="J98" s="369"/>
      <c r="K98" s="369"/>
      <c r="L98" s="369"/>
      <c r="M98" s="369"/>
      <c r="N98" s="369"/>
      <c r="O98" s="369"/>
      <c r="P98" s="369"/>
      <c r="Q98" s="369"/>
      <c r="R98" s="369"/>
      <c r="S98" s="369"/>
      <c r="T98" s="369"/>
      <c r="U98" s="185"/>
      <c r="V98" s="185"/>
    </row>
    <row r="99" spans="1:22" x14ac:dyDescent="0.2">
      <c r="G99" s="186"/>
      <c r="H99" s="369"/>
      <c r="I99" s="369"/>
      <c r="J99" s="369"/>
      <c r="K99" s="369"/>
      <c r="L99" s="369"/>
      <c r="M99" s="369"/>
      <c r="N99" s="369"/>
      <c r="O99" s="369"/>
      <c r="P99" s="369"/>
      <c r="Q99" s="369"/>
      <c r="R99" s="369"/>
      <c r="S99" s="369"/>
      <c r="T99" s="369"/>
      <c r="U99" s="185"/>
      <c r="V99" s="185"/>
    </row>
    <row r="100" spans="1:22" x14ac:dyDescent="0.2">
      <c r="G100" s="186"/>
      <c r="H100" s="369"/>
      <c r="I100" s="369"/>
      <c r="J100" s="369"/>
      <c r="K100" s="369"/>
      <c r="L100" s="369"/>
      <c r="M100" s="369"/>
      <c r="N100" s="369"/>
      <c r="O100" s="369"/>
      <c r="P100" s="369"/>
      <c r="Q100" s="369"/>
      <c r="R100" s="369"/>
      <c r="S100" s="369"/>
      <c r="T100" s="369"/>
      <c r="U100" s="185"/>
      <c r="V100" s="185"/>
    </row>
    <row r="101" spans="1:22" ht="12.75" customHeight="1" x14ac:dyDescent="0.2">
      <c r="G101" s="186"/>
      <c r="H101" s="370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185"/>
      <c r="V101" s="185"/>
    </row>
    <row r="102" spans="1:22" ht="13.5" customHeight="1" x14ac:dyDescent="0.2">
      <c r="G102" s="186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185"/>
      <c r="V102" s="185"/>
    </row>
    <row r="103" spans="1:22" ht="12.75" customHeight="1" x14ac:dyDescent="0.2">
      <c r="G103" s="186"/>
      <c r="H103" s="370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185"/>
      <c r="V103" s="185"/>
    </row>
    <row r="104" spans="1:22" ht="14.25" customHeight="1" x14ac:dyDescent="0.2">
      <c r="G104" s="186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185"/>
      <c r="V104" s="185"/>
    </row>
    <row r="105" spans="1:22" ht="18.75" customHeight="1" x14ac:dyDescent="0.2">
      <c r="G105" s="186"/>
      <c r="H105" s="372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185"/>
      <c r="V105" s="185"/>
    </row>
    <row r="106" spans="1:22" ht="13.5" thickBot="1" x14ac:dyDescent="0.25">
      <c r="A106" s="363">
        <f>+E17</f>
        <v>0</v>
      </c>
      <c r="B106" s="364"/>
      <c r="C106" s="364"/>
      <c r="D106" s="364"/>
      <c r="E106" s="364"/>
      <c r="F106" s="364"/>
      <c r="G106" s="188"/>
      <c r="H106" s="365">
        <f>+G52</f>
        <v>0</v>
      </c>
      <c r="I106" s="365"/>
      <c r="J106" s="365"/>
      <c r="K106" s="365"/>
      <c r="L106" s="365"/>
      <c r="M106" s="365"/>
      <c r="N106" s="365"/>
      <c r="O106" s="365"/>
      <c r="P106" s="365"/>
      <c r="Q106" s="365"/>
      <c r="R106" s="365"/>
      <c r="S106" s="365"/>
      <c r="T106" s="365"/>
    </row>
    <row r="107" spans="1:22" ht="13.5" thickTop="1" x14ac:dyDescent="0.2">
      <c r="R107" s="189"/>
      <c r="S107" s="189"/>
      <c r="T107" s="189" t="s">
        <v>264</v>
      </c>
    </row>
    <row r="108" spans="1:22" hidden="1" x14ac:dyDescent="0.2"/>
    <row r="112" spans="1:22" x14ac:dyDescent="0.2">
      <c r="A112" s="116"/>
      <c r="B112" s="116"/>
      <c r="C112" s="116"/>
      <c r="D112" s="116"/>
      <c r="E112" s="107"/>
      <c r="F112" s="107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</row>
    <row r="113" spans="1:20" x14ac:dyDescent="0.2">
      <c r="A113" s="116"/>
      <c r="B113" s="116"/>
      <c r="C113" s="116"/>
      <c r="D113" s="116"/>
      <c r="E113" s="107"/>
      <c r="F113" s="107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</row>
    <row r="114" spans="1:20" x14ac:dyDescent="0.2">
      <c r="A114" s="116"/>
      <c r="B114" s="116"/>
      <c r="C114" s="116"/>
      <c r="D114" s="116"/>
      <c r="E114" s="107"/>
      <c r="F114" s="107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</row>
    <row r="115" spans="1:20" x14ac:dyDescent="0.2">
      <c r="A115" s="116"/>
      <c r="B115" s="116"/>
      <c r="C115" s="116"/>
      <c r="D115" s="116"/>
      <c r="E115" s="107"/>
      <c r="F115" s="107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</row>
    <row r="116" spans="1:20" x14ac:dyDescent="0.2">
      <c r="A116" s="116"/>
      <c r="B116" s="116"/>
      <c r="C116" s="116"/>
      <c r="D116" s="116"/>
      <c r="E116" s="107"/>
      <c r="F116" s="107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</row>
    <row r="117" spans="1:20" x14ac:dyDescent="0.2">
      <c r="A117" s="116"/>
      <c r="B117" s="116"/>
      <c r="C117" s="116"/>
      <c r="D117" s="116"/>
      <c r="E117" s="107"/>
      <c r="F117" s="107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</row>
    <row r="118" spans="1:20" x14ac:dyDescent="0.2"/>
    <row r="119" spans="1:20" x14ac:dyDescent="0.2"/>
    <row r="120" spans="1:20" s="116" customFormat="1" x14ac:dyDescent="0.2">
      <c r="B120" s="190" t="s">
        <v>96</v>
      </c>
      <c r="E120" s="107"/>
      <c r="F120" s="107"/>
    </row>
    <row r="121" spans="1:20" s="116" customFormat="1" x14ac:dyDescent="0.2">
      <c r="E121" s="107"/>
      <c r="F121" s="107"/>
    </row>
    <row r="122" spans="1:20" s="116" customFormat="1" x14ac:dyDescent="0.2">
      <c r="E122" s="107"/>
      <c r="F122" s="107"/>
    </row>
    <row r="123" spans="1:20" s="116" customFormat="1" x14ac:dyDescent="0.2">
      <c r="E123" s="107"/>
      <c r="F123" s="107"/>
    </row>
    <row r="124" spans="1:20" x14ac:dyDescent="0.2"/>
    <row r="125" spans="1:20" x14ac:dyDescent="0.2"/>
    <row r="126" spans="1:20" x14ac:dyDescent="0.2"/>
    <row r="127" spans="1:20" x14ac:dyDescent="0.2"/>
    <row r="128" spans="1:20" x14ac:dyDescent="0.2"/>
    <row r="129" x14ac:dyDescent="0.2"/>
    <row r="130" x14ac:dyDescent="0.2"/>
  </sheetData>
  <sheetProtection algorithmName="SHA-512" hashValue="lhuOidNH4/d/2V7pqjzrp2GGxGWEiiwC/HAMyKNoWox76u+ALKdRfSMF6zzcQXcyypk6/qo8sDo2KChHDCVwEQ==" saltValue="TTdNpUrgMCKND4U2qGCHqQ==" spinCount="100000" sheet="1" objects="1" scenarios="1"/>
  <mergeCells count="42">
    <mergeCell ref="P64:T64"/>
    <mergeCell ref="Q68:S68"/>
    <mergeCell ref="F69:L69"/>
    <mergeCell ref="O69:R69"/>
    <mergeCell ref="Q70:S70"/>
    <mergeCell ref="E71:F71"/>
    <mergeCell ref="H71:L71"/>
    <mergeCell ref="O71:R71"/>
    <mergeCell ref="A106:F106"/>
    <mergeCell ref="H106:T106"/>
    <mergeCell ref="B90:T90"/>
    <mergeCell ref="H92:T92"/>
    <mergeCell ref="H93:T97"/>
    <mergeCell ref="H98:T100"/>
    <mergeCell ref="H101:T102"/>
    <mergeCell ref="H103:T104"/>
    <mergeCell ref="H105:T105"/>
    <mergeCell ref="E17:G17"/>
    <mergeCell ref="J17:O17"/>
    <mergeCell ref="Q17:T17"/>
    <mergeCell ref="H20:J20"/>
    <mergeCell ref="A21:J21"/>
    <mergeCell ref="K20:N20"/>
    <mergeCell ref="A22:K24"/>
    <mergeCell ref="N22:Q22"/>
    <mergeCell ref="L23:M23"/>
    <mergeCell ref="O23:T23"/>
    <mergeCell ref="O24:T24"/>
    <mergeCell ref="I25:N26"/>
    <mergeCell ref="L27:T29"/>
    <mergeCell ref="M40:T41"/>
    <mergeCell ref="F46:J46"/>
    <mergeCell ref="O59:Q60"/>
    <mergeCell ref="M52:O52"/>
    <mergeCell ref="N53:O53"/>
    <mergeCell ref="M54:O54"/>
    <mergeCell ref="M55:O55"/>
    <mergeCell ref="N15:O15"/>
    <mergeCell ref="J3:T3"/>
    <mergeCell ref="Q4:T4"/>
    <mergeCell ref="Q5:T5"/>
    <mergeCell ref="Q6:T6"/>
  </mergeCells>
  <printOptions horizontalCentered="1" verticalCentered="1"/>
  <pageMargins left="0.19685039370078741" right="0.19685039370078741" top="0.19685039370078741" bottom="0.19685039370078741" header="0" footer="0"/>
  <pageSetup scale="61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0</xdr:col>
                    <xdr:colOff>76200</xdr:colOff>
                    <xdr:row>26</xdr:row>
                    <xdr:rowOff>142875</xdr:rowOff>
                  </from>
                  <to>
                    <xdr:col>7</xdr:col>
                    <xdr:colOff>19050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print="0" autoLine="0" autoPict="0">
                <anchor moveWithCells="1">
                  <from>
                    <xdr:col>5</xdr:col>
                    <xdr:colOff>542925</xdr:colOff>
                    <xdr:row>31</xdr:row>
                    <xdr:rowOff>0</xdr:rowOff>
                  </from>
                  <to>
                    <xdr:col>10</xdr:col>
                    <xdr:colOff>104775</xdr:colOff>
                    <xdr:row>31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20218-5972-47C4-BEAE-DFBE81CAC757}">
  <dimension ref="A1:E18"/>
  <sheetViews>
    <sheetView workbookViewId="0">
      <selection activeCell="D18" sqref="D18"/>
    </sheetView>
  </sheetViews>
  <sheetFormatPr baseColWidth="10" defaultColWidth="10.85546875" defaultRowHeight="12.75" x14ac:dyDescent="0.25"/>
  <cols>
    <col min="1" max="1" width="10.85546875" style="272"/>
    <col min="2" max="2" width="19.42578125" style="272" bestFit="1" customWidth="1"/>
    <col min="3" max="3" width="10.85546875" style="272"/>
    <col min="4" max="5" width="20.85546875" style="272" bestFit="1" customWidth="1"/>
    <col min="6" max="16384" width="10.85546875" style="272"/>
  </cols>
  <sheetData>
    <row r="1" spans="1:5" x14ac:dyDescent="0.25">
      <c r="B1" s="377" t="s">
        <v>258</v>
      </c>
      <c r="D1" s="377" t="s">
        <v>240</v>
      </c>
      <c r="E1" s="377" t="s">
        <v>241</v>
      </c>
    </row>
    <row r="2" spans="1:5" x14ac:dyDescent="0.25">
      <c r="B2" s="377"/>
      <c r="D2" s="377"/>
      <c r="E2" s="377"/>
    </row>
    <row r="3" spans="1:5" x14ac:dyDescent="0.25">
      <c r="A3" s="272">
        <v>1</v>
      </c>
      <c r="B3" s="272" t="s">
        <v>257</v>
      </c>
      <c r="C3" s="272">
        <v>1</v>
      </c>
      <c r="D3" s="273"/>
      <c r="E3" s="273"/>
    </row>
    <row r="4" spans="1:5" x14ac:dyDescent="0.25">
      <c r="B4" s="272" t="s">
        <v>138</v>
      </c>
      <c r="D4" s="273" t="s">
        <v>242</v>
      </c>
      <c r="E4" s="273">
        <v>2000</v>
      </c>
    </row>
    <row r="5" spans="1:5" x14ac:dyDescent="0.25">
      <c r="B5" s="272" t="s">
        <v>100</v>
      </c>
      <c r="D5" s="273" t="s">
        <v>243</v>
      </c>
      <c r="E5" s="273">
        <v>3000</v>
      </c>
    </row>
    <row r="6" spans="1:5" x14ac:dyDescent="0.25">
      <c r="D6" s="273" t="s">
        <v>244</v>
      </c>
      <c r="E6" s="273">
        <v>4500</v>
      </c>
    </row>
    <row r="7" spans="1:5" x14ac:dyDescent="0.25">
      <c r="D7" s="273" t="s">
        <v>245</v>
      </c>
      <c r="E7" s="273">
        <v>6000</v>
      </c>
    </row>
    <row r="8" spans="1:5" x14ac:dyDescent="0.25">
      <c r="D8" s="273" t="s">
        <v>246</v>
      </c>
      <c r="E8" s="273">
        <v>7000</v>
      </c>
    </row>
    <row r="9" spans="1:5" x14ac:dyDescent="0.25">
      <c r="D9" s="273" t="s">
        <v>247</v>
      </c>
      <c r="E9" s="273">
        <v>9000</v>
      </c>
    </row>
    <row r="10" spans="1:5" x14ac:dyDescent="0.25">
      <c r="D10" s="273" t="s">
        <v>248</v>
      </c>
      <c r="E10" s="273">
        <v>10000</v>
      </c>
    </row>
    <row r="11" spans="1:5" x14ac:dyDescent="0.25">
      <c r="D11" s="273" t="s">
        <v>250</v>
      </c>
      <c r="E11" s="273">
        <v>11000</v>
      </c>
    </row>
    <row r="12" spans="1:5" x14ac:dyDescent="0.25">
      <c r="D12" s="273" t="s">
        <v>251</v>
      </c>
      <c r="E12" s="273">
        <v>13500</v>
      </c>
    </row>
    <row r="13" spans="1:5" x14ac:dyDescent="0.25">
      <c r="D13" s="273" t="s">
        <v>252</v>
      </c>
      <c r="E13" s="273">
        <v>14000</v>
      </c>
    </row>
    <row r="14" spans="1:5" x14ac:dyDescent="0.25">
      <c r="D14" s="273" t="s">
        <v>253</v>
      </c>
      <c r="E14" s="273">
        <v>17000</v>
      </c>
    </row>
    <row r="15" spans="1:5" x14ac:dyDescent="0.25">
      <c r="D15" s="273" t="s">
        <v>254</v>
      </c>
      <c r="E15" s="273">
        <v>19000</v>
      </c>
    </row>
    <row r="16" spans="1:5" x14ac:dyDescent="0.25">
      <c r="D16" s="273" t="s">
        <v>256</v>
      </c>
      <c r="E16" s="273">
        <v>20000</v>
      </c>
    </row>
    <row r="17" spans="4:5" x14ac:dyDescent="0.25">
      <c r="D17" s="273" t="s">
        <v>255</v>
      </c>
      <c r="E17" s="273">
        <v>22000</v>
      </c>
    </row>
    <row r="18" spans="4:5" x14ac:dyDescent="0.25">
      <c r="D18" s="273" t="s">
        <v>249</v>
      </c>
      <c r="E18" s="273">
        <v>24000</v>
      </c>
    </row>
  </sheetData>
  <mergeCells count="3">
    <mergeCell ref="B1:B2"/>
    <mergeCell ref="D1:D2"/>
    <mergeCell ref="E1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6806D-2D2A-44AD-8F56-AA87E2817EB0}">
  <sheetPr>
    <pageSetUpPr fitToPage="1"/>
  </sheetPr>
  <dimension ref="A1:JB134"/>
  <sheetViews>
    <sheetView showGridLines="0" showZeros="0" tabSelected="1" zoomScaleNormal="100" workbookViewId="0">
      <selection activeCell="IW17" sqref="IW17"/>
    </sheetView>
  </sheetViews>
  <sheetFormatPr baseColWidth="10" defaultColWidth="3" defaultRowHeight="12.75" customHeight="1" zeroHeight="1" x14ac:dyDescent="0.2"/>
  <cols>
    <col min="1" max="1" width="3.5703125" style="92" customWidth="1"/>
    <col min="2" max="2" width="2.5703125" style="92" customWidth="1"/>
    <col min="3" max="3" width="3.42578125" style="92" customWidth="1"/>
    <col min="4" max="4" width="1.28515625" style="92" customWidth="1"/>
    <col min="5" max="5" width="6.7109375" style="93" customWidth="1"/>
    <col min="6" max="6" width="13.42578125" style="93" customWidth="1"/>
    <col min="7" max="7" width="14.5703125" style="92" customWidth="1"/>
    <col min="8" max="8" width="4.42578125" style="92" customWidth="1"/>
    <col min="9" max="9" width="8" style="92" customWidth="1"/>
    <col min="10" max="10" width="6.140625" style="92" customWidth="1"/>
    <col min="11" max="11" width="6.85546875" style="92" customWidth="1"/>
    <col min="12" max="12" width="4.28515625" style="92" customWidth="1"/>
    <col min="13" max="13" width="7.28515625" style="92" customWidth="1"/>
    <col min="14" max="14" width="12.140625" style="92" customWidth="1"/>
    <col min="15" max="15" width="13" style="92" customWidth="1"/>
    <col min="16" max="16" width="3.7109375" style="92" customWidth="1"/>
    <col min="17" max="17" width="14.42578125" style="92" customWidth="1"/>
    <col min="18" max="18" width="0.7109375" style="92" customWidth="1"/>
    <col min="19" max="19" width="3.7109375" style="92" customWidth="1"/>
    <col min="20" max="20" width="13" style="92" customWidth="1"/>
    <col min="21" max="21" width="1.7109375" style="92" customWidth="1"/>
    <col min="22" max="255" width="0" style="92" hidden="1" customWidth="1"/>
    <col min="256" max="256" width="3" style="92"/>
    <col min="257" max="257" width="3.5703125" style="92" customWidth="1"/>
    <col min="258" max="258" width="2.5703125" style="92" customWidth="1"/>
    <col min="259" max="259" width="3.42578125" style="92" customWidth="1"/>
    <col min="260" max="260" width="1.28515625" style="92" customWidth="1"/>
    <col min="261" max="261" width="6.7109375" style="92" customWidth="1"/>
    <col min="262" max="262" width="13.42578125" style="92" customWidth="1"/>
    <col min="263" max="263" width="14.5703125" style="92" customWidth="1"/>
    <col min="264" max="264" width="4.42578125" style="92" customWidth="1"/>
    <col min="265" max="265" width="8" style="92" customWidth="1"/>
    <col min="266" max="266" width="6.140625" style="92" customWidth="1"/>
    <col min="267" max="267" width="6.85546875" style="92" customWidth="1"/>
    <col min="268" max="268" width="4.28515625" style="92" customWidth="1"/>
    <col min="269" max="269" width="7.28515625" style="92" customWidth="1"/>
    <col min="270" max="270" width="12.140625" style="92" customWidth="1"/>
    <col min="271" max="271" width="13" style="92" customWidth="1"/>
    <col min="272" max="272" width="3.7109375" style="92" customWidth="1"/>
    <col min="273" max="273" width="14.42578125" style="92" customWidth="1"/>
    <col min="274" max="274" width="0.7109375" style="92" customWidth="1"/>
    <col min="275" max="275" width="3.7109375" style="92" customWidth="1"/>
    <col min="276" max="276" width="3.5703125" style="92" customWidth="1"/>
    <col min="277" max="277" width="1.7109375" style="92" customWidth="1"/>
    <col min="278" max="511" width="0" style="92" hidden="1" customWidth="1"/>
    <col min="512" max="512" width="3" style="92"/>
    <col min="513" max="513" width="3.5703125" style="92" customWidth="1"/>
    <col min="514" max="514" width="2.5703125" style="92" customWidth="1"/>
    <col min="515" max="515" width="3.42578125" style="92" customWidth="1"/>
    <col min="516" max="516" width="1.28515625" style="92" customWidth="1"/>
    <col min="517" max="517" width="6.7109375" style="92" customWidth="1"/>
    <col min="518" max="518" width="13.42578125" style="92" customWidth="1"/>
    <col min="519" max="519" width="14.5703125" style="92" customWidth="1"/>
    <col min="520" max="520" width="4.42578125" style="92" customWidth="1"/>
    <col min="521" max="521" width="8" style="92" customWidth="1"/>
    <col min="522" max="522" width="6.140625" style="92" customWidth="1"/>
    <col min="523" max="523" width="6.85546875" style="92" customWidth="1"/>
    <col min="524" max="524" width="4.28515625" style="92" customWidth="1"/>
    <col min="525" max="525" width="7.28515625" style="92" customWidth="1"/>
    <col min="526" max="526" width="12.140625" style="92" customWidth="1"/>
    <col min="527" max="527" width="13" style="92" customWidth="1"/>
    <col min="528" max="528" width="3.7109375" style="92" customWidth="1"/>
    <col min="529" max="529" width="14.42578125" style="92" customWidth="1"/>
    <col min="530" max="530" width="0.7109375" style="92" customWidth="1"/>
    <col min="531" max="531" width="3.7109375" style="92" customWidth="1"/>
    <col min="532" max="532" width="3.5703125" style="92" customWidth="1"/>
    <col min="533" max="533" width="1.7109375" style="92" customWidth="1"/>
    <col min="534" max="767" width="0" style="92" hidden="1" customWidth="1"/>
    <col min="768" max="768" width="3" style="92"/>
    <col min="769" max="769" width="3.5703125" style="92" customWidth="1"/>
    <col min="770" max="770" width="2.5703125" style="92" customWidth="1"/>
    <col min="771" max="771" width="3.42578125" style="92" customWidth="1"/>
    <col min="772" max="772" width="1.28515625" style="92" customWidth="1"/>
    <col min="773" max="773" width="6.7109375" style="92" customWidth="1"/>
    <col min="774" max="774" width="13.42578125" style="92" customWidth="1"/>
    <col min="775" max="775" width="14.5703125" style="92" customWidth="1"/>
    <col min="776" max="776" width="4.42578125" style="92" customWidth="1"/>
    <col min="777" max="777" width="8" style="92" customWidth="1"/>
    <col min="778" max="778" width="6.140625" style="92" customWidth="1"/>
    <col min="779" max="779" width="6.85546875" style="92" customWidth="1"/>
    <col min="780" max="780" width="4.28515625" style="92" customWidth="1"/>
    <col min="781" max="781" width="7.28515625" style="92" customWidth="1"/>
    <col min="782" max="782" width="12.140625" style="92" customWidth="1"/>
    <col min="783" max="783" width="13" style="92" customWidth="1"/>
    <col min="784" max="784" width="3.7109375" style="92" customWidth="1"/>
    <col min="785" max="785" width="14.42578125" style="92" customWidth="1"/>
    <col min="786" max="786" width="0.7109375" style="92" customWidth="1"/>
    <col min="787" max="787" width="3.7109375" style="92" customWidth="1"/>
    <col min="788" max="788" width="3.5703125" style="92" customWidth="1"/>
    <col min="789" max="789" width="1.7109375" style="92" customWidth="1"/>
    <col min="790" max="1023" width="0" style="92" hidden="1" customWidth="1"/>
    <col min="1024" max="1024" width="3" style="92"/>
    <col min="1025" max="1025" width="3.5703125" style="92" customWidth="1"/>
    <col min="1026" max="1026" width="2.5703125" style="92" customWidth="1"/>
    <col min="1027" max="1027" width="3.42578125" style="92" customWidth="1"/>
    <col min="1028" max="1028" width="1.28515625" style="92" customWidth="1"/>
    <col min="1029" max="1029" width="6.7109375" style="92" customWidth="1"/>
    <col min="1030" max="1030" width="13.42578125" style="92" customWidth="1"/>
    <col min="1031" max="1031" width="14.5703125" style="92" customWidth="1"/>
    <col min="1032" max="1032" width="4.42578125" style="92" customWidth="1"/>
    <col min="1033" max="1033" width="8" style="92" customWidth="1"/>
    <col min="1034" max="1034" width="6.140625" style="92" customWidth="1"/>
    <col min="1035" max="1035" width="6.85546875" style="92" customWidth="1"/>
    <col min="1036" max="1036" width="4.28515625" style="92" customWidth="1"/>
    <col min="1037" max="1037" width="7.28515625" style="92" customWidth="1"/>
    <col min="1038" max="1038" width="12.140625" style="92" customWidth="1"/>
    <col min="1039" max="1039" width="13" style="92" customWidth="1"/>
    <col min="1040" max="1040" width="3.7109375" style="92" customWidth="1"/>
    <col min="1041" max="1041" width="14.42578125" style="92" customWidth="1"/>
    <col min="1042" max="1042" width="0.7109375" style="92" customWidth="1"/>
    <col min="1043" max="1043" width="3.7109375" style="92" customWidth="1"/>
    <col min="1044" max="1044" width="3.5703125" style="92" customWidth="1"/>
    <col min="1045" max="1045" width="1.7109375" style="92" customWidth="1"/>
    <col min="1046" max="1279" width="0" style="92" hidden="1" customWidth="1"/>
    <col min="1280" max="1280" width="3" style="92"/>
    <col min="1281" max="1281" width="3.5703125" style="92" customWidth="1"/>
    <col min="1282" max="1282" width="2.5703125" style="92" customWidth="1"/>
    <col min="1283" max="1283" width="3.42578125" style="92" customWidth="1"/>
    <col min="1284" max="1284" width="1.28515625" style="92" customWidth="1"/>
    <col min="1285" max="1285" width="6.7109375" style="92" customWidth="1"/>
    <col min="1286" max="1286" width="13.42578125" style="92" customWidth="1"/>
    <col min="1287" max="1287" width="14.5703125" style="92" customWidth="1"/>
    <col min="1288" max="1288" width="4.42578125" style="92" customWidth="1"/>
    <col min="1289" max="1289" width="8" style="92" customWidth="1"/>
    <col min="1290" max="1290" width="6.140625" style="92" customWidth="1"/>
    <col min="1291" max="1291" width="6.85546875" style="92" customWidth="1"/>
    <col min="1292" max="1292" width="4.28515625" style="92" customWidth="1"/>
    <col min="1293" max="1293" width="7.28515625" style="92" customWidth="1"/>
    <col min="1294" max="1294" width="12.140625" style="92" customWidth="1"/>
    <col min="1295" max="1295" width="13" style="92" customWidth="1"/>
    <col min="1296" max="1296" width="3.7109375" style="92" customWidth="1"/>
    <col min="1297" max="1297" width="14.42578125" style="92" customWidth="1"/>
    <col min="1298" max="1298" width="0.7109375" style="92" customWidth="1"/>
    <col min="1299" max="1299" width="3.7109375" style="92" customWidth="1"/>
    <col min="1300" max="1300" width="3.5703125" style="92" customWidth="1"/>
    <col min="1301" max="1301" width="1.7109375" style="92" customWidth="1"/>
    <col min="1302" max="1535" width="0" style="92" hidden="1" customWidth="1"/>
    <col min="1536" max="1536" width="3" style="92"/>
    <col min="1537" max="1537" width="3.5703125" style="92" customWidth="1"/>
    <col min="1538" max="1538" width="2.5703125" style="92" customWidth="1"/>
    <col min="1539" max="1539" width="3.42578125" style="92" customWidth="1"/>
    <col min="1540" max="1540" width="1.28515625" style="92" customWidth="1"/>
    <col min="1541" max="1541" width="6.7109375" style="92" customWidth="1"/>
    <col min="1542" max="1542" width="13.42578125" style="92" customWidth="1"/>
    <col min="1543" max="1543" width="14.5703125" style="92" customWidth="1"/>
    <col min="1544" max="1544" width="4.42578125" style="92" customWidth="1"/>
    <col min="1545" max="1545" width="8" style="92" customWidth="1"/>
    <col min="1546" max="1546" width="6.140625" style="92" customWidth="1"/>
    <col min="1547" max="1547" width="6.85546875" style="92" customWidth="1"/>
    <col min="1548" max="1548" width="4.28515625" style="92" customWidth="1"/>
    <col min="1549" max="1549" width="7.28515625" style="92" customWidth="1"/>
    <col min="1550" max="1550" width="12.140625" style="92" customWidth="1"/>
    <col min="1551" max="1551" width="13" style="92" customWidth="1"/>
    <col min="1552" max="1552" width="3.7109375" style="92" customWidth="1"/>
    <col min="1553" max="1553" width="14.42578125" style="92" customWidth="1"/>
    <col min="1554" max="1554" width="0.7109375" style="92" customWidth="1"/>
    <col min="1555" max="1555" width="3.7109375" style="92" customWidth="1"/>
    <col min="1556" max="1556" width="3.5703125" style="92" customWidth="1"/>
    <col min="1557" max="1557" width="1.7109375" style="92" customWidth="1"/>
    <col min="1558" max="1791" width="0" style="92" hidden="1" customWidth="1"/>
    <col min="1792" max="1792" width="3" style="92"/>
    <col min="1793" max="1793" width="3.5703125" style="92" customWidth="1"/>
    <col min="1794" max="1794" width="2.5703125" style="92" customWidth="1"/>
    <col min="1795" max="1795" width="3.42578125" style="92" customWidth="1"/>
    <col min="1796" max="1796" width="1.28515625" style="92" customWidth="1"/>
    <col min="1797" max="1797" width="6.7109375" style="92" customWidth="1"/>
    <col min="1798" max="1798" width="13.42578125" style="92" customWidth="1"/>
    <col min="1799" max="1799" width="14.5703125" style="92" customWidth="1"/>
    <col min="1800" max="1800" width="4.42578125" style="92" customWidth="1"/>
    <col min="1801" max="1801" width="8" style="92" customWidth="1"/>
    <col min="1802" max="1802" width="6.140625" style="92" customWidth="1"/>
    <col min="1803" max="1803" width="6.85546875" style="92" customWidth="1"/>
    <col min="1804" max="1804" width="4.28515625" style="92" customWidth="1"/>
    <col min="1805" max="1805" width="7.28515625" style="92" customWidth="1"/>
    <col min="1806" max="1806" width="12.140625" style="92" customWidth="1"/>
    <col min="1807" max="1807" width="13" style="92" customWidth="1"/>
    <col min="1808" max="1808" width="3.7109375" style="92" customWidth="1"/>
    <col min="1809" max="1809" width="14.42578125" style="92" customWidth="1"/>
    <col min="1810" max="1810" width="0.7109375" style="92" customWidth="1"/>
    <col min="1811" max="1811" width="3.7109375" style="92" customWidth="1"/>
    <col min="1812" max="1812" width="3.5703125" style="92" customWidth="1"/>
    <col min="1813" max="1813" width="1.7109375" style="92" customWidth="1"/>
    <col min="1814" max="2047" width="0" style="92" hidden="1" customWidth="1"/>
    <col min="2048" max="2048" width="3" style="92"/>
    <col min="2049" max="2049" width="3.5703125" style="92" customWidth="1"/>
    <col min="2050" max="2050" width="2.5703125" style="92" customWidth="1"/>
    <col min="2051" max="2051" width="3.42578125" style="92" customWidth="1"/>
    <col min="2052" max="2052" width="1.28515625" style="92" customWidth="1"/>
    <col min="2053" max="2053" width="6.7109375" style="92" customWidth="1"/>
    <col min="2054" max="2054" width="13.42578125" style="92" customWidth="1"/>
    <col min="2055" max="2055" width="14.5703125" style="92" customWidth="1"/>
    <col min="2056" max="2056" width="4.42578125" style="92" customWidth="1"/>
    <col min="2057" max="2057" width="8" style="92" customWidth="1"/>
    <col min="2058" max="2058" width="6.140625" style="92" customWidth="1"/>
    <col min="2059" max="2059" width="6.85546875" style="92" customWidth="1"/>
    <col min="2060" max="2060" width="4.28515625" style="92" customWidth="1"/>
    <col min="2061" max="2061" width="7.28515625" style="92" customWidth="1"/>
    <col min="2062" max="2062" width="12.140625" style="92" customWidth="1"/>
    <col min="2063" max="2063" width="13" style="92" customWidth="1"/>
    <col min="2064" max="2064" width="3.7109375" style="92" customWidth="1"/>
    <col min="2065" max="2065" width="14.42578125" style="92" customWidth="1"/>
    <col min="2066" max="2066" width="0.7109375" style="92" customWidth="1"/>
    <col min="2067" max="2067" width="3.7109375" style="92" customWidth="1"/>
    <col min="2068" max="2068" width="3.5703125" style="92" customWidth="1"/>
    <col min="2069" max="2069" width="1.7109375" style="92" customWidth="1"/>
    <col min="2070" max="2303" width="0" style="92" hidden="1" customWidth="1"/>
    <col min="2304" max="2304" width="3" style="92"/>
    <col min="2305" max="2305" width="3.5703125" style="92" customWidth="1"/>
    <col min="2306" max="2306" width="2.5703125" style="92" customWidth="1"/>
    <col min="2307" max="2307" width="3.42578125" style="92" customWidth="1"/>
    <col min="2308" max="2308" width="1.28515625" style="92" customWidth="1"/>
    <col min="2309" max="2309" width="6.7109375" style="92" customWidth="1"/>
    <col min="2310" max="2310" width="13.42578125" style="92" customWidth="1"/>
    <col min="2311" max="2311" width="14.5703125" style="92" customWidth="1"/>
    <col min="2312" max="2312" width="4.42578125" style="92" customWidth="1"/>
    <col min="2313" max="2313" width="8" style="92" customWidth="1"/>
    <col min="2314" max="2314" width="6.140625" style="92" customWidth="1"/>
    <col min="2315" max="2315" width="6.85546875" style="92" customWidth="1"/>
    <col min="2316" max="2316" width="4.28515625" style="92" customWidth="1"/>
    <col min="2317" max="2317" width="7.28515625" style="92" customWidth="1"/>
    <col min="2318" max="2318" width="12.140625" style="92" customWidth="1"/>
    <col min="2319" max="2319" width="13" style="92" customWidth="1"/>
    <col min="2320" max="2320" width="3.7109375" style="92" customWidth="1"/>
    <col min="2321" max="2321" width="14.42578125" style="92" customWidth="1"/>
    <col min="2322" max="2322" width="0.7109375" style="92" customWidth="1"/>
    <col min="2323" max="2323" width="3.7109375" style="92" customWidth="1"/>
    <col min="2324" max="2324" width="3.5703125" style="92" customWidth="1"/>
    <col min="2325" max="2325" width="1.7109375" style="92" customWidth="1"/>
    <col min="2326" max="2559" width="0" style="92" hidden="1" customWidth="1"/>
    <col min="2560" max="2560" width="3" style="92"/>
    <col min="2561" max="2561" width="3.5703125" style="92" customWidth="1"/>
    <col min="2562" max="2562" width="2.5703125" style="92" customWidth="1"/>
    <col min="2563" max="2563" width="3.42578125" style="92" customWidth="1"/>
    <col min="2564" max="2564" width="1.28515625" style="92" customWidth="1"/>
    <col min="2565" max="2565" width="6.7109375" style="92" customWidth="1"/>
    <col min="2566" max="2566" width="13.42578125" style="92" customWidth="1"/>
    <col min="2567" max="2567" width="14.5703125" style="92" customWidth="1"/>
    <col min="2568" max="2568" width="4.42578125" style="92" customWidth="1"/>
    <col min="2569" max="2569" width="8" style="92" customWidth="1"/>
    <col min="2570" max="2570" width="6.140625" style="92" customWidth="1"/>
    <col min="2571" max="2571" width="6.85546875" style="92" customWidth="1"/>
    <col min="2572" max="2572" width="4.28515625" style="92" customWidth="1"/>
    <col min="2573" max="2573" width="7.28515625" style="92" customWidth="1"/>
    <col min="2574" max="2574" width="12.140625" style="92" customWidth="1"/>
    <col min="2575" max="2575" width="13" style="92" customWidth="1"/>
    <col min="2576" max="2576" width="3.7109375" style="92" customWidth="1"/>
    <col min="2577" max="2577" width="14.42578125" style="92" customWidth="1"/>
    <col min="2578" max="2578" width="0.7109375" style="92" customWidth="1"/>
    <col min="2579" max="2579" width="3.7109375" style="92" customWidth="1"/>
    <col min="2580" max="2580" width="3.5703125" style="92" customWidth="1"/>
    <col min="2581" max="2581" width="1.7109375" style="92" customWidth="1"/>
    <col min="2582" max="2815" width="0" style="92" hidden="1" customWidth="1"/>
    <col min="2816" max="2816" width="3" style="92"/>
    <col min="2817" max="2817" width="3.5703125" style="92" customWidth="1"/>
    <col min="2818" max="2818" width="2.5703125" style="92" customWidth="1"/>
    <col min="2819" max="2819" width="3.42578125" style="92" customWidth="1"/>
    <col min="2820" max="2820" width="1.28515625" style="92" customWidth="1"/>
    <col min="2821" max="2821" width="6.7109375" style="92" customWidth="1"/>
    <col min="2822" max="2822" width="13.42578125" style="92" customWidth="1"/>
    <col min="2823" max="2823" width="14.5703125" style="92" customWidth="1"/>
    <col min="2824" max="2824" width="4.42578125" style="92" customWidth="1"/>
    <col min="2825" max="2825" width="8" style="92" customWidth="1"/>
    <col min="2826" max="2826" width="6.140625" style="92" customWidth="1"/>
    <col min="2827" max="2827" width="6.85546875" style="92" customWidth="1"/>
    <col min="2828" max="2828" width="4.28515625" style="92" customWidth="1"/>
    <col min="2829" max="2829" width="7.28515625" style="92" customWidth="1"/>
    <col min="2830" max="2830" width="12.140625" style="92" customWidth="1"/>
    <col min="2831" max="2831" width="13" style="92" customWidth="1"/>
    <col min="2832" max="2832" width="3.7109375" style="92" customWidth="1"/>
    <col min="2833" max="2833" width="14.42578125" style="92" customWidth="1"/>
    <col min="2834" max="2834" width="0.7109375" style="92" customWidth="1"/>
    <col min="2835" max="2835" width="3.7109375" style="92" customWidth="1"/>
    <col min="2836" max="2836" width="3.5703125" style="92" customWidth="1"/>
    <col min="2837" max="2837" width="1.7109375" style="92" customWidth="1"/>
    <col min="2838" max="3071" width="0" style="92" hidden="1" customWidth="1"/>
    <col min="3072" max="3072" width="3" style="92"/>
    <col min="3073" max="3073" width="3.5703125" style="92" customWidth="1"/>
    <col min="3074" max="3074" width="2.5703125" style="92" customWidth="1"/>
    <col min="3075" max="3075" width="3.42578125" style="92" customWidth="1"/>
    <col min="3076" max="3076" width="1.28515625" style="92" customWidth="1"/>
    <col min="3077" max="3077" width="6.7109375" style="92" customWidth="1"/>
    <col min="3078" max="3078" width="13.42578125" style="92" customWidth="1"/>
    <col min="3079" max="3079" width="14.5703125" style="92" customWidth="1"/>
    <col min="3080" max="3080" width="4.42578125" style="92" customWidth="1"/>
    <col min="3081" max="3081" width="8" style="92" customWidth="1"/>
    <col min="3082" max="3082" width="6.140625" style="92" customWidth="1"/>
    <col min="3083" max="3083" width="6.85546875" style="92" customWidth="1"/>
    <col min="3084" max="3084" width="4.28515625" style="92" customWidth="1"/>
    <col min="3085" max="3085" width="7.28515625" style="92" customWidth="1"/>
    <col min="3086" max="3086" width="12.140625" style="92" customWidth="1"/>
    <col min="3087" max="3087" width="13" style="92" customWidth="1"/>
    <col min="3088" max="3088" width="3.7109375" style="92" customWidth="1"/>
    <col min="3089" max="3089" width="14.42578125" style="92" customWidth="1"/>
    <col min="3090" max="3090" width="0.7109375" style="92" customWidth="1"/>
    <col min="3091" max="3091" width="3.7109375" style="92" customWidth="1"/>
    <col min="3092" max="3092" width="3.5703125" style="92" customWidth="1"/>
    <col min="3093" max="3093" width="1.7109375" style="92" customWidth="1"/>
    <col min="3094" max="3327" width="0" style="92" hidden="1" customWidth="1"/>
    <col min="3328" max="3328" width="3" style="92"/>
    <col min="3329" max="3329" width="3.5703125" style="92" customWidth="1"/>
    <col min="3330" max="3330" width="2.5703125" style="92" customWidth="1"/>
    <col min="3331" max="3331" width="3.42578125" style="92" customWidth="1"/>
    <col min="3332" max="3332" width="1.28515625" style="92" customWidth="1"/>
    <col min="3333" max="3333" width="6.7109375" style="92" customWidth="1"/>
    <col min="3334" max="3334" width="13.42578125" style="92" customWidth="1"/>
    <col min="3335" max="3335" width="14.5703125" style="92" customWidth="1"/>
    <col min="3336" max="3336" width="4.42578125" style="92" customWidth="1"/>
    <col min="3337" max="3337" width="8" style="92" customWidth="1"/>
    <col min="3338" max="3338" width="6.140625" style="92" customWidth="1"/>
    <col min="3339" max="3339" width="6.85546875" style="92" customWidth="1"/>
    <col min="3340" max="3340" width="4.28515625" style="92" customWidth="1"/>
    <col min="3341" max="3341" width="7.28515625" style="92" customWidth="1"/>
    <col min="3342" max="3342" width="12.140625" style="92" customWidth="1"/>
    <col min="3343" max="3343" width="13" style="92" customWidth="1"/>
    <col min="3344" max="3344" width="3.7109375" style="92" customWidth="1"/>
    <col min="3345" max="3345" width="14.42578125" style="92" customWidth="1"/>
    <col min="3346" max="3346" width="0.7109375" style="92" customWidth="1"/>
    <col min="3347" max="3347" width="3.7109375" style="92" customWidth="1"/>
    <col min="3348" max="3348" width="3.5703125" style="92" customWidth="1"/>
    <col min="3349" max="3349" width="1.7109375" style="92" customWidth="1"/>
    <col min="3350" max="3583" width="0" style="92" hidden="1" customWidth="1"/>
    <col min="3584" max="3584" width="3" style="92"/>
    <col min="3585" max="3585" width="3.5703125" style="92" customWidth="1"/>
    <col min="3586" max="3586" width="2.5703125" style="92" customWidth="1"/>
    <col min="3587" max="3587" width="3.42578125" style="92" customWidth="1"/>
    <col min="3588" max="3588" width="1.28515625" style="92" customWidth="1"/>
    <col min="3589" max="3589" width="6.7109375" style="92" customWidth="1"/>
    <col min="3590" max="3590" width="13.42578125" style="92" customWidth="1"/>
    <col min="3591" max="3591" width="14.5703125" style="92" customWidth="1"/>
    <col min="3592" max="3592" width="4.42578125" style="92" customWidth="1"/>
    <col min="3593" max="3593" width="8" style="92" customWidth="1"/>
    <col min="3594" max="3594" width="6.140625" style="92" customWidth="1"/>
    <col min="3595" max="3595" width="6.85546875" style="92" customWidth="1"/>
    <col min="3596" max="3596" width="4.28515625" style="92" customWidth="1"/>
    <col min="3597" max="3597" width="7.28515625" style="92" customWidth="1"/>
    <col min="3598" max="3598" width="12.140625" style="92" customWidth="1"/>
    <col min="3599" max="3599" width="13" style="92" customWidth="1"/>
    <col min="3600" max="3600" width="3.7109375" style="92" customWidth="1"/>
    <col min="3601" max="3601" width="14.42578125" style="92" customWidth="1"/>
    <col min="3602" max="3602" width="0.7109375" style="92" customWidth="1"/>
    <col min="3603" max="3603" width="3.7109375" style="92" customWidth="1"/>
    <col min="3604" max="3604" width="3.5703125" style="92" customWidth="1"/>
    <col min="3605" max="3605" width="1.7109375" style="92" customWidth="1"/>
    <col min="3606" max="3839" width="0" style="92" hidden="1" customWidth="1"/>
    <col min="3840" max="3840" width="3" style="92"/>
    <col min="3841" max="3841" width="3.5703125" style="92" customWidth="1"/>
    <col min="3842" max="3842" width="2.5703125" style="92" customWidth="1"/>
    <col min="3843" max="3843" width="3.42578125" style="92" customWidth="1"/>
    <col min="3844" max="3844" width="1.28515625" style="92" customWidth="1"/>
    <col min="3845" max="3845" width="6.7109375" style="92" customWidth="1"/>
    <col min="3846" max="3846" width="13.42578125" style="92" customWidth="1"/>
    <col min="3847" max="3847" width="14.5703125" style="92" customWidth="1"/>
    <col min="3848" max="3848" width="4.42578125" style="92" customWidth="1"/>
    <col min="3849" max="3849" width="8" style="92" customWidth="1"/>
    <col min="3850" max="3850" width="6.140625" style="92" customWidth="1"/>
    <col min="3851" max="3851" width="6.85546875" style="92" customWidth="1"/>
    <col min="3852" max="3852" width="4.28515625" style="92" customWidth="1"/>
    <col min="3853" max="3853" width="7.28515625" style="92" customWidth="1"/>
    <col min="3854" max="3854" width="12.140625" style="92" customWidth="1"/>
    <col min="3855" max="3855" width="13" style="92" customWidth="1"/>
    <col min="3856" max="3856" width="3.7109375" style="92" customWidth="1"/>
    <col min="3857" max="3857" width="14.42578125" style="92" customWidth="1"/>
    <col min="3858" max="3858" width="0.7109375" style="92" customWidth="1"/>
    <col min="3859" max="3859" width="3.7109375" style="92" customWidth="1"/>
    <col min="3860" max="3860" width="3.5703125" style="92" customWidth="1"/>
    <col min="3861" max="3861" width="1.7109375" style="92" customWidth="1"/>
    <col min="3862" max="4095" width="0" style="92" hidden="1" customWidth="1"/>
    <col min="4096" max="4096" width="3" style="92"/>
    <col min="4097" max="4097" width="3.5703125" style="92" customWidth="1"/>
    <col min="4098" max="4098" width="2.5703125" style="92" customWidth="1"/>
    <col min="4099" max="4099" width="3.42578125" style="92" customWidth="1"/>
    <col min="4100" max="4100" width="1.28515625" style="92" customWidth="1"/>
    <col min="4101" max="4101" width="6.7109375" style="92" customWidth="1"/>
    <col min="4102" max="4102" width="13.42578125" style="92" customWidth="1"/>
    <col min="4103" max="4103" width="14.5703125" style="92" customWidth="1"/>
    <col min="4104" max="4104" width="4.42578125" style="92" customWidth="1"/>
    <col min="4105" max="4105" width="8" style="92" customWidth="1"/>
    <col min="4106" max="4106" width="6.140625" style="92" customWidth="1"/>
    <col min="4107" max="4107" width="6.85546875" style="92" customWidth="1"/>
    <col min="4108" max="4108" width="4.28515625" style="92" customWidth="1"/>
    <col min="4109" max="4109" width="7.28515625" style="92" customWidth="1"/>
    <col min="4110" max="4110" width="12.140625" style="92" customWidth="1"/>
    <col min="4111" max="4111" width="13" style="92" customWidth="1"/>
    <col min="4112" max="4112" width="3.7109375" style="92" customWidth="1"/>
    <col min="4113" max="4113" width="14.42578125" style="92" customWidth="1"/>
    <col min="4114" max="4114" width="0.7109375" style="92" customWidth="1"/>
    <col min="4115" max="4115" width="3.7109375" style="92" customWidth="1"/>
    <col min="4116" max="4116" width="3.5703125" style="92" customWidth="1"/>
    <col min="4117" max="4117" width="1.7109375" style="92" customWidth="1"/>
    <col min="4118" max="4351" width="0" style="92" hidden="1" customWidth="1"/>
    <col min="4352" max="4352" width="3" style="92"/>
    <col min="4353" max="4353" width="3.5703125" style="92" customWidth="1"/>
    <col min="4354" max="4354" width="2.5703125" style="92" customWidth="1"/>
    <col min="4355" max="4355" width="3.42578125" style="92" customWidth="1"/>
    <col min="4356" max="4356" width="1.28515625" style="92" customWidth="1"/>
    <col min="4357" max="4357" width="6.7109375" style="92" customWidth="1"/>
    <col min="4358" max="4358" width="13.42578125" style="92" customWidth="1"/>
    <col min="4359" max="4359" width="14.5703125" style="92" customWidth="1"/>
    <col min="4360" max="4360" width="4.42578125" style="92" customWidth="1"/>
    <col min="4361" max="4361" width="8" style="92" customWidth="1"/>
    <col min="4362" max="4362" width="6.140625" style="92" customWidth="1"/>
    <col min="4363" max="4363" width="6.85546875" style="92" customWidth="1"/>
    <col min="4364" max="4364" width="4.28515625" style="92" customWidth="1"/>
    <col min="4365" max="4365" width="7.28515625" style="92" customWidth="1"/>
    <col min="4366" max="4366" width="12.140625" style="92" customWidth="1"/>
    <col min="4367" max="4367" width="13" style="92" customWidth="1"/>
    <col min="4368" max="4368" width="3.7109375" style="92" customWidth="1"/>
    <col min="4369" max="4369" width="14.42578125" style="92" customWidth="1"/>
    <col min="4370" max="4370" width="0.7109375" style="92" customWidth="1"/>
    <col min="4371" max="4371" width="3.7109375" style="92" customWidth="1"/>
    <col min="4372" max="4372" width="3.5703125" style="92" customWidth="1"/>
    <col min="4373" max="4373" width="1.7109375" style="92" customWidth="1"/>
    <col min="4374" max="4607" width="0" style="92" hidden="1" customWidth="1"/>
    <col min="4608" max="4608" width="3" style="92"/>
    <col min="4609" max="4609" width="3.5703125" style="92" customWidth="1"/>
    <col min="4610" max="4610" width="2.5703125" style="92" customWidth="1"/>
    <col min="4611" max="4611" width="3.42578125" style="92" customWidth="1"/>
    <col min="4612" max="4612" width="1.28515625" style="92" customWidth="1"/>
    <col min="4613" max="4613" width="6.7109375" style="92" customWidth="1"/>
    <col min="4614" max="4614" width="13.42578125" style="92" customWidth="1"/>
    <col min="4615" max="4615" width="14.5703125" style="92" customWidth="1"/>
    <col min="4616" max="4616" width="4.42578125" style="92" customWidth="1"/>
    <col min="4617" max="4617" width="8" style="92" customWidth="1"/>
    <col min="4618" max="4618" width="6.140625" style="92" customWidth="1"/>
    <col min="4619" max="4619" width="6.85546875" style="92" customWidth="1"/>
    <col min="4620" max="4620" width="4.28515625" style="92" customWidth="1"/>
    <col min="4621" max="4621" width="7.28515625" style="92" customWidth="1"/>
    <col min="4622" max="4622" width="12.140625" style="92" customWidth="1"/>
    <col min="4623" max="4623" width="13" style="92" customWidth="1"/>
    <col min="4624" max="4624" width="3.7109375" style="92" customWidth="1"/>
    <col min="4625" max="4625" width="14.42578125" style="92" customWidth="1"/>
    <col min="4626" max="4626" width="0.7109375" style="92" customWidth="1"/>
    <col min="4627" max="4627" width="3.7109375" style="92" customWidth="1"/>
    <col min="4628" max="4628" width="3.5703125" style="92" customWidth="1"/>
    <col min="4629" max="4629" width="1.7109375" style="92" customWidth="1"/>
    <col min="4630" max="4863" width="0" style="92" hidden="1" customWidth="1"/>
    <col min="4864" max="4864" width="3" style="92"/>
    <col min="4865" max="4865" width="3.5703125" style="92" customWidth="1"/>
    <col min="4866" max="4866" width="2.5703125" style="92" customWidth="1"/>
    <col min="4867" max="4867" width="3.42578125" style="92" customWidth="1"/>
    <col min="4868" max="4868" width="1.28515625" style="92" customWidth="1"/>
    <col min="4869" max="4869" width="6.7109375" style="92" customWidth="1"/>
    <col min="4870" max="4870" width="13.42578125" style="92" customWidth="1"/>
    <col min="4871" max="4871" width="14.5703125" style="92" customWidth="1"/>
    <col min="4872" max="4872" width="4.42578125" style="92" customWidth="1"/>
    <col min="4873" max="4873" width="8" style="92" customWidth="1"/>
    <col min="4874" max="4874" width="6.140625" style="92" customWidth="1"/>
    <col min="4875" max="4875" width="6.85546875" style="92" customWidth="1"/>
    <col min="4876" max="4876" width="4.28515625" style="92" customWidth="1"/>
    <col min="4877" max="4877" width="7.28515625" style="92" customWidth="1"/>
    <col min="4878" max="4878" width="12.140625" style="92" customWidth="1"/>
    <col min="4879" max="4879" width="13" style="92" customWidth="1"/>
    <col min="4880" max="4880" width="3.7109375" style="92" customWidth="1"/>
    <col min="4881" max="4881" width="14.42578125" style="92" customWidth="1"/>
    <col min="4882" max="4882" width="0.7109375" style="92" customWidth="1"/>
    <col min="4883" max="4883" width="3.7109375" style="92" customWidth="1"/>
    <col min="4884" max="4884" width="3.5703125" style="92" customWidth="1"/>
    <col min="4885" max="4885" width="1.7109375" style="92" customWidth="1"/>
    <col min="4886" max="5119" width="0" style="92" hidden="1" customWidth="1"/>
    <col min="5120" max="5120" width="3" style="92"/>
    <col min="5121" max="5121" width="3.5703125" style="92" customWidth="1"/>
    <col min="5122" max="5122" width="2.5703125" style="92" customWidth="1"/>
    <col min="5123" max="5123" width="3.42578125" style="92" customWidth="1"/>
    <col min="5124" max="5124" width="1.28515625" style="92" customWidth="1"/>
    <col min="5125" max="5125" width="6.7109375" style="92" customWidth="1"/>
    <col min="5126" max="5126" width="13.42578125" style="92" customWidth="1"/>
    <col min="5127" max="5127" width="14.5703125" style="92" customWidth="1"/>
    <col min="5128" max="5128" width="4.42578125" style="92" customWidth="1"/>
    <col min="5129" max="5129" width="8" style="92" customWidth="1"/>
    <col min="5130" max="5130" width="6.140625" style="92" customWidth="1"/>
    <col min="5131" max="5131" width="6.85546875" style="92" customWidth="1"/>
    <col min="5132" max="5132" width="4.28515625" style="92" customWidth="1"/>
    <col min="5133" max="5133" width="7.28515625" style="92" customWidth="1"/>
    <col min="5134" max="5134" width="12.140625" style="92" customWidth="1"/>
    <col min="5135" max="5135" width="13" style="92" customWidth="1"/>
    <col min="5136" max="5136" width="3.7109375" style="92" customWidth="1"/>
    <col min="5137" max="5137" width="14.42578125" style="92" customWidth="1"/>
    <col min="5138" max="5138" width="0.7109375" style="92" customWidth="1"/>
    <col min="5139" max="5139" width="3.7109375" style="92" customWidth="1"/>
    <col min="5140" max="5140" width="3.5703125" style="92" customWidth="1"/>
    <col min="5141" max="5141" width="1.7109375" style="92" customWidth="1"/>
    <col min="5142" max="5375" width="0" style="92" hidden="1" customWidth="1"/>
    <col min="5376" max="5376" width="3" style="92"/>
    <col min="5377" max="5377" width="3.5703125" style="92" customWidth="1"/>
    <col min="5378" max="5378" width="2.5703125" style="92" customWidth="1"/>
    <col min="5379" max="5379" width="3.42578125" style="92" customWidth="1"/>
    <col min="5380" max="5380" width="1.28515625" style="92" customWidth="1"/>
    <col min="5381" max="5381" width="6.7109375" style="92" customWidth="1"/>
    <col min="5382" max="5382" width="13.42578125" style="92" customWidth="1"/>
    <col min="5383" max="5383" width="14.5703125" style="92" customWidth="1"/>
    <col min="5384" max="5384" width="4.42578125" style="92" customWidth="1"/>
    <col min="5385" max="5385" width="8" style="92" customWidth="1"/>
    <col min="5386" max="5386" width="6.140625" style="92" customWidth="1"/>
    <col min="5387" max="5387" width="6.85546875" style="92" customWidth="1"/>
    <col min="5388" max="5388" width="4.28515625" style="92" customWidth="1"/>
    <col min="5389" max="5389" width="7.28515625" style="92" customWidth="1"/>
    <col min="5390" max="5390" width="12.140625" style="92" customWidth="1"/>
    <col min="5391" max="5391" width="13" style="92" customWidth="1"/>
    <col min="5392" max="5392" width="3.7109375" style="92" customWidth="1"/>
    <col min="5393" max="5393" width="14.42578125" style="92" customWidth="1"/>
    <col min="5394" max="5394" width="0.7109375" style="92" customWidth="1"/>
    <col min="5395" max="5395" width="3.7109375" style="92" customWidth="1"/>
    <col min="5396" max="5396" width="3.5703125" style="92" customWidth="1"/>
    <col min="5397" max="5397" width="1.7109375" style="92" customWidth="1"/>
    <col min="5398" max="5631" width="0" style="92" hidden="1" customWidth="1"/>
    <col min="5632" max="5632" width="3" style="92"/>
    <col min="5633" max="5633" width="3.5703125" style="92" customWidth="1"/>
    <col min="5634" max="5634" width="2.5703125" style="92" customWidth="1"/>
    <col min="5635" max="5635" width="3.42578125" style="92" customWidth="1"/>
    <col min="5636" max="5636" width="1.28515625" style="92" customWidth="1"/>
    <col min="5637" max="5637" width="6.7109375" style="92" customWidth="1"/>
    <col min="5638" max="5638" width="13.42578125" style="92" customWidth="1"/>
    <col min="5639" max="5639" width="14.5703125" style="92" customWidth="1"/>
    <col min="5640" max="5640" width="4.42578125" style="92" customWidth="1"/>
    <col min="5641" max="5641" width="8" style="92" customWidth="1"/>
    <col min="5642" max="5642" width="6.140625" style="92" customWidth="1"/>
    <col min="5643" max="5643" width="6.85546875" style="92" customWidth="1"/>
    <col min="5644" max="5644" width="4.28515625" style="92" customWidth="1"/>
    <col min="5645" max="5645" width="7.28515625" style="92" customWidth="1"/>
    <col min="5646" max="5646" width="12.140625" style="92" customWidth="1"/>
    <col min="5647" max="5647" width="13" style="92" customWidth="1"/>
    <col min="5648" max="5648" width="3.7109375" style="92" customWidth="1"/>
    <col min="5649" max="5649" width="14.42578125" style="92" customWidth="1"/>
    <col min="5650" max="5650" width="0.7109375" style="92" customWidth="1"/>
    <col min="5651" max="5651" width="3.7109375" style="92" customWidth="1"/>
    <col min="5652" max="5652" width="3.5703125" style="92" customWidth="1"/>
    <col min="5653" max="5653" width="1.7109375" style="92" customWidth="1"/>
    <col min="5654" max="5887" width="0" style="92" hidden="1" customWidth="1"/>
    <col min="5888" max="5888" width="3" style="92"/>
    <col min="5889" max="5889" width="3.5703125" style="92" customWidth="1"/>
    <col min="5890" max="5890" width="2.5703125" style="92" customWidth="1"/>
    <col min="5891" max="5891" width="3.42578125" style="92" customWidth="1"/>
    <col min="5892" max="5892" width="1.28515625" style="92" customWidth="1"/>
    <col min="5893" max="5893" width="6.7109375" style="92" customWidth="1"/>
    <col min="5894" max="5894" width="13.42578125" style="92" customWidth="1"/>
    <col min="5895" max="5895" width="14.5703125" style="92" customWidth="1"/>
    <col min="5896" max="5896" width="4.42578125" style="92" customWidth="1"/>
    <col min="5897" max="5897" width="8" style="92" customWidth="1"/>
    <col min="5898" max="5898" width="6.140625" style="92" customWidth="1"/>
    <col min="5899" max="5899" width="6.85546875" style="92" customWidth="1"/>
    <col min="5900" max="5900" width="4.28515625" style="92" customWidth="1"/>
    <col min="5901" max="5901" width="7.28515625" style="92" customWidth="1"/>
    <col min="5902" max="5902" width="12.140625" style="92" customWidth="1"/>
    <col min="5903" max="5903" width="13" style="92" customWidth="1"/>
    <col min="5904" max="5904" width="3.7109375" style="92" customWidth="1"/>
    <col min="5905" max="5905" width="14.42578125" style="92" customWidth="1"/>
    <col min="5906" max="5906" width="0.7109375" style="92" customWidth="1"/>
    <col min="5907" max="5907" width="3.7109375" style="92" customWidth="1"/>
    <col min="5908" max="5908" width="3.5703125" style="92" customWidth="1"/>
    <col min="5909" max="5909" width="1.7109375" style="92" customWidth="1"/>
    <col min="5910" max="6143" width="0" style="92" hidden="1" customWidth="1"/>
    <col min="6144" max="6144" width="3" style="92"/>
    <col min="6145" max="6145" width="3.5703125" style="92" customWidth="1"/>
    <col min="6146" max="6146" width="2.5703125" style="92" customWidth="1"/>
    <col min="6147" max="6147" width="3.42578125" style="92" customWidth="1"/>
    <col min="6148" max="6148" width="1.28515625" style="92" customWidth="1"/>
    <col min="6149" max="6149" width="6.7109375" style="92" customWidth="1"/>
    <col min="6150" max="6150" width="13.42578125" style="92" customWidth="1"/>
    <col min="6151" max="6151" width="14.5703125" style="92" customWidth="1"/>
    <col min="6152" max="6152" width="4.42578125" style="92" customWidth="1"/>
    <col min="6153" max="6153" width="8" style="92" customWidth="1"/>
    <col min="6154" max="6154" width="6.140625" style="92" customWidth="1"/>
    <col min="6155" max="6155" width="6.85546875" style="92" customWidth="1"/>
    <col min="6156" max="6156" width="4.28515625" style="92" customWidth="1"/>
    <col min="6157" max="6157" width="7.28515625" style="92" customWidth="1"/>
    <col min="6158" max="6158" width="12.140625" style="92" customWidth="1"/>
    <col min="6159" max="6159" width="13" style="92" customWidth="1"/>
    <col min="6160" max="6160" width="3.7109375" style="92" customWidth="1"/>
    <col min="6161" max="6161" width="14.42578125" style="92" customWidth="1"/>
    <col min="6162" max="6162" width="0.7109375" style="92" customWidth="1"/>
    <col min="6163" max="6163" width="3.7109375" style="92" customWidth="1"/>
    <col min="6164" max="6164" width="3.5703125" style="92" customWidth="1"/>
    <col min="6165" max="6165" width="1.7109375" style="92" customWidth="1"/>
    <col min="6166" max="6399" width="0" style="92" hidden="1" customWidth="1"/>
    <col min="6400" max="6400" width="3" style="92"/>
    <col min="6401" max="6401" width="3.5703125" style="92" customWidth="1"/>
    <col min="6402" max="6402" width="2.5703125" style="92" customWidth="1"/>
    <col min="6403" max="6403" width="3.42578125" style="92" customWidth="1"/>
    <col min="6404" max="6404" width="1.28515625" style="92" customWidth="1"/>
    <col min="6405" max="6405" width="6.7109375" style="92" customWidth="1"/>
    <col min="6406" max="6406" width="13.42578125" style="92" customWidth="1"/>
    <col min="6407" max="6407" width="14.5703125" style="92" customWidth="1"/>
    <col min="6408" max="6408" width="4.42578125" style="92" customWidth="1"/>
    <col min="6409" max="6409" width="8" style="92" customWidth="1"/>
    <col min="6410" max="6410" width="6.140625" style="92" customWidth="1"/>
    <col min="6411" max="6411" width="6.85546875" style="92" customWidth="1"/>
    <col min="6412" max="6412" width="4.28515625" style="92" customWidth="1"/>
    <col min="6413" max="6413" width="7.28515625" style="92" customWidth="1"/>
    <col min="6414" max="6414" width="12.140625" style="92" customWidth="1"/>
    <col min="6415" max="6415" width="13" style="92" customWidth="1"/>
    <col min="6416" max="6416" width="3.7109375" style="92" customWidth="1"/>
    <col min="6417" max="6417" width="14.42578125" style="92" customWidth="1"/>
    <col min="6418" max="6418" width="0.7109375" style="92" customWidth="1"/>
    <col min="6419" max="6419" width="3.7109375" style="92" customWidth="1"/>
    <col min="6420" max="6420" width="3.5703125" style="92" customWidth="1"/>
    <col min="6421" max="6421" width="1.7109375" style="92" customWidth="1"/>
    <col min="6422" max="6655" width="0" style="92" hidden="1" customWidth="1"/>
    <col min="6656" max="6656" width="3" style="92"/>
    <col min="6657" max="6657" width="3.5703125" style="92" customWidth="1"/>
    <col min="6658" max="6658" width="2.5703125" style="92" customWidth="1"/>
    <col min="6659" max="6659" width="3.42578125" style="92" customWidth="1"/>
    <col min="6660" max="6660" width="1.28515625" style="92" customWidth="1"/>
    <col min="6661" max="6661" width="6.7109375" style="92" customWidth="1"/>
    <col min="6662" max="6662" width="13.42578125" style="92" customWidth="1"/>
    <col min="6663" max="6663" width="14.5703125" style="92" customWidth="1"/>
    <col min="6664" max="6664" width="4.42578125" style="92" customWidth="1"/>
    <col min="6665" max="6665" width="8" style="92" customWidth="1"/>
    <col min="6666" max="6666" width="6.140625" style="92" customWidth="1"/>
    <col min="6667" max="6667" width="6.85546875" style="92" customWidth="1"/>
    <col min="6668" max="6668" width="4.28515625" style="92" customWidth="1"/>
    <col min="6669" max="6669" width="7.28515625" style="92" customWidth="1"/>
    <col min="6670" max="6670" width="12.140625" style="92" customWidth="1"/>
    <col min="6671" max="6671" width="13" style="92" customWidth="1"/>
    <col min="6672" max="6672" width="3.7109375" style="92" customWidth="1"/>
    <col min="6673" max="6673" width="14.42578125" style="92" customWidth="1"/>
    <col min="6674" max="6674" width="0.7109375" style="92" customWidth="1"/>
    <col min="6675" max="6675" width="3.7109375" style="92" customWidth="1"/>
    <col min="6676" max="6676" width="3.5703125" style="92" customWidth="1"/>
    <col min="6677" max="6677" width="1.7109375" style="92" customWidth="1"/>
    <col min="6678" max="6911" width="0" style="92" hidden="1" customWidth="1"/>
    <col min="6912" max="6912" width="3" style="92"/>
    <col min="6913" max="6913" width="3.5703125" style="92" customWidth="1"/>
    <col min="6914" max="6914" width="2.5703125" style="92" customWidth="1"/>
    <col min="6915" max="6915" width="3.42578125" style="92" customWidth="1"/>
    <col min="6916" max="6916" width="1.28515625" style="92" customWidth="1"/>
    <col min="6917" max="6917" width="6.7109375" style="92" customWidth="1"/>
    <col min="6918" max="6918" width="13.42578125" style="92" customWidth="1"/>
    <col min="6919" max="6919" width="14.5703125" style="92" customWidth="1"/>
    <col min="6920" max="6920" width="4.42578125" style="92" customWidth="1"/>
    <col min="6921" max="6921" width="8" style="92" customWidth="1"/>
    <col min="6922" max="6922" width="6.140625" style="92" customWidth="1"/>
    <col min="6923" max="6923" width="6.85546875" style="92" customWidth="1"/>
    <col min="6924" max="6924" width="4.28515625" style="92" customWidth="1"/>
    <col min="6925" max="6925" width="7.28515625" style="92" customWidth="1"/>
    <col min="6926" max="6926" width="12.140625" style="92" customWidth="1"/>
    <col min="6927" max="6927" width="13" style="92" customWidth="1"/>
    <col min="6928" max="6928" width="3.7109375" style="92" customWidth="1"/>
    <col min="6929" max="6929" width="14.42578125" style="92" customWidth="1"/>
    <col min="6930" max="6930" width="0.7109375" style="92" customWidth="1"/>
    <col min="6931" max="6931" width="3.7109375" style="92" customWidth="1"/>
    <col min="6932" max="6932" width="3.5703125" style="92" customWidth="1"/>
    <col min="6933" max="6933" width="1.7109375" style="92" customWidth="1"/>
    <col min="6934" max="7167" width="0" style="92" hidden="1" customWidth="1"/>
    <col min="7168" max="7168" width="3" style="92"/>
    <col min="7169" max="7169" width="3.5703125" style="92" customWidth="1"/>
    <col min="7170" max="7170" width="2.5703125" style="92" customWidth="1"/>
    <col min="7171" max="7171" width="3.42578125" style="92" customWidth="1"/>
    <col min="7172" max="7172" width="1.28515625" style="92" customWidth="1"/>
    <col min="7173" max="7173" width="6.7109375" style="92" customWidth="1"/>
    <col min="7174" max="7174" width="13.42578125" style="92" customWidth="1"/>
    <col min="7175" max="7175" width="14.5703125" style="92" customWidth="1"/>
    <col min="7176" max="7176" width="4.42578125" style="92" customWidth="1"/>
    <col min="7177" max="7177" width="8" style="92" customWidth="1"/>
    <col min="7178" max="7178" width="6.140625" style="92" customWidth="1"/>
    <col min="7179" max="7179" width="6.85546875" style="92" customWidth="1"/>
    <col min="7180" max="7180" width="4.28515625" style="92" customWidth="1"/>
    <col min="7181" max="7181" width="7.28515625" style="92" customWidth="1"/>
    <col min="7182" max="7182" width="12.140625" style="92" customWidth="1"/>
    <col min="7183" max="7183" width="13" style="92" customWidth="1"/>
    <col min="7184" max="7184" width="3.7109375" style="92" customWidth="1"/>
    <col min="7185" max="7185" width="14.42578125" style="92" customWidth="1"/>
    <col min="7186" max="7186" width="0.7109375" style="92" customWidth="1"/>
    <col min="7187" max="7187" width="3.7109375" style="92" customWidth="1"/>
    <col min="7188" max="7188" width="3.5703125" style="92" customWidth="1"/>
    <col min="7189" max="7189" width="1.7109375" style="92" customWidth="1"/>
    <col min="7190" max="7423" width="0" style="92" hidden="1" customWidth="1"/>
    <col min="7424" max="7424" width="3" style="92"/>
    <col min="7425" max="7425" width="3.5703125" style="92" customWidth="1"/>
    <col min="7426" max="7426" width="2.5703125" style="92" customWidth="1"/>
    <col min="7427" max="7427" width="3.42578125" style="92" customWidth="1"/>
    <col min="7428" max="7428" width="1.28515625" style="92" customWidth="1"/>
    <col min="7429" max="7429" width="6.7109375" style="92" customWidth="1"/>
    <col min="7430" max="7430" width="13.42578125" style="92" customWidth="1"/>
    <col min="7431" max="7431" width="14.5703125" style="92" customWidth="1"/>
    <col min="7432" max="7432" width="4.42578125" style="92" customWidth="1"/>
    <col min="7433" max="7433" width="8" style="92" customWidth="1"/>
    <col min="7434" max="7434" width="6.140625" style="92" customWidth="1"/>
    <col min="7435" max="7435" width="6.85546875" style="92" customWidth="1"/>
    <col min="7436" max="7436" width="4.28515625" style="92" customWidth="1"/>
    <col min="7437" max="7437" width="7.28515625" style="92" customWidth="1"/>
    <col min="7438" max="7438" width="12.140625" style="92" customWidth="1"/>
    <col min="7439" max="7439" width="13" style="92" customWidth="1"/>
    <col min="7440" max="7440" width="3.7109375" style="92" customWidth="1"/>
    <col min="7441" max="7441" width="14.42578125" style="92" customWidth="1"/>
    <col min="7442" max="7442" width="0.7109375" style="92" customWidth="1"/>
    <col min="7443" max="7443" width="3.7109375" style="92" customWidth="1"/>
    <col min="7444" max="7444" width="3.5703125" style="92" customWidth="1"/>
    <col min="7445" max="7445" width="1.7109375" style="92" customWidth="1"/>
    <col min="7446" max="7679" width="0" style="92" hidden="1" customWidth="1"/>
    <col min="7680" max="7680" width="3" style="92"/>
    <col min="7681" max="7681" width="3.5703125" style="92" customWidth="1"/>
    <col min="7682" max="7682" width="2.5703125" style="92" customWidth="1"/>
    <col min="7683" max="7683" width="3.42578125" style="92" customWidth="1"/>
    <col min="7684" max="7684" width="1.28515625" style="92" customWidth="1"/>
    <col min="7685" max="7685" width="6.7109375" style="92" customWidth="1"/>
    <col min="7686" max="7686" width="13.42578125" style="92" customWidth="1"/>
    <col min="7687" max="7687" width="14.5703125" style="92" customWidth="1"/>
    <col min="7688" max="7688" width="4.42578125" style="92" customWidth="1"/>
    <col min="7689" max="7689" width="8" style="92" customWidth="1"/>
    <col min="7690" max="7690" width="6.140625" style="92" customWidth="1"/>
    <col min="7691" max="7691" width="6.85546875" style="92" customWidth="1"/>
    <col min="7692" max="7692" width="4.28515625" style="92" customWidth="1"/>
    <col min="7693" max="7693" width="7.28515625" style="92" customWidth="1"/>
    <col min="7694" max="7694" width="12.140625" style="92" customWidth="1"/>
    <col min="7695" max="7695" width="13" style="92" customWidth="1"/>
    <col min="7696" max="7696" width="3.7109375" style="92" customWidth="1"/>
    <col min="7697" max="7697" width="14.42578125" style="92" customWidth="1"/>
    <col min="7698" max="7698" width="0.7109375" style="92" customWidth="1"/>
    <col min="7699" max="7699" width="3.7109375" style="92" customWidth="1"/>
    <col min="7700" max="7700" width="3.5703125" style="92" customWidth="1"/>
    <col min="7701" max="7701" width="1.7109375" style="92" customWidth="1"/>
    <col min="7702" max="7935" width="0" style="92" hidden="1" customWidth="1"/>
    <col min="7936" max="7936" width="3" style="92"/>
    <col min="7937" max="7937" width="3.5703125" style="92" customWidth="1"/>
    <col min="7938" max="7938" width="2.5703125" style="92" customWidth="1"/>
    <col min="7939" max="7939" width="3.42578125" style="92" customWidth="1"/>
    <col min="7940" max="7940" width="1.28515625" style="92" customWidth="1"/>
    <col min="7941" max="7941" width="6.7109375" style="92" customWidth="1"/>
    <col min="7942" max="7942" width="13.42578125" style="92" customWidth="1"/>
    <col min="7943" max="7943" width="14.5703125" style="92" customWidth="1"/>
    <col min="7944" max="7944" width="4.42578125" style="92" customWidth="1"/>
    <col min="7945" max="7945" width="8" style="92" customWidth="1"/>
    <col min="7946" max="7946" width="6.140625" style="92" customWidth="1"/>
    <col min="7947" max="7947" width="6.85546875" style="92" customWidth="1"/>
    <col min="7948" max="7948" width="4.28515625" style="92" customWidth="1"/>
    <col min="7949" max="7949" width="7.28515625" style="92" customWidth="1"/>
    <col min="7950" max="7950" width="12.140625" style="92" customWidth="1"/>
    <col min="7951" max="7951" width="13" style="92" customWidth="1"/>
    <col min="7952" max="7952" width="3.7109375" style="92" customWidth="1"/>
    <col min="7953" max="7953" width="14.42578125" style="92" customWidth="1"/>
    <col min="7954" max="7954" width="0.7109375" style="92" customWidth="1"/>
    <col min="7955" max="7955" width="3.7109375" style="92" customWidth="1"/>
    <col min="7956" max="7956" width="3.5703125" style="92" customWidth="1"/>
    <col min="7957" max="7957" width="1.7109375" style="92" customWidth="1"/>
    <col min="7958" max="8191" width="0" style="92" hidden="1" customWidth="1"/>
    <col min="8192" max="8192" width="3" style="92"/>
    <col min="8193" max="8193" width="3.5703125" style="92" customWidth="1"/>
    <col min="8194" max="8194" width="2.5703125" style="92" customWidth="1"/>
    <col min="8195" max="8195" width="3.42578125" style="92" customWidth="1"/>
    <col min="8196" max="8196" width="1.28515625" style="92" customWidth="1"/>
    <col min="8197" max="8197" width="6.7109375" style="92" customWidth="1"/>
    <col min="8198" max="8198" width="13.42578125" style="92" customWidth="1"/>
    <col min="8199" max="8199" width="14.5703125" style="92" customWidth="1"/>
    <col min="8200" max="8200" width="4.42578125" style="92" customWidth="1"/>
    <col min="8201" max="8201" width="8" style="92" customWidth="1"/>
    <col min="8202" max="8202" width="6.140625" style="92" customWidth="1"/>
    <col min="8203" max="8203" width="6.85546875" style="92" customWidth="1"/>
    <col min="8204" max="8204" width="4.28515625" style="92" customWidth="1"/>
    <col min="8205" max="8205" width="7.28515625" style="92" customWidth="1"/>
    <col min="8206" max="8206" width="12.140625" style="92" customWidth="1"/>
    <col min="8207" max="8207" width="13" style="92" customWidth="1"/>
    <col min="8208" max="8208" width="3.7109375" style="92" customWidth="1"/>
    <col min="8209" max="8209" width="14.42578125" style="92" customWidth="1"/>
    <col min="8210" max="8210" width="0.7109375" style="92" customWidth="1"/>
    <col min="8211" max="8211" width="3.7109375" style="92" customWidth="1"/>
    <col min="8212" max="8212" width="3.5703125" style="92" customWidth="1"/>
    <col min="8213" max="8213" width="1.7109375" style="92" customWidth="1"/>
    <col min="8214" max="8447" width="0" style="92" hidden="1" customWidth="1"/>
    <col min="8448" max="8448" width="3" style="92"/>
    <col min="8449" max="8449" width="3.5703125" style="92" customWidth="1"/>
    <col min="8450" max="8450" width="2.5703125" style="92" customWidth="1"/>
    <col min="8451" max="8451" width="3.42578125" style="92" customWidth="1"/>
    <col min="8452" max="8452" width="1.28515625" style="92" customWidth="1"/>
    <col min="8453" max="8453" width="6.7109375" style="92" customWidth="1"/>
    <col min="8454" max="8454" width="13.42578125" style="92" customWidth="1"/>
    <col min="8455" max="8455" width="14.5703125" style="92" customWidth="1"/>
    <col min="8456" max="8456" width="4.42578125" style="92" customWidth="1"/>
    <col min="8457" max="8457" width="8" style="92" customWidth="1"/>
    <col min="8458" max="8458" width="6.140625" style="92" customWidth="1"/>
    <col min="8459" max="8459" width="6.85546875" style="92" customWidth="1"/>
    <col min="8460" max="8460" width="4.28515625" style="92" customWidth="1"/>
    <col min="8461" max="8461" width="7.28515625" style="92" customWidth="1"/>
    <col min="8462" max="8462" width="12.140625" style="92" customWidth="1"/>
    <col min="8463" max="8463" width="13" style="92" customWidth="1"/>
    <col min="8464" max="8464" width="3.7109375" style="92" customWidth="1"/>
    <col min="8465" max="8465" width="14.42578125" style="92" customWidth="1"/>
    <col min="8466" max="8466" width="0.7109375" style="92" customWidth="1"/>
    <col min="8467" max="8467" width="3.7109375" style="92" customWidth="1"/>
    <col min="8468" max="8468" width="3.5703125" style="92" customWidth="1"/>
    <col min="8469" max="8469" width="1.7109375" style="92" customWidth="1"/>
    <col min="8470" max="8703" width="0" style="92" hidden="1" customWidth="1"/>
    <col min="8704" max="8704" width="3" style="92"/>
    <col min="8705" max="8705" width="3.5703125" style="92" customWidth="1"/>
    <col min="8706" max="8706" width="2.5703125" style="92" customWidth="1"/>
    <col min="8707" max="8707" width="3.42578125" style="92" customWidth="1"/>
    <col min="8708" max="8708" width="1.28515625" style="92" customWidth="1"/>
    <col min="8709" max="8709" width="6.7109375" style="92" customWidth="1"/>
    <col min="8710" max="8710" width="13.42578125" style="92" customWidth="1"/>
    <col min="8711" max="8711" width="14.5703125" style="92" customWidth="1"/>
    <col min="8712" max="8712" width="4.42578125" style="92" customWidth="1"/>
    <col min="8713" max="8713" width="8" style="92" customWidth="1"/>
    <col min="8714" max="8714" width="6.140625" style="92" customWidth="1"/>
    <col min="8715" max="8715" width="6.85546875" style="92" customWidth="1"/>
    <col min="8716" max="8716" width="4.28515625" style="92" customWidth="1"/>
    <col min="8717" max="8717" width="7.28515625" style="92" customWidth="1"/>
    <col min="8718" max="8718" width="12.140625" style="92" customWidth="1"/>
    <col min="8719" max="8719" width="13" style="92" customWidth="1"/>
    <col min="8720" max="8720" width="3.7109375" style="92" customWidth="1"/>
    <col min="8721" max="8721" width="14.42578125" style="92" customWidth="1"/>
    <col min="8722" max="8722" width="0.7109375" style="92" customWidth="1"/>
    <col min="8723" max="8723" width="3.7109375" style="92" customWidth="1"/>
    <col min="8724" max="8724" width="3.5703125" style="92" customWidth="1"/>
    <col min="8725" max="8725" width="1.7109375" style="92" customWidth="1"/>
    <col min="8726" max="8959" width="0" style="92" hidden="1" customWidth="1"/>
    <col min="8960" max="8960" width="3" style="92"/>
    <col min="8961" max="8961" width="3.5703125" style="92" customWidth="1"/>
    <col min="8962" max="8962" width="2.5703125" style="92" customWidth="1"/>
    <col min="8963" max="8963" width="3.42578125" style="92" customWidth="1"/>
    <col min="8964" max="8964" width="1.28515625" style="92" customWidth="1"/>
    <col min="8965" max="8965" width="6.7109375" style="92" customWidth="1"/>
    <col min="8966" max="8966" width="13.42578125" style="92" customWidth="1"/>
    <col min="8967" max="8967" width="14.5703125" style="92" customWidth="1"/>
    <col min="8968" max="8968" width="4.42578125" style="92" customWidth="1"/>
    <col min="8969" max="8969" width="8" style="92" customWidth="1"/>
    <col min="8970" max="8970" width="6.140625" style="92" customWidth="1"/>
    <col min="8971" max="8971" width="6.85546875" style="92" customWidth="1"/>
    <col min="8972" max="8972" width="4.28515625" style="92" customWidth="1"/>
    <col min="8973" max="8973" width="7.28515625" style="92" customWidth="1"/>
    <col min="8974" max="8974" width="12.140625" style="92" customWidth="1"/>
    <col min="8975" max="8975" width="13" style="92" customWidth="1"/>
    <col min="8976" max="8976" width="3.7109375" style="92" customWidth="1"/>
    <col min="8977" max="8977" width="14.42578125" style="92" customWidth="1"/>
    <col min="8978" max="8978" width="0.7109375" style="92" customWidth="1"/>
    <col min="8979" max="8979" width="3.7109375" style="92" customWidth="1"/>
    <col min="8980" max="8980" width="3.5703125" style="92" customWidth="1"/>
    <col min="8981" max="8981" width="1.7109375" style="92" customWidth="1"/>
    <col min="8982" max="9215" width="0" style="92" hidden="1" customWidth="1"/>
    <col min="9216" max="9216" width="3" style="92"/>
    <col min="9217" max="9217" width="3.5703125" style="92" customWidth="1"/>
    <col min="9218" max="9218" width="2.5703125" style="92" customWidth="1"/>
    <col min="9219" max="9219" width="3.42578125" style="92" customWidth="1"/>
    <col min="9220" max="9220" width="1.28515625" style="92" customWidth="1"/>
    <col min="9221" max="9221" width="6.7109375" style="92" customWidth="1"/>
    <col min="9222" max="9222" width="13.42578125" style="92" customWidth="1"/>
    <col min="9223" max="9223" width="14.5703125" style="92" customWidth="1"/>
    <col min="9224" max="9224" width="4.42578125" style="92" customWidth="1"/>
    <col min="9225" max="9225" width="8" style="92" customWidth="1"/>
    <col min="9226" max="9226" width="6.140625" style="92" customWidth="1"/>
    <col min="9227" max="9227" width="6.85546875" style="92" customWidth="1"/>
    <col min="9228" max="9228" width="4.28515625" style="92" customWidth="1"/>
    <col min="9229" max="9229" width="7.28515625" style="92" customWidth="1"/>
    <col min="9230" max="9230" width="12.140625" style="92" customWidth="1"/>
    <col min="9231" max="9231" width="13" style="92" customWidth="1"/>
    <col min="9232" max="9232" width="3.7109375" style="92" customWidth="1"/>
    <col min="9233" max="9233" width="14.42578125" style="92" customWidth="1"/>
    <col min="9234" max="9234" width="0.7109375" style="92" customWidth="1"/>
    <col min="9235" max="9235" width="3.7109375" style="92" customWidth="1"/>
    <col min="9236" max="9236" width="3.5703125" style="92" customWidth="1"/>
    <col min="9237" max="9237" width="1.7109375" style="92" customWidth="1"/>
    <col min="9238" max="9471" width="0" style="92" hidden="1" customWidth="1"/>
    <col min="9472" max="9472" width="3" style="92"/>
    <col min="9473" max="9473" width="3.5703125" style="92" customWidth="1"/>
    <col min="9474" max="9474" width="2.5703125" style="92" customWidth="1"/>
    <col min="9475" max="9475" width="3.42578125" style="92" customWidth="1"/>
    <col min="9476" max="9476" width="1.28515625" style="92" customWidth="1"/>
    <col min="9477" max="9477" width="6.7109375" style="92" customWidth="1"/>
    <col min="9478" max="9478" width="13.42578125" style="92" customWidth="1"/>
    <col min="9479" max="9479" width="14.5703125" style="92" customWidth="1"/>
    <col min="9480" max="9480" width="4.42578125" style="92" customWidth="1"/>
    <col min="9481" max="9481" width="8" style="92" customWidth="1"/>
    <col min="9482" max="9482" width="6.140625" style="92" customWidth="1"/>
    <col min="9483" max="9483" width="6.85546875" style="92" customWidth="1"/>
    <col min="9484" max="9484" width="4.28515625" style="92" customWidth="1"/>
    <col min="9485" max="9485" width="7.28515625" style="92" customWidth="1"/>
    <col min="9486" max="9486" width="12.140625" style="92" customWidth="1"/>
    <col min="9487" max="9487" width="13" style="92" customWidth="1"/>
    <col min="9488" max="9488" width="3.7109375" style="92" customWidth="1"/>
    <col min="9489" max="9489" width="14.42578125" style="92" customWidth="1"/>
    <col min="9490" max="9490" width="0.7109375" style="92" customWidth="1"/>
    <col min="9491" max="9491" width="3.7109375" style="92" customWidth="1"/>
    <col min="9492" max="9492" width="3.5703125" style="92" customWidth="1"/>
    <col min="9493" max="9493" width="1.7109375" style="92" customWidth="1"/>
    <col min="9494" max="9727" width="0" style="92" hidden="1" customWidth="1"/>
    <col min="9728" max="9728" width="3" style="92"/>
    <col min="9729" max="9729" width="3.5703125" style="92" customWidth="1"/>
    <col min="9730" max="9730" width="2.5703125" style="92" customWidth="1"/>
    <col min="9731" max="9731" width="3.42578125" style="92" customWidth="1"/>
    <col min="9732" max="9732" width="1.28515625" style="92" customWidth="1"/>
    <col min="9733" max="9733" width="6.7109375" style="92" customWidth="1"/>
    <col min="9734" max="9734" width="13.42578125" style="92" customWidth="1"/>
    <col min="9735" max="9735" width="14.5703125" style="92" customWidth="1"/>
    <col min="9736" max="9736" width="4.42578125" style="92" customWidth="1"/>
    <col min="9737" max="9737" width="8" style="92" customWidth="1"/>
    <col min="9738" max="9738" width="6.140625" style="92" customWidth="1"/>
    <col min="9739" max="9739" width="6.85546875" style="92" customWidth="1"/>
    <col min="9740" max="9740" width="4.28515625" style="92" customWidth="1"/>
    <col min="9741" max="9741" width="7.28515625" style="92" customWidth="1"/>
    <col min="9742" max="9742" width="12.140625" style="92" customWidth="1"/>
    <col min="9743" max="9743" width="13" style="92" customWidth="1"/>
    <col min="9744" max="9744" width="3.7109375" style="92" customWidth="1"/>
    <col min="9745" max="9745" width="14.42578125" style="92" customWidth="1"/>
    <col min="9746" max="9746" width="0.7109375" style="92" customWidth="1"/>
    <col min="9747" max="9747" width="3.7109375" style="92" customWidth="1"/>
    <col min="9748" max="9748" width="3.5703125" style="92" customWidth="1"/>
    <col min="9749" max="9749" width="1.7109375" style="92" customWidth="1"/>
    <col min="9750" max="9983" width="0" style="92" hidden="1" customWidth="1"/>
    <col min="9984" max="9984" width="3" style="92"/>
    <col min="9985" max="9985" width="3.5703125" style="92" customWidth="1"/>
    <col min="9986" max="9986" width="2.5703125" style="92" customWidth="1"/>
    <col min="9987" max="9987" width="3.42578125" style="92" customWidth="1"/>
    <col min="9988" max="9988" width="1.28515625" style="92" customWidth="1"/>
    <col min="9989" max="9989" width="6.7109375" style="92" customWidth="1"/>
    <col min="9990" max="9990" width="13.42578125" style="92" customWidth="1"/>
    <col min="9991" max="9991" width="14.5703125" style="92" customWidth="1"/>
    <col min="9992" max="9992" width="4.42578125" style="92" customWidth="1"/>
    <col min="9993" max="9993" width="8" style="92" customWidth="1"/>
    <col min="9994" max="9994" width="6.140625" style="92" customWidth="1"/>
    <col min="9995" max="9995" width="6.85546875" style="92" customWidth="1"/>
    <col min="9996" max="9996" width="4.28515625" style="92" customWidth="1"/>
    <col min="9997" max="9997" width="7.28515625" style="92" customWidth="1"/>
    <col min="9998" max="9998" width="12.140625" style="92" customWidth="1"/>
    <col min="9999" max="9999" width="13" style="92" customWidth="1"/>
    <col min="10000" max="10000" width="3.7109375" style="92" customWidth="1"/>
    <col min="10001" max="10001" width="14.42578125" style="92" customWidth="1"/>
    <col min="10002" max="10002" width="0.7109375" style="92" customWidth="1"/>
    <col min="10003" max="10003" width="3.7109375" style="92" customWidth="1"/>
    <col min="10004" max="10004" width="3.5703125" style="92" customWidth="1"/>
    <col min="10005" max="10005" width="1.7109375" style="92" customWidth="1"/>
    <col min="10006" max="10239" width="0" style="92" hidden="1" customWidth="1"/>
    <col min="10240" max="10240" width="3" style="92"/>
    <col min="10241" max="10241" width="3.5703125" style="92" customWidth="1"/>
    <col min="10242" max="10242" width="2.5703125" style="92" customWidth="1"/>
    <col min="10243" max="10243" width="3.42578125" style="92" customWidth="1"/>
    <col min="10244" max="10244" width="1.28515625" style="92" customWidth="1"/>
    <col min="10245" max="10245" width="6.7109375" style="92" customWidth="1"/>
    <col min="10246" max="10246" width="13.42578125" style="92" customWidth="1"/>
    <col min="10247" max="10247" width="14.5703125" style="92" customWidth="1"/>
    <col min="10248" max="10248" width="4.42578125" style="92" customWidth="1"/>
    <col min="10249" max="10249" width="8" style="92" customWidth="1"/>
    <col min="10250" max="10250" width="6.140625" style="92" customWidth="1"/>
    <col min="10251" max="10251" width="6.85546875" style="92" customWidth="1"/>
    <col min="10252" max="10252" width="4.28515625" style="92" customWidth="1"/>
    <col min="10253" max="10253" width="7.28515625" style="92" customWidth="1"/>
    <col min="10254" max="10254" width="12.140625" style="92" customWidth="1"/>
    <col min="10255" max="10255" width="13" style="92" customWidth="1"/>
    <col min="10256" max="10256" width="3.7109375" style="92" customWidth="1"/>
    <col min="10257" max="10257" width="14.42578125" style="92" customWidth="1"/>
    <col min="10258" max="10258" width="0.7109375" style="92" customWidth="1"/>
    <col min="10259" max="10259" width="3.7109375" style="92" customWidth="1"/>
    <col min="10260" max="10260" width="3.5703125" style="92" customWidth="1"/>
    <col min="10261" max="10261" width="1.7109375" style="92" customWidth="1"/>
    <col min="10262" max="10495" width="0" style="92" hidden="1" customWidth="1"/>
    <col min="10496" max="10496" width="3" style="92"/>
    <col min="10497" max="10497" width="3.5703125" style="92" customWidth="1"/>
    <col min="10498" max="10498" width="2.5703125" style="92" customWidth="1"/>
    <col min="10499" max="10499" width="3.42578125" style="92" customWidth="1"/>
    <col min="10500" max="10500" width="1.28515625" style="92" customWidth="1"/>
    <col min="10501" max="10501" width="6.7109375" style="92" customWidth="1"/>
    <col min="10502" max="10502" width="13.42578125" style="92" customWidth="1"/>
    <col min="10503" max="10503" width="14.5703125" style="92" customWidth="1"/>
    <col min="10504" max="10504" width="4.42578125" style="92" customWidth="1"/>
    <col min="10505" max="10505" width="8" style="92" customWidth="1"/>
    <col min="10506" max="10506" width="6.140625" style="92" customWidth="1"/>
    <col min="10507" max="10507" width="6.85546875" style="92" customWidth="1"/>
    <col min="10508" max="10508" width="4.28515625" style="92" customWidth="1"/>
    <col min="10509" max="10509" width="7.28515625" style="92" customWidth="1"/>
    <col min="10510" max="10510" width="12.140625" style="92" customWidth="1"/>
    <col min="10511" max="10511" width="13" style="92" customWidth="1"/>
    <col min="10512" max="10512" width="3.7109375" style="92" customWidth="1"/>
    <col min="10513" max="10513" width="14.42578125" style="92" customWidth="1"/>
    <col min="10514" max="10514" width="0.7109375" style="92" customWidth="1"/>
    <col min="10515" max="10515" width="3.7109375" style="92" customWidth="1"/>
    <col min="10516" max="10516" width="3.5703125" style="92" customWidth="1"/>
    <col min="10517" max="10517" width="1.7109375" style="92" customWidth="1"/>
    <col min="10518" max="10751" width="0" style="92" hidden="1" customWidth="1"/>
    <col min="10752" max="10752" width="3" style="92"/>
    <col min="10753" max="10753" width="3.5703125" style="92" customWidth="1"/>
    <col min="10754" max="10754" width="2.5703125" style="92" customWidth="1"/>
    <col min="10755" max="10755" width="3.42578125" style="92" customWidth="1"/>
    <col min="10756" max="10756" width="1.28515625" style="92" customWidth="1"/>
    <col min="10757" max="10757" width="6.7109375" style="92" customWidth="1"/>
    <col min="10758" max="10758" width="13.42578125" style="92" customWidth="1"/>
    <col min="10759" max="10759" width="14.5703125" style="92" customWidth="1"/>
    <col min="10760" max="10760" width="4.42578125" style="92" customWidth="1"/>
    <col min="10761" max="10761" width="8" style="92" customWidth="1"/>
    <col min="10762" max="10762" width="6.140625" style="92" customWidth="1"/>
    <col min="10763" max="10763" width="6.85546875" style="92" customWidth="1"/>
    <col min="10764" max="10764" width="4.28515625" style="92" customWidth="1"/>
    <col min="10765" max="10765" width="7.28515625" style="92" customWidth="1"/>
    <col min="10766" max="10766" width="12.140625" style="92" customWidth="1"/>
    <col min="10767" max="10767" width="13" style="92" customWidth="1"/>
    <col min="10768" max="10768" width="3.7109375" style="92" customWidth="1"/>
    <col min="10769" max="10769" width="14.42578125" style="92" customWidth="1"/>
    <col min="10770" max="10770" width="0.7109375" style="92" customWidth="1"/>
    <col min="10771" max="10771" width="3.7109375" style="92" customWidth="1"/>
    <col min="10772" max="10772" width="3.5703125" style="92" customWidth="1"/>
    <col min="10773" max="10773" width="1.7109375" style="92" customWidth="1"/>
    <col min="10774" max="11007" width="0" style="92" hidden="1" customWidth="1"/>
    <col min="11008" max="11008" width="3" style="92"/>
    <col min="11009" max="11009" width="3.5703125" style="92" customWidth="1"/>
    <col min="11010" max="11010" width="2.5703125" style="92" customWidth="1"/>
    <col min="11011" max="11011" width="3.42578125" style="92" customWidth="1"/>
    <col min="11012" max="11012" width="1.28515625" style="92" customWidth="1"/>
    <col min="11013" max="11013" width="6.7109375" style="92" customWidth="1"/>
    <col min="11014" max="11014" width="13.42578125" style="92" customWidth="1"/>
    <col min="11015" max="11015" width="14.5703125" style="92" customWidth="1"/>
    <col min="11016" max="11016" width="4.42578125" style="92" customWidth="1"/>
    <col min="11017" max="11017" width="8" style="92" customWidth="1"/>
    <col min="11018" max="11018" width="6.140625" style="92" customWidth="1"/>
    <col min="11019" max="11019" width="6.85546875" style="92" customWidth="1"/>
    <col min="11020" max="11020" width="4.28515625" style="92" customWidth="1"/>
    <col min="11021" max="11021" width="7.28515625" style="92" customWidth="1"/>
    <col min="11022" max="11022" width="12.140625" style="92" customWidth="1"/>
    <col min="11023" max="11023" width="13" style="92" customWidth="1"/>
    <col min="11024" max="11024" width="3.7109375" style="92" customWidth="1"/>
    <col min="11025" max="11025" width="14.42578125" style="92" customWidth="1"/>
    <col min="11026" max="11026" width="0.7109375" style="92" customWidth="1"/>
    <col min="11027" max="11027" width="3.7109375" style="92" customWidth="1"/>
    <col min="11028" max="11028" width="3.5703125" style="92" customWidth="1"/>
    <col min="11029" max="11029" width="1.7109375" style="92" customWidth="1"/>
    <col min="11030" max="11263" width="0" style="92" hidden="1" customWidth="1"/>
    <col min="11264" max="11264" width="3" style="92"/>
    <col min="11265" max="11265" width="3.5703125" style="92" customWidth="1"/>
    <col min="11266" max="11266" width="2.5703125" style="92" customWidth="1"/>
    <col min="11267" max="11267" width="3.42578125" style="92" customWidth="1"/>
    <col min="11268" max="11268" width="1.28515625" style="92" customWidth="1"/>
    <col min="11269" max="11269" width="6.7109375" style="92" customWidth="1"/>
    <col min="11270" max="11270" width="13.42578125" style="92" customWidth="1"/>
    <col min="11271" max="11271" width="14.5703125" style="92" customWidth="1"/>
    <col min="11272" max="11272" width="4.42578125" style="92" customWidth="1"/>
    <col min="11273" max="11273" width="8" style="92" customWidth="1"/>
    <col min="11274" max="11274" width="6.140625" style="92" customWidth="1"/>
    <col min="11275" max="11275" width="6.85546875" style="92" customWidth="1"/>
    <col min="11276" max="11276" width="4.28515625" style="92" customWidth="1"/>
    <col min="11277" max="11277" width="7.28515625" style="92" customWidth="1"/>
    <col min="11278" max="11278" width="12.140625" style="92" customWidth="1"/>
    <col min="11279" max="11279" width="13" style="92" customWidth="1"/>
    <col min="11280" max="11280" width="3.7109375" style="92" customWidth="1"/>
    <col min="11281" max="11281" width="14.42578125" style="92" customWidth="1"/>
    <col min="11282" max="11282" width="0.7109375" style="92" customWidth="1"/>
    <col min="11283" max="11283" width="3.7109375" style="92" customWidth="1"/>
    <col min="11284" max="11284" width="3.5703125" style="92" customWidth="1"/>
    <col min="11285" max="11285" width="1.7109375" style="92" customWidth="1"/>
    <col min="11286" max="11519" width="0" style="92" hidden="1" customWidth="1"/>
    <col min="11520" max="11520" width="3" style="92"/>
    <col min="11521" max="11521" width="3.5703125" style="92" customWidth="1"/>
    <col min="11522" max="11522" width="2.5703125" style="92" customWidth="1"/>
    <col min="11523" max="11523" width="3.42578125" style="92" customWidth="1"/>
    <col min="11524" max="11524" width="1.28515625" style="92" customWidth="1"/>
    <col min="11525" max="11525" width="6.7109375" style="92" customWidth="1"/>
    <col min="11526" max="11526" width="13.42578125" style="92" customWidth="1"/>
    <col min="11527" max="11527" width="14.5703125" style="92" customWidth="1"/>
    <col min="11528" max="11528" width="4.42578125" style="92" customWidth="1"/>
    <col min="11529" max="11529" width="8" style="92" customWidth="1"/>
    <col min="11530" max="11530" width="6.140625" style="92" customWidth="1"/>
    <col min="11531" max="11531" width="6.85546875" style="92" customWidth="1"/>
    <col min="11532" max="11532" width="4.28515625" style="92" customWidth="1"/>
    <col min="11533" max="11533" width="7.28515625" style="92" customWidth="1"/>
    <col min="11534" max="11534" width="12.140625" style="92" customWidth="1"/>
    <col min="11535" max="11535" width="13" style="92" customWidth="1"/>
    <col min="11536" max="11536" width="3.7109375" style="92" customWidth="1"/>
    <col min="11537" max="11537" width="14.42578125" style="92" customWidth="1"/>
    <col min="11538" max="11538" width="0.7109375" style="92" customWidth="1"/>
    <col min="11539" max="11539" width="3.7109375" style="92" customWidth="1"/>
    <col min="11540" max="11540" width="3.5703125" style="92" customWidth="1"/>
    <col min="11541" max="11541" width="1.7109375" style="92" customWidth="1"/>
    <col min="11542" max="11775" width="0" style="92" hidden="1" customWidth="1"/>
    <col min="11776" max="11776" width="3" style="92"/>
    <col min="11777" max="11777" width="3.5703125" style="92" customWidth="1"/>
    <col min="11778" max="11778" width="2.5703125" style="92" customWidth="1"/>
    <col min="11779" max="11779" width="3.42578125" style="92" customWidth="1"/>
    <col min="11780" max="11780" width="1.28515625" style="92" customWidth="1"/>
    <col min="11781" max="11781" width="6.7109375" style="92" customWidth="1"/>
    <col min="11782" max="11782" width="13.42578125" style="92" customWidth="1"/>
    <col min="11783" max="11783" width="14.5703125" style="92" customWidth="1"/>
    <col min="11784" max="11784" width="4.42578125" style="92" customWidth="1"/>
    <col min="11785" max="11785" width="8" style="92" customWidth="1"/>
    <col min="11786" max="11786" width="6.140625" style="92" customWidth="1"/>
    <col min="11787" max="11787" width="6.85546875" style="92" customWidth="1"/>
    <col min="11788" max="11788" width="4.28515625" style="92" customWidth="1"/>
    <col min="11789" max="11789" width="7.28515625" style="92" customWidth="1"/>
    <col min="11790" max="11790" width="12.140625" style="92" customWidth="1"/>
    <col min="11791" max="11791" width="13" style="92" customWidth="1"/>
    <col min="11792" max="11792" width="3.7109375" style="92" customWidth="1"/>
    <col min="11793" max="11793" width="14.42578125" style="92" customWidth="1"/>
    <col min="11794" max="11794" width="0.7109375" style="92" customWidth="1"/>
    <col min="11795" max="11795" width="3.7109375" style="92" customWidth="1"/>
    <col min="11796" max="11796" width="3.5703125" style="92" customWidth="1"/>
    <col min="11797" max="11797" width="1.7109375" style="92" customWidth="1"/>
    <col min="11798" max="12031" width="0" style="92" hidden="1" customWidth="1"/>
    <col min="12032" max="12032" width="3" style="92"/>
    <col min="12033" max="12033" width="3.5703125" style="92" customWidth="1"/>
    <col min="12034" max="12034" width="2.5703125" style="92" customWidth="1"/>
    <col min="12035" max="12035" width="3.42578125" style="92" customWidth="1"/>
    <col min="12036" max="12036" width="1.28515625" style="92" customWidth="1"/>
    <col min="12037" max="12037" width="6.7109375" style="92" customWidth="1"/>
    <col min="12038" max="12038" width="13.42578125" style="92" customWidth="1"/>
    <col min="12039" max="12039" width="14.5703125" style="92" customWidth="1"/>
    <col min="12040" max="12040" width="4.42578125" style="92" customWidth="1"/>
    <col min="12041" max="12041" width="8" style="92" customWidth="1"/>
    <col min="12042" max="12042" width="6.140625" style="92" customWidth="1"/>
    <col min="12043" max="12043" width="6.85546875" style="92" customWidth="1"/>
    <col min="12044" max="12044" width="4.28515625" style="92" customWidth="1"/>
    <col min="12045" max="12045" width="7.28515625" style="92" customWidth="1"/>
    <col min="12046" max="12046" width="12.140625" style="92" customWidth="1"/>
    <col min="12047" max="12047" width="13" style="92" customWidth="1"/>
    <col min="12048" max="12048" width="3.7109375" style="92" customWidth="1"/>
    <col min="12049" max="12049" width="14.42578125" style="92" customWidth="1"/>
    <col min="12050" max="12050" width="0.7109375" style="92" customWidth="1"/>
    <col min="12051" max="12051" width="3.7109375" style="92" customWidth="1"/>
    <col min="12052" max="12052" width="3.5703125" style="92" customWidth="1"/>
    <col min="12053" max="12053" width="1.7109375" style="92" customWidth="1"/>
    <col min="12054" max="12287" width="0" style="92" hidden="1" customWidth="1"/>
    <col min="12288" max="12288" width="3" style="92"/>
    <col min="12289" max="12289" width="3.5703125" style="92" customWidth="1"/>
    <col min="12290" max="12290" width="2.5703125" style="92" customWidth="1"/>
    <col min="12291" max="12291" width="3.42578125" style="92" customWidth="1"/>
    <col min="12292" max="12292" width="1.28515625" style="92" customWidth="1"/>
    <col min="12293" max="12293" width="6.7109375" style="92" customWidth="1"/>
    <col min="12294" max="12294" width="13.42578125" style="92" customWidth="1"/>
    <col min="12295" max="12295" width="14.5703125" style="92" customWidth="1"/>
    <col min="12296" max="12296" width="4.42578125" style="92" customWidth="1"/>
    <col min="12297" max="12297" width="8" style="92" customWidth="1"/>
    <col min="12298" max="12298" width="6.140625" style="92" customWidth="1"/>
    <col min="12299" max="12299" width="6.85546875" style="92" customWidth="1"/>
    <col min="12300" max="12300" width="4.28515625" style="92" customWidth="1"/>
    <col min="12301" max="12301" width="7.28515625" style="92" customWidth="1"/>
    <col min="12302" max="12302" width="12.140625" style="92" customWidth="1"/>
    <col min="12303" max="12303" width="13" style="92" customWidth="1"/>
    <col min="12304" max="12304" width="3.7109375" style="92" customWidth="1"/>
    <col min="12305" max="12305" width="14.42578125" style="92" customWidth="1"/>
    <col min="12306" max="12306" width="0.7109375" style="92" customWidth="1"/>
    <col min="12307" max="12307" width="3.7109375" style="92" customWidth="1"/>
    <col min="12308" max="12308" width="3.5703125" style="92" customWidth="1"/>
    <col min="12309" max="12309" width="1.7109375" style="92" customWidth="1"/>
    <col min="12310" max="12543" width="0" style="92" hidden="1" customWidth="1"/>
    <col min="12544" max="12544" width="3" style="92"/>
    <col min="12545" max="12545" width="3.5703125" style="92" customWidth="1"/>
    <col min="12546" max="12546" width="2.5703125" style="92" customWidth="1"/>
    <col min="12547" max="12547" width="3.42578125" style="92" customWidth="1"/>
    <col min="12548" max="12548" width="1.28515625" style="92" customWidth="1"/>
    <col min="12549" max="12549" width="6.7109375" style="92" customWidth="1"/>
    <col min="12550" max="12550" width="13.42578125" style="92" customWidth="1"/>
    <col min="12551" max="12551" width="14.5703125" style="92" customWidth="1"/>
    <col min="12552" max="12552" width="4.42578125" style="92" customWidth="1"/>
    <col min="12553" max="12553" width="8" style="92" customWidth="1"/>
    <col min="12554" max="12554" width="6.140625" style="92" customWidth="1"/>
    <col min="12555" max="12555" width="6.85546875" style="92" customWidth="1"/>
    <col min="12556" max="12556" width="4.28515625" style="92" customWidth="1"/>
    <col min="12557" max="12557" width="7.28515625" style="92" customWidth="1"/>
    <col min="12558" max="12558" width="12.140625" style="92" customWidth="1"/>
    <col min="12559" max="12559" width="13" style="92" customWidth="1"/>
    <col min="12560" max="12560" width="3.7109375" style="92" customWidth="1"/>
    <col min="12561" max="12561" width="14.42578125" style="92" customWidth="1"/>
    <col min="12562" max="12562" width="0.7109375" style="92" customWidth="1"/>
    <col min="12563" max="12563" width="3.7109375" style="92" customWidth="1"/>
    <col min="12564" max="12564" width="3.5703125" style="92" customWidth="1"/>
    <col min="12565" max="12565" width="1.7109375" style="92" customWidth="1"/>
    <col min="12566" max="12799" width="0" style="92" hidden="1" customWidth="1"/>
    <col min="12800" max="12800" width="3" style="92"/>
    <col min="12801" max="12801" width="3.5703125" style="92" customWidth="1"/>
    <col min="12802" max="12802" width="2.5703125" style="92" customWidth="1"/>
    <col min="12803" max="12803" width="3.42578125" style="92" customWidth="1"/>
    <col min="12804" max="12804" width="1.28515625" style="92" customWidth="1"/>
    <col min="12805" max="12805" width="6.7109375" style="92" customWidth="1"/>
    <col min="12806" max="12806" width="13.42578125" style="92" customWidth="1"/>
    <col min="12807" max="12807" width="14.5703125" style="92" customWidth="1"/>
    <col min="12808" max="12808" width="4.42578125" style="92" customWidth="1"/>
    <col min="12809" max="12809" width="8" style="92" customWidth="1"/>
    <col min="12810" max="12810" width="6.140625" style="92" customWidth="1"/>
    <col min="12811" max="12811" width="6.85546875" style="92" customWidth="1"/>
    <col min="12812" max="12812" width="4.28515625" style="92" customWidth="1"/>
    <col min="12813" max="12813" width="7.28515625" style="92" customWidth="1"/>
    <col min="12814" max="12814" width="12.140625" style="92" customWidth="1"/>
    <col min="12815" max="12815" width="13" style="92" customWidth="1"/>
    <col min="12816" max="12816" width="3.7109375" style="92" customWidth="1"/>
    <col min="12817" max="12817" width="14.42578125" style="92" customWidth="1"/>
    <col min="12818" max="12818" width="0.7109375" style="92" customWidth="1"/>
    <col min="12819" max="12819" width="3.7109375" style="92" customWidth="1"/>
    <col min="12820" max="12820" width="3.5703125" style="92" customWidth="1"/>
    <col min="12821" max="12821" width="1.7109375" style="92" customWidth="1"/>
    <col min="12822" max="13055" width="0" style="92" hidden="1" customWidth="1"/>
    <col min="13056" max="13056" width="3" style="92"/>
    <col min="13057" max="13057" width="3.5703125" style="92" customWidth="1"/>
    <col min="13058" max="13058" width="2.5703125" style="92" customWidth="1"/>
    <col min="13059" max="13059" width="3.42578125" style="92" customWidth="1"/>
    <col min="13060" max="13060" width="1.28515625" style="92" customWidth="1"/>
    <col min="13061" max="13061" width="6.7109375" style="92" customWidth="1"/>
    <col min="13062" max="13062" width="13.42578125" style="92" customWidth="1"/>
    <col min="13063" max="13063" width="14.5703125" style="92" customWidth="1"/>
    <col min="13064" max="13064" width="4.42578125" style="92" customWidth="1"/>
    <col min="13065" max="13065" width="8" style="92" customWidth="1"/>
    <col min="13066" max="13066" width="6.140625" style="92" customWidth="1"/>
    <col min="13067" max="13067" width="6.85546875" style="92" customWidth="1"/>
    <col min="13068" max="13068" width="4.28515625" style="92" customWidth="1"/>
    <col min="13069" max="13069" width="7.28515625" style="92" customWidth="1"/>
    <col min="13070" max="13070" width="12.140625" style="92" customWidth="1"/>
    <col min="13071" max="13071" width="13" style="92" customWidth="1"/>
    <col min="13072" max="13072" width="3.7109375" style="92" customWidth="1"/>
    <col min="13073" max="13073" width="14.42578125" style="92" customWidth="1"/>
    <col min="13074" max="13074" width="0.7109375" style="92" customWidth="1"/>
    <col min="13075" max="13075" width="3.7109375" style="92" customWidth="1"/>
    <col min="13076" max="13076" width="3.5703125" style="92" customWidth="1"/>
    <col min="13077" max="13077" width="1.7109375" style="92" customWidth="1"/>
    <col min="13078" max="13311" width="0" style="92" hidden="1" customWidth="1"/>
    <col min="13312" max="13312" width="3" style="92"/>
    <col min="13313" max="13313" width="3.5703125" style="92" customWidth="1"/>
    <col min="13314" max="13314" width="2.5703125" style="92" customWidth="1"/>
    <col min="13315" max="13315" width="3.42578125" style="92" customWidth="1"/>
    <col min="13316" max="13316" width="1.28515625" style="92" customWidth="1"/>
    <col min="13317" max="13317" width="6.7109375" style="92" customWidth="1"/>
    <col min="13318" max="13318" width="13.42578125" style="92" customWidth="1"/>
    <col min="13319" max="13319" width="14.5703125" style="92" customWidth="1"/>
    <col min="13320" max="13320" width="4.42578125" style="92" customWidth="1"/>
    <col min="13321" max="13321" width="8" style="92" customWidth="1"/>
    <col min="13322" max="13322" width="6.140625" style="92" customWidth="1"/>
    <col min="13323" max="13323" width="6.85546875" style="92" customWidth="1"/>
    <col min="13324" max="13324" width="4.28515625" style="92" customWidth="1"/>
    <col min="13325" max="13325" width="7.28515625" style="92" customWidth="1"/>
    <col min="13326" max="13326" width="12.140625" style="92" customWidth="1"/>
    <col min="13327" max="13327" width="13" style="92" customWidth="1"/>
    <col min="13328" max="13328" width="3.7109375" style="92" customWidth="1"/>
    <col min="13329" max="13329" width="14.42578125" style="92" customWidth="1"/>
    <col min="13330" max="13330" width="0.7109375" style="92" customWidth="1"/>
    <col min="13331" max="13331" width="3.7109375" style="92" customWidth="1"/>
    <col min="13332" max="13332" width="3.5703125" style="92" customWidth="1"/>
    <col min="13333" max="13333" width="1.7109375" style="92" customWidth="1"/>
    <col min="13334" max="13567" width="0" style="92" hidden="1" customWidth="1"/>
    <col min="13568" max="13568" width="3" style="92"/>
    <col min="13569" max="13569" width="3.5703125" style="92" customWidth="1"/>
    <col min="13570" max="13570" width="2.5703125" style="92" customWidth="1"/>
    <col min="13571" max="13571" width="3.42578125" style="92" customWidth="1"/>
    <col min="13572" max="13572" width="1.28515625" style="92" customWidth="1"/>
    <col min="13573" max="13573" width="6.7109375" style="92" customWidth="1"/>
    <col min="13574" max="13574" width="13.42578125" style="92" customWidth="1"/>
    <col min="13575" max="13575" width="14.5703125" style="92" customWidth="1"/>
    <col min="13576" max="13576" width="4.42578125" style="92" customWidth="1"/>
    <col min="13577" max="13577" width="8" style="92" customWidth="1"/>
    <col min="13578" max="13578" width="6.140625" style="92" customWidth="1"/>
    <col min="13579" max="13579" width="6.85546875" style="92" customWidth="1"/>
    <col min="13580" max="13580" width="4.28515625" style="92" customWidth="1"/>
    <col min="13581" max="13581" width="7.28515625" style="92" customWidth="1"/>
    <col min="13582" max="13582" width="12.140625" style="92" customWidth="1"/>
    <col min="13583" max="13583" width="13" style="92" customWidth="1"/>
    <col min="13584" max="13584" width="3.7109375" style="92" customWidth="1"/>
    <col min="13585" max="13585" width="14.42578125" style="92" customWidth="1"/>
    <col min="13586" max="13586" width="0.7109375" style="92" customWidth="1"/>
    <col min="13587" max="13587" width="3.7109375" style="92" customWidth="1"/>
    <col min="13588" max="13588" width="3.5703125" style="92" customWidth="1"/>
    <col min="13589" max="13589" width="1.7109375" style="92" customWidth="1"/>
    <col min="13590" max="13823" width="0" style="92" hidden="1" customWidth="1"/>
    <col min="13824" max="13824" width="3" style="92"/>
    <col min="13825" max="13825" width="3.5703125" style="92" customWidth="1"/>
    <col min="13826" max="13826" width="2.5703125" style="92" customWidth="1"/>
    <col min="13827" max="13827" width="3.42578125" style="92" customWidth="1"/>
    <col min="13828" max="13828" width="1.28515625" style="92" customWidth="1"/>
    <col min="13829" max="13829" width="6.7109375" style="92" customWidth="1"/>
    <col min="13830" max="13830" width="13.42578125" style="92" customWidth="1"/>
    <col min="13831" max="13831" width="14.5703125" style="92" customWidth="1"/>
    <col min="13832" max="13832" width="4.42578125" style="92" customWidth="1"/>
    <col min="13833" max="13833" width="8" style="92" customWidth="1"/>
    <col min="13834" max="13834" width="6.140625" style="92" customWidth="1"/>
    <col min="13835" max="13835" width="6.85546875" style="92" customWidth="1"/>
    <col min="13836" max="13836" width="4.28515625" style="92" customWidth="1"/>
    <col min="13837" max="13837" width="7.28515625" style="92" customWidth="1"/>
    <col min="13838" max="13838" width="12.140625" style="92" customWidth="1"/>
    <col min="13839" max="13839" width="13" style="92" customWidth="1"/>
    <col min="13840" max="13840" width="3.7109375" style="92" customWidth="1"/>
    <col min="13841" max="13841" width="14.42578125" style="92" customWidth="1"/>
    <col min="13842" max="13842" width="0.7109375" style="92" customWidth="1"/>
    <col min="13843" max="13843" width="3.7109375" style="92" customWidth="1"/>
    <col min="13844" max="13844" width="3.5703125" style="92" customWidth="1"/>
    <col min="13845" max="13845" width="1.7109375" style="92" customWidth="1"/>
    <col min="13846" max="14079" width="0" style="92" hidden="1" customWidth="1"/>
    <col min="14080" max="14080" width="3" style="92"/>
    <col min="14081" max="14081" width="3.5703125" style="92" customWidth="1"/>
    <col min="14082" max="14082" width="2.5703125" style="92" customWidth="1"/>
    <col min="14083" max="14083" width="3.42578125" style="92" customWidth="1"/>
    <col min="14084" max="14084" width="1.28515625" style="92" customWidth="1"/>
    <col min="14085" max="14085" width="6.7109375" style="92" customWidth="1"/>
    <col min="14086" max="14086" width="13.42578125" style="92" customWidth="1"/>
    <col min="14087" max="14087" width="14.5703125" style="92" customWidth="1"/>
    <col min="14088" max="14088" width="4.42578125" style="92" customWidth="1"/>
    <col min="14089" max="14089" width="8" style="92" customWidth="1"/>
    <col min="14090" max="14090" width="6.140625" style="92" customWidth="1"/>
    <col min="14091" max="14091" width="6.85546875" style="92" customWidth="1"/>
    <col min="14092" max="14092" width="4.28515625" style="92" customWidth="1"/>
    <col min="14093" max="14093" width="7.28515625" style="92" customWidth="1"/>
    <col min="14094" max="14094" width="12.140625" style="92" customWidth="1"/>
    <col min="14095" max="14095" width="13" style="92" customWidth="1"/>
    <col min="14096" max="14096" width="3.7109375" style="92" customWidth="1"/>
    <col min="14097" max="14097" width="14.42578125" style="92" customWidth="1"/>
    <col min="14098" max="14098" width="0.7109375" style="92" customWidth="1"/>
    <col min="14099" max="14099" width="3.7109375" style="92" customWidth="1"/>
    <col min="14100" max="14100" width="3.5703125" style="92" customWidth="1"/>
    <col min="14101" max="14101" width="1.7109375" style="92" customWidth="1"/>
    <col min="14102" max="14335" width="0" style="92" hidden="1" customWidth="1"/>
    <col min="14336" max="14336" width="3" style="92"/>
    <col min="14337" max="14337" width="3.5703125" style="92" customWidth="1"/>
    <col min="14338" max="14338" width="2.5703125" style="92" customWidth="1"/>
    <col min="14339" max="14339" width="3.42578125" style="92" customWidth="1"/>
    <col min="14340" max="14340" width="1.28515625" style="92" customWidth="1"/>
    <col min="14341" max="14341" width="6.7109375" style="92" customWidth="1"/>
    <col min="14342" max="14342" width="13.42578125" style="92" customWidth="1"/>
    <col min="14343" max="14343" width="14.5703125" style="92" customWidth="1"/>
    <col min="14344" max="14344" width="4.42578125" style="92" customWidth="1"/>
    <col min="14345" max="14345" width="8" style="92" customWidth="1"/>
    <col min="14346" max="14346" width="6.140625" style="92" customWidth="1"/>
    <col min="14347" max="14347" width="6.85546875" style="92" customWidth="1"/>
    <col min="14348" max="14348" width="4.28515625" style="92" customWidth="1"/>
    <col min="14349" max="14349" width="7.28515625" style="92" customWidth="1"/>
    <col min="14350" max="14350" width="12.140625" style="92" customWidth="1"/>
    <col min="14351" max="14351" width="13" style="92" customWidth="1"/>
    <col min="14352" max="14352" width="3.7109375" style="92" customWidth="1"/>
    <col min="14353" max="14353" width="14.42578125" style="92" customWidth="1"/>
    <col min="14354" max="14354" width="0.7109375" style="92" customWidth="1"/>
    <col min="14355" max="14355" width="3.7109375" style="92" customWidth="1"/>
    <col min="14356" max="14356" width="3.5703125" style="92" customWidth="1"/>
    <col min="14357" max="14357" width="1.7109375" style="92" customWidth="1"/>
    <col min="14358" max="14591" width="0" style="92" hidden="1" customWidth="1"/>
    <col min="14592" max="14592" width="3" style="92"/>
    <col min="14593" max="14593" width="3.5703125" style="92" customWidth="1"/>
    <col min="14594" max="14594" width="2.5703125" style="92" customWidth="1"/>
    <col min="14595" max="14595" width="3.42578125" style="92" customWidth="1"/>
    <col min="14596" max="14596" width="1.28515625" style="92" customWidth="1"/>
    <col min="14597" max="14597" width="6.7109375" style="92" customWidth="1"/>
    <col min="14598" max="14598" width="13.42578125" style="92" customWidth="1"/>
    <col min="14599" max="14599" width="14.5703125" style="92" customWidth="1"/>
    <col min="14600" max="14600" width="4.42578125" style="92" customWidth="1"/>
    <col min="14601" max="14601" width="8" style="92" customWidth="1"/>
    <col min="14602" max="14602" width="6.140625" style="92" customWidth="1"/>
    <col min="14603" max="14603" width="6.85546875" style="92" customWidth="1"/>
    <col min="14604" max="14604" width="4.28515625" style="92" customWidth="1"/>
    <col min="14605" max="14605" width="7.28515625" style="92" customWidth="1"/>
    <col min="14606" max="14606" width="12.140625" style="92" customWidth="1"/>
    <col min="14607" max="14607" width="13" style="92" customWidth="1"/>
    <col min="14608" max="14608" width="3.7109375" style="92" customWidth="1"/>
    <col min="14609" max="14609" width="14.42578125" style="92" customWidth="1"/>
    <col min="14610" max="14610" width="0.7109375" style="92" customWidth="1"/>
    <col min="14611" max="14611" width="3.7109375" style="92" customWidth="1"/>
    <col min="14612" max="14612" width="3.5703125" style="92" customWidth="1"/>
    <col min="14613" max="14613" width="1.7109375" style="92" customWidth="1"/>
    <col min="14614" max="14847" width="0" style="92" hidden="1" customWidth="1"/>
    <col min="14848" max="14848" width="3" style="92"/>
    <col min="14849" max="14849" width="3.5703125" style="92" customWidth="1"/>
    <col min="14850" max="14850" width="2.5703125" style="92" customWidth="1"/>
    <col min="14851" max="14851" width="3.42578125" style="92" customWidth="1"/>
    <col min="14852" max="14852" width="1.28515625" style="92" customWidth="1"/>
    <col min="14853" max="14853" width="6.7109375" style="92" customWidth="1"/>
    <col min="14854" max="14854" width="13.42578125" style="92" customWidth="1"/>
    <col min="14855" max="14855" width="14.5703125" style="92" customWidth="1"/>
    <col min="14856" max="14856" width="4.42578125" style="92" customWidth="1"/>
    <col min="14857" max="14857" width="8" style="92" customWidth="1"/>
    <col min="14858" max="14858" width="6.140625" style="92" customWidth="1"/>
    <col min="14859" max="14859" width="6.85546875" style="92" customWidth="1"/>
    <col min="14860" max="14860" width="4.28515625" style="92" customWidth="1"/>
    <col min="14861" max="14861" width="7.28515625" style="92" customWidth="1"/>
    <col min="14862" max="14862" width="12.140625" style="92" customWidth="1"/>
    <col min="14863" max="14863" width="13" style="92" customWidth="1"/>
    <col min="14864" max="14864" width="3.7109375" style="92" customWidth="1"/>
    <col min="14865" max="14865" width="14.42578125" style="92" customWidth="1"/>
    <col min="14866" max="14866" width="0.7109375" style="92" customWidth="1"/>
    <col min="14867" max="14867" width="3.7109375" style="92" customWidth="1"/>
    <col min="14868" max="14868" width="3.5703125" style="92" customWidth="1"/>
    <col min="14869" max="14869" width="1.7109375" style="92" customWidth="1"/>
    <col min="14870" max="15103" width="0" style="92" hidden="1" customWidth="1"/>
    <col min="15104" max="15104" width="3" style="92"/>
    <col min="15105" max="15105" width="3.5703125" style="92" customWidth="1"/>
    <col min="15106" max="15106" width="2.5703125" style="92" customWidth="1"/>
    <col min="15107" max="15107" width="3.42578125" style="92" customWidth="1"/>
    <col min="15108" max="15108" width="1.28515625" style="92" customWidth="1"/>
    <col min="15109" max="15109" width="6.7109375" style="92" customWidth="1"/>
    <col min="15110" max="15110" width="13.42578125" style="92" customWidth="1"/>
    <col min="15111" max="15111" width="14.5703125" style="92" customWidth="1"/>
    <col min="15112" max="15112" width="4.42578125" style="92" customWidth="1"/>
    <col min="15113" max="15113" width="8" style="92" customWidth="1"/>
    <col min="15114" max="15114" width="6.140625" style="92" customWidth="1"/>
    <col min="15115" max="15115" width="6.85546875" style="92" customWidth="1"/>
    <col min="15116" max="15116" width="4.28515625" style="92" customWidth="1"/>
    <col min="15117" max="15117" width="7.28515625" style="92" customWidth="1"/>
    <col min="15118" max="15118" width="12.140625" style="92" customWidth="1"/>
    <col min="15119" max="15119" width="13" style="92" customWidth="1"/>
    <col min="15120" max="15120" width="3.7109375" style="92" customWidth="1"/>
    <col min="15121" max="15121" width="14.42578125" style="92" customWidth="1"/>
    <col min="15122" max="15122" width="0.7109375" style="92" customWidth="1"/>
    <col min="15123" max="15123" width="3.7109375" style="92" customWidth="1"/>
    <col min="15124" max="15124" width="3.5703125" style="92" customWidth="1"/>
    <col min="15125" max="15125" width="1.7109375" style="92" customWidth="1"/>
    <col min="15126" max="15359" width="0" style="92" hidden="1" customWidth="1"/>
    <col min="15360" max="15360" width="3" style="92"/>
    <col min="15361" max="15361" width="3.5703125" style="92" customWidth="1"/>
    <col min="15362" max="15362" width="2.5703125" style="92" customWidth="1"/>
    <col min="15363" max="15363" width="3.42578125" style="92" customWidth="1"/>
    <col min="15364" max="15364" width="1.28515625" style="92" customWidth="1"/>
    <col min="15365" max="15365" width="6.7109375" style="92" customWidth="1"/>
    <col min="15366" max="15366" width="13.42578125" style="92" customWidth="1"/>
    <col min="15367" max="15367" width="14.5703125" style="92" customWidth="1"/>
    <col min="15368" max="15368" width="4.42578125" style="92" customWidth="1"/>
    <col min="15369" max="15369" width="8" style="92" customWidth="1"/>
    <col min="15370" max="15370" width="6.140625" style="92" customWidth="1"/>
    <col min="15371" max="15371" width="6.85546875" style="92" customWidth="1"/>
    <col min="15372" max="15372" width="4.28515625" style="92" customWidth="1"/>
    <col min="15373" max="15373" width="7.28515625" style="92" customWidth="1"/>
    <col min="15374" max="15374" width="12.140625" style="92" customWidth="1"/>
    <col min="15375" max="15375" width="13" style="92" customWidth="1"/>
    <col min="15376" max="15376" width="3.7109375" style="92" customWidth="1"/>
    <col min="15377" max="15377" width="14.42578125" style="92" customWidth="1"/>
    <col min="15378" max="15378" width="0.7109375" style="92" customWidth="1"/>
    <col min="15379" max="15379" width="3.7109375" style="92" customWidth="1"/>
    <col min="15380" max="15380" width="3.5703125" style="92" customWidth="1"/>
    <col min="15381" max="15381" width="1.7109375" style="92" customWidth="1"/>
    <col min="15382" max="15615" width="0" style="92" hidden="1" customWidth="1"/>
    <col min="15616" max="15616" width="3" style="92"/>
    <col min="15617" max="15617" width="3.5703125" style="92" customWidth="1"/>
    <col min="15618" max="15618" width="2.5703125" style="92" customWidth="1"/>
    <col min="15619" max="15619" width="3.42578125" style="92" customWidth="1"/>
    <col min="15620" max="15620" width="1.28515625" style="92" customWidth="1"/>
    <col min="15621" max="15621" width="6.7109375" style="92" customWidth="1"/>
    <col min="15622" max="15622" width="13.42578125" style="92" customWidth="1"/>
    <col min="15623" max="15623" width="14.5703125" style="92" customWidth="1"/>
    <col min="15624" max="15624" width="4.42578125" style="92" customWidth="1"/>
    <col min="15625" max="15625" width="8" style="92" customWidth="1"/>
    <col min="15626" max="15626" width="6.140625" style="92" customWidth="1"/>
    <col min="15627" max="15627" width="6.85546875" style="92" customWidth="1"/>
    <col min="15628" max="15628" width="4.28515625" style="92" customWidth="1"/>
    <col min="15629" max="15629" width="7.28515625" style="92" customWidth="1"/>
    <col min="15630" max="15630" width="12.140625" style="92" customWidth="1"/>
    <col min="15631" max="15631" width="13" style="92" customWidth="1"/>
    <col min="15632" max="15632" width="3.7109375" style="92" customWidth="1"/>
    <col min="15633" max="15633" width="14.42578125" style="92" customWidth="1"/>
    <col min="15634" max="15634" width="0.7109375" style="92" customWidth="1"/>
    <col min="15635" max="15635" width="3.7109375" style="92" customWidth="1"/>
    <col min="15636" max="15636" width="3.5703125" style="92" customWidth="1"/>
    <col min="15637" max="15637" width="1.7109375" style="92" customWidth="1"/>
    <col min="15638" max="15871" width="0" style="92" hidden="1" customWidth="1"/>
    <col min="15872" max="15872" width="3" style="92"/>
    <col min="15873" max="15873" width="3.5703125" style="92" customWidth="1"/>
    <col min="15874" max="15874" width="2.5703125" style="92" customWidth="1"/>
    <col min="15875" max="15875" width="3.42578125" style="92" customWidth="1"/>
    <col min="15876" max="15876" width="1.28515625" style="92" customWidth="1"/>
    <col min="15877" max="15877" width="6.7109375" style="92" customWidth="1"/>
    <col min="15878" max="15878" width="13.42578125" style="92" customWidth="1"/>
    <col min="15879" max="15879" width="14.5703125" style="92" customWidth="1"/>
    <col min="15880" max="15880" width="4.42578125" style="92" customWidth="1"/>
    <col min="15881" max="15881" width="8" style="92" customWidth="1"/>
    <col min="15882" max="15882" width="6.140625" style="92" customWidth="1"/>
    <col min="15883" max="15883" width="6.85546875" style="92" customWidth="1"/>
    <col min="15884" max="15884" width="4.28515625" style="92" customWidth="1"/>
    <col min="15885" max="15885" width="7.28515625" style="92" customWidth="1"/>
    <col min="15886" max="15886" width="12.140625" style="92" customWidth="1"/>
    <col min="15887" max="15887" width="13" style="92" customWidth="1"/>
    <col min="15888" max="15888" width="3.7109375" style="92" customWidth="1"/>
    <col min="15889" max="15889" width="14.42578125" style="92" customWidth="1"/>
    <col min="15890" max="15890" width="0.7109375" style="92" customWidth="1"/>
    <col min="15891" max="15891" width="3.7109375" style="92" customWidth="1"/>
    <col min="15892" max="15892" width="3.5703125" style="92" customWidth="1"/>
    <col min="15893" max="15893" width="1.7109375" style="92" customWidth="1"/>
    <col min="15894" max="16127" width="0" style="92" hidden="1" customWidth="1"/>
    <col min="16128" max="16128" width="3" style="92"/>
    <col min="16129" max="16129" width="3.5703125" style="92" customWidth="1"/>
    <col min="16130" max="16130" width="2.5703125" style="92" customWidth="1"/>
    <col min="16131" max="16131" width="3.42578125" style="92" customWidth="1"/>
    <col min="16132" max="16132" width="1.28515625" style="92" customWidth="1"/>
    <col min="16133" max="16133" width="6.7109375" style="92" customWidth="1"/>
    <col min="16134" max="16134" width="13.42578125" style="92" customWidth="1"/>
    <col min="16135" max="16135" width="14.5703125" style="92" customWidth="1"/>
    <col min="16136" max="16136" width="4.42578125" style="92" customWidth="1"/>
    <col min="16137" max="16137" width="8" style="92" customWidth="1"/>
    <col min="16138" max="16138" width="6.140625" style="92" customWidth="1"/>
    <col min="16139" max="16139" width="6.85546875" style="92" customWidth="1"/>
    <col min="16140" max="16140" width="4.28515625" style="92" customWidth="1"/>
    <col min="16141" max="16141" width="7.28515625" style="92" customWidth="1"/>
    <col min="16142" max="16142" width="12.140625" style="92" customWidth="1"/>
    <col min="16143" max="16143" width="13" style="92" customWidth="1"/>
    <col min="16144" max="16144" width="3.7109375" style="92" customWidth="1"/>
    <col min="16145" max="16145" width="14.42578125" style="92" customWidth="1"/>
    <col min="16146" max="16146" width="0.7109375" style="92" customWidth="1"/>
    <col min="16147" max="16147" width="3.7109375" style="92" customWidth="1"/>
    <col min="16148" max="16148" width="3.5703125" style="92" customWidth="1"/>
    <col min="16149" max="16149" width="1.7109375" style="92" customWidth="1"/>
    <col min="16150" max="16383" width="0" style="92" hidden="1" customWidth="1"/>
    <col min="16384" max="16384" width="3" style="92"/>
  </cols>
  <sheetData>
    <row r="1" spans="1:257" x14ac:dyDescent="0.2"/>
    <row r="2" spans="1:257" ht="18" hidden="1" x14ac:dyDescent="0.25">
      <c r="O2" s="1"/>
      <c r="P2" s="94"/>
      <c r="Q2" s="94"/>
      <c r="R2" s="94"/>
      <c r="S2" s="95"/>
    </row>
    <row r="3" spans="1:257" ht="19.5" customHeight="1" x14ac:dyDescent="0.3">
      <c r="B3" s="1"/>
      <c r="C3" s="1"/>
      <c r="E3" s="1"/>
      <c r="J3" s="325" t="str">
        <f>+IF(requisitos!I14=9,"SOLICITUD DE AVALUO Y ESTUDIO DE COSTOS",IF(requisitos!I14=10,"SOLICITUD DE AVALUO Y ESTUDIO DE COSTOS","SOLICITUD AVALUO"))</f>
        <v>SOLICITUD AVALUO</v>
      </c>
      <c r="K3" s="326"/>
      <c r="L3" s="326"/>
      <c r="M3" s="326"/>
      <c r="N3" s="326"/>
      <c r="O3" s="326"/>
      <c r="P3" s="326"/>
      <c r="Q3" s="326"/>
      <c r="R3" s="326"/>
      <c r="S3" s="326"/>
      <c r="T3" s="326"/>
    </row>
    <row r="4" spans="1:257" ht="18" customHeight="1" x14ac:dyDescent="0.25"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7"/>
      <c r="P4" s="97"/>
      <c r="Q4" s="327" t="s">
        <v>42</v>
      </c>
      <c r="R4" s="327"/>
      <c r="S4" s="327"/>
      <c r="T4" s="328"/>
    </row>
    <row r="5" spans="1:257" ht="15" customHeight="1" x14ac:dyDescent="0.25"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8"/>
      <c r="P5" s="98"/>
      <c r="Q5" s="329" t="s">
        <v>43</v>
      </c>
      <c r="R5" s="329"/>
      <c r="S5" s="329"/>
      <c r="T5" s="330"/>
    </row>
    <row r="6" spans="1:257" ht="12.75" customHeight="1" x14ac:dyDescent="0.25">
      <c r="A6" s="99" t="s">
        <v>44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100"/>
      <c r="P6" s="100"/>
      <c r="Q6" s="331">
        <f ca="1">NOW()</f>
        <v>45800.397027199077</v>
      </c>
      <c r="R6" s="331"/>
      <c r="S6" s="331"/>
      <c r="T6" s="331"/>
    </row>
    <row r="7" spans="1:257" ht="12" customHeight="1" x14ac:dyDescent="0.25">
      <c r="A7" s="101" t="s">
        <v>45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</row>
    <row r="8" spans="1:257" ht="12" customHeight="1" x14ac:dyDescent="0.25">
      <c r="A8" s="101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</row>
    <row r="9" spans="1:257" ht="11.25" customHeight="1" x14ac:dyDescent="0.2">
      <c r="A9" s="101"/>
      <c r="O9" s="102"/>
      <c r="P9" s="103"/>
      <c r="Q9" s="104"/>
    </row>
    <row r="10" spans="1:257" x14ac:dyDescent="0.2">
      <c r="A10" s="105"/>
      <c r="C10" s="106"/>
      <c r="G10" s="105"/>
      <c r="H10" s="106"/>
      <c r="L10" s="286" t="s">
        <v>48</v>
      </c>
      <c r="O10" s="108"/>
      <c r="P10" s="108"/>
      <c r="Q10" s="108"/>
      <c r="R10" s="108"/>
      <c r="S10" s="108"/>
      <c r="T10" s="108"/>
    </row>
    <row r="11" spans="1:257" ht="3.75" customHeight="1" thickBot="1" x14ac:dyDescent="0.25">
      <c r="A11" s="109"/>
      <c r="B11" s="109"/>
      <c r="C11" s="109"/>
      <c r="D11" s="109"/>
      <c r="E11" s="110"/>
      <c r="F11" s="110"/>
      <c r="G11" s="109"/>
      <c r="H11" s="109"/>
      <c r="I11" s="109"/>
      <c r="J11" s="109"/>
      <c r="K11" s="109"/>
      <c r="L11" s="109"/>
      <c r="M11" s="109"/>
      <c r="N11" s="109"/>
      <c r="O11" s="111"/>
      <c r="P11" s="112"/>
      <c r="Q11" s="109"/>
      <c r="R11" s="109"/>
      <c r="S11" s="109"/>
      <c r="T11" s="109"/>
    </row>
    <row r="12" spans="1:257" ht="3.75" customHeight="1" thickTop="1" x14ac:dyDescent="0.2">
      <c r="O12" s="113"/>
      <c r="P12" s="103"/>
    </row>
    <row r="13" spans="1:257" s="114" customFormat="1" ht="14.25" customHeight="1" x14ac:dyDescent="0.2">
      <c r="E13" s="115"/>
      <c r="F13" s="115"/>
      <c r="I13" s="116"/>
      <c r="J13" s="116"/>
      <c r="K13" s="117"/>
      <c r="L13" s="116"/>
      <c r="M13" s="275"/>
      <c r="N13" s="291"/>
      <c r="O13" s="276" t="b">
        <f>+IF(requisitos!I14=3,requisitos!R14,'CALCULO Empleados'!M21)</f>
        <v>0</v>
      </c>
      <c r="P13" s="277"/>
      <c r="Q13" s="278">
        <f>+IF(O13&lt;18000,O13,18000)</f>
        <v>18000</v>
      </c>
      <c r="R13" s="267"/>
      <c r="S13" s="267"/>
      <c r="T13" s="267"/>
      <c r="U13" s="268"/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68"/>
      <c r="AK13" s="268"/>
      <c r="AL13" s="268"/>
      <c r="AM13" s="268"/>
      <c r="AN13" s="268"/>
      <c r="AO13" s="268"/>
      <c r="AP13" s="268"/>
      <c r="AQ13" s="268"/>
      <c r="AR13" s="268"/>
      <c r="AS13" s="268"/>
      <c r="AT13" s="268"/>
      <c r="AU13" s="268"/>
      <c r="AV13" s="268"/>
      <c r="AW13" s="268"/>
      <c r="AX13" s="268"/>
      <c r="AY13" s="268"/>
      <c r="AZ13" s="268"/>
      <c r="BA13" s="268"/>
      <c r="BB13" s="268"/>
      <c r="BC13" s="268"/>
      <c r="BD13" s="268"/>
      <c r="BE13" s="268"/>
      <c r="BF13" s="268"/>
      <c r="BG13" s="268"/>
      <c r="BH13" s="268"/>
      <c r="BI13" s="268"/>
      <c r="BJ13" s="268"/>
      <c r="BK13" s="268"/>
      <c r="BL13" s="268"/>
      <c r="BM13" s="268"/>
      <c r="BN13" s="268"/>
      <c r="BO13" s="268"/>
      <c r="BP13" s="268"/>
      <c r="BQ13" s="268"/>
      <c r="BR13" s="268"/>
      <c r="BS13" s="268"/>
      <c r="BT13" s="268"/>
      <c r="BU13" s="268"/>
      <c r="BV13" s="268"/>
      <c r="BW13" s="268"/>
      <c r="BX13" s="268"/>
      <c r="BY13" s="268"/>
      <c r="BZ13" s="268"/>
      <c r="CA13" s="268"/>
      <c r="CB13" s="268"/>
      <c r="CC13" s="268"/>
      <c r="CD13" s="268"/>
      <c r="CE13" s="268"/>
      <c r="CF13" s="268"/>
      <c r="CG13" s="268"/>
      <c r="CH13" s="268"/>
      <c r="CI13" s="268"/>
      <c r="CJ13" s="268"/>
      <c r="CK13" s="268"/>
      <c r="CL13" s="268"/>
      <c r="CM13" s="268"/>
      <c r="CN13" s="268"/>
      <c r="CO13" s="268"/>
      <c r="CP13" s="268"/>
      <c r="CQ13" s="268"/>
      <c r="CR13" s="268"/>
      <c r="CS13" s="268"/>
      <c r="CT13" s="268"/>
      <c r="CU13" s="268"/>
      <c r="CV13" s="268"/>
      <c r="CW13" s="268"/>
      <c r="CX13" s="268"/>
      <c r="CY13" s="268"/>
      <c r="CZ13" s="268"/>
      <c r="DA13" s="268"/>
      <c r="DB13" s="268"/>
      <c r="DC13" s="268"/>
      <c r="DD13" s="268"/>
      <c r="DE13" s="268"/>
      <c r="DF13" s="268"/>
      <c r="DG13" s="268"/>
      <c r="DH13" s="268"/>
      <c r="DI13" s="268"/>
      <c r="DJ13" s="268"/>
      <c r="DK13" s="268"/>
      <c r="DL13" s="268"/>
      <c r="DM13" s="268"/>
      <c r="DN13" s="268"/>
      <c r="DO13" s="268"/>
      <c r="DP13" s="268"/>
      <c r="DQ13" s="268"/>
      <c r="DR13" s="268"/>
      <c r="DS13" s="268"/>
      <c r="DT13" s="268"/>
      <c r="DU13" s="268"/>
      <c r="DV13" s="268"/>
      <c r="DW13" s="268"/>
      <c r="DX13" s="268"/>
      <c r="DY13" s="268"/>
      <c r="DZ13" s="268"/>
      <c r="EA13" s="268"/>
      <c r="EB13" s="268"/>
      <c r="EC13" s="268"/>
      <c r="ED13" s="268"/>
      <c r="EE13" s="268"/>
      <c r="EF13" s="268"/>
      <c r="EG13" s="268"/>
      <c r="EH13" s="268"/>
      <c r="EI13" s="268"/>
      <c r="EJ13" s="268"/>
      <c r="EK13" s="268"/>
      <c r="EL13" s="268"/>
      <c r="EM13" s="268"/>
      <c r="EN13" s="268"/>
      <c r="EO13" s="268"/>
      <c r="EP13" s="268"/>
      <c r="EQ13" s="268"/>
      <c r="ER13" s="268"/>
      <c r="ES13" s="268"/>
      <c r="ET13" s="268"/>
      <c r="EU13" s="268"/>
      <c r="EV13" s="268"/>
      <c r="EW13" s="268"/>
      <c r="EX13" s="268"/>
      <c r="EY13" s="268"/>
      <c r="EZ13" s="268"/>
      <c r="FA13" s="268"/>
      <c r="FB13" s="268"/>
      <c r="FC13" s="268"/>
      <c r="FD13" s="268"/>
      <c r="FE13" s="268"/>
      <c r="FF13" s="268"/>
      <c r="FG13" s="268"/>
      <c r="FH13" s="268"/>
      <c r="FI13" s="268"/>
      <c r="FJ13" s="268"/>
      <c r="FK13" s="268"/>
      <c r="FL13" s="268"/>
      <c r="FM13" s="268"/>
      <c r="FN13" s="268"/>
      <c r="FO13" s="268"/>
      <c r="FP13" s="268"/>
      <c r="FQ13" s="268"/>
      <c r="FR13" s="268"/>
      <c r="FS13" s="268"/>
      <c r="FT13" s="268"/>
      <c r="FU13" s="268"/>
      <c r="FV13" s="268"/>
      <c r="FW13" s="268"/>
      <c r="FX13" s="268"/>
      <c r="FY13" s="268"/>
      <c r="FZ13" s="268"/>
      <c r="GA13" s="268"/>
      <c r="GB13" s="268"/>
      <c r="GC13" s="268"/>
      <c r="GD13" s="268"/>
      <c r="GE13" s="268"/>
      <c r="GF13" s="268"/>
      <c r="GG13" s="268"/>
      <c r="GH13" s="268"/>
      <c r="GI13" s="268"/>
      <c r="GJ13" s="268"/>
      <c r="GK13" s="268"/>
      <c r="GL13" s="268"/>
      <c r="GM13" s="268"/>
      <c r="GN13" s="268"/>
      <c r="GO13" s="268"/>
      <c r="GP13" s="268"/>
      <c r="GQ13" s="268"/>
      <c r="GR13" s="268"/>
      <c r="GS13" s="268"/>
      <c r="GT13" s="268"/>
      <c r="GU13" s="268"/>
      <c r="GV13" s="268"/>
      <c r="GW13" s="268"/>
      <c r="GX13" s="268"/>
      <c r="GY13" s="268"/>
      <c r="GZ13" s="268"/>
      <c r="HA13" s="268"/>
      <c r="HB13" s="268"/>
      <c r="HC13" s="268"/>
      <c r="HD13" s="268"/>
      <c r="HE13" s="268"/>
      <c r="HF13" s="268"/>
      <c r="HG13" s="268"/>
      <c r="HH13" s="268"/>
      <c r="HI13" s="268"/>
      <c r="HJ13" s="268"/>
      <c r="HK13" s="268"/>
      <c r="HL13" s="268"/>
      <c r="HM13" s="268"/>
      <c r="HN13" s="268"/>
      <c r="HO13" s="268"/>
      <c r="HP13" s="268"/>
      <c r="HQ13" s="268"/>
      <c r="HR13" s="268"/>
      <c r="HS13" s="268"/>
      <c r="HT13" s="268"/>
      <c r="HU13" s="268"/>
      <c r="HV13" s="268"/>
      <c r="HW13" s="268"/>
      <c r="HX13" s="268"/>
      <c r="HY13" s="268"/>
      <c r="HZ13" s="268"/>
      <c r="IA13" s="268"/>
      <c r="IB13" s="268"/>
      <c r="IC13" s="268"/>
      <c r="ID13" s="268"/>
      <c r="IE13" s="268"/>
      <c r="IF13" s="268"/>
      <c r="IG13" s="268"/>
      <c r="IH13" s="268"/>
      <c r="II13" s="268"/>
      <c r="IJ13" s="268"/>
      <c r="IK13" s="268"/>
      <c r="IL13" s="268"/>
      <c r="IM13" s="268"/>
      <c r="IN13" s="268"/>
      <c r="IO13" s="268"/>
      <c r="IP13" s="268"/>
      <c r="IQ13" s="268"/>
      <c r="IR13" s="268"/>
      <c r="IS13" s="268"/>
      <c r="IT13" s="268"/>
      <c r="IU13" s="268"/>
      <c r="IV13" s="268"/>
      <c r="IW13" s="268"/>
    </row>
    <row r="14" spans="1:257" s="114" customFormat="1" ht="15" customHeight="1" x14ac:dyDescent="0.2">
      <c r="C14" s="119"/>
      <c r="E14" s="115"/>
      <c r="F14" s="115"/>
      <c r="I14" s="116"/>
      <c r="J14" s="116"/>
      <c r="K14" s="117"/>
      <c r="L14" s="116"/>
      <c r="M14" s="117"/>
      <c r="N14" s="279"/>
      <c r="O14" s="280"/>
      <c r="P14" s="281"/>
      <c r="Q14" s="278">
        <f>IF(requisitos!I14=3,requisitos!R14,IF(requisitos!I14=4,requisitos!R15,IF(requisitos!I14=5,requisitos!R16,IF(requisitos!I14=9,requisitos!R20,IF(requisitos!I14=10,requisitos!R21,IF(requisitos!I14=11,requisitos!O22,requisitos!R12))))))</f>
        <v>1913</v>
      </c>
      <c r="R14" s="269"/>
      <c r="S14" s="269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8"/>
      <c r="AH14" s="268"/>
      <c r="AI14" s="268"/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68"/>
      <c r="CA14" s="268"/>
      <c r="CB14" s="268"/>
      <c r="CC14" s="268"/>
      <c r="CD14" s="268"/>
      <c r="CE14" s="268"/>
      <c r="CF14" s="268"/>
      <c r="CG14" s="268"/>
      <c r="CH14" s="268"/>
      <c r="CI14" s="268"/>
      <c r="CJ14" s="268"/>
      <c r="CK14" s="268"/>
      <c r="CL14" s="268"/>
      <c r="CM14" s="268"/>
      <c r="CN14" s="268"/>
      <c r="CO14" s="268"/>
      <c r="CP14" s="268"/>
      <c r="CQ14" s="268"/>
      <c r="CR14" s="268"/>
      <c r="CS14" s="268"/>
      <c r="CT14" s="268"/>
      <c r="CU14" s="268"/>
      <c r="CV14" s="268"/>
      <c r="CW14" s="268"/>
      <c r="CX14" s="268"/>
      <c r="CY14" s="268"/>
      <c r="CZ14" s="268"/>
      <c r="DA14" s="268"/>
      <c r="DB14" s="268"/>
      <c r="DC14" s="268"/>
      <c r="DD14" s="268"/>
      <c r="DE14" s="268"/>
      <c r="DF14" s="268"/>
      <c r="DG14" s="268"/>
      <c r="DH14" s="268"/>
      <c r="DI14" s="268"/>
      <c r="DJ14" s="268"/>
      <c r="DK14" s="268"/>
      <c r="DL14" s="268"/>
      <c r="DM14" s="268"/>
      <c r="DN14" s="268"/>
      <c r="DO14" s="268"/>
      <c r="DP14" s="268"/>
      <c r="DQ14" s="268"/>
      <c r="DR14" s="268"/>
      <c r="DS14" s="268"/>
      <c r="DT14" s="268"/>
      <c r="DU14" s="268"/>
      <c r="DV14" s="268"/>
      <c r="DW14" s="268"/>
      <c r="DX14" s="268"/>
      <c r="DY14" s="268"/>
      <c r="DZ14" s="268"/>
      <c r="EA14" s="268"/>
      <c r="EB14" s="268"/>
      <c r="EC14" s="268"/>
      <c r="ED14" s="268"/>
      <c r="EE14" s="268"/>
      <c r="EF14" s="268"/>
      <c r="EG14" s="268"/>
      <c r="EH14" s="268"/>
      <c r="EI14" s="268"/>
      <c r="EJ14" s="268"/>
      <c r="EK14" s="268"/>
      <c r="EL14" s="268"/>
      <c r="EM14" s="268"/>
      <c r="EN14" s="268"/>
      <c r="EO14" s="268"/>
      <c r="EP14" s="268"/>
      <c r="EQ14" s="268"/>
      <c r="ER14" s="268"/>
      <c r="ES14" s="268"/>
      <c r="ET14" s="268"/>
      <c r="EU14" s="268"/>
      <c r="EV14" s="268"/>
      <c r="EW14" s="268"/>
      <c r="EX14" s="268"/>
      <c r="EY14" s="268"/>
      <c r="EZ14" s="268"/>
      <c r="FA14" s="268"/>
      <c r="FB14" s="268"/>
      <c r="FC14" s="268"/>
      <c r="FD14" s="268"/>
      <c r="FE14" s="268"/>
      <c r="FF14" s="268"/>
      <c r="FG14" s="268"/>
      <c r="FH14" s="268"/>
      <c r="FI14" s="268"/>
      <c r="FJ14" s="268"/>
      <c r="FK14" s="268"/>
      <c r="FL14" s="268"/>
      <c r="FM14" s="268"/>
      <c r="FN14" s="268"/>
      <c r="FO14" s="268"/>
      <c r="FP14" s="268"/>
      <c r="FQ14" s="268"/>
      <c r="FR14" s="268"/>
      <c r="FS14" s="268"/>
      <c r="FT14" s="268"/>
      <c r="FU14" s="268"/>
      <c r="FV14" s="268"/>
      <c r="FW14" s="268"/>
      <c r="FX14" s="268"/>
      <c r="FY14" s="268"/>
      <c r="FZ14" s="268"/>
      <c r="GA14" s="268"/>
      <c r="GB14" s="268"/>
      <c r="GC14" s="268"/>
      <c r="GD14" s="268"/>
      <c r="GE14" s="268"/>
      <c r="GF14" s="268"/>
      <c r="GG14" s="268"/>
      <c r="GH14" s="268"/>
      <c r="GI14" s="268"/>
      <c r="GJ14" s="268"/>
      <c r="GK14" s="268"/>
      <c r="GL14" s="268"/>
      <c r="GM14" s="268"/>
      <c r="GN14" s="268"/>
      <c r="GO14" s="268"/>
      <c r="GP14" s="268"/>
      <c r="GQ14" s="268"/>
      <c r="GR14" s="268"/>
      <c r="GS14" s="268"/>
      <c r="GT14" s="268"/>
      <c r="GU14" s="268"/>
      <c r="GV14" s="268"/>
      <c r="GW14" s="268"/>
      <c r="GX14" s="268"/>
      <c r="GY14" s="268"/>
      <c r="GZ14" s="268"/>
      <c r="HA14" s="268"/>
      <c r="HB14" s="268"/>
      <c r="HC14" s="268"/>
      <c r="HD14" s="268"/>
      <c r="HE14" s="268"/>
      <c r="HF14" s="268"/>
      <c r="HG14" s="268"/>
      <c r="HH14" s="268"/>
      <c r="HI14" s="268"/>
      <c r="HJ14" s="268"/>
      <c r="HK14" s="268"/>
      <c r="HL14" s="268"/>
      <c r="HM14" s="268"/>
      <c r="HN14" s="268"/>
      <c r="HO14" s="268"/>
      <c r="HP14" s="268"/>
      <c r="HQ14" s="268"/>
      <c r="HR14" s="268"/>
      <c r="HS14" s="268"/>
      <c r="HT14" s="268"/>
      <c r="HU14" s="268"/>
      <c r="HV14" s="268"/>
      <c r="HW14" s="268"/>
      <c r="HX14" s="268"/>
      <c r="HY14" s="268"/>
      <c r="HZ14" s="268"/>
      <c r="IA14" s="268"/>
      <c r="IB14" s="268"/>
      <c r="IC14" s="268"/>
      <c r="ID14" s="268"/>
      <c r="IE14" s="268"/>
      <c r="IF14" s="268"/>
      <c r="IG14" s="268"/>
      <c r="IH14" s="268"/>
      <c r="II14" s="268"/>
      <c r="IJ14" s="268"/>
      <c r="IK14" s="268"/>
      <c r="IL14" s="268"/>
      <c r="IM14" s="268"/>
      <c r="IN14" s="268"/>
      <c r="IO14" s="268"/>
      <c r="IP14" s="268"/>
      <c r="IQ14" s="268"/>
      <c r="IR14" s="268"/>
      <c r="IS14" s="268"/>
      <c r="IT14" s="268"/>
      <c r="IU14" s="268"/>
      <c r="IV14" s="268"/>
      <c r="IW14" s="268"/>
    </row>
    <row r="15" spans="1:257" x14ac:dyDescent="0.2">
      <c r="A15" s="106" t="str">
        <f>IF(requisitos!$T$3=2,"FUNCIONARIO QUE ATIENDE AL CLIENTE","DATOS DEL EMPLEADO")</f>
        <v>FUNCIONARIO QUE ATIENDE AL CLIENTE</v>
      </c>
      <c r="E15" s="94"/>
      <c r="F15" s="120"/>
      <c r="G15" s="120"/>
      <c r="H15" s="121"/>
      <c r="I15" s="122"/>
      <c r="J15" s="122"/>
      <c r="K15" s="123"/>
      <c r="L15" s="122"/>
      <c r="M15" s="117"/>
      <c r="N15" s="323">
        <f>+IF(Q15&lt;1412.88,"$1,413.00",Q15)</f>
        <v>1913</v>
      </c>
      <c r="O15" s="324"/>
      <c r="P15" s="282"/>
      <c r="Q15" s="278">
        <f>+IF(requisitos!T3=1,'RESTO DE PRODUCTOS'!Q13,'RESTO DE PRODUCTOS'!Q14)</f>
        <v>1913</v>
      </c>
      <c r="R15" s="268"/>
      <c r="S15" s="268"/>
      <c r="T15" s="268"/>
      <c r="U15" s="268"/>
      <c r="V15" s="268"/>
      <c r="W15" s="268"/>
      <c r="X15" s="268"/>
      <c r="Y15" s="268"/>
      <c r="Z15" s="268"/>
      <c r="AA15" s="268"/>
      <c r="AB15" s="268"/>
      <c r="AC15" s="268"/>
      <c r="AD15" s="268"/>
      <c r="AE15" s="268"/>
      <c r="AF15" s="268"/>
      <c r="AG15" s="268"/>
      <c r="AH15" s="268"/>
      <c r="AI15" s="268"/>
      <c r="AJ15" s="268"/>
      <c r="AK15" s="268"/>
      <c r="AL15" s="268"/>
      <c r="AM15" s="268"/>
      <c r="AN15" s="268"/>
      <c r="AO15" s="268"/>
      <c r="AP15" s="268"/>
      <c r="AQ15" s="268"/>
      <c r="AR15" s="268"/>
      <c r="AS15" s="268"/>
      <c r="AT15" s="268"/>
      <c r="AU15" s="268"/>
      <c r="AV15" s="268"/>
      <c r="AW15" s="268"/>
      <c r="AX15" s="268"/>
      <c r="AY15" s="268"/>
      <c r="AZ15" s="268"/>
      <c r="BA15" s="268"/>
      <c r="BB15" s="268"/>
      <c r="BC15" s="268"/>
      <c r="BD15" s="268"/>
      <c r="BE15" s="268"/>
      <c r="BF15" s="268"/>
      <c r="BG15" s="268"/>
      <c r="BH15" s="268"/>
      <c r="BI15" s="268"/>
      <c r="BJ15" s="268"/>
      <c r="BK15" s="268"/>
      <c r="BL15" s="268"/>
      <c r="BM15" s="268"/>
      <c r="BN15" s="268"/>
      <c r="BO15" s="268"/>
      <c r="BP15" s="268"/>
      <c r="BQ15" s="268"/>
      <c r="BR15" s="268"/>
      <c r="BS15" s="268"/>
      <c r="BT15" s="268"/>
      <c r="BU15" s="268"/>
      <c r="BV15" s="268"/>
      <c r="BW15" s="268"/>
      <c r="BX15" s="268"/>
      <c r="BY15" s="268"/>
      <c r="BZ15" s="268"/>
      <c r="CA15" s="268"/>
      <c r="CB15" s="268"/>
      <c r="CC15" s="268"/>
      <c r="CD15" s="268"/>
      <c r="CE15" s="268"/>
      <c r="CF15" s="268"/>
      <c r="CG15" s="268"/>
      <c r="CH15" s="268"/>
      <c r="CI15" s="268"/>
      <c r="CJ15" s="268"/>
      <c r="CK15" s="268"/>
      <c r="CL15" s="268"/>
      <c r="CM15" s="268"/>
      <c r="CN15" s="268"/>
      <c r="CO15" s="268"/>
      <c r="CP15" s="268"/>
      <c r="CQ15" s="268"/>
      <c r="CR15" s="268"/>
      <c r="CS15" s="268"/>
      <c r="CT15" s="268"/>
      <c r="CU15" s="268"/>
      <c r="CV15" s="268"/>
      <c r="CW15" s="268"/>
      <c r="CX15" s="268"/>
      <c r="CY15" s="268"/>
      <c r="CZ15" s="268"/>
      <c r="DA15" s="268"/>
      <c r="DB15" s="268"/>
      <c r="DC15" s="268"/>
      <c r="DD15" s="268"/>
      <c r="DE15" s="268"/>
      <c r="DF15" s="268"/>
      <c r="DG15" s="268"/>
      <c r="DH15" s="268"/>
      <c r="DI15" s="268"/>
      <c r="DJ15" s="268"/>
      <c r="DK15" s="268"/>
      <c r="DL15" s="268"/>
      <c r="DM15" s="268"/>
      <c r="DN15" s="268"/>
      <c r="DO15" s="268"/>
      <c r="DP15" s="268"/>
      <c r="DQ15" s="268"/>
      <c r="DR15" s="268"/>
      <c r="DS15" s="268"/>
      <c r="DT15" s="268"/>
      <c r="DU15" s="268"/>
      <c r="DV15" s="268"/>
      <c r="DW15" s="268"/>
      <c r="DX15" s="268"/>
      <c r="DY15" s="268"/>
      <c r="DZ15" s="268"/>
      <c r="EA15" s="268"/>
      <c r="EB15" s="268"/>
      <c r="EC15" s="268"/>
      <c r="ED15" s="268"/>
      <c r="EE15" s="268"/>
      <c r="EF15" s="268"/>
      <c r="EG15" s="268"/>
      <c r="EH15" s="268"/>
      <c r="EI15" s="268"/>
      <c r="EJ15" s="268"/>
      <c r="EK15" s="268"/>
      <c r="EL15" s="268"/>
      <c r="EM15" s="268"/>
      <c r="EN15" s="268"/>
      <c r="EO15" s="268"/>
      <c r="EP15" s="268"/>
      <c r="EQ15" s="268"/>
      <c r="ER15" s="268"/>
      <c r="ES15" s="268"/>
      <c r="ET15" s="268"/>
      <c r="EU15" s="268"/>
      <c r="EV15" s="268"/>
      <c r="EW15" s="268"/>
      <c r="EX15" s="268"/>
      <c r="EY15" s="268"/>
      <c r="EZ15" s="268"/>
      <c r="FA15" s="268"/>
      <c r="FB15" s="268"/>
      <c r="FC15" s="268"/>
      <c r="FD15" s="268"/>
      <c r="FE15" s="268"/>
      <c r="FF15" s="268"/>
      <c r="FG15" s="268"/>
      <c r="FH15" s="268"/>
      <c r="FI15" s="268"/>
      <c r="FJ15" s="268"/>
      <c r="FK15" s="268"/>
      <c r="FL15" s="268"/>
      <c r="FM15" s="268"/>
      <c r="FN15" s="268"/>
      <c r="FO15" s="268"/>
      <c r="FP15" s="268"/>
      <c r="FQ15" s="268"/>
      <c r="FR15" s="268"/>
      <c r="FS15" s="268"/>
      <c r="FT15" s="268"/>
      <c r="FU15" s="268"/>
      <c r="FV15" s="268"/>
      <c r="FW15" s="268"/>
      <c r="FX15" s="268"/>
      <c r="FY15" s="268"/>
      <c r="FZ15" s="268"/>
      <c r="GA15" s="268"/>
      <c r="GB15" s="268"/>
      <c r="GC15" s="268"/>
      <c r="GD15" s="268"/>
      <c r="GE15" s="268"/>
      <c r="GF15" s="268"/>
      <c r="GG15" s="268"/>
      <c r="GH15" s="268"/>
      <c r="GI15" s="268"/>
      <c r="GJ15" s="268"/>
      <c r="GK15" s="268"/>
      <c r="GL15" s="268"/>
      <c r="GM15" s="268"/>
      <c r="GN15" s="268"/>
      <c r="GO15" s="268"/>
      <c r="GP15" s="268"/>
      <c r="GQ15" s="268"/>
      <c r="GR15" s="268"/>
      <c r="GS15" s="268"/>
      <c r="GT15" s="268"/>
      <c r="GU15" s="268"/>
      <c r="GV15" s="268"/>
      <c r="GW15" s="268"/>
      <c r="GX15" s="268"/>
      <c r="GY15" s="268"/>
      <c r="GZ15" s="268"/>
      <c r="HA15" s="268"/>
      <c r="HB15" s="268"/>
      <c r="HC15" s="268"/>
      <c r="HD15" s="268"/>
      <c r="HE15" s="268"/>
      <c r="HF15" s="268"/>
      <c r="HG15" s="268"/>
      <c r="HH15" s="268"/>
      <c r="HI15" s="268"/>
      <c r="HJ15" s="268"/>
      <c r="HK15" s="268"/>
      <c r="HL15" s="268"/>
      <c r="HM15" s="268"/>
      <c r="HN15" s="268"/>
      <c r="HO15" s="268"/>
      <c r="HP15" s="268"/>
      <c r="HQ15" s="268"/>
      <c r="HR15" s="268"/>
      <c r="HS15" s="268"/>
      <c r="HT15" s="268"/>
      <c r="HU15" s="268"/>
      <c r="HV15" s="268"/>
      <c r="HW15" s="268"/>
      <c r="HX15" s="268"/>
      <c r="HY15" s="268"/>
      <c r="HZ15" s="268"/>
      <c r="IA15" s="268"/>
      <c r="IB15" s="268"/>
      <c r="IC15" s="268"/>
      <c r="ID15" s="268"/>
      <c r="IE15" s="268"/>
      <c r="IF15" s="268"/>
      <c r="IG15" s="268"/>
      <c r="IH15" s="268"/>
      <c r="II15" s="268"/>
      <c r="IJ15" s="268"/>
      <c r="IK15" s="268"/>
      <c r="IL15" s="268"/>
      <c r="IM15" s="268"/>
      <c r="IN15" s="268"/>
      <c r="IO15" s="268"/>
      <c r="IP15" s="268"/>
      <c r="IQ15" s="268"/>
      <c r="IR15" s="268"/>
      <c r="IS15" s="268"/>
      <c r="IT15" s="268"/>
      <c r="IU15" s="268"/>
      <c r="IV15" s="268"/>
      <c r="IW15" s="268"/>
    </row>
    <row r="16" spans="1:257" ht="2.25" customHeight="1" x14ac:dyDescent="0.2">
      <c r="D16" s="120"/>
      <c r="E16" s="94"/>
      <c r="F16" s="120"/>
      <c r="G16" s="120"/>
      <c r="H16" s="94"/>
      <c r="I16" s="94"/>
      <c r="J16" s="94"/>
      <c r="K16" s="94"/>
      <c r="L16" s="94"/>
      <c r="O16" s="102"/>
      <c r="P16" s="113"/>
    </row>
    <row r="17" spans="1:262" x14ac:dyDescent="0.2">
      <c r="A17" s="124" t="s">
        <v>49</v>
      </c>
      <c r="E17" s="354"/>
      <c r="F17" s="354"/>
      <c r="G17" s="354"/>
      <c r="H17" s="124" t="s">
        <v>50</v>
      </c>
      <c r="I17" s="103"/>
      <c r="J17" s="354"/>
      <c r="K17" s="354"/>
      <c r="L17" s="354"/>
      <c r="M17" s="354"/>
      <c r="N17" s="354"/>
      <c r="O17" s="354"/>
      <c r="P17" s="113" t="s">
        <v>51</v>
      </c>
      <c r="Q17" s="355"/>
      <c r="R17" s="355"/>
      <c r="S17" s="355"/>
      <c r="T17" s="355"/>
    </row>
    <row r="18" spans="1:262" ht="9.75" customHeight="1" x14ac:dyDescent="0.2">
      <c r="E18" s="125"/>
      <c r="F18" s="125"/>
      <c r="G18" s="126"/>
      <c r="K18" s="126"/>
      <c r="Q18" s="126"/>
      <c r="S18" s="126"/>
      <c r="T18" s="126"/>
    </row>
    <row r="19" spans="1:262" ht="7.5" customHeight="1" x14ac:dyDescent="0.2">
      <c r="A19" s="127"/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8"/>
      <c r="P19" s="129"/>
      <c r="Q19" s="128"/>
      <c r="R19" s="127"/>
      <c r="S19" s="127"/>
      <c r="T19" s="127"/>
    </row>
    <row r="20" spans="1:262" s="99" customFormat="1" ht="15" customHeight="1" x14ac:dyDescent="0.25">
      <c r="A20" s="106" t="str">
        <f>+IF(requisitos!I14=3,"VALOR ESTIMADO DEL INMUEBLE",IF(requisitos!I14=4,"VALOR ESTIMADO DEL INMUEBLE",IF(requisitos!I14=6,"VALOR ESTIMADO DEL INMUEBLE",IF(requisitos!I14=7,"VALOR ESTIMADO DEL INMUEBLE",IF(requisitos!I14=9,"V A L O R   P R O Y E C T O",IF(requisitos!I14=10,"V A L O R   P R O Y E C T O","P R E C I O   D E    C O M P R A V E N T A"))))))</f>
        <v>P R E C I O   D E    C O M P R A V E N T A</v>
      </c>
      <c r="B20" s="130"/>
      <c r="C20" s="124"/>
      <c r="H20" s="378"/>
      <c r="I20" s="378"/>
      <c r="J20" s="378"/>
      <c r="K20" s="359" t="str">
        <f>+IF(H20="","FALTA CAPTURAR COMPRAVENTA/VALOR ESTIMADO","")</f>
        <v>FALTA CAPTURAR COMPRAVENTA/VALOR ESTIMADO</v>
      </c>
      <c r="L20" s="360"/>
      <c r="M20" s="360"/>
      <c r="N20" s="385" t="s">
        <v>262</v>
      </c>
      <c r="O20" s="386"/>
      <c r="P20" s="386"/>
      <c r="Q20" s="386"/>
      <c r="R20" s="386"/>
      <c r="S20" s="386"/>
      <c r="T20" s="308">
        <f>IF(anticipos!C3=1,anticipos!E3,IF(anticipos!C3=2,anticipos!E4,IF(anticipos!C3=3,anticipos!E5,IF(anticipos!C3=4,anticipos!E6,IF(anticipos!C3=5,anticipos!E7,IF(anticipos!C3=6,anticipos!E8,IF(anticipos!C3=7,anticipos!E9,IF(anticipos!C3=8,anticipos!E10,IF(anticipos!C3=9,anticipos!E11,IF(anticipos!C3=10,anticipos!E12,IF(anticipos!C3=11,anticipos!E13,IF(anticipos!C3=12,anticipos!E14,IF(anticipos!C3=13,anticipos!E15,IF(anticipos!C3=14,anticipos!E16,IF(anticipos!C3=15,anticipos!E17,IF(anticipos!C3=16,anticipos!E18))))))))))))))))</f>
        <v>0</v>
      </c>
      <c r="JB20" s="92"/>
    </row>
    <row r="21" spans="1:262" s="99" customFormat="1" ht="21.75" customHeight="1" x14ac:dyDescent="0.25">
      <c r="A21" s="379" t="str">
        <f>+IF(requisitos!I14=9,"PONER LA SUMA DEL VALOR TERRENO +  TOTAL DEL PRESUPUESTO",IF(requisitos!I14=10,"PONER LA SUMA DEL VALOR TERRENO + TOTAL DEL PRESUPUESTO",""))</f>
        <v/>
      </c>
      <c r="B21" s="380"/>
      <c r="C21" s="380"/>
      <c r="D21" s="380"/>
      <c r="E21" s="380"/>
      <c r="F21" s="380"/>
      <c r="G21" s="380"/>
      <c r="H21" s="380"/>
      <c r="I21" s="380"/>
      <c r="J21" s="380"/>
      <c r="N21" s="132"/>
      <c r="O21" s="98" t="s">
        <v>263</v>
      </c>
      <c r="P21" s="133"/>
      <c r="Q21" s="133"/>
      <c r="R21" s="131"/>
      <c r="S21" s="92"/>
    </row>
    <row r="22" spans="1:262" s="99" customFormat="1" ht="15" customHeight="1" x14ac:dyDescent="0.25">
      <c r="A22" s="381" t="str">
        <f>+IF(requisitos!I14=3,"PARA CREDITOS DE SUSTITUCIÓN  ES NECESARIO DEPOSITAR EL HONORARIO Y LOS VIATICOS TOTALES ANTES DE SOLICITAR EL AVALÚO.",IF(requisitos!I14=4,"PARA MEJORAS DE CONDICIONES ES NECESARIO DEPOSITAR LOS VIATICOS TOTALES JUNTO CON EL ANTICIPO ANTES DE SOLICITAR EL AVALÚO."," "))</f>
        <v xml:space="preserve"> </v>
      </c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N22" s="317"/>
      <c r="O22" s="105" t="str">
        <f>+IF(requisitos!$I$14=3,"HONORARIOS",IF(requisitos!$I$14=4,"HONORARIOS","MONTO DEL ANTICIPO"))</f>
        <v>MONTO DEL ANTICIPO</v>
      </c>
      <c r="P22" s="318"/>
      <c r="Q22" s="321">
        <f>IF(requisitos!$I$14=3,"$3,000.00",IF(requisitos!$I$14=4,"$3,000.00",'RESTO DE PRODUCTOS'!$T$20))</f>
        <v>0</v>
      </c>
      <c r="R22" s="131"/>
      <c r="S22" s="131"/>
    </row>
    <row r="23" spans="1:262" s="99" customFormat="1" ht="3.75" customHeight="1" x14ac:dyDescent="0.2">
      <c r="A23" s="382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L23" s="383"/>
      <c r="M23" s="384"/>
      <c r="N23" s="313"/>
      <c r="O23" s="319"/>
      <c r="P23" s="320"/>
      <c r="Q23" s="320"/>
      <c r="R23" s="320"/>
      <c r="S23" s="320"/>
      <c r="T23" s="320"/>
    </row>
    <row r="24" spans="1:262" s="99" customFormat="1" ht="15" customHeight="1" x14ac:dyDescent="0.25">
      <c r="A24" s="382"/>
      <c r="B24" s="382"/>
      <c r="C24" s="382"/>
      <c r="D24" s="382"/>
      <c r="E24" s="382"/>
      <c r="F24" s="382"/>
      <c r="G24" s="382"/>
      <c r="H24" s="382"/>
      <c r="I24" s="382"/>
      <c r="J24" s="382"/>
      <c r="K24" s="382"/>
      <c r="L24" s="314"/>
      <c r="M24" s="314"/>
      <c r="N24" s="132" t="s">
        <v>52</v>
      </c>
      <c r="O24" s="316"/>
      <c r="P24" s="316"/>
      <c r="Q24" s="316"/>
      <c r="R24" s="316"/>
      <c r="S24" s="316"/>
      <c r="T24" s="316"/>
    </row>
    <row r="25" spans="1:262" s="99" customFormat="1" ht="18" x14ac:dyDescent="0.25">
      <c r="A25" s="137" t="s">
        <v>57</v>
      </c>
      <c r="E25" s="93"/>
      <c r="F25" s="322"/>
      <c r="G25" s="67"/>
      <c r="H25" s="67"/>
      <c r="I25" s="67"/>
      <c r="J25" s="67"/>
      <c r="K25" s="310"/>
      <c r="L25" s="310"/>
      <c r="M25" s="310"/>
      <c r="N25" s="393" t="s">
        <v>53</v>
      </c>
      <c r="O25" s="394"/>
      <c r="P25" s="394"/>
      <c r="Q25" s="394"/>
      <c r="R25" s="135"/>
      <c r="S25" s="135"/>
      <c r="T25" s="135"/>
    </row>
    <row r="26" spans="1:262" s="99" customFormat="1" ht="14.25" customHeight="1" x14ac:dyDescent="0.2">
      <c r="A26" s="106"/>
      <c r="B26" s="141"/>
      <c r="D26" s="124"/>
      <c r="E26" s="124"/>
      <c r="F26" s="124"/>
      <c r="G26" s="124"/>
      <c r="I26" s="135"/>
      <c r="J26" s="142"/>
      <c r="K26" s="135"/>
      <c r="L26" s="388" t="s">
        <v>54</v>
      </c>
      <c r="M26" s="389"/>
      <c r="N26" s="134" t="s">
        <v>55</v>
      </c>
      <c r="O26" s="390" t="s">
        <v>56</v>
      </c>
      <c r="P26" s="391"/>
      <c r="Q26" s="391"/>
      <c r="R26" s="391"/>
      <c r="S26" s="391"/>
      <c r="T26" s="391"/>
    </row>
    <row r="27" spans="1:262" s="99" customFormat="1" ht="12.75" customHeight="1" x14ac:dyDescent="0.2">
      <c r="A27" s="106"/>
      <c r="B27" s="141"/>
      <c r="D27" s="124"/>
      <c r="E27" s="124"/>
      <c r="F27" s="124"/>
      <c r="G27" s="124"/>
      <c r="I27" s="135"/>
      <c r="J27" s="142"/>
      <c r="K27" s="135"/>
      <c r="N27" s="315"/>
      <c r="O27" s="392">
        <f>+$G$52</f>
        <v>0</v>
      </c>
      <c r="P27" s="392"/>
      <c r="Q27" s="392"/>
      <c r="R27" s="392"/>
      <c r="S27" s="392"/>
      <c r="T27" s="392"/>
    </row>
    <row r="28" spans="1:262" s="99" customFormat="1" ht="6.75" customHeight="1" x14ac:dyDescent="0.2">
      <c r="I28" s="135"/>
      <c r="J28" s="135"/>
      <c r="K28" s="135"/>
      <c r="L28" s="312"/>
      <c r="M28" s="312"/>
      <c r="N28" s="312"/>
      <c r="O28" s="312"/>
      <c r="P28" s="312"/>
      <c r="Q28" s="312"/>
      <c r="R28" s="312"/>
      <c r="S28" s="312"/>
      <c r="T28" s="312"/>
    </row>
    <row r="29" spans="1:262" ht="5.0999999999999996" customHeight="1" x14ac:dyDescent="0.2">
      <c r="A29" s="127"/>
      <c r="B29" s="127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8"/>
      <c r="P29" s="129"/>
      <c r="Q29" s="128"/>
      <c r="R29" s="127"/>
      <c r="S29" s="127"/>
      <c r="T29" s="127"/>
      <c r="V29" s="1"/>
    </row>
    <row r="30" spans="1:262" x14ac:dyDescent="0.2">
      <c r="A30" s="106" t="s">
        <v>58</v>
      </c>
      <c r="D30" s="94"/>
      <c r="E30" s="120"/>
      <c r="F30" s="120"/>
      <c r="G30" s="94"/>
      <c r="H30" s="94"/>
      <c r="I30" s="94"/>
      <c r="J30" s="94"/>
      <c r="K30" s="94"/>
      <c r="L30" s="94"/>
      <c r="M30" s="106" t="s">
        <v>59</v>
      </c>
      <c r="O30" s="94"/>
      <c r="P30" s="94"/>
      <c r="Q30" s="94"/>
      <c r="U30" s="1"/>
      <c r="V30" s="1"/>
    </row>
    <row r="31" spans="1:262" ht="16.5" customHeight="1" x14ac:dyDescent="0.2">
      <c r="A31" s="99" t="s">
        <v>60</v>
      </c>
      <c r="G31" s="124" t="str">
        <f>IF(ISERROR(INDEX(requisitos!AF2:AF7,requisitos!AE2)),"",(INDEX(requisitos!AF2:AF7,requisitos!AE2)))</f>
        <v>CASA SOLA</v>
      </c>
      <c r="M31" s="143" t="s">
        <v>61</v>
      </c>
      <c r="N31" s="93"/>
      <c r="U31" s="1"/>
      <c r="V31" s="1"/>
    </row>
    <row r="32" spans="1:262" ht="16.5" customHeight="1" x14ac:dyDescent="0.2">
      <c r="A32" s="387" t="str">
        <f>+IF(requisitos!$I$14=9,"PARA CREDITO DE CONSTRUCCION DEBE SEÑALAR LA OPCION TERRENO",IF(requisitos!$I$14=10,"PARA CREDITO DE CONSTRUCCIÓN Y ADQ. TERRENO DEBE SEÑALAR EN TIPO DE BIEN A VALUAR LA OPCION TERRENO.",""))</f>
        <v/>
      </c>
      <c r="B32" s="360"/>
      <c r="C32" s="360"/>
      <c r="D32" s="360"/>
      <c r="E32" s="360"/>
      <c r="F32" s="360"/>
      <c r="G32" s="360"/>
      <c r="H32" s="360"/>
      <c r="I32" s="360"/>
      <c r="J32" s="360"/>
      <c r="K32" s="360"/>
      <c r="M32" s="143"/>
      <c r="N32" s="93"/>
      <c r="U32" s="1"/>
      <c r="V32" s="1"/>
    </row>
    <row r="33" spans="1:22" x14ac:dyDescent="0.2">
      <c r="A33" s="99" t="s">
        <v>62</v>
      </c>
      <c r="G33" s="144" t="s">
        <v>270</v>
      </c>
      <c r="J33" s="297"/>
      <c r="M33" s="143" t="s">
        <v>63</v>
      </c>
      <c r="O33" s="145"/>
      <c r="P33" s="145"/>
      <c r="Q33" s="145"/>
      <c r="U33" s="1"/>
      <c r="V33" s="1"/>
    </row>
    <row r="34" spans="1:22" ht="16.5" customHeight="1" x14ac:dyDescent="0.2">
      <c r="A34" s="99" t="s">
        <v>260</v>
      </c>
      <c r="G34" s="146" t="s">
        <v>268</v>
      </c>
      <c r="I34" s="99" t="s">
        <v>261</v>
      </c>
      <c r="J34" s="309" t="s">
        <v>269</v>
      </c>
      <c r="M34" s="143" t="s">
        <v>65</v>
      </c>
      <c r="O34" s="145"/>
      <c r="P34" s="138" t="str">
        <f>+IF(requisitos!I14=9,requisitos!H27,IF(requisitos!I14=10,requisitos!H27,""))</f>
        <v/>
      </c>
      <c r="Q34" s="145"/>
      <c r="S34" s="113"/>
      <c r="T34" s="147"/>
      <c r="U34" s="1"/>
      <c r="V34" s="1"/>
    </row>
    <row r="35" spans="1:22" ht="16.5" customHeight="1" x14ac:dyDescent="0.2">
      <c r="A35" s="99" t="s">
        <v>66</v>
      </c>
      <c r="G35" s="146" t="s">
        <v>267</v>
      </c>
      <c r="M35" s="143" t="s">
        <v>68</v>
      </c>
      <c r="O35" s="145"/>
      <c r="P35" s="145"/>
      <c r="Q35" s="145"/>
      <c r="U35" s="1"/>
      <c r="V35" s="1"/>
    </row>
    <row r="36" spans="1:22" ht="16.5" customHeight="1" x14ac:dyDescent="0.2">
      <c r="A36" s="148" t="s">
        <v>67</v>
      </c>
      <c r="B36" s="149"/>
      <c r="G36" s="146" t="s">
        <v>265</v>
      </c>
      <c r="O36" s="145"/>
      <c r="P36" s="145"/>
      <c r="Q36" s="145"/>
      <c r="U36" s="1"/>
      <c r="V36" s="1"/>
    </row>
    <row r="37" spans="1:22" ht="15" customHeight="1" x14ac:dyDescent="0.2">
      <c r="A37" s="99" t="s">
        <v>69</v>
      </c>
      <c r="G37" s="144" t="s">
        <v>266</v>
      </c>
      <c r="M37" s="143" t="str">
        <f>+IF(requisitos!I14=9,requisitos!H28,IF(requisitos!I14=10,requisitos!H28,""))</f>
        <v/>
      </c>
      <c r="O37" s="145"/>
      <c r="P37" s="145"/>
      <c r="Q37" s="145"/>
      <c r="U37" s="1"/>
      <c r="V37" s="1"/>
    </row>
    <row r="38" spans="1:22" ht="15" customHeight="1" x14ac:dyDescent="0.2">
      <c r="A38" s="99" t="s">
        <v>70</v>
      </c>
      <c r="G38" s="146"/>
      <c r="M38" s="143" t="str">
        <f>IF(requisitos!AE2=2,requisitos!G27,IF(requisitos!AE2=3,requisitos!G27,""))</f>
        <v/>
      </c>
      <c r="O38" s="145"/>
      <c r="P38" s="145"/>
      <c r="Q38" s="145"/>
      <c r="U38" s="1"/>
      <c r="V38" s="1"/>
    </row>
    <row r="39" spans="1:22" ht="15" customHeight="1" x14ac:dyDescent="0.2">
      <c r="A39" s="99" t="s">
        <v>71</v>
      </c>
      <c r="G39" s="150"/>
      <c r="M39" s="143" t="str">
        <f>IF(requisitos!AE2=2,requisitos!G28,IF(requisitos!AE2=3,requisitos!G28,""))</f>
        <v/>
      </c>
      <c r="O39" s="145"/>
      <c r="P39" s="145"/>
      <c r="Q39" s="145"/>
      <c r="U39" s="1"/>
      <c r="V39" s="1"/>
    </row>
    <row r="40" spans="1:22" x14ac:dyDescent="0.2">
      <c r="A40" s="99" t="s">
        <v>72</v>
      </c>
      <c r="G40" s="146"/>
      <c r="M40" s="337" t="str">
        <f>+IF(requisitos!AE2=2,"VIVIENDA NUEVA EN CONDOMINIO SE RECOMIENDA ANEXAR CONTRATO DE COMPRAVENTA.",IF(requisitos!AE2=3,"VIVIENDA NUEVA EN CONDOMINIO SE RECOMIENDA ANEXAR CONTRATO DE COMPRAVENTA.",""))</f>
        <v/>
      </c>
      <c r="N40" s="338"/>
      <c r="O40" s="338"/>
      <c r="P40" s="338"/>
      <c r="Q40" s="338"/>
      <c r="R40" s="338"/>
      <c r="S40" s="338"/>
      <c r="T40" s="338"/>
      <c r="U40" s="1"/>
      <c r="V40" s="1"/>
    </row>
    <row r="41" spans="1:22" x14ac:dyDescent="0.2">
      <c r="A41" s="99" t="s">
        <v>73</v>
      </c>
      <c r="G41" s="146"/>
      <c r="M41" s="338"/>
      <c r="N41" s="338"/>
      <c r="O41" s="338"/>
      <c r="P41" s="338"/>
      <c r="Q41" s="338"/>
      <c r="R41" s="338"/>
      <c r="S41" s="338"/>
      <c r="T41" s="338"/>
      <c r="U41" s="1"/>
      <c r="V41" s="1"/>
    </row>
    <row r="42" spans="1:22" x14ac:dyDescent="0.2">
      <c r="A42" s="99"/>
      <c r="G42" s="151"/>
      <c r="M42" s="99"/>
      <c r="O42" s="138"/>
      <c r="P42" s="138"/>
      <c r="Q42" s="138"/>
      <c r="U42" s="1"/>
      <c r="V42" s="1"/>
    </row>
    <row r="43" spans="1:22" ht="12.75" customHeight="1" x14ac:dyDescent="0.2">
      <c r="E43" s="102"/>
      <c r="F43" s="102"/>
      <c r="M43" s="99"/>
    </row>
    <row r="44" spans="1:22" ht="2.25" customHeight="1" x14ac:dyDescent="0.2">
      <c r="E44" s="102"/>
      <c r="F44" s="102"/>
      <c r="M44" s="152"/>
      <c r="N44" s="153"/>
      <c r="O44" s="153"/>
      <c r="P44" s="153"/>
      <c r="Q44" s="153"/>
      <c r="R44" s="153"/>
      <c r="S44" s="153"/>
      <c r="T44" s="153"/>
    </row>
    <row r="45" spans="1:22" ht="12.6" customHeight="1" x14ac:dyDescent="0.2">
      <c r="A45" s="106" t="s">
        <v>74</v>
      </c>
      <c r="C45" s="137"/>
      <c r="D45" s="137"/>
      <c r="E45" s="137"/>
      <c r="F45" s="137"/>
      <c r="G45" s="271"/>
      <c r="H45" s="93"/>
      <c r="L45" s="94"/>
      <c r="M45" s="153"/>
      <c r="N45" s="153"/>
      <c r="O45" s="153"/>
      <c r="P45" s="153"/>
      <c r="Q45" s="153"/>
      <c r="R45" s="153"/>
      <c r="S45" s="153"/>
      <c r="T45" s="153"/>
    </row>
    <row r="46" spans="1:22" ht="12.6" customHeight="1" x14ac:dyDescent="0.2">
      <c r="A46" s="124" t="s">
        <v>49</v>
      </c>
      <c r="E46" s="92"/>
      <c r="F46" s="339"/>
      <c r="G46" s="339"/>
      <c r="H46" s="339"/>
      <c r="I46" s="339"/>
      <c r="J46" s="339"/>
      <c r="M46" s="113" t="s">
        <v>75</v>
      </c>
      <c r="N46" s="270"/>
      <c r="O46" s="113" t="s">
        <v>76</v>
      </c>
      <c r="P46" s="155"/>
      <c r="Q46" s="270"/>
      <c r="R46" s="155"/>
      <c r="S46" s="155"/>
    </row>
    <row r="47" spans="1:22" ht="5.0999999999999996" customHeight="1" x14ac:dyDescent="0.2">
      <c r="A47" s="124"/>
      <c r="E47" s="92"/>
      <c r="F47" s="155"/>
      <c r="G47" s="155"/>
      <c r="H47" s="155"/>
      <c r="M47" s="113"/>
      <c r="N47" s="155"/>
      <c r="O47" s="155"/>
      <c r="Q47" s="113"/>
      <c r="R47" s="155"/>
      <c r="S47" s="155"/>
      <c r="T47" s="155"/>
      <c r="U47" s="155"/>
    </row>
    <row r="48" spans="1:22" ht="5.25" customHeight="1" x14ac:dyDescent="0.2">
      <c r="A48" s="124"/>
      <c r="E48" s="92"/>
      <c r="G48" s="103"/>
      <c r="H48" s="155"/>
      <c r="I48" s="155"/>
      <c r="J48" s="155"/>
      <c r="L48" s="156"/>
      <c r="M48" s="155"/>
      <c r="N48" s="155"/>
      <c r="Q48" s="113"/>
      <c r="R48" s="102"/>
    </row>
    <row r="49" spans="1:256" ht="5.0999999999999996" customHeight="1" x14ac:dyDescent="0.2">
      <c r="E49" s="92"/>
      <c r="F49" s="92"/>
    </row>
    <row r="50" spans="1:256" ht="5.0999999999999996" customHeight="1" x14ac:dyDescent="0.2">
      <c r="A50" s="127"/>
      <c r="B50" s="127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</row>
    <row r="51" spans="1:256" ht="12.75" customHeight="1" x14ac:dyDescent="0.2">
      <c r="A51" s="106" t="s">
        <v>77</v>
      </c>
      <c r="D51" s="94"/>
      <c r="E51" s="120"/>
      <c r="F51" s="120"/>
      <c r="G51" s="94"/>
      <c r="H51" s="94"/>
      <c r="I51" s="94"/>
      <c r="J51" s="106" t="s">
        <v>78</v>
      </c>
      <c r="L51" s="94"/>
      <c r="M51" s="106"/>
      <c r="O51" s="94"/>
      <c r="P51" s="94"/>
      <c r="Q51" s="94"/>
      <c r="R51" s="94"/>
    </row>
    <row r="52" spans="1:256" s="117" customFormat="1" ht="15" x14ac:dyDescent="0.25">
      <c r="A52" s="124" t="s">
        <v>49</v>
      </c>
      <c r="B52" s="157"/>
      <c r="C52" s="158"/>
      <c r="D52" s="158"/>
      <c r="E52" s="157"/>
      <c r="F52" s="92"/>
      <c r="G52" s="292"/>
      <c r="H52" s="92"/>
      <c r="I52" s="92"/>
      <c r="J52" s="300" t="s">
        <v>49</v>
      </c>
      <c r="M52" s="341"/>
      <c r="N52" s="342"/>
      <c r="O52" s="342"/>
      <c r="P52" s="92"/>
      <c r="Q52" s="92"/>
      <c r="R52" s="92"/>
      <c r="S52" s="92"/>
      <c r="T52" s="92"/>
    </row>
    <row r="53" spans="1:256" s="117" customFormat="1" ht="15" x14ac:dyDescent="0.25">
      <c r="A53" s="124" t="str">
        <f>IF(OR(requisitos!$I$14=8,requisitos!$I$14=2),"NUMERO DE SEGURIDAD SOCIAL (NSS)","")</f>
        <v/>
      </c>
      <c r="B53" s="157"/>
      <c r="C53" s="158"/>
      <c r="D53" s="158"/>
      <c r="E53" s="157"/>
      <c r="F53" s="92"/>
      <c r="G53" s="160"/>
      <c r="H53" s="92"/>
      <c r="I53" s="92"/>
      <c r="J53" s="300" t="str">
        <f>IF(OR(requisitos!$I$14=8,requisitos!$I$14=2),"NUMERO DE SEGURIDAD SOCIAL (NSS)","")</f>
        <v/>
      </c>
      <c r="M53" s="99"/>
      <c r="N53" s="343"/>
      <c r="O53" s="344"/>
      <c r="P53" s="92"/>
      <c r="Q53" s="92"/>
      <c r="R53" s="92"/>
      <c r="S53" s="92"/>
      <c r="T53" s="92"/>
    </row>
    <row r="54" spans="1:256" s="117" customFormat="1" ht="15" x14ac:dyDescent="0.25">
      <c r="A54" s="124" t="str">
        <f>IF(OR(requisitos!$I$14=8,requisitos!$I$14=2),"R.F.C","")</f>
        <v/>
      </c>
      <c r="B54" s="157"/>
      <c r="C54" s="158"/>
      <c r="D54" s="158"/>
      <c r="E54" s="157"/>
      <c r="F54" s="92"/>
      <c r="G54" s="146"/>
      <c r="H54" s="92"/>
      <c r="I54" s="124"/>
      <c r="J54" s="300" t="str">
        <f>IF(OR(requisitos!$I$14=8,requisitos!$I$14=2),"R.F.C","")</f>
        <v/>
      </c>
      <c r="M54" s="341"/>
      <c r="N54" s="342"/>
      <c r="O54" s="342"/>
      <c r="Q54" s="92"/>
      <c r="R54" s="92"/>
      <c r="S54" s="92"/>
      <c r="T54" s="92"/>
    </row>
    <row r="55" spans="1:256" s="117" customFormat="1" ht="15" x14ac:dyDescent="0.25">
      <c r="A55" s="124" t="str">
        <f>IF(OR(requisitos!$I$14=8,requisitos!$I$14=2),"CURP","")</f>
        <v/>
      </c>
      <c r="B55" s="157"/>
      <c r="C55" s="158"/>
      <c r="D55" s="158"/>
      <c r="E55" s="157"/>
      <c r="F55" s="92"/>
      <c r="G55" s="146"/>
      <c r="H55" s="92"/>
      <c r="I55" s="124"/>
      <c r="J55" s="300" t="str">
        <f>IF(OR(requisitos!$I$14=8,requisitos!$I$14=2),"CURP","")</f>
        <v/>
      </c>
      <c r="M55" s="343"/>
      <c r="N55" s="344"/>
      <c r="O55" s="344"/>
      <c r="Q55" s="161"/>
      <c r="R55" s="92"/>
      <c r="S55" s="92"/>
      <c r="T55" s="92"/>
      <c r="U55" s="117">
        <f>+IF(requisitos!AE2=1,1,"")</f>
        <v>1</v>
      </c>
      <c r="V55" s="117" t="str">
        <f>+IF(requisitos!AF2=1,1,"")</f>
        <v/>
      </c>
      <c r="W55" s="117" t="str">
        <f>+IF(requisitos!AG2=1,1,"")</f>
        <v/>
      </c>
      <c r="X55" s="117" t="str">
        <f>+IF(requisitos!AH2=1,1,"")</f>
        <v/>
      </c>
      <c r="Y55" s="117" t="str">
        <f>+IF(requisitos!AI2=1,1,"")</f>
        <v/>
      </c>
      <c r="Z55" s="117" t="str">
        <f>+IF(requisitos!AJ2=1,1,"")</f>
        <v/>
      </c>
      <c r="AA55" s="117" t="str">
        <f>+IF(requisitos!AK2=1,1,"")</f>
        <v/>
      </c>
      <c r="AB55" s="117" t="str">
        <f>+IF(requisitos!AL2=1,1,"")</f>
        <v/>
      </c>
      <c r="AC55" s="117" t="str">
        <f>+IF(requisitos!AM2=1,1,"")</f>
        <v/>
      </c>
      <c r="AD55" s="117" t="str">
        <f>+IF(requisitos!AN2=1,1,"")</f>
        <v/>
      </c>
      <c r="AE55" s="117" t="str">
        <f>+IF(requisitos!AO2=1,1,"")</f>
        <v/>
      </c>
      <c r="AF55" s="117" t="str">
        <f>+IF(requisitos!AP2=1,1,"")</f>
        <v/>
      </c>
      <c r="AG55" s="117" t="str">
        <f>+IF(requisitos!AQ2=1,1,"")</f>
        <v/>
      </c>
      <c r="AH55" s="117" t="str">
        <f>+IF(requisitos!AR2=1,1,"")</f>
        <v/>
      </c>
      <c r="AI55" s="117" t="str">
        <f>+IF(requisitos!AS2=1,1,"")</f>
        <v/>
      </c>
      <c r="AJ55" s="117" t="str">
        <f>+IF(requisitos!AT2=1,1,"")</f>
        <v/>
      </c>
      <c r="AK55" s="117" t="str">
        <f>+IF(requisitos!AU2=1,1,"")</f>
        <v/>
      </c>
      <c r="AL55" s="117" t="str">
        <f>+IF(requisitos!AV2=1,1,"")</f>
        <v/>
      </c>
      <c r="AM55" s="117" t="str">
        <f>+IF(requisitos!AW2=1,1,"")</f>
        <v/>
      </c>
      <c r="AN55" s="117" t="str">
        <f>+IF(requisitos!AX2=1,1,"")</f>
        <v/>
      </c>
      <c r="AO55" s="117" t="str">
        <f>+IF(requisitos!AY2=1,1,"")</f>
        <v/>
      </c>
      <c r="AP55" s="117" t="str">
        <f>+IF(requisitos!AZ2=1,1,"")</f>
        <v/>
      </c>
      <c r="AQ55" s="117" t="str">
        <f>+IF(requisitos!BA2=1,1,"")</f>
        <v/>
      </c>
      <c r="AR55" s="117" t="str">
        <f>+IF(requisitos!BB2=1,1,"")</f>
        <v/>
      </c>
      <c r="AS55" s="117" t="str">
        <f>+IF(requisitos!BC2=1,1,"")</f>
        <v/>
      </c>
      <c r="AT55" s="117" t="str">
        <f>+IF(requisitos!BD2=1,1,"")</f>
        <v/>
      </c>
      <c r="AU55" s="117" t="str">
        <f>+IF(requisitos!BE2=1,1,"")</f>
        <v/>
      </c>
      <c r="AV55" s="117" t="str">
        <f>+IF(requisitos!BF2=1,1,"")</f>
        <v/>
      </c>
      <c r="AW55" s="117" t="str">
        <f>+IF(requisitos!BG2=1,1,"")</f>
        <v/>
      </c>
      <c r="AX55" s="117" t="str">
        <f>+IF(requisitos!BH2=1,1,"")</f>
        <v/>
      </c>
      <c r="AY55" s="117" t="str">
        <f>+IF(requisitos!BI2=1,1,"")</f>
        <v/>
      </c>
      <c r="AZ55" s="117" t="str">
        <f>+IF(requisitos!BJ2=1,1,"")</f>
        <v/>
      </c>
      <c r="BA55" s="117" t="str">
        <f>+IF(requisitos!BK2=1,1,"")</f>
        <v/>
      </c>
      <c r="BB55" s="117" t="str">
        <f>+IF(requisitos!BL2=1,1,"")</f>
        <v/>
      </c>
      <c r="BC55" s="117" t="str">
        <f>+IF(requisitos!BM2=1,1,"")</f>
        <v/>
      </c>
      <c r="BD55" s="117" t="str">
        <f>+IF(requisitos!BN2=1,1,"")</f>
        <v/>
      </c>
      <c r="BE55" s="117" t="str">
        <f>+IF(requisitos!BO2=1,1,"")</f>
        <v/>
      </c>
      <c r="BF55" s="117" t="str">
        <f>+IF(requisitos!BP2=1,1,"")</f>
        <v/>
      </c>
      <c r="BG55" s="117" t="str">
        <f>+IF(requisitos!BQ2=1,1,"")</f>
        <v/>
      </c>
      <c r="BH55" s="117" t="str">
        <f>+IF(requisitos!BR2=1,1,"")</f>
        <v/>
      </c>
      <c r="BI55" s="117" t="str">
        <f>+IF(requisitos!BS2=1,1,"")</f>
        <v/>
      </c>
      <c r="BJ55" s="117" t="str">
        <f>+IF(requisitos!BT2=1,1,"")</f>
        <v/>
      </c>
      <c r="BK55" s="117" t="str">
        <f>+IF(requisitos!BU2=1,1,"")</f>
        <v/>
      </c>
      <c r="BL55" s="117" t="str">
        <f>+IF(requisitos!BV2=1,1,"")</f>
        <v/>
      </c>
      <c r="BM55" s="117" t="str">
        <f>+IF(requisitos!BW2=1,1,"")</f>
        <v/>
      </c>
      <c r="BN55" s="117" t="str">
        <f>+IF(requisitos!BX2=1,1,"")</f>
        <v/>
      </c>
      <c r="BO55" s="117" t="str">
        <f>+IF(requisitos!BY2=1,1,"")</f>
        <v/>
      </c>
      <c r="BP55" s="117" t="str">
        <f>+IF(requisitos!BZ2=1,1,"")</f>
        <v/>
      </c>
      <c r="BQ55" s="117" t="str">
        <f>+IF(requisitos!CA2=1,1,"")</f>
        <v/>
      </c>
      <c r="BR55" s="117" t="str">
        <f>+IF(requisitos!CB2=1,1,"")</f>
        <v/>
      </c>
      <c r="BS55" s="117" t="str">
        <f>+IF(requisitos!CC2=1,1,"")</f>
        <v/>
      </c>
      <c r="BT55" s="117" t="str">
        <f>+IF(requisitos!CD2=1,1,"")</f>
        <v/>
      </c>
      <c r="BU55" s="117" t="str">
        <f>+IF(requisitos!CE2=1,1,"")</f>
        <v/>
      </c>
      <c r="BV55" s="117" t="str">
        <f>+IF(requisitos!CF2=1,1,"")</f>
        <v/>
      </c>
      <c r="BW55" s="117" t="str">
        <f>+IF(requisitos!CG2=1,1,"")</f>
        <v/>
      </c>
      <c r="BX55" s="117" t="str">
        <f>+IF(requisitos!CH2=1,1,"")</f>
        <v/>
      </c>
      <c r="BY55" s="117" t="str">
        <f>+IF(requisitos!CI2=1,1,"")</f>
        <v/>
      </c>
      <c r="BZ55" s="117" t="str">
        <f>+IF(requisitos!CJ2=1,1,"")</f>
        <v/>
      </c>
      <c r="CA55" s="117" t="str">
        <f>+IF(requisitos!CK2=1,1,"")</f>
        <v/>
      </c>
      <c r="CB55" s="117" t="str">
        <f>+IF(requisitos!CL2=1,1,"")</f>
        <v/>
      </c>
      <c r="CC55" s="117" t="str">
        <f>+IF(requisitos!CM2=1,1,"")</f>
        <v/>
      </c>
      <c r="CD55" s="117" t="str">
        <f>+IF(requisitos!CN2=1,1,"")</f>
        <v/>
      </c>
      <c r="CE55" s="117" t="str">
        <f>+IF(requisitos!CO2=1,1,"")</f>
        <v/>
      </c>
      <c r="CF55" s="117" t="str">
        <f>+IF(requisitos!CP2=1,1,"")</f>
        <v/>
      </c>
      <c r="CG55" s="117" t="str">
        <f>+IF(requisitos!CQ2=1,1,"")</f>
        <v/>
      </c>
      <c r="CH55" s="117" t="str">
        <f>+IF(requisitos!CR2=1,1,"")</f>
        <v/>
      </c>
      <c r="CI55" s="117" t="str">
        <f>+IF(requisitos!CS2=1,1,"")</f>
        <v/>
      </c>
      <c r="CJ55" s="117" t="str">
        <f>+IF(requisitos!CT2=1,1,"")</f>
        <v/>
      </c>
      <c r="CK55" s="117" t="str">
        <f>+IF(requisitos!CU2=1,1,"")</f>
        <v/>
      </c>
      <c r="CL55" s="117" t="str">
        <f>+IF(requisitos!CV2=1,1,"")</f>
        <v/>
      </c>
      <c r="CM55" s="117" t="str">
        <f>+IF(requisitos!CW2=1,1,"")</f>
        <v/>
      </c>
      <c r="CN55" s="117" t="str">
        <f>+IF(requisitos!CX2=1,1,"")</f>
        <v/>
      </c>
      <c r="CO55" s="117" t="str">
        <f>+IF(requisitos!CY2=1,1,"")</f>
        <v/>
      </c>
      <c r="CP55" s="117" t="str">
        <f>+IF(requisitos!CZ2=1,1,"")</f>
        <v/>
      </c>
      <c r="CQ55" s="117" t="str">
        <f>+IF(requisitos!DA2=1,1,"")</f>
        <v/>
      </c>
      <c r="CR55" s="117" t="str">
        <f>+IF(requisitos!DB2=1,1,"")</f>
        <v/>
      </c>
      <c r="CS55" s="117" t="str">
        <f>+IF(requisitos!DC2=1,1,"")</f>
        <v/>
      </c>
      <c r="CT55" s="117" t="str">
        <f>+IF(requisitos!DD2=1,1,"")</f>
        <v/>
      </c>
      <c r="CU55" s="117" t="str">
        <f>+IF(requisitos!DE2=1,1,"")</f>
        <v/>
      </c>
      <c r="CV55" s="117" t="str">
        <f>+IF(requisitos!DF2=1,1,"")</f>
        <v/>
      </c>
      <c r="CW55" s="117" t="str">
        <f>+IF(requisitos!DG2=1,1,"")</f>
        <v/>
      </c>
      <c r="CX55" s="117" t="str">
        <f>+IF(requisitos!DH2=1,1,"")</f>
        <v/>
      </c>
      <c r="CY55" s="117" t="str">
        <f>+IF(requisitos!DI2=1,1,"")</f>
        <v/>
      </c>
      <c r="CZ55" s="117" t="str">
        <f>+IF(requisitos!DJ2=1,1,"")</f>
        <v/>
      </c>
      <c r="DA55" s="117" t="str">
        <f>+IF(requisitos!DK2=1,1,"")</f>
        <v/>
      </c>
      <c r="DB55" s="117" t="str">
        <f>+IF(requisitos!DL2=1,1,"")</f>
        <v/>
      </c>
      <c r="DC55" s="117" t="str">
        <f>+IF(requisitos!DM2=1,1,"")</f>
        <v/>
      </c>
      <c r="DD55" s="117" t="str">
        <f>+IF(requisitos!DN2=1,1,"")</f>
        <v/>
      </c>
      <c r="DE55" s="117" t="str">
        <f>+IF(requisitos!DO2=1,1,"")</f>
        <v/>
      </c>
      <c r="DF55" s="117" t="str">
        <f>+IF(requisitos!DP2=1,1,"")</f>
        <v/>
      </c>
      <c r="DG55" s="117" t="str">
        <f>+IF(requisitos!DQ2=1,1,"")</f>
        <v/>
      </c>
      <c r="DH55" s="117" t="str">
        <f>+IF(requisitos!DR2=1,1,"")</f>
        <v/>
      </c>
      <c r="DI55" s="117" t="str">
        <f>+IF(requisitos!DS2=1,1,"")</f>
        <v/>
      </c>
      <c r="DJ55" s="117" t="str">
        <f>+IF(requisitos!DT2=1,1,"")</f>
        <v/>
      </c>
      <c r="DK55" s="117" t="str">
        <f>+IF(requisitos!DU2=1,1,"")</f>
        <v/>
      </c>
      <c r="DL55" s="117" t="str">
        <f>+IF(requisitos!DV2=1,1,"")</f>
        <v/>
      </c>
      <c r="DM55" s="117" t="str">
        <f>+IF(requisitos!DW2=1,1,"")</f>
        <v/>
      </c>
      <c r="DN55" s="117" t="str">
        <f>+IF(requisitos!DX2=1,1,"")</f>
        <v/>
      </c>
      <c r="DO55" s="117" t="str">
        <f>+IF(requisitos!DY2=1,1,"")</f>
        <v/>
      </c>
      <c r="DP55" s="117" t="str">
        <f>+IF(requisitos!DZ2=1,1,"")</f>
        <v/>
      </c>
      <c r="DQ55" s="117" t="str">
        <f>+IF(requisitos!EA2=1,1,"")</f>
        <v/>
      </c>
      <c r="DR55" s="117" t="str">
        <f>+IF(requisitos!EB2=1,1,"")</f>
        <v/>
      </c>
      <c r="DS55" s="117" t="str">
        <f>+IF(requisitos!EC2=1,1,"")</f>
        <v/>
      </c>
      <c r="DT55" s="117" t="str">
        <f>+IF(requisitos!ED2=1,1,"")</f>
        <v/>
      </c>
      <c r="DU55" s="117" t="str">
        <f>+IF(requisitos!EE2=1,1,"")</f>
        <v/>
      </c>
      <c r="DV55" s="117" t="str">
        <f>+IF(requisitos!EF2=1,1,"")</f>
        <v/>
      </c>
      <c r="DW55" s="117" t="str">
        <f>+IF(requisitos!EG2=1,1,"")</f>
        <v/>
      </c>
      <c r="DX55" s="117" t="str">
        <f>+IF(requisitos!EH2=1,1,"")</f>
        <v/>
      </c>
      <c r="DY55" s="117" t="str">
        <f>+IF(requisitos!EI2=1,1,"")</f>
        <v/>
      </c>
      <c r="DZ55" s="117" t="str">
        <f>+IF(requisitos!EJ2=1,1,"")</f>
        <v/>
      </c>
      <c r="EA55" s="117" t="str">
        <f>+IF(requisitos!EK2=1,1,"")</f>
        <v/>
      </c>
      <c r="EB55" s="117" t="str">
        <f>+IF(requisitos!EL2=1,1,"")</f>
        <v/>
      </c>
      <c r="EC55" s="117" t="str">
        <f>+IF(requisitos!EM2=1,1,"")</f>
        <v/>
      </c>
      <c r="ED55" s="117" t="str">
        <f>+IF(requisitos!EN2=1,1,"")</f>
        <v/>
      </c>
      <c r="EE55" s="117" t="str">
        <f>+IF(requisitos!EO2=1,1,"")</f>
        <v/>
      </c>
      <c r="EF55" s="117" t="str">
        <f>+IF(requisitos!EP2=1,1,"")</f>
        <v/>
      </c>
      <c r="EG55" s="117" t="str">
        <f>+IF(requisitos!EQ2=1,1,"")</f>
        <v/>
      </c>
      <c r="EH55" s="117" t="str">
        <f>+IF(requisitos!ER2=1,1,"")</f>
        <v/>
      </c>
      <c r="EI55" s="117" t="str">
        <f>+IF(requisitos!ES2=1,1,"")</f>
        <v/>
      </c>
      <c r="EJ55" s="117" t="str">
        <f>+IF(requisitos!ET2=1,1,"")</f>
        <v/>
      </c>
      <c r="EK55" s="117" t="str">
        <f>+IF(requisitos!EU2=1,1,"")</f>
        <v/>
      </c>
      <c r="EL55" s="117" t="str">
        <f>+IF(requisitos!EV2=1,1,"")</f>
        <v/>
      </c>
      <c r="EM55" s="117" t="str">
        <f>+IF(requisitos!EW2=1,1,"")</f>
        <v/>
      </c>
      <c r="EN55" s="117" t="str">
        <f>+IF(requisitos!EX2=1,1,"")</f>
        <v/>
      </c>
      <c r="EO55" s="117" t="str">
        <f>+IF(requisitos!EY2=1,1,"")</f>
        <v/>
      </c>
      <c r="EP55" s="117" t="str">
        <f>+IF(requisitos!EZ2=1,1,"")</f>
        <v/>
      </c>
      <c r="EQ55" s="117" t="str">
        <f>+IF(requisitos!FA2=1,1,"")</f>
        <v/>
      </c>
      <c r="ER55" s="117" t="str">
        <f>+IF(requisitos!FB2=1,1,"")</f>
        <v/>
      </c>
      <c r="ES55" s="117" t="str">
        <f>+IF(requisitos!FC2=1,1,"")</f>
        <v/>
      </c>
      <c r="ET55" s="117" t="str">
        <f>+IF(requisitos!FD2=1,1,"")</f>
        <v/>
      </c>
      <c r="EU55" s="117" t="str">
        <f>+IF(requisitos!FE2=1,1,"")</f>
        <v/>
      </c>
      <c r="EV55" s="117" t="str">
        <f>+IF(requisitos!FF2=1,1,"")</f>
        <v/>
      </c>
      <c r="EW55" s="117" t="str">
        <f>+IF(requisitos!FG2=1,1,"")</f>
        <v/>
      </c>
      <c r="EX55" s="117" t="str">
        <f>+IF(requisitos!FH2=1,1,"")</f>
        <v/>
      </c>
      <c r="EY55" s="117" t="str">
        <f>+IF(requisitos!FI2=1,1,"")</f>
        <v/>
      </c>
      <c r="EZ55" s="117" t="str">
        <f>+IF(requisitos!FJ2=1,1,"")</f>
        <v/>
      </c>
      <c r="FA55" s="117" t="str">
        <f>+IF(requisitos!FK2=1,1,"")</f>
        <v/>
      </c>
      <c r="FB55" s="117" t="str">
        <f>+IF(requisitos!FL2=1,1,"")</f>
        <v/>
      </c>
      <c r="FC55" s="117" t="str">
        <f>+IF(requisitos!FM2=1,1,"")</f>
        <v/>
      </c>
      <c r="FD55" s="117" t="str">
        <f>+IF(requisitos!FN2=1,1,"")</f>
        <v/>
      </c>
      <c r="FE55" s="117" t="str">
        <f>+IF(requisitos!FO2=1,1,"")</f>
        <v/>
      </c>
      <c r="FF55" s="117" t="str">
        <f>+IF(requisitos!FP2=1,1,"")</f>
        <v/>
      </c>
      <c r="FG55" s="117" t="str">
        <f>+IF(requisitos!FQ2=1,1,"")</f>
        <v/>
      </c>
      <c r="FH55" s="117" t="str">
        <f>+IF(requisitos!FR2=1,1,"")</f>
        <v/>
      </c>
      <c r="FI55" s="117" t="str">
        <f>+IF(requisitos!FS2=1,1,"")</f>
        <v/>
      </c>
      <c r="FJ55" s="117" t="str">
        <f>+IF(requisitos!FT2=1,1,"")</f>
        <v/>
      </c>
      <c r="FK55" s="117" t="str">
        <f>+IF(requisitos!FU2=1,1,"")</f>
        <v/>
      </c>
      <c r="FL55" s="117" t="str">
        <f>+IF(requisitos!FV2=1,1,"")</f>
        <v/>
      </c>
      <c r="FM55" s="117" t="str">
        <f>+IF(requisitos!FW2=1,1,"")</f>
        <v/>
      </c>
      <c r="FN55" s="117" t="str">
        <f>+IF(requisitos!FX2=1,1,"")</f>
        <v/>
      </c>
      <c r="FO55" s="117" t="str">
        <f>+IF(requisitos!FY2=1,1,"")</f>
        <v/>
      </c>
      <c r="FP55" s="117" t="str">
        <f>+IF(requisitos!FZ2=1,1,"")</f>
        <v/>
      </c>
      <c r="FQ55" s="117" t="str">
        <f>+IF(requisitos!GA2=1,1,"")</f>
        <v/>
      </c>
      <c r="FR55" s="117" t="str">
        <f>+IF(requisitos!GB2=1,1,"")</f>
        <v/>
      </c>
      <c r="FS55" s="117" t="str">
        <f>+IF(requisitos!GC2=1,1,"")</f>
        <v/>
      </c>
      <c r="FT55" s="117" t="str">
        <f>+IF(requisitos!GD2=1,1,"")</f>
        <v/>
      </c>
      <c r="FU55" s="117" t="str">
        <f>+IF(requisitos!GE2=1,1,"")</f>
        <v/>
      </c>
      <c r="FV55" s="117" t="str">
        <f>+IF(requisitos!GF2=1,1,"")</f>
        <v/>
      </c>
      <c r="FW55" s="117" t="str">
        <f>+IF(requisitos!GG2=1,1,"")</f>
        <v/>
      </c>
      <c r="FX55" s="117" t="str">
        <f>+IF(requisitos!GH2=1,1,"")</f>
        <v/>
      </c>
      <c r="FY55" s="117" t="str">
        <f>+IF(requisitos!GI2=1,1,"")</f>
        <v/>
      </c>
      <c r="FZ55" s="117" t="str">
        <f>+IF(requisitos!GJ2=1,1,"")</f>
        <v/>
      </c>
      <c r="GA55" s="117" t="str">
        <f>+IF(requisitos!GK2=1,1,"")</f>
        <v/>
      </c>
      <c r="GB55" s="117" t="str">
        <f>+IF(requisitos!GL2=1,1,"")</f>
        <v/>
      </c>
      <c r="GC55" s="117" t="str">
        <f>+IF(requisitos!GM2=1,1,"")</f>
        <v/>
      </c>
      <c r="GD55" s="117" t="str">
        <f>+IF(requisitos!GN2=1,1,"")</f>
        <v/>
      </c>
      <c r="GE55" s="117" t="str">
        <f>+IF(requisitos!GO2=1,1,"")</f>
        <v/>
      </c>
      <c r="GF55" s="117" t="str">
        <f>+IF(requisitos!GP2=1,1,"")</f>
        <v/>
      </c>
      <c r="GG55" s="117" t="str">
        <f>+IF(requisitos!GQ2=1,1,"")</f>
        <v/>
      </c>
      <c r="GH55" s="117" t="str">
        <f>+IF(requisitos!GR2=1,1,"")</f>
        <v/>
      </c>
      <c r="GI55" s="117" t="str">
        <f>+IF(requisitos!GS2=1,1,"")</f>
        <v/>
      </c>
      <c r="GJ55" s="117" t="str">
        <f>+IF(requisitos!GT2=1,1,"")</f>
        <v/>
      </c>
      <c r="GK55" s="117" t="str">
        <f>+IF(requisitos!GU2=1,1,"")</f>
        <v/>
      </c>
      <c r="GL55" s="117" t="str">
        <f>+IF(requisitos!GV2=1,1,"")</f>
        <v/>
      </c>
      <c r="GM55" s="117" t="str">
        <f>+IF(requisitos!GW2=1,1,"")</f>
        <v/>
      </c>
      <c r="GN55" s="117" t="str">
        <f>+IF(requisitos!GX2=1,1,"")</f>
        <v/>
      </c>
      <c r="GO55" s="117" t="str">
        <f>+IF(requisitos!GY2=1,1,"")</f>
        <v/>
      </c>
      <c r="GP55" s="117" t="str">
        <f>+IF(requisitos!GZ2=1,1,"")</f>
        <v/>
      </c>
      <c r="GQ55" s="117" t="str">
        <f>+IF(requisitos!HA2=1,1,"")</f>
        <v/>
      </c>
      <c r="GR55" s="117" t="str">
        <f>+IF(requisitos!HB2=1,1,"")</f>
        <v/>
      </c>
      <c r="GS55" s="117" t="str">
        <f>+IF(requisitos!HC2=1,1,"")</f>
        <v/>
      </c>
      <c r="GT55" s="117" t="str">
        <f>+IF(requisitos!HD2=1,1,"")</f>
        <v/>
      </c>
      <c r="GU55" s="117" t="str">
        <f>+IF(requisitos!HE2=1,1,"")</f>
        <v/>
      </c>
      <c r="GV55" s="117" t="str">
        <f>+IF(requisitos!HF2=1,1,"")</f>
        <v/>
      </c>
      <c r="GW55" s="117" t="str">
        <f>+IF(requisitos!HG2=1,1,"")</f>
        <v/>
      </c>
      <c r="GX55" s="117" t="str">
        <f>+IF(requisitos!HH2=1,1,"")</f>
        <v/>
      </c>
      <c r="GY55" s="117" t="str">
        <f>+IF(requisitos!HI2=1,1,"")</f>
        <v/>
      </c>
      <c r="GZ55" s="117" t="str">
        <f>+IF(requisitos!HJ2=1,1,"")</f>
        <v/>
      </c>
      <c r="HA55" s="117" t="str">
        <f>+IF(requisitos!HK2=1,1,"")</f>
        <v/>
      </c>
      <c r="HB55" s="117" t="str">
        <f>+IF(requisitos!HL2=1,1,"")</f>
        <v/>
      </c>
      <c r="HC55" s="117" t="str">
        <f>+IF(requisitos!HM2=1,1,"")</f>
        <v/>
      </c>
      <c r="HD55" s="117" t="str">
        <f>+IF(requisitos!HN2=1,1,"")</f>
        <v/>
      </c>
      <c r="HE55" s="117" t="str">
        <f>+IF(requisitos!HO2=1,1,"")</f>
        <v/>
      </c>
      <c r="HF55" s="117" t="str">
        <f>+IF(requisitos!HP2=1,1,"")</f>
        <v/>
      </c>
      <c r="HG55" s="117" t="str">
        <f>+IF(requisitos!HQ2=1,1,"")</f>
        <v/>
      </c>
      <c r="HH55" s="117" t="str">
        <f>+IF(requisitos!HR2=1,1,"")</f>
        <v/>
      </c>
      <c r="HI55" s="117" t="str">
        <f>+IF(requisitos!HS2=1,1,"")</f>
        <v/>
      </c>
      <c r="HJ55" s="117" t="str">
        <f>+IF(requisitos!HT2=1,1,"")</f>
        <v/>
      </c>
      <c r="HK55" s="117" t="str">
        <f>+IF(requisitos!HU2=1,1,"")</f>
        <v/>
      </c>
      <c r="HL55" s="117" t="str">
        <f>+IF(requisitos!HV2=1,1,"")</f>
        <v/>
      </c>
      <c r="HM55" s="117" t="str">
        <f>+IF(requisitos!HW2=1,1,"")</f>
        <v/>
      </c>
      <c r="HN55" s="117" t="str">
        <f>+IF(requisitos!HX2=1,1,"")</f>
        <v/>
      </c>
      <c r="HO55" s="117" t="str">
        <f>+IF(requisitos!HY2=1,1,"")</f>
        <v/>
      </c>
      <c r="HP55" s="117" t="str">
        <f>+IF(requisitos!HZ2=1,1,"")</f>
        <v/>
      </c>
      <c r="HQ55" s="117" t="str">
        <f>+IF(requisitos!IA2=1,1,"")</f>
        <v/>
      </c>
      <c r="HR55" s="117" t="str">
        <f>+IF(requisitos!IB2=1,1,"")</f>
        <v/>
      </c>
      <c r="HS55" s="117" t="str">
        <f>+IF(requisitos!IC2=1,1,"")</f>
        <v/>
      </c>
      <c r="HT55" s="117" t="str">
        <f>+IF(requisitos!ID2=1,1,"")</f>
        <v/>
      </c>
      <c r="HU55" s="117" t="str">
        <f>+IF(requisitos!IE2=1,1,"")</f>
        <v/>
      </c>
      <c r="HV55" s="117" t="str">
        <f>+IF(requisitos!IF2=1,1,"")</f>
        <v/>
      </c>
      <c r="HW55" s="117" t="str">
        <f>+IF(requisitos!IG2=1,1,"")</f>
        <v/>
      </c>
      <c r="HX55" s="117" t="str">
        <f>+IF(requisitos!IH2=1,1,"")</f>
        <v/>
      </c>
      <c r="HY55" s="117" t="str">
        <f>+IF(requisitos!II2=1,1,"")</f>
        <v/>
      </c>
      <c r="HZ55" s="117" t="str">
        <f>+IF(requisitos!IJ2=1,1,"")</f>
        <v/>
      </c>
      <c r="IA55" s="117" t="str">
        <f>+IF(requisitos!IK2=1,1,"")</f>
        <v/>
      </c>
      <c r="IB55" s="117" t="str">
        <f>+IF(requisitos!IL2=1,1,"")</f>
        <v/>
      </c>
      <c r="IC55" s="117" t="str">
        <f>+IF(requisitos!IM2=1,1,"")</f>
        <v/>
      </c>
      <c r="ID55" s="117" t="str">
        <f>+IF(requisitos!IN2=1,1,"")</f>
        <v/>
      </c>
      <c r="IE55" s="117" t="str">
        <f>+IF(requisitos!IO2=1,1,"")</f>
        <v/>
      </c>
      <c r="IF55" s="117" t="str">
        <f>+IF(requisitos!IP2=1,1,"")</f>
        <v/>
      </c>
      <c r="IG55" s="117" t="str">
        <f>+IF(requisitos!IQ2=1,1,"")</f>
        <v/>
      </c>
      <c r="IH55" s="117" t="str">
        <f>+IF(requisitos!IR2=1,1,"")</f>
        <v/>
      </c>
      <c r="II55" s="117" t="str">
        <f>+IF(requisitos!IS2=1,1,"")</f>
        <v/>
      </c>
      <c r="IJ55" s="117" t="str">
        <f>+IF(requisitos!IT2=1,1,"")</f>
        <v/>
      </c>
      <c r="IK55" s="117" t="str">
        <f>+IF(requisitos!IU2=1,1,"")</f>
        <v/>
      </c>
      <c r="IL55" s="117" t="str">
        <f>+IF(requisitos!IV2=1,1,"")</f>
        <v/>
      </c>
      <c r="IM55" s="117" t="e">
        <f>+IF(requisitos!#REF!=1,1,"")</f>
        <v>#REF!</v>
      </c>
      <c r="IN55" s="117" t="e">
        <f>+IF(requisitos!#REF!=1,1,"")</f>
        <v>#REF!</v>
      </c>
      <c r="IO55" s="117" t="e">
        <f>+IF(requisitos!#REF!=1,1,"")</f>
        <v>#REF!</v>
      </c>
      <c r="IP55" s="117" t="e">
        <f>+IF(requisitos!#REF!=1,1,"")</f>
        <v>#REF!</v>
      </c>
      <c r="IQ55" s="117" t="e">
        <f>+IF(requisitos!#REF!=1,1,"")</f>
        <v>#REF!</v>
      </c>
      <c r="IR55" s="117" t="e">
        <f>+IF(requisitos!#REF!=1,1,"")</f>
        <v>#REF!</v>
      </c>
      <c r="IS55" s="117" t="e">
        <f>+IF(requisitos!#REF!=1,1,"")</f>
        <v>#REF!</v>
      </c>
      <c r="IT55" s="117" t="e">
        <f>+IF(requisitos!#REF!=1,1,"")</f>
        <v>#REF!</v>
      </c>
      <c r="IU55" s="117" t="e">
        <f>+IF(requisitos!#REF!=1,1,"")</f>
        <v>#REF!</v>
      </c>
      <c r="IV55" s="117">
        <f>+IF(requisitos!AE2=1,1,"")</f>
        <v>1</v>
      </c>
    </row>
    <row r="56" spans="1:256" s="117" customFormat="1" x14ac:dyDescent="0.2">
      <c r="A56" s="158" t="s">
        <v>79</v>
      </c>
      <c r="B56" s="157"/>
      <c r="C56" s="158"/>
      <c r="D56" s="158"/>
      <c r="E56" s="157"/>
      <c r="F56" s="92"/>
      <c r="G56" s="124"/>
      <c r="H56" s="92"/>
      <c r="I56" s="92"/>
      <c r="J56" s="158"/>
      <c r="K56" s="157"/>
      <c r="L56" s="92"/>
      <c r="M56" s="99"/>
      <c r="N56" s="92"/>
      <c r="O56" s="124"/>
      <c r="P56" s="124"/>
      <c r="Q56" s="92"/>
      <c r="R56" s="145"/>
      <c r="S56" s="92"/>
      <c r="T56" s="92"/>
      <c r="U56" s="117">
        <f>+IF(S56="",1,2)</f>
        <v>1</v>
      </c>
      <c r="V56" s="117">
        <f t="shared" ref="V56:AK58" si="0">+IF(T56="",1,2)</f>
        <v>1</v>
      </c>
      <c r="W56" s="117">
        <f t="shared" si="0"/>
        <v>2</v>
      </c>
      <c r="X56" s="117">
        <f t="shared" si="0"/>
        <v>2</v>
      </c>
      <c r="Y56" s="117">
        <f t="shared" si="0"/>
        <v>2</v>
      </c>
      <c r="Z56" s="117">
        <f t="shared" si="0"/>
        <v>2</v>
      </c>
      <c r="AA56" s="117">
        <f t="shared" si="0"/>
        <v>2</v>
      </c>
      <c r="AB56" s="117">
        <f t="shared" si="0"/>
        <v>2</v>
      </c>
      <c r="AC56" s="117">
        <f t="shared" si="0"/>
        <v>2</v>
      </c>
      <c r="AD56" s="117">
        <f t="shared" si="0"/>
        <v>2</v>
      </c>
      <c r="AE56" s="117">
        <f t="shared" si="0"/>
        <v>2</v>
      </c>
      <c r="AF56" s="117">
        <f t="shared" si="0"/>
        <v>2</v>
      </c>
      <c r="AG56" s="117">
        <f t="shared" si="0"/>
        <v>2</v>
      </c>
      <c r="AH56" s="117">
        <f t="shared" si="0"/>
        <v>2</v>
      </c>
      <c r="AI56" s="117">
        <f t="shared" si="0"/>
        <v>2</v>
      </c>
      <c r="AJ56" s="117">
        <f t="shared" si="0"/>
        <v>2</v>
      </c>
      <c r="AK56" s="117">
        <f t="shared" si="0"/>
        <v>2</v>
      </c>
      <c r="AL56" s="117">
        <f t="shared" ref="AL56:BA58" si="1">+IF(AJ56="",1,2)</f>
        <v>2</v>
      </c>
      <c r="AM56" s="117">
        <f t="shared" si="1"/>
        <v>2</v>
      </c>
      <c r="AN56" s="117">
        <f t="shared" si="1"/>
        <v>2</v>
      </c>
      <c r="AO56" s="117">
        <f t="shared" si="1"/>
        <v>2</v>
      </c>
      <c r="AP56" s="117">
        <f t="shared" si="1"/>
        <v>2</v>
      </c>
      <c r="AQ56" s="117">
        <f t="shared" si="1"/>
        <v>2</v>
      </c>
      <c r="AR56" s="117">
        <f t="shared" si="1"/>
        <v>2</v>
      </c>
      <c r="AS56" s="117">
        <f t="shared" si="1"/>
        <v>2</v>
      </c>
      <c r="AT56" s="117">
        <f t="shared" si="1"/>
        <v>2</v>
      </c>
      <c r="AU56" s="117">
        <f t="shared" si="1"/>
        <v>2</v>
      </c>
      <c r="AV56" s="117">
        <f t="shared" si="1"/>
        <v>2</v>
      </c>
      <c r="AW56" s="117">
        <f t="shared" si="1"/>
        <v>2</v>
      </c>
      <c r="AX56" s="117">
        <f t="shared" si="1"/>
        <v>2</v>
      </c>
      <c r="AY56" s="117">
        <f t="shared" si="1"/>
        <v>2</v>
      </c>
      <c r="AZ56" s="117">
        <f t="shared" si="1"/>
        <v>2</v>
      </c>
      <c r="BA56" s="117">
        <f t="shared" si="1"/>
        <v>2</v>
      </c>
      <c r="BB56" s="117">
        <f t="shared" ref="BB56:BQ58" si="2">+IF(AZ56="",1,2)</f>
        <v>2</v>
      </c>
      <c r="BC56" s="117">
        <f t="shared" si="2"/>
        <v>2</v>
      </c>
      <c r="BD56" s="117">
        <f t="shared" si="2"/>
        <v>2</v>
      </c>
      <c r="BE56" s="117">
        <f t="shared" si="2"/>
        <v>2</v>
      </c>
      <c r="BF56" s="117">
        <f t="shared" si="2"/>
        <v>2</v>
      </c>
      <c r="BG56" s="117">
        <f t="shared" si="2"/>
        <v>2</v>
      </c>
      <c r="BH56" s="117">
        <f t="shared" si="2"/>
        <v>2</v>
      </c>
      <c r="BI56" s="117">
        <f t="shared" si="2"/>
        <v>2</v>
      </c>
      <c r="BJ56" s="117">
        <f t="shared" si="2"/>
        <v>2</v>
      </c>
      <c r="BK56" s="117">
        <f t="shared" si="2"/>
        <v>2</v>
      </c>
      <c r="BL56" s="117">
        <f t="shared" si="2"/>
        <v>2</v>
      </c>
      <c r="BM56" s="117">
        <f t="shared" si="2"/>
        <v>2</v>
      </c>
      <c r="BN56" s="117">
        <f t="shared" si="2"/>
        <v>2</v>
      </c>
      <c r="BO56" s="117">
        <f t="shared" si="2"/>
        <v>2</v>
      </c>
      <c r="BP56" s="117">
        <f t="shared" si="2"/>
        <v>2</v>
      </c>
      <c r="BQ56" s="117">
        <f t="shared" si="2"/>
        <v>2</v>
      </c>
      <c r="BR56" s="117">
        <f t="shared" ref="BR56:CG58" si="3">+IF(BP56="",1,2)</f>
        <v>2</v>
      </c>
      <c r="BS56" s="117">
        <f t="shared" si="3"/>
        <v>2</v>
      </c>
      <c r="BT56" s="117">
        <f t="shared" si="3"/>
        <v>2</v>
      </c>
      <c r="BU56" s="117">
        <f t="shared" si="3"/>
        <v>2</v>
      </c>
      <c r="BV56" s="117">
        <f t="shared" si="3"/>
        <v>2</v>
      </c>
      <c r="BW56" s="117">
        <f t="shared" si="3"/>
        <v>2</v>
      </c>
      <c r="BX56" s="117">
        <f t="shared" si="3"/>
        <v>2</v>
      </c>
      <c r="BY56" s="117">
        <f t="shared" si="3"/>
        <v>2</v>
      </c>
      <c r="BZ56" s="117">
        <f t="shared" si="3"/>
        <v>2</v>
      </c>
      <c r="CA56" s="117">
        <f t="shared" si="3"/>
        <v>2</v>
      </c>
      <c r="CB56" s="117">
        <f t="shared" si="3"/>
        <v>2</v>
      </c>
      <c r="CC56" s="117">
        <f t="shared" si="3"/>
        <v>2</v>
      </c>
      <c r="CD56" s="117">
        <f t="shared" si="3"/>
        <v>2</v>
      </c>
      <c r="CE56" s="117">
        <f t="shared" si="3"/>
        <v>2</v>
      </c>
      <c r="CF56" s="117">
        <f t="shared" si="3"/>
        <v>2</v>
      </c>
      <c r="CG56" s="117">
        <f t="shared" si="3"/>
        <v>2</v>
      </c>
      <c r="CH56" s="117">
        <f t="shared" ref="CH56:CW58" si="4">+IF(CF56="",1,2)</f>
        <v>2</v>
      </c>
      <c r="CI56" s="117">
        <f t="shared" si="4"/>
        <v>2</v>
      </c>
      <c r="CJ56" s="117">
        <f t="shared" si="4"/>
        <v>2</v>
      </c>
      <c r="CK56" s="117">
        <f t="shared" si="4"/>
        <v>2</v>
      </c>
      <c r="CL56" s="117">
        <f t="shared" si="4"/>
        <v>2</v>
      </c>
      <c r="CM56" s="117">
        <f t="shared" si="4"/>
        <v>2</v>
      </c>
      <c r="CN56" s="117">
        <f t="shared" si="4"/>
        <v>2</v>
      </c>
      <c r="CO56" s="117">
        <f t="shared" si="4"/>
        <v>2</v>
      </c>
      <c r="CP56" s="117">
        <f t="shared" si="4"/>
        <v>2</v>
      </c>
      <c r="CQ56" s="117">
        <f t="shared" si="4"/>
        <v>2</v>
      </c>
      <c r="CR56" s="117">
        <f t="shared" si="4"/>
        <v>2</v>
      </c>
      <c r="CS56" s="117">
        <f t="shared" si="4"/>
        <v>2</v>
      </c>
      <c r="CT56" s="117">
        <f t="shared" si="4"/>
        <v>2</v>
      </c>
      <c r="CU56" s="117">
        <f t="shared" si="4"/>
        <v>2</v>
      </c>
      <c r="CV56" s="117">
        <f t="shared" si="4"/>
        <v>2</v>
      </c>
      <c r="CW56" s="117">
        <f t="shared" si="4"/>
        <v>2</v>
      </c>
      <c r="CX56" s="117">
        <f t="shared" ref="CX56:DM58" si="5">+IF(CV56="",1,2)</f>
        <v>2</v>
      </c>
      <c r="CY56" s="117">
        <f t="shared" si="5"/>
        <v>2</v>
      </c>
      <c r="CZ56" s="117">
        <f t="shared" si="5"/>
        <v>2</v>
      </c>
      <c r="DA56" s="117">
        <f t="shared" si="5"/>
        <v>2</v>
      </c>
      <c r="DB56" s="117">
        <f t="shared" si="5"/>
        <v>2</v>
      </c>
      <c r="DC56" s="117">
        <f t="shared" si="5"/>
        <v>2</v>
      </c>
      <c r="DD56" s="117">
        <f t="shared" si="5"/>
        <v>2</v>
      </c>
      <c r="DE56" s="117">
        <f t="shared" si="5"/>
        <v>2</v>
      </c>
      <c r="DF56" s="117">
        <f t="shared" si="5"/>
        <v>2</v>
      </c>
      <c r="DG56" s="117">
        <f t="shared" si="5"/>
        <v>2</v>
      </c>
      <c r="DH56" s="117">
        <f t="shared" si="5"/>
        <v>2</v>
      </c>
      <c r="DI56" s="117">
        <f t="shared" si="5"/>
        <v>2</v>
      </c>
      <c r="DJ56" s="117">
        <f t="shared" si="5"/>
        <v>2</v>
      </c>
      <c r="DK56" s="117">
        <f t="shared" si="5"/>
        <v>2</v>
      </c>
      <c r="DL56" s="117">
        <f t="shared" si="5"/>
        <v>2</v>
      </c>
      <c r="DM56" s="117">
        <f t="shared" si="5"/>
        <v>2</v>
      </c>
      <c r="DN56" s="117">
        <f t="shared" ref="DN56:EC58" si="6">+IF(DL56="",1,2)</f>
        <v>2</v>
      </c>
      <c r="DO56" s="117">
        <f t="shared" si="6"/>
        <v>2</v>
      </c>
      <c r="DP56" s="117">
        <f t="shared" si="6"/>
        <v>2</v>
      </c>
      <c r="DQ56" s="117">
        <f t="shared" si="6"/>
        <v>2</v>
      </c>
      <c r="DR56" s="117">
        <f t="shared" si="6"/>
        <v>2</v>
      </c>
      <c r="DS56" s="117">
        <f t="shared" si="6"/>
        <v>2</v>
      </c>
      <c r="DT56" s="117">
        <f t="shared" si="6"/>
        <v>2</v>
      </c>
      <c r="DU56" s="117">
        <f t="shared" si="6"/>
        <v>2</v>
      </c>
      <c r="DV56" s="117">
        <f t="shared" si="6"/>
        <v>2</v>
      </c>
      <c r="DW56" s="117">
        <f t="shared" si="6"/>
        <v>2</v>
      </c>
      <c r="DX56" s="117">
        <f t="shared" si="6"/>
        <v>2</v>
      </c>
      <c r="DY56" s="117">
        <f t="shared" si="6"/>
        <v>2</v>
      </c>
      <c r="DZ56" s="117">
        <f t="shared" si="6"/>
        <v>2</v>
      </c>
      <c r="EA56" s="117">
        <f t="shared" si="6"/>
        <v>2</v>
      </c>
      <c r="EB56" s="117">
        <f t="shared" si="6"/>
        <v>2</v>
      </c>
      <c r="EC56" s="117">
        <f t="shared" si="6"/>
        <v>2</v>
      </c>
      <c r="ED56" s="117">
        <f t="shared" ref="ED56:ES58" si="7">+IF(EB56="",1,2)</f>
        <v>2</v>
      </c>
      <c r="EE56" s="117">
        <f t="shared" si="7"/>
        <v>2</v>
      </c>
      <c r="EF56" s="117">
        <f t="shared" si="7"/>
        <v>2</v>
      </c>
      <c r="EG56" s="117">
        <f t="shared" si="7"/>
        <v>2</v>
      </c>
      <c r="EH56" s="117">
        <f t="shared" si="7"/>
        <v>2</v>
      </c>
      <c r="EI56" s="117">
        <f t="shared" si="7"/>
        <v>2</v>
      </c>
      <c r="EJ56" s="117">
        <f t="shared" si="7"/>
        <v>2</v>
      </c>
      <c r="EK56" s="117">
        <f t="shared" si="7"/>
        <v>2</v>
      </c>
      <c r="EL56" s="117">
        <f t="shared" si="7"/>
        <v>2</v>
      </c>
      <c r="EM56" s="117">
        <f t="shared" si="7"/>
        <v>2</v>
      </c>
      <c r="EN56" s="117">
        <f t="shared" si="7"/>
        <v>2</v>
      </c>
      <c r="EO56" s="117">
        <f t="shared" si="7"/>
        <v>2</v>
      </c>
      <c r="EP56" s="117">
        <f t="shared" si="7"/>
        <v>2</v>
      </c>
      <c r="EQ56" s="117">
        <f t="shared" si="7"/>
        <v>2</v>
      </c>
      <c r="ER56" s="117">
        <f t="shared" si="7"/>
        <v>2</v>
      </c>
      <c r="ES56" s="117">
        <f t="shared" si="7"/>
        <v>2</v>
      </c>
      <c r="ET56" s="117">
        <f t="shared" ref="ET56:FI58" si="8">+IF(ER56="",1,2)</f>
        <v>2</v>
      </c>
      <c r="EU56" s="117">
        <f t="shared" si="8"/>
        <v>2</v>
      </c>
      <c r="EV56" s="117">
        <f t="shared" si="8"/>
        <v>2</v>
      </c>
      <c r="EW56" s="117">
        <f t="shared" si="8"/>
        <v>2</v>
      </c>
      <c r="EX56" s="117">
        <f t="shared" si="8"/>
        <v>2</v>
      </c>
      <c r="EY56" s="117">
        <f t="shared" si="8"/>
        <v>2</v>
      </c>
      <c r="EZ56" s="117">
        <f t="shared" si="8"/>
        <v>2</v>
      </c>
      <c r="FA56" s="117">
        <f t="shared" si="8"/>
        <v>2</v>
      </c>
      <c r="FB56" s="117">
        <f t="shared" si="8"/>
        <v>2</v>
      </c>
      <c r="FC56" s="117">
        <f t="shared" si="8"/>
        <v>2</v>
      </c>
      <c r="FD56" s="117">
        <f t="shared" si="8"/>
        <v>2</v>
      </c>
      <c r="FE56" s="117">
        <f t="shared" si="8"/>
        <v>2</v>
      </c>
      <c r="FF56" s="117">
        <f t="shared" si="8"/>
        <v>2</v>
      </c>
      <c r="FG56" s="117">
        <f t="shared" si="8"/>
        <v>2</v>
      </c>
      <c r="FH56" s="117">
        <f t="shared" si="8"/>
        <v>2</v>
      </c>
      <c r="FI56" s="117">
        <f t="shared" si="8"/>
        <v>2</v>
      </c>
      <c r="FJ56" s="117">
        <f t="shared" ref="FJ56:FY58" si="9">+IF(FH56="",1,2)</f>
        <v>2</v>
      </c>
      <c r="FK56" s="117">
        <f t="shared" si="9"/>
        <v>2</v>
      </c>
      <c r="FL56" s="117">
        <f t="shared" si="9"/>
        <v>2</v>
      </c>
      <c r="FM56" s="117">
        <f t="shared" si="9"/>
        <v>2</v>
      </c>
      <c r="FN56" s="117">
        <f t="shared" si="9"/>
        <v>2</v>
      </c>
      <c r="FO56" s="117">
        <f t="shared" si="9"/>
        <v>2</v>
      </c>
      <c r="FP56" s="117">
        <f t="shared" si="9"/>
        <v>2</v>
      </c>
      <c r="FQ56" s="117">
        <f t="shared" si="9"/>
        <v>2</v>
      </c>
      <c r="FR56" s="117">
        <f t="shared" si="9"/>
        <v>2</v>
      </c>
      <c r="FS56" s="117">
        <f t="shared" si="9"/>
        <v>2</v>
      </c>
      <c r="FT56" s="117">
        <f t="shared" si="9"/>
        <v>2</v>
      </c>
      <c r="FU56" s="117">
        <f t="shared" si="9"/>
        <v>2</v>
      </c>
      <c r="FV56" s="117">
        <f t="shared" si="9"/>
        <v>2</v>
      </c>
      <c r="FW56" s="117">
        <f t="shared" si="9"/>
        <v>2</v>
      </c>
      <c r="FX56" s="117">
        <f t="shared" si="9"/>
        <v>2</v>
      </c>
      <c r="FY56" s="117">
        <f t="shared" si="9"/>
        <v>2</v>
      </c>
      <c r="FZ56" s="117">
        <f t="shared" ref="FZ56:GO58" si="10">+IF(FX56="",1,2)</f>
        <v>2</v>
      </c>
      <c r="GA56" s="117">
        <f t="shared" si="10"/>
        <v>2</v>
      </c>
      <c r="GB56" s="117">
        <f t="shared" si="10"/>
        <v>2</v>
      </c>
      <c r="GC56" s="117">
        <f t="shared" si="10"/>
        <v>2</v>
      </c>
      <c r="GD56" s="117">
        <f t="shared" si="10"/>
        <v>2</v>
      </c>
      <c r="GE56" s="117">
        <f t="shared" si="10"/>
        <v>2</v>
      </c>
      <c r="GF56" s="117">
        <f t="shared" si="10"/>
        <v>2</v>
      </c>
      <c r="GG56" s="117">
        <f t="shared" si="10"/>
        <v>2</v>
      </c>
      <c r="GH56" s="117">
        <f t="shared" si="10"/>
        <v>2</v>
      </c>
      <c r="GI56" s="117">
        <f t="shared" si="10"/>
        <v>2</v>
      </c>
      <c r="GJ56" s="117">
        <f t="shared" si="10"/>
        <v>2</v>
      </c>
      <c r="GK56" s="117">
        <f t="shared" si="10"/>
        <v>2</v>
      </c>
      <c r="GL56" s="117">
        <f t="shared" si="10"/>
        <v>2</v>
      </c>
      <c r="GM56" s="117">
        <f t="shared" si="10"/>
        <v>2</v>
      </c>
      <c r="GN56" s="117">
        <f t="shared" si="10"/>
        <v>2</v>
      </c>
      <c r="GO56" s="117">
        <f t="shared" si="10"/>
        <v>2</v>
      </c>
      <c r="GP56" s="117">
        <f t="shared" ref="GP56:HE58" si="11">+IF(GN56="",1,2)</f>
        <v>2</v>
      </c>
      <c r="GQ56" s="117">
        <f t="shared" si="11"/>
        <v>2</v>
      </c>
      <c r="GR56" s="117">
        <f t="shared" si="11"/>
        <v>2</v>
      </c>
      <c r="GS56" s="117">
        <f t="shared" si="11"/>
        <v>2</v>
      </c>
      <c r="GT56" s="117">
        <f t="shared" si="11"/>
        <v>2</v>
      </c>
      <c r="GU56" s="117">
        <f t="shared" si="11"/>
        <v>2</v>
      </c>
      <c r="GV56" s="117">
        <f t="shared" si="11"/>
        <v>2</v>
      </c>
      <c r="GW56" s="117">
        <f t="shared" si="11"/>
        <v>2</v>
      </c>
      <c r="GX56" s="117">
        <f t="shared" si="11"/>
        <v>2</v>
      </c>
      <c r="GY56" s="117">
        <f t="shared" si="11"/>
        <v>2</v>
      </c>
      <c r="GZ56" s="117">
        <f t="shared" si="11"/>
        <v>2</v>
      </c>
      <c r="HA56" s="117">
        <f t="shared" si="11"/>
        <v>2</v>
      </c>
      <c r="HB56" s="117">
        <f t="shared" si="11"/>
        <v>2</v>
      </c>
      <c r="HC56" s="117">
        <f t="shared" si="11"/>
        <v>2</v>
      </c>
      <c r="HD56" s="117">
        <f t="shared" si="11"/>
        <v>2</v>
      </c>
      <c r="HE56" s="117">
        <f t="shared" si="11"/>
        <v>2</v>
      </c>
      <c r="HF56" s="117">
        <f t="shared" ref="HF56:HU58" si="12">+IF(HD56="",1,2)</f>
        <v>2</v>
      </c>
      <c r="HG56" s="117">
        <f t="shared" si="12"/>
        <v>2</v>
      </c>
      <c r="HH56" s="117">
        <f t="shared" si="12"/>
        <v>2</v>
      </c>
      <c r="HI56" s="117">
        <f t="shared" si="12"/>
        <v>2</v>
      </c>
      <c r="HJ56" s="117">
        <f t="shared" si="12"/>
        <v>2</v>
      </c>
      <c r="HK56" s="117">
        <f t="shared" si="12"/>
        <v>2</v>
      </c>
      <c r="HL56" s="117">
        <f t="shared" si="12"/>
        <v>2</v>
      </c>
      <c r="HM56" s="117">
        <f t="shared" si="12"/>
        <v>2</v>
      </c>
      <c r="HN56" s="117">
        <f t="shared" si="12"/>
        <v>2</v>
      </c>
      <c r="HO56" s="117">
        <f t="shared" si="12"/>
        <v>2</v>
      </c>
      <c r="HP56" s="117">
        <f t="shared" si="12"/>
        <v>2</v>
      </c>
      <c r="HQ56" s="117">
        <f t="shared" si="12"/>
        <v>2</v>
      </c>
      <c r="HR56" s="117">
        <f t="shared" si="12"/>
        <v>2</v>
      </c>
      <c r="HS56" s="117">
        <f t="shared" si="12"/>
        <v>2</v>
      </c>
      <c r="HT56" s="117">
        <f t="shared" si="12"/>
        <v>2</v>
      </c>
      <c r="HU56" s="117">
        <f t="shared" si="12"/>
        <v>2</v>
      </c>
      <c r="HV56" s="117">
        <f t="shared" ref="HV56:IK58" si="13">+IF(HT56="",1,2)</f>
        <v>2</v>
      </c>
      <c r="HW56" s="117">
        <f t="shared" si="13"/>
        <v>2</v>
      </c>
      <c r="HX56" s="117">
        <f t="shared" si="13"/>
        <v>2</v>
      </c>
      <c r="HY56" s="117">
        <f t="shared" si="13"/>
        <v>2</v>
      </c>
      <c r="HZ56" s="117">
        <f t="shared" si="13"/>
        <v>2</v>
      </c>
      <c r="IA56" s="117">
        <f t="shared" si="13"/>
        <v>2</v>
      </c>
      <c r="IB56" s="117">
        <f t="shared" si="13"/>
        <v>2</v>
      </c>
      <c r="IC56" s="117">
        <f t="shared" si="13"/>
        <v>2</v>
      </c>
      <c r="ID56" s="117">
        <f t="shared" si="13"/>
        <v>2</v>
      </c>
      <c r="IE56" s="117">
        <f t="shared" si="13"/>
        <v>2</v>
      </c>
      <c r="IF56" s="117">
        <f t="shared" si="13"/>
        <v>2</v>
      </c>
      <c r="IG56" s="117">
        <f t="shared" si="13"/>
        <v>2</v>
      </c>
      <c r="IH56" s="117">
        <f t="shared" si="13"/>
        <v>2</v>
      </c>
      <c r="II56" s="117">
        <f t="shared" si="13"/>
        <v>2</v>
      </c>
      <c r="IJ56" s="117">
        <f t="shared" si="13"/>
        <v>2</v>
      </c>
      <c r="IK56" s="117">
        <f t="shared" si="13"/>
        <v>2</v>
      </c>
      <c r="IL56" s="117">
        <f t="shared" ref="IL56:IU58" si="14">+IF(IJ56="",1,2)</f>
        <v>2</v>
      </c>
      <c r="IM56" s="117">
        <f t="shared" si="14"/>
        <v>2</v>
      </c>
      <c r="IN56" s="117">
        <f t="shared" si="14"/>
        <v>2</v>
      </c>
      <c r="IO56" s="117">
        <f t="shared" si="14"/>
        <v>2</v>
      </c>
      <c r="IP56" s="117">
        <f t="shared" si="14"/>
        <v>2</v>
      </c>
      <c r="IQ56" s="117">
        <f t="shared" si="14"/>
        <v>2</v>
      </c>
      <c r="IR56" s="117">
        <f t="shared" si="14"/>
        <v>2</v>
      </c>
      <c r="IS56" s="117">
        <f t="shared" si="14"/>
        <v>2</v>
      </c>
      <c r="IT56" s="117">
        <f t="shared" si="14"/>
        <v>2</v>
      </c>
      <c r="IU56" s="117">
        <f t="shared" si="14"/>
        <v>2</v>
      </c>
      <c r="IV56" s="117">
        <f>+IF(T56="",1,2)</f>
        <v>1</v>
      </c>
    </row>
    <row r="57" spans="1:256" s="117" customFormat="1" x14ac:dyDescent="0.2">
      <c r="A57" s="124" t="s">
        <v>62</v>
      </c>
      <c r="B57" s="92"/>
      <c r="C57" s="158"/>
      <c r="D57" s="158"/>
      <c r="E57" s="92"/>
      <c r="F57" s="92"/>
      <c r="G57" s="144"/>
      <c r="H57" s="92"/>
      <c r="I57" s="92"/>
      <c r="J57" s="124"/>
      <c r="K57" s="92"/>
      <c r="L57" s="92"/>
      <c r="M57" s="159"/>
      <c r="N57" s="92"/>
      <c r="O57" s="124"/>
      <c r="P57" s="92"/>
      <c r="Q57" s="92"/>
      <c r="R57" s="92"/>
      <c r="S57" s="92"/>
      <c r="T57" s="92"/>
      <c r="U57" s="117">
        <f>+IF(S57="",1,2)</f>
        <v>1</v>
      </c>
      <c r="V57" s="117">
        <f t="shared" si="0"/>
        <v>1</v>
      </c>
      <c r="W57" s="117">
        <f t="shared" si="0"/>
        <v>2</v>
      </c>
      <c r="X57" s="117">
        <f t="shared" si="0"/>
        <v>2</v>
      </c>
      <c r="Y57" s="117">
        <f t="shared" si="0"/>
        <v>2</v>
      </c>
      <c r="Z57" s="117">
        <f t="shared" si="0"/>
        <v>2</v>
      </c>
      <c r="AA57" s="117">
        <f t="shared" si="0"/>
        <v>2</v>
      </c>
      <c r="AB57" s="117">
        <f t="shared" si="0"/>
        <v>2</v>
      </c>
      <c r="AC57" s="117">
        <f t="shared" si="0"/>
        <v>2</v>
      </c>
      <c r="AD57" s="117">
        <f t="shared" si="0"/>
        <v>2</v>
      </c>
      <c r="AE57" s="117">
        <f t="shared" si="0"/>
        <v>2</v>
      </c>
      <c r="AF57" s="117">
        <f t="shared" si="0"/>
        <v>2</v>
      </c>
      <c r="AG57" s="117">
        <f t="shared" si="0"/>
        <v>2</v>
      </c>
      <c r="AH57" s="117">
        <f t="shared" si="0"/>
        <v>2</v>
      </c>
      <c r="AI57" s="117">
        <f t="shared" si="0"/>
        <v>2</v>
      </c>
      <c r="AJ57" s="117">
        <f t="shared" si="0"/>
        <v>2</v>
      </c>
      <c r="AK57" s="117">
        <f t="shared" si="0"/>
        <v>2</v>
      </c>
      <c r="AL57" s="117">
        <f t="shared" si="1"/>
        <v>2</v>
      </c>
      <c r="AM57" s="117">
        <f t="shared" si="1"/>
        <v>2</v>
      </c>
      <c r="AN57" s="117">
        <f t="shared" si="1"/>
        <v>2</v>
      </c>
      <c r="AO57" s="117">
        <f t="shared" si="1"/>
        <v>2</v>
      </c>
      <c r="AP57" s="117">
        <f t="shared" si="1"/>
        <v>2</v>
      </c>
      <c r="AQ57" s="117">
        <f t="shared" si="1"/>
        <v>2</v>
      </c>
      <c r="AR57" s="117">
        <f t="shared" si="1"/>
        <v>2</v>
      </c>
      <c r="AS57" s="117">
        <f t="shared" si="1"/>
        <v>2</v>
      </c>
      <c r="AT57" s="117">
        <f t="shared" si="1"/>
        <v>2</v>
      </c>
      <c r="AU57" s="117">
        <f t="shared" si="1"/>
        <v>2</v>
      </c>
      <c r="AV57" s="117">
        <f t="shared" si="1"/>
        <v>2</v>
      </c>
      <c r="AW57" s="117">
        <f t="shared" si="1"/>
        <v>2</v>
      </c>
      <c r="AX57" s="117">
        <f t="shared" si="1"/>
        <v>2</v>
      </c>
      <c r="AY57" s="117">
        <f t="shared" si="1"/>
        <v>2</v>
      </c>
      <c r="AZ57" s="117">
        <f t="shared" si="1"/>
        <v>2</v>
      </c>
      <c r="BA57" s="117">
        <f t="shared" si="1"/>
        <v>2</v>
      </c>
      <c r="BB57" s="117">
        <f t="shared" si="2"/>
        <v>2</v>
      </c>
      <c r="BC57" s="117">
        <f t="shared" si="2"/>
        <v>2</v>
      </c>
      <c r="BD57" s="117">
        <f t="shared" si="2"/>
        <v>2</v>
      </c>
      <c r="BE57" s="117">
        <f t="shared" si="2"/>
        <v>2</v>
      </c>
      <c r="BF57" s="117">
        <f t="shared" si="2"/>
        <v>2</v>
      </c>
      <c r="BG57" s="117">
        <f t="shared" si="2"/>
        <v>2</v>
      </c>
      <c r="BH57" s="117">
        <f t="shared" si="2"/>
        <v>2</v>
      </c>
      <c r="BI57" s="117">
        <f t="shared" si="2"/>
        <v>2</v>
      </c>
      <c r="BJ57" s="117">
        <f t="shared" si="2"/>
        <v>2</v>
      </c>
      <c r="BK57" s="117">
        <f t="shared" si="2"/>
        <v>2</v>
      </c>
      <c r="BL57" s="117">
        <f t="shared" si="2"/>
        <v>2</v>
      </c>
      <c r="BM57" s="117">
        <f t="shared" si="2"/>
        <v>2</v>
      </c>
      <c r="BN57" s="117">
        <f t="shared" si="2"/>
        <v>2</v>
      </c>
      <c r="BO57" s="117">
        <f t="shared" si="2"/>
        <v>2</v>
      </c>
      <c r="BP57" s="117">
        <f t="shared" si="2"/>
        <v>2</v>
      </c>
      <c r="BQ57" s="117">
        <f t="shared" si="2"/>
        <v>2</v>
      </c>
      <c r="BR57" s="117">
        <f t="shared" si="3"/>
        <v>2</v>
      </c>
      <c r="BS57" s="117">
        <f t="shared" si="3"/>
        <v>2</v>
      </c>
      <c r="BT57" s="117">
        <f t="shared" si="3"/>
        <v>2</v>
      </c>
      <c r="BU57" s="117">
        <f t="shared" si="3"/>
        <v>2</v>
      </c>
      <c r="BV57" s="117">
        <f t="shared" si="3"/>
        <v>2</v>
      </c>
      <c r="BW57" s="117">
        <f t="shared" si="3"/>
        <v>2</v>
      </c>
      <c r="BX57" s="117">
        <f t="shared" si="3"/>
        <v>2</v>
      </c>
      <c r="BY57" s="117">
        <f t="shared" si="3"/>
        <v>2</v>
      </c>
      <c r="BZ57" s="117">
        <f t="shared" si="3"/>
        <v>2</v>
      </c>
      <c r="CA57" s="117">
        <f t="shared" si="3"/>
        <v>2</v>
      </c>
      <c r="CB57" s="117">
        <f t="shared" si="3"/>
        <v>2</v>
      </c>
      <c r="CC57" s="117">
        <f t="shared" si="3"/>
        <v>2</v>
      </c>
      <c r="CD57" s="117">
        <f t="shared" si="3"/>
        <v>2</v>
      </c>
      <c r="CE57" s="117">
        <f t="shared" si="3"/>
        <v>2</v>
      </c>
      <c r="CF57" s="117">
        <f t="shared" si="3"/>
        <v>2</v>
      </c>
      <c r="CG57" s="117">
        <f t="shared" si="3"/>
        <v>2</v>
      </c>
      <c r="CH57" s="117">
        <f t="shared" si="4"/>
        <v>2</v>
      </c>
      <c r="CI57" s="117">
        <f t="shared" si="4"/>
        <v>2</v>
      </c>
      <c r="CJ57" s="117">
        <f t="shared" si="4"/>
        <v>2</v>
      </c>
      <c r="CK57" s="117">
        <f t="shared" si="4"/>
        <v>2</v>
      </c>
      <c r="CL57" s="117">
        <f t="shared" si="4"/>
        <v>2</v>
      </c>
      <c r="CM57" s="117">
        <f t="shared" si="4"/>
        <v>2</v>
      </c>
      <c r="CN57" s="117">
        <f t="shared" si="4"/>
        <v>2</v>
      </c>
      <c r="CO57" s="117">
        <f t="shared" si="4"/>
        <v>2</v>
      </c>
      <c r="CP57" s="117">
        <f t="shared" si="4"/>
        <v>2</v>
      </c>
      <c r="CQ57" s="117">
        <f t="shared" si="4"/>
        <v>2</v>
      </c>
      <c r="CR57" s="117">
        <f t="shared" si="4"/>
        <v>2</v>
      </c>
      <c r="CS57" s="117">
        <f t="shared" si="4"/>
        <v>2</v>
      </c>
      <c r="CT57" s="117">
        <f t="shared" si="4"/>
        <v>2</v>
      </c>
      <c r="CU57" s="117">
        <f t="shared" si="4"/>
        <v>2</v>
      </c>
      <c r="CV57" s="117">
        <f t="shared" si="4"/>
        <v>2</v>
      </c>
      <c r="CW57" s="117">
        <f t="shared" si="4"/>
        <v>2</v>
      </c>
      <c r="CX57" s="117">
        <f t="shared" si="5"/>
        <v>2</v>
      </c>
      <c r="CY57" s="117">
        <f t="shared" si="5"/>
        <v>2</v>
      </c>
      <c r="CZ57" s="117">
        <f t="shared" si="5"/>
        <v>2</v>
      </c>
      <c r="DA57" s="117">
        <f t="shared" si="5"/>
        <v>2</v>
      </c>
      <c r="DB57" s="117">
        <f t="shared" si="5"/>
        <v>2</v>
      </c>
      <c r="DC57" s="117">
        <f t="shared" si="5"/>
        <v>2</v>
      </c>
      <c r="DD57" s="117">
        <f t="shared" si="5"/>
        <v>2</v>
      </c>
      <c r="DE57" s="117">
        <f t="shared" si="5"/>
        <v>2</v>
      </c>
      <c r="DF57" s="117">
        <f t="shared" si="5"/>
        <v>2</v>
      </c>
      <c r="DG57" s="117">
        <f t="shared" si="5"/>
        <v>2</v>
      </c>
      <c r="DH57" s="117">
        <f t="shared" si="5"/>
        <v>2</v>
      </c>
      <c r="DI57" s="117">
        <f t="shared" si="5"/>
        <v>2</v>
      </c>
      <c r="DJ57" s="117">
        <f t="shared" si="5"/>
        <v>2</v>
      </c>
      <c r="DK57" s="117">
        <f t="shared" si="5"/>
        <v>2</v>
      </c>
      <c r="DL57" s="117">
        <f t="shared" si="5"/>
        <v>2</v>
      </c>
      <c r="DM57" s="117">
        <f t="shared" si="5"/>
        <v>2</v>
      </c>
      <c r="DN57" s="117">
        <f t="shared" si="6"/>
        <v>2</v>
      </c>
      <c r="DO57" s="117">
        <f t="shared" si="6"/>
        <v>2</v>
      </c>
      <c r="DP57" s="117">
        <f t="shared" si="6"/>
        <v>2</v>
      </c>
      <c r="DQ57" s="117">
        <f t="shared" si="6"/>
        <v>2</v>
      </c>
      <c r="DR57" s="117">
        <f t="shared" si="6"/>
        <v>2</v>
      </c>
      <c r="DS57" s="117">
        <f t="shared" si="6"/>
        <v>2</v>
      </c>
      <c r="DT57" s="117">
        <f t="shared" si="6"/>
        <v>2</v>
      </c>
      <c r="DU57" s="117">
        <f t="shared" si="6"/>
        <v>2</v>
      </c>
      <c r="DV57" s="117">
        <f t="shared" si="6"/>
        <v>2</v>
      </c>
      <c r="DW57" s="117">
        <f t="shared" si="6"/>
        <v>2</v>
      </c>
      <c r="DX57" s="117">
        <f t="shared" si="6"/>
        <v>2</v>
      </c>
      <c r="DY57" s="117">
        <f t="shared" si="6"/>
        <v>2</v>
      </c>
      <c r="DZ57" s="117">
        <f t="shared" si="6"/>
        <v>2</v>
      </c>
      <c r="EA57" s="117">
        <f t="shared" si="6"/>
        <v>2</v>
      </c>
      <c r="EB57" s="117">
        <f t="shared" si="6"/>
        <v>2</v>
      </c>
      <c r="EC57" s="117">
        <f t="shared" si="6"/>
        <v>2</v>
      </c>
      <c r="ED57" s="117">
        <f t="shared" si="7"/>
        <v>2</v>
      </c>
      <c r="EE57" s="117">
        <f t="shared" si="7"/>
        <v>2</v>
      </c>
      <c r="EF57" s="117">
        <f t="shared" si="7"/>
        <v>2</v>
      </c>
      <c r="EG57" s="117">
        <f t="shared" si="7"/>
        <v>2</v>
      </c>
      <c r="EH57" s="117">
        <f t="shared" si="7"/>
        <v>2</v>
      </c>
      <c r="EI57" s="117">
        <f t="shared" si="7"/>
        <v>2</v>
      </c>
      <c r="EJ57" s="117">
        <f t="shared" si="7"/>
        <v>2</v>
      </c>
      <c r="EK57" s="117">
        <f t="shared" si="7"/>
        <v>2</v>
      </c>
      <c r="EL57" s="117">
        <f t="shared" si="7"/>
        <v>2</v>
      </c>
      <c r="EM57" s="117">
        <f t="shared" si="7"/>
        <v>2</v>
      </c>
      <c r="EN57" s="117">
        <f t="shared" si="7"/>
        <v>2</v>
      </c>
      <c r="EO57" s="117">
        <f t="shared" si="7"/>
        <v>2</v>
      </c>
      <c r="EP57" s="117">
        <f t="shared" si="7"/>
        <v>2</v>
      </c>
      <c r="EQ57" s="117">
        <f t="shared" si="7"/>
        <v>2</v>
      </c>
      <c r="ER57" s="117">
        <f t="shared" si="7"/>
        <v>2</v>
      </c>
      <c r="ES57" s="117">
        <f t="shared" si="7"/>
        <v>2</v>
      </c>
      <c r="ET57" s="117">
        <f t="shared" si="8"/>
        <v>2</v>
      </c>
      <c r="EU57" s="117">
        <f t="shared" si="8"/>
        <v>2</v>
      </c>
      <c r="EV57" s="117">
        <f t="shared" si="8"/>
        <v>2</v>
      </c>
      <c r="EW57" s="117">
        <f t="shared" si="8"/>
        <v>2</v>
      </c>
      <c r="EX57" s="117">
        <f t="shared" si="8"/>
        <v>2</v>
      </c>
      <c r="EY57" s="117">
        <f t="shared" si="8"/>
        <v>2</v>
      </c>
      <c r="EZ57" s="117">
        <f t="shared" si="8"/>
        <v>2</v>
      </c>
      <c r="FA57" s="117">
        <f t="shared" si="8"/>
        <v>2</v>
      </c>
      <c r="FB57" s="117">
        <f t="shared" si="8"/>
        <v>2</v>
      </c>
      <c r="FC57" s="117">
        <f t="shared" si="8"/>
        <v>2</v>
      </c>
      <c r="FD57" s="117">
        <f t="shared" si="8"/>
        <v>2</v>
      </c>
      <c r="FE57" s="117">
        <f t="shared" si="8"/>
        <v>2</v>
      </c>
      <c r="FF57" s="117">
        <f t="shared" si="8"/>
        <v>2</v>
      </c>
      <c r="FG57" s="117">
        <f t="shared" si="8"/>
        <v>2</v>
      </c>
      <c r="FH57" s="117">
        <f t="shared" si="8"/>
        <v>2</v>
      </c>
      <c r="FI57" s="117">
        <f t="shared" si="8"/>
        <v>2</v>
      </c>
      <c r="FJ57" s="117">
        <f t="shared" si="9"/>
        <v>2</v>
      </c>
      <c r="FK57" s="117">
        <f t="shared" si="9"/>
        <v>2</v>
      </c>
      <c r="FL57" s="117">
        <f t="shared" si="9"/>
        <v>2</v>
      </c>
      <c r="FM57" s="117">
        <f t="shared" si="9"/>
        <v>2</v>
      </c>
      <c r="FN57" s="117">
        <f t="shared" si="9"/>
        <v>2</v>
      </c>
      <c r="FO57" s="117">
        <f t="shared" si="9"/>
        <v>2</v>
      </c>
      <c r="FP57" s="117">
        <f t="shared" si="9"/>
        <v>2</v>
      </c>
      <c r="FQ57" s="117">
        <f t="shared" si="9"/>
        <v>2</v>
      </c>
      <c r="FR57" s="117">
        <f t="shared" si="9"/>
        <v>2</v>
      </c>
      <c r="FS57" s="117">
        <f t="shared" si="9"/>
        <v>2</v>
      </c>
      <c r="FT57" s="117">
        <f t="shared" si="9"/>
        <v>2</v>
      </c>
      <c r="FU57" s="117">
        <f t="shared" si="9"/>
        <v>2</v>
      </c>
      <c r="FV57" s="117">
        <f t="shared" si="9"/>
        <v>2</v>
      </c>
      <c r="FW57" s="117">
        <f t="shared" si="9"/>
        <v>2</v>
      </c>
      <c r="FX57" s="117">
        <f t="shared" si="9"/>
        <v>2</v>
      </c>
      <c r="FY57" s="117">
        <f t="shared" si="9"/>
        <v>2</v>
      </c>
      <c r="FZ57" s="117">
        <f t="shared" si="10"/>
        <v>2</v>
      </c>
      <c r="GA57" s="117">
        <f t="shared" si="10"/>
        <v>2</v>
      </c>
      <c r="GB57" s="117">
        <f t="shared" si="10"/>
        <v>2</v>
      </c>
      <c r="GC57" s="117">
        <f t="shared" si="10"/>
        <v>2</v>
      </c>
      <c r="GD57" s="117">
        <f t="shared" si="10"/>
        <v>2</v>
      </c>
      <c r="GE57" s="117">
        <f t="shared" si="10"/>
        <v>2</v>
      </c>
      <c r="GF57" s="117">
        <f t="shared" si="10"/>
        <v>2</v>
      </c>
      <c r="GG57" s="117">
        <f t="shared" si="10"/>
        <v>2</v>
      </c>
      <c r="GH57" s="117">
        <f t="shared" si="10"/>
        <v>2</v>
      </c>
      <c r="GI57" s="117">
        <f t="shared" si="10"/>
        <v>2</v>
      </c>
      <c r="GJ57" s="117">
        <f t="shared" si="10"/>
        <v>2</v>
      </c>
      <c r="GK57" s="117">
        <f t="shared" si="10"/>
        <v>2</v>
      </c>
      <c r="GL57" s="117">
        <f t="shared" si="10"/>
        <v>2</v>
      </c>
      <c r="GM57" s="117">
        <f t="shared" si="10"/>
        <v>2</v>
      </c>
      <c r="GN57" s="117">
        <f t="shared" si="10"/>
        <v>2</v>
      </c>
      <c r="GO57" s="117">
        <f t="shared" si="10"/>
        <v>2</v>
      </c>
      <c r="GP57" s="117">
        <f t="shared" si="11"/>
        <v>2</v>
      </c>
      <c r="GQ57" s="117">
        <f t="shared" si="11"/>
        <v>2</v>
      </c>
      <c r="GR57" s="117">
        <f t="shared" si="11"/>
        <v>2</v>
      </c>
      <c r="GS57" s="117">
        <f t="shared" si="11"/>
        <v>2</v>
      </c>
      <c r="GT57" s="117">
        <f t="shared" si="11"/>
        <v>2</v>
      </c>
      <c r="GU57" s="117">
        <f t="shared" si="11"/>
        <v>2</v>
      </c>
      <c r="GV57" s="117">
        <f t="shared" si="11"/>
        <v>2</v>
      </c>
      <c r="GW57" s="117">
        <f t="shared" si="11"/>
        <v>2</v>
      </c>
      <c r="GX57" s="117">
        <f t="shared" si="11"/>
        <v>2</v>
      </c>
      <c r="GY57" s="117">
        <f t="shared" si="11"/>
        <v>2</v>
      </c>
      <c r="GZ57" s="117">
        <f t="shared" si="11"/>
        <v>2</v>
      </c>
      <c r="HA57" s="117">
        <f t="shared" si="11"/>
        <v>2</v>
      </c>
      <c r="HB57" s="117">
        <f t="shared" si="11"/>
        <v>2</v>
      </c>
      <c r="HC57" s="117">
        <f t="shared" si="11"/>
        <v>2</v>
      </c>
      <c r="HD57" s="117">
        <f t="shared" si="11"/>
        <v>2</v>
      </c>
      <c r="HE57" s="117">
        <f t="shared" si="11"/>
        <v>2</v>
      </c>
      <c r="HF57" s="117">
        <f t="shared" si="12"/>
        <v>2</v>
      </c>
      <c r="HG57" s="117">
        <f t="shared" si="12"/>
        <v>2</v>
      </c>
      <c r="HH57" s="117">
        <f t="shared" si="12"/>
        <v>2</v>
      </c>
      <c r="HI57" s="117">
        <f t="shared" si="12"/>
        <v>2</v>
      </c>
      <c r="HJ57" s="117">
        <f t="shared" si="12"/>
        <v>2</v>
      </c>
      <c r="HK57" s="117">
        <f t="shared" si="12"/>
        <v>2</v>
      </c>
      <c r="HL57" s="117">
        <f t="shared" si="12"/>
        <v>2</v>
      </c>
      <c r="HM57" s="117">
        <f t="shared" si="12"/>
        <v>2</v>
      </c>
      <c r="HN57" s="117">
        <f t="shared" si="12"/>
        <v>2</v>
      </c>
      <c r="HO57" s="117">
        <f t="shared" si="12"/>
        <v>2</v>
      </c>
      <c r="HP57" s="117">
        <f t="shared" si="12"/>
        <v>2</v>
      </c>
      <c r="HQ57" s="117">
        <f t="shared" si="12"/>
        <v>2</v>
      </c>
      <c r="HR57" s="117">
        <f t="shared" si="12"/>
        <v>2</v>
      </c>
      <c r="HS57" s="117">
        <f t="shared" si="12"/>
        <v>2</v>
      </c>
      <c r="HT57" s="117">
        <f t="shared" si="12"/>
        <v>2</v>
      </c>
      <c r="HU57" s="117">
        <f t="shared" si="12"/>
        <v>2</v>
      </c>
      <c r="HV57" s="117">
        <f t="shared" si="13"/>
        <v>2</v>
      </c>
      <c r="HW57" s="117">
        <f t="shared" si="13"/>
        <v>2</v>
      </c>
      <c r="HX57" s="117">
        <f t="shared" si="13"/>
        <v>2</v>
      </c>
      <c r="HY57" s="117">
        <f t="shared" si="13"/>
        <v>2</v>
      </c>
      <c r="HZ57" s="117">
        <f t="shared" si="13"/>
        <v>2</v>
      </c>
      <c r="IA57" s="117">
        <f t="shared" si="13"/>
        <v>2</v>
      </c>
      <c r="IB57" s="117">
        <f t="shared" si="13"/>
        <v>2</v>
      </c>
      <c r="IC57" s="117">
        <f t="shared" si="13"/>
        <v>2</v>
      </c>
      <c r="ID57" s="117">
        <f t="shared" si="13"/>
        <v>2</v>
      </c>
      <c r="IE57" s="117">
        <f t="shared" si="13"/>
        <v>2</v>
      </c>
      <c r="IF57" s="117">
        <f t="shared" si="13"/>
        <v>2</v>
      </c>
      <c r="IG57" s="117">
        <f t="shared" si="13"/>
        <v>2</v>
      </c>
      <c r="IH57" s="117">
        <f t="shared" si="13"/>
        <v>2</v>
      </c>
      <c r="II57" s="117">
        <f t="shared" si="13"/>
        <v>2</v>
      </c>
      <c r="IJ57" s="117">
        <f t="shared" si="13"/>
        <v>2</v>
      </c>
      <c r="IK57" s="117">
        <f t="shared" si="13"/>
        <v>2</v>
      </c>
      <c r="IL57" s="117">
        <f t="shared" si="14"/>
        <v>2</v>
      </c>
      <c r="IM57" s="117">
        <f t="shared" si="14"/>
        <v>2</v>
      </c>
      <c r="IN57" s="117">
        <f t="shared" si="14"/>
        <v>2</v>
      </c>
      <c r="IO57" s="117">
        <f t="shared" si="14"/>
        <v>2</v>
      </c>
      <c r="IP57" s="117">
        <f t="shared" si="14"/>
        <v>2</v>
      </c>
      <c r="IQ57" s="117">
        <f t="shared" si="14"/>
        <v>2</v>
      </c>
      <c r="IR57" s="117">
        <f t="shared" si="14"/>
        <v>2</v>
      </c>
      <c r="IS57" s="117">
        <f t="shared" si="14"/>
        <v>2</v>
      </c>
      <c r="IT57" s="117">
        <f t="shared" si="14"/>
        <v>2</v>
      </c>
      <c r="IU57" s="117">
        <f t="shared" si="14"/>
        <v>2</v>
      </c>
      <c r="IV57" s="117">
        <f>+IF(T57="",1,2)</f>
        <v>1</v>
      </c>
    </row>
    <row r="58" spans="1:256" s="117" customFormat="1" x14ac:dyDescent="0.2">
      <c r="A58" s="124" t="s">
        <v>64</v>
      </c>
      <c r="B58" s="92"/>
      <c r="C58" s="158"/>
      <c r="D58" s="158"/>
      <c r="E58" s="92"/>
      <c r="F58" s="92"/>
      <c r="G58" s="146"/>
      <c r="H58" s="92"/>
      <c r="I58" s="92"/>
      <c r="J58" s="124"/>
      <c r="K58" s="92"/>
      <c r="L58" s="92"/>
      <c r="M58" s="159"/>
      <c r="N58" s="92"/>
      <c r="O58" s="124"/>
      <c r="P58" s="92"/>
      <c r="Q58" s="92"/>
      <c r="R58" s="92"/>
      <c r="S58" s="92"/>
      <c r="T58" s="92"/>
      <c r="U58" s="117">
        <f>+IF(S58="",1,2)</f>
        <v>1</v>
      </c>
      <c r="V58" s="117">
        <f t="shared" si="0"/>
        <v>1</v>
      </c>
      <c r="W58" s="117">
        <f t="shared" si="0"/>
        <v>2</v>
      </c>
      <c r="X58" s="117">
        <f t="shared" si="0"/>
        <v>2</v>
      </c>
      <c r="Y58" s="117">
        <f t="shared" si="0"/>
        <v>2</v>
      </c>
      <c r="Z58" s="117">
        <f t="shared" si="0"/>
        <v>2</v>
      </c>
      <c r="AA58" s="117">
        <f t="shared" si="0"/>
        <v>2</v>
      </c>
      <c r="AB58" s="117">
        <f t="shared" si="0"/>
        <v>2</v>
      </c>
      <c r="AC58" s="117">
        <f t="shared" si="0"/>
        <v>2</v>
      </c>
      <c r="AD58" s="117">
        <f t="shared" si="0"/>
        <v>2</v>
      </c>
      <c r="AE58" s="117">
        <f t="shared" si="0"/>
        <v>2</v>
      </c>
      <c r="AF58" s="117">
        <f t="shared" si="0"/>
        <v>2</v>
      </c>
      <c r="AG58" s="117">
        <f t="shared" si="0"/>
        <v>2</v>
      </c>
      <c r="AH58" s="117">
        <f t="shared" si="0"/>
        <v>2</v>
      </c>
      <c r="AI58" s="117">
        <f t="shared" si="0"/>
        <v>2</v>
      </c>
      <c r="AJ58" s="117">
        <f t="shared" si="0"/>
        <v>2</v>
      </c>
      <c r="AK58" s="117">
        <f t="shared" si="0"/>
        <v>2</v>
      </c>
      <c r="AL58" s="117">
        <f t="shared" si="1"/>
        <v>2</v>
      </c>
      <c r="AM58" s="117">
        <f t="shared" si="1"/>
        <v>2</v>
      </c>
      <c r="AN58" s="117">
        <f t="shared" si="1"/>
        <v>2</v>
      </c>
      <c r="AO58" s="117">
        <f t="shared" si="1"/>
        <v>2</v>
      </c>
      <c r="AP58" s="117">
        <f t="shared" si="1"/>
        <v>2</v>
      </c>
      <c r="AQ58" s="117">
        <f t="shared" si="1"/>
        <v>2</v>
      </c>
      <c r="AR58" s="117">
        <f t="shared" si="1"/>
        <v>2</v>
      </c>
      <c r="AS58" s="117">
        <f t="shared" si="1"/>
        <v>2</v>
      </c>
      <c r="AT58" s="117">
        <f t="shared" si="1"/>
        <v>2</v>
      </c>
      <c r="AU58" s="117">
        <f t="shared" si="1"/>
        <v>2</v>
      </c>
      <c r="AV58" s="117">
        <f t="shared" si="1"/>
        <v>2</v>
      </c>
      <c r="AW58" s="117">
        <f t="shared" si="1"/>
        <v>2</v>
      </c>
      <c r="AX58" s="117">
        <f t="shared" si="1"/>
        <v>2</v>
      </c>
      <c r="AY58" s="117">
        <f t="shared" si="1"/>
        <v>2</v>
      </c>
      <c r="AZ58" s="117">
        <f t="shared" si="1"/>
        <v>2</v>
      </c>
      <c r="BA58" s="117">
        <f t="shared" si="1"/>
        <v>2</v>
      </c>
      <c r="BB58" s="117">
        <f t="shared" si="2"/>
        <v>2</v>
      </c>
      <c r="BC58" s="117">
        <f t="shared" si="2"/>
        <v>2</v>
      </c>
      <c r="BD58" s="117">
        <f t="shared" si="2"/>
        <v>2</v>
      </c>
      <c r="BE58" s="117">
        <f t="shared" si="2"/>
        <v>2</v>
      </c>
      <c r="BF58" s="117">
        <f t="shared" si="2"/>
        <v>2</v>
      </c>
      <c r="BG58" s="117">
        <f t="shared" si="2"/>
        <v>2</v>
      </c>
      <c r="BH58" s="117">
        <f t="shared" si="2"/>
        <v>2</v>
      </c>
      <c r="BI58" s="117">
        <f t="shared" si="2"/>
        <v>2</v>
      </c>
      <c r="BJ58" s="117">
        <f t="shared" si="2"/>
        <v>2</v>
      </c>
      <c r="BK58" s="117">
        <f t="shared" si="2"/>
        <v>2</v>
      </c>
      <c r="BL58" s="117">
        <f t="shared" si="2"/>
        <v>2</v>
      </c>
      <c r="BM58" s="117">
        <f t="shared" si="2"/>
        <v>2</v>
      </c>
      <c r="BN58" s="117">
        <f t="shared" si="2"/>
        <v>2</v>
      </c>
      <c r="BO58" s="117">
        <f t="shared" si="2"/>
        <v>2</v>
      </c>
      <c r="BP58" s="117">
        <f t="shared" si="2"/>
        <v>2</v>
      </c>
      <c r="BQ58" s="117">
        <f t="shared" si="2"/>
        <v>2</v>
      </c>
      <c r="BR58" s="117">
        <f t="shared" si="3"/>
        <v>2</v>
      </c>
      <c r="BS58" s="117">
        <f t="shared" si="3"/>
        <v>2</v>
      </c>
      <c r="BT58" s="117">
        <f t="shared" si="3"/>
        <v>2</v>
      </c>
      <c r="BU58" s="117">
        <f t="shared" si="3"/>
        <v>2</v>
      </c>
      <c r="BV58" s="117">
        <f t="shared" si="3"/>
        <v>2</v>
      </c>
      <c r="BW58" s="117">
        <f t="shared" si="3"/>
        <v>2</v>
      </c>
      <c r="BX58" s="117">
        <f t="shared" si="3"/>
        <v>2</v>
      </c>
      <c r="BY58" s="117">
        <f t="shared" si="3"/>
        <v>2</v>
      </c>
      <c r="BZ58" s="117">
        <f t="shared" si="3"/>
        <v>2</v>
      </c>
      <c r="CA58" s="117">
        <f t="shared" si="3"/>
        <v>2</v>
      </c>
      <c r="CB58" s="117">
        <f t="shared" si="3"/>
        <v>2</v>
      </c>
      <c r="CC58" s="117">
        <f t="shared" si="3"/>
        <v>2</v>
      </c>
      <c r="CD58" s="117">
        <f t="shared" si="3"/>
        <v>2</v>
      </c>
      <c r="CE58" s="117">
        <f t="shared" si="3"/>
        <v>2</v>
      </c>
      <c r="CF58" s="117">
        <f t="shared" si="3"/>
        <v>2</v>
      </c>
      <c r="CG58" s="117">
        <f t="shared" si="3"/>
        <v>2</v>
      </c>
      <c r="CH58" s="117">
        <f t="shared" si="4"/>
        <v>2</v>
      </c>
      <c r="CI58" s="117">
        <f t="shared" si="4"/>
        <v>2</v>
      </c>
      <c r="CJ58" s="117">
        <f t="shared" si="4"/>
        <v>2</v>
      </c>
      <c r="CK58" s="117">
        <f t="shared" si="4"/>
        <v>2</v>
      </c>
      <c r="CL58" s="117">
        <f t="shared" si="4"/>
        <v>2</v>
      </c>
      <c r="CM58" s="117">
        <f t="shared" si="4"/>
        <v>2</v>
      </c>
      <c r="CN58" s="117">
        <f t="shared" si="4"/>
        <v>2</v>
      </c>
      <c r="CO58" s="117">
        <f t="shared" si="4"/>
        <v>2</v>
      </c>
      <c r="CP58" s="117">
        <f t="shared" si="4"/>
        <v>2</v>
      </c>
      <c r="CQ58" s="117">
        <f t="shared" si="4"/>
        <v>2</v>
      </c>
      <c r="CR58" s="117">
        <f t="shared" si="4"/>
        <v>2</v>
      </c>
      <c r="CS58" s="117">
        <f t="shared" si="4"/>
        <v>2</v>
      </c>
      <c r="CT58" s="117">
        <f t="shared" si="4"/>
        <v>2</v>
      </c>
      <c r="CU58" s="117">
        <f t="shared" si="4"/>
        <v>2</v>
      </c>
      <c r="CV58" s="117">
        <f t="shared" si="4"/>
        <v>2</v>
      </c>
      <c r="CW58" s="117">
        <f t="shared" si="4"/>
        <v>2</v>
      </c>
      <c r="CX58" s="117">
        <f t="shared" si="5"/>
        <v>2</v>
      </c>
      <c r="CY58" s="117">
        <f t="shared" si="5"/>
        <v>2</v>
      </c>
      <c r="CZ58" s="117">
        <f t="shared" si="5"/>
        <v>2</v>
      </c>
      <c r="DA58" s="117">
        <f t="shared" si="5"/>
        <v>2</v>
      </c>
      <c r="DB58" s="117">
        <f t="shared" si="5"/>
        <v>2</v>
      </c>
      <c r="DC58" s="117">
        <f t="shared" si="5"/>
        <v>2</v>
      </c>
      <c r="DD58" s="117">
        <f t="shared" si="5"/>
        <v>2</v>
      </c>
      <c r="DE58" s="117">
        <f t="shared" si="5"/>
        <v>2</v>
      </c>
      <c r="DF58" s="117">
        <f t="shared" si="5"/>
        <v>2</v>
      </c>
      <c r="DG58" s="117">
        <f t="shared" si="5"/>
        <v>2</v>
      </c>
      <c r="DH58" s="117">
        <f t="shared" si="5"/>
        <v>2</v>
      </c>
      <c r="DI58" s="117">
        <f t="shared" si="5"/>
        <v>2</v>
      </c>
      <c r="DJ58" s="117">
        <f t="shared" si="5"/>
        <v>2</v>
      </c>
      <c r="DK58" s="117">
        <f t="shared" si="5"/>
        <v>2</v>
      </c>
      <c r="DL58" s="117">
        <f t="shared" si="5"/>
        <v>2</v>
      </c>
      <c r="DM58" s="117">
        <f t="shared" si="5"/>
        <v>2</v>
      </c>
      <c r="DN58" s="117">
        <f t="shared" si="6"/>
        <v>2</v>
      </c>
      <c r="DO58" s="117">
        <f t="shared" si="6"/>
        <v>2</v>
      </c>
      <c r="DP58" s="117">
        <f t="shared" si="6"/>
        <v>2</v>
      </c>
      <c r="DQ58" s="117">
        <f t="shared" si="6"/>
        <v>2</v>
      </c>
      <c r="DR58" s="117">
        <f t="shared" si="6"/>
        <v>2</v>
      </c>
      <c r="DS58" s="117">
        <f t="shared" si="6"/>
        <v>2</v>
      </c>
      <c r="DT58" s="117">
        <f t="shared" si="6"/>
        <v>2</v>
      </c>
      <c r="DU58" s="117">
        <f t="shared" si="6"/>
        <v>2</v>
      </c>
      <c r="DV58" s="117">
        <f t="shared" si="6"/>
        <v>2</v>
      </c>
      <c r="DW58" s="117">
        <f t="shared" si="6"/>
        <v>2</v>
      </c>
      <c r="DX58" s="117">
        <f t="shared" si="6"/>
        <v>2</v>
      </c>
      <c r="DY58" s="117">
        <f t="shared" si="6"/>
        <v>2</v>
      </c>
      <c r="DZ58" s="117">
        <f t="shared" si="6"/>
        <v>2</v>
      </c>
      <c r="EA58" s="117">
        <f t="shared" si="6"/>
        <v>2</v>
      </c>
      <c r="EB58" s="117">
        <f t="shared" si="6"/>
        <v>2</v>
      </c>
      <c r="EC58" s="117">
        <f t="shared" si="6"/>
        <v>2</v>
      </c>
      <c r="ED58" s="117">
        <f t="shared" si="7"/>
        <v>2</v>
      </c>
      <c r="EE58" s="117">
        <f t="shared" si="7"/>
        <v>2</v>
      </c>
      <c r="EF58" s="117">
        <f t="shared" si="7"/>
        <v>2</v>
      </c>
      <c r="EG58" s="117">
        <f t="shared" si="7"/>
        <v>2</v>
      </c>
      <c r="EH58" s="117">
        <f t="shared" si="7"/>
        <v>2</v>
      </c>
      <c r="EI58" s="117">
        <f t="shared" si="7"/>
        <v>2</v>
      </c>
      <c r="EJ58" s="117">
        <f t="shared" si="7"/>
        <v>2</v>
      </c>
      <c r="EK58" s="117">
        <f t="shared" si="7"/>
        <v>2</v>
      </c>
      <c r="EL58" s="117">
        <f t="shared" si="7"/>
        <v>2</v>
      </c>
      <c r="EM58" s="117">
        <f t="shared" si="7"/>
        <v>2</v>
      </c>
      <c r="EN58" s="117">
        <f t="shared" si="7"/>
        <v>2</v>
      </c>
      <c r="EO58" s="117">
        <f t="shared" si="7"/>
        <v>2</v>
      </c>
      <c r="EP58" s="117">
        <f t="shared" si="7"/>
        <v>2</v>
      </c>
      <c r="EQ58" s="117">
        <f t="shared" si="7"/>
        <v>2</v>
      </c>
      <c r="ER58" s="117">
        <f t="shared" si="7"/>
        <v>2</v>
      </c>
      <c r="ES58" s="117">
        <f t="shared" si="7"/>
        <v>2</v>
      </c>
      <c r="ET58" s="117">
        <f t="shared" si="8"/>
        <v>2</v>
      </c>
      <c r="EU58" s="117">
        <f t="shared" si="8"/>
        <v>2</v>
      </c>
      <c r="EV58" s="117">
        <f t="shared" si="8"/>
        <v>2</v>
      </c>
      <c r="EW58" s="117">
        <f t="shared" si="8"/>
        <v>2</v>
      </c>
      <c r="EX58" s="117">
        <f t="shared" si="8"/>
        <v>2</v>
      </c>
      <c r="EY58" s="117">
        <f t="shared" si="8"/>
        <v>2</v>
      </c>
      <c r="EZ58" s="117">
        <f t="shared" si="8"/>
        <v>2</v>
      </c>
      <c r="FA58" s="117">
        <f t="shared" si="8"/>
        <v>2</v>
      </c>
      <c r="FB58" s="117">
        <f t="shared" si="8"/>
        <v>2</v>
      </c>
      <c r="FC58" s="117">
        <f t="shared" si="8"/>
        <v>2</v>
      </c>
      <c r="FD58" s="117">
        <f t="shared" si="8"/>
        <v>2</v>
      </c>
      <c r="FE58" s="117">
        <f t="shared" si="8"/>
        <v>2</v>
      </c>
      <c r="FF58" s="117">
        <f t="shared" si="8"/>
        <v>2</v>
      </c>
      <c r="FG58" s="117">
        <f t="shared" si="8"/>
        <v>2</v>
      </c>
      <c r="FH58" s="117">
        <f t="shared" si="8"/>
        <v>2</v>
      </c>
      <c r="FI58" s="117">
        <f t="shared" si="8"/>
        <v>2</v>
      </c>
      <c r="FJ58" s="117">
        <f t="shared" si="9"/>
        <v>2</v>
      </c>
      <c r="FK58" s="117">
        <f t="shared" si="9"/>
        <v>2</v>
      </c>
      <c r="FL58" s="117">
        <f t="shared" si="9"/>
        <v>2</v>
      </c>
      <c r="FM58" s="117">
        <f t="shared" si="9"/>
        <v>2</v>
      </c>
      <c r="FN58" s="117">
        <f t="shared" si="9"/>
        <v>2</v>
      </c>
      <c r="FO58" s="117">
        <f t="shared" si="9"/>
        <v>2</v>
      </c>
      <c r="FP58" s="117">
        <f t="shared" si="9"/>
        <v>2</v>
      </c>
      <c r="FQ58" s="117">
        <f t="shared" si="9"/>
        <v>2</v>
      </c>
      <c r="FR58" s="117">
        <f t="shared" si="9"/>
        <v>2</v>
      </c>
      <c r="FS58" s="117">
        <f t="shared" si="9"/>
        <v>2</v>
      </c>
      <c r="FT58" s="117">
        <f t="shared" si="9"/>
        <v>2</v>
      </c>
      <c r="FU58" s="117">
        <f t="shared" si="9"/>
        <v>2</v>
      </c>
      <c r="FV58" s="117">
        <f t="shared" si="9"/>
        <v>2</v>
      </c>
      <c r="FW58" s="117">
        <f t="shared" si="9"/>
        <v>2</v>
      </c>
      <c r="FX58" s="117">
        <f t="shared" si="9"/>
        <v>2</v>
      </c>
      <c r="FY58" s="117">
        <f t="shared" si="9"/>
        <v>2</v>
      </c>
      <c r="FZ58" s="117">
        <f t="shared" si="10"/>
        <v>2</v>
      </c>
      <c r="GA58" s="117">
        <f t="shared" si="10"/>
        <v>2</v>
      </c>
      <c r="GB58" s="117">
        <f t="shared" si="10"/>
        <v>2</v>
      </c>
      <c r="GC58" s="117">
        <f t="shared" si="10"/>
        <v>2</v>
      </c>
      <c r="GD58" s="117">
        <f t="shared" si="10"/>
        <v>2</v>
      </c>
      <c r="GE58" s="117">
        <f t="shared" si="10"/>
        <v>2</v>
      </c>
      <c r="GF58" s="117">
        <f t="shared" si="10"/>
        <v>2</v>
      </c>
      <c r="GG58" s="117">
        <f t="shared" si="10"/>
        <v>2</v>
      </c>
      <c r="GH58" s="117">
        <f t="shared" si="10"/>
        <v>2</v>
      </c>
      <c r="GI58" s="117">
        <f t="shared" si="10"/>
        <v>2</v>
      </c>
      <c r="GJ58" s="117">
        <f t="shared" si="10"/>
        <v>2</v>
      </c>
      <c r="GK58" s="117">
        <f t="shared" si="10"/>
        <v>2</v>
      </c>
      <c r="GL58" s="117">
        <f t="shared" si="10"/>
        <v>2</v>
      </c>
      <c r="GM58" s="117">
        <f t="shared" si="10"/>
        <v>2</v>
      </c>
      <c r="GN58" s="117">
        <f t="shared" si="10"/>
        <v>2</v>
      </c>
      <c r="GO58" s="117">
        <f t="shared" si="10"/>
        <v>2</v>
      </c>
      <c r="GP58" s="117">
        <f t="shared" si="11"/>
        <v>2</v>
      </c>
      <c r="GQ58" s="117">
        <f t="shared" si="11"/>
        <v>2</v>
      </c>
      <c r="GR58" s="117">
        <f t="shared" si="11"/>
        <v>2</v>
      </c>
      <c r="GS58" s="117">
        <f t="shared" si="11"/>
        <v>2</v>
      </c>
      <c r="GT58" s="117">
        <f t="shared" si="11"/>
        <v>2</v>
      </c>
      <c r="GU58" s="117">
        <f t="shared" si="11"/>
        <v>2</v>
      </c>
      <c r="GV58" s="117">
        <f t="shared" si="11"/>
        <v>2</v>
      </c>
      <c r="GW58" s="117">
        <f t="shared" si="11"/>
        <v>2</v>
      </c>
      <c r="GX58" s="117">
        <f t="shared" si="11"/>
        <v>2</v>
      </c>
      <c r="GY58" s="117">
        <f t="shared" si="11"/>
        <v>2</v>
      </c>
      <c r="GZ58" s="117">
        <f t="shared" si="11"/>
        <v>2</v>
      </c>
      <c r="HA58" s="117">
        <f t="shared" si="11"/>
        <v>2</v>
      </c>
      <c r="HB58" s="117">
        <f t="shared" si="11"/>
        <v>2</v>
      </c>
      <c r="HC58" s="117">
        <f t="shared" si="11"/>
        <v>2</v>
      </c>
      <c r="HD58" s="117">
        <f t="shared" si="11"/>
        <v>2</v>
      </c>
      <c r="HE58" s="117">
        <f t="shared" si="11"/>
        <v>2</v>
      </c>
      <c r="HF58" s="117">
        <f t="shared" si="12"/>
        <v>2</v>
      </c>
      <c r="HG58" s="117">
        <f t="shared" si="12"/>
        <v>2</v>
      </c>
      <c r="HH58" s="117">
        <f t="shared" si="12"/>
        <v>2</v>
      </c>
      <c r="HI58" s="117">
        <f t="shared" si="12"/>
        <v>2</v>
      </c>
      <c r="HJ58" s="117">
        <f t="shared" si="12"/>
        <v>2</v>
      </c>
      <c r="HK58" s="117">
        <f t="shared" si="12"/>
        <v>2</v>
      </c>
      <c r="HL58" s="117">
        <f t="shared" si="12"/>
        <v>2</v>
      </c>
      <c r="HM58" s="117">
        <f t="shared" si="12"/>
        <v>2</v>
      </c>
      <c r="HN58" s="117">
        <f t="shared" si="12"/>
        <v>2</v>
      </c>
      <c r="HO58" s="117">
        <f t="shared" si="12"/>
        <v>2</v>
      </c>
      <c r="HP58" s="117">
        <f t="shared" si="12"/>
        <v>2</v>
      </c>
      <c r="HQ58" s="117">
        <f t="shared" si="12"/>
        <v>2</v>
      </c>
      <c r="HR58" s="117">
        <f t="shared" si="12"/>
        <v>2</v>
      </c>
      <c r="HS58" s="117">
        <f t="shared" si="12"/>
        <v>2</v>
      </c>
      <c r="HT58" s="117">
        <f t="shared" si="12"/>
        <v>2</v>
      </c>
      <c r="HU58" s="117">
        <f t="shared" si="12"/>
        <v>2</v>
      </c>
      <c r="HV58" s="117">
        <f t="shared" si="13"/>
        <v>2</v>
      </c>
      <c r="HW58" s="117">
        <f t="shared" si="13"/>
        <v>2</v>
      </c>
      <c r="HX58" s="117">
        <f t="shared" si="13"/>
        <v>2</v>
      </c>
      <c r="HY58" s="117">
        <f t="shared" si="13"/>
        <v>2</v>
      </c>
      <c r="HZ58" s="117">
        <f t="shared" si="13"/>
        <v>2</v>
      </c>
      <c r="IA58" s="117">
        <f t="shared" si="13"/>
        <v>2</v>
      </c>
      <c r="IB58" s="117">
        <f t="shared" si="13"/>
        <v>2</v>
      </c>
      <c r="IC58" s="117">
        <f t="shared" si="13"/>
        <v>2</v>
      </c>
      <c r="ID58" s="117">
        <f t="shared" si="13"/>
        <v>2</v>
      </c>
      <c r="IE58" s="117">
        <f t="shared" si="13"/>
        <v>2</v>
      </c>
      <c r="IF58" s="117">
        <f t="shared" si="13"/>
        <v>2</v>
      </c>
      <c r="IG58" s="117">
        <f t="shared" si="13"/>
        <v>2</v>
      </c>
      <c r="IH58" s="117">
        <f t="shared" si="13"/>
        <v>2</v>
      </c>
      <c r="II58" s="117">
        <f t="shared" si="13"/>
        <v>2</v>
      </c>
      <c r="IJ58" s="117">
        <f t="shared" si="13"/>
        <v>2</v>
      </c>
      <c r="IK58" s="117">
        <f t="shared" si="13"/>
        <v>2</v>
      </c>
      <c r="IL58" s="117">
        <f t="shared" si="14"/>
        <v>2</v>
      </c>
      <c r="IM58" s="117">
        <f t="shared" si="14"/>
        <v>2</v>
      </c>
      <c r="IN58" s="117">
        <f t="shared" si="14"/>
        <v>2</v>
      </c>
      <c r="IO58" s="117">
        <f t="shared" si="14"/>
        <v>2</v>
      </c>
      <c r="IP58" s="117">
        <f t="shared" si="14"/>
        <v>2</v>
      </c>
      <c r="IQ58" s="117">
        <f t="shared" si="14"/>
        <v>2</v>
      </c>
      <c r="IR58" s="117">
        <f t="shared" si="14"/>
        <v>2</v>
      </c>
      <c r="IS58" s="117">
        <f t="shared" si="14"/>
        <v>2</v>
      </c>
      <c r="IT58" s="117">
        <f t="shared" si="14"/>
        <v>2</v>
      </c>
      <c r="IU58" s="117">
        <f t="shared" si="14"/>
        <v>2</v>
      </c>
      <c r="IV58" s="117">
        <f>+IF(T58="",1,2)</f>
        <v>1</v>
      </c>
    </row>
    <row r="59" spans="1:256" s="117" customFormat="1" x14ac:dyDescent="0.2">
      <c r="A59" s="124" t="s">
        <v>66</v>
      </c>
      <c r="B59" s="92"/>
      <c r="C59" s="158"/>
      <c r="D59" s="158"/>
      <c r="E59" s="92"/>
      <c r="F59" s="92"/>
      <c r="G59" s="146"/>
      <c r="H59" s="92"/>
      <c r="I59" s="92"/>
      <c r="J59" s="124"/>
      <c r="K59" s="92"/>
      <c r="L59" s="92"/>
      <c r="M59" s="159"/>
      <c r="N59" s="163"/>
      <c r="O59" s="337"/>
      <c r="P59" s="340"/>
      <c r="Q59" s="340"/>
      <c r="R59" s="92"/>
      <c r="S59" s="92"/>
      <c r="T59" s="92"/>
      <c r="U59" s="117">
        <f>+SUM(U55:U58)</f>
        <v>4</v>
      </c>
      <c r="V59" s="117">
        <f t="shared" ref="V59:CG59" si="15">+SUM(V55:V58)</f>
        <v>3</v>
      </c>
      <c r="W59" s="117">
        <f t="shared" si="15"/>
        <v>6</v>
      </c>
      <c r="X59" s="117">
        <f t="shared" si="15"/>
        <v>6</v>
      </c>
      <c r="Y59" s="117">
        <f t="shared" si="15"/>
        <v>6</v>
      </c>
      <c r="Z59" s="117">
        <f t="shared" si="15"/>
        <v>6</v>
      </c>
      <c r="AA59" s="117">
        <f t="shared" si="15"/>
        <v>6</v>
      </c>
      <c r="AB59" s="117">
        <f t="shared" si="15"/>
        <v>6</v>
      </c>
      <c r="AC59" s="117">
        <f t="shared" si="15"/>
        <v>6</v>
      </c>
      <c r="AD59" s="117">
        <f t="shared" si="15"/>
        <v>6</v>
      </c>
      <c r="AE59" s="117">
        <f t="shared" si="15"/>
        <v>6</v>
      </c>
      <c r="AF59" s="117">
        <f t="shared" si="15"/>
        <v>6</v>
      </c>
      <c r="AG59" s="117">
        <f t="shared" si="15"/>
        <v>6</v>
      </c>
      <c r="AH59" s="117">
        <f t="shared" si="15"/>
        <v>6</v>
      </c>
      <c r="AI59" s="117">
        <f t="shared" si="15"/>
        <v>6</v>
      </c>
      <c r="AJ59" s="117">
        <f t="shared" si="15"/>
        <v>6</v>
      </c>
      <c r="AK59" s="117">
        <f t="shared" si="15"/>
        <v>6</v>
      </c>
      <c r="AL59" s="117">
        <f t="shared" si="15"/>
        <v>6</v>
      </c>
      <c r="AM59" s="117">
        <f t="shared" si="15"/>
        <v>6</v>
      </c>
      <c r="AN59" s="117">
        <f t="shared" si="15"/>
        <v>6</v>
      </c>
      <c r="AO59" s="117">
        <f t="shared" si="15"/>
        <v>6</v>
      </c>
      <c r="AP59" s="117">
        <f t="shared" si="15"/>
        <v>6</v>
      </c>
      <c r="AQ59" s="117">
        <f t="shared" si="15"/>
        <v>6</v>
      </c>
      <c r="AR59" s="117">
        <f t="shared" si="15"/>
        <v>6</v>
      </c>
      <c r="AS59" s="117">
        <f t="shared" si="15"/>
        <v>6</v>
      </c>
      <c r="AT59" s="117">
        <f t="shared" si="15"/>
        <v>6</v>
      </c>
      <c r="AU59" s="117">
        <f t="shared" si="15"/>
        <v>6</v>
      </c>
      <c r="AV59" s="117">
        <f t="shared" si="15"/>
        <v>6</v>
      </c>
      <c r="AW59" s="117">
        <f t="shared" si="15"/>
        <v>6</v>
      </c>
      <c r="AX59" s="117">
        <f t="shared" si="15"/>
        <v>6</v>
      </c>
      <c r="AY59" s="117">
        <f t="shared" si="15"/>
        <v>6</v>
      </c>
      <c r="AZ59" s="117">
        <f t="shared" si="15"/>
        <v>6</v>
      </c>
      <c r="BA59" s="117">
        <f t="shared" si="15"/>
        <v>6</v>
      </c>
      <c r="BB59" s="117">
        <f t="shared" si="15"/>
        <v>6</v>
      </c>
      <c r="BC59" s="117">
        <f t="shared" si="15"/>
        <v>6</v>
      </c>
      <c r="BD59" s="117">
        <f t="shared" si="15"/>
        <v>6</v>
      </c>
      <c r="BE59" s="117">
        <f t="shared" si="15"/>
        <v>6</v>
      </c>
      <c r="BF59" s="117">
        <f t="shared" si="15"/>
        <v>6</v>
      </c>
      <c r="BG59" s="117">
        <f t="shared" si="15"/>
        <v>6</v>
      </c>
      <c r="BH59" s="117">
        <f t="shared" si="15"/>
        <v>6</v>
      </c>
      <c r="BI59" s="117">
        <f t="shared" si="15"/>
        <v>6</v>
      </c>
      <c r="BJ59" s="117">
        <f t="shared" si="15"/>
        <v>6</v>
      </c>
      <c r="BK59" s="117">
        <f t="shared" si="15"/>
        <v>6</v>
      </c>
      <c r="BL59" s="117">
        <f t="shared" si="15"/>
        <v>6</v>
      </c>
      <c r="BM59" s="117">
        <f t="shared" si="15"/>
        <v>6</v>
      </c>
      <c r="BN59" s="117">
        <f t="shared" si="15"/>
        <v>6</v>
      </c>
      <c r="BO59" s="117">
        <f t="shared" si="15"/>
        <v>6</v>
      </c>
      <c r="BP59" s="117">
        <f t="shared" si="15"/>
        <v>6</v>
      </c>
      <c r="BQ59" s="117">
        <f t="shared" si="15"/>
        <v>6</v>
      </c>
      <c r="BR59" s="117">
        <f t="shared" si="15"/>
        <v>6</v>
      </c>
      <c r="BS59" s="117">
        <f t="shared" si="15"/>
        <v>6</v>
      </c>
      <c r="BT59" s="117">
        <f t="shared" si="15"/>
        <v>6</v>
      </c>
      <c r="BU59" s="117">
        <f t="shared" si="15"/>
        <v>6</v>
      </c>
      <c r="BV59" s="117">
        <f t="shared" si="15"/>
        <v>6</v>
      </c>
      <c r="BW59" s="117">
        <f t="shared" si="15"/>
        <v>6</v>
      </c>
      <c r="BX59" s="117">
        <f t="shared" si="15"/>
        <v>6</v>
      </c>
      <c r="BY59" s="117">
        <f t="shared" si="15"/>
        <v>6</v>
      </c>
      <c r="BZ59" s="117">
        <f t="shared" si="15"/>
        <v>6</v>
      </c>
      <c r="CA59" s="117">
        <f t="shared" si="15"/>
        <v>6</v>
      </c>
      <c r="CB59" s="117">
        <f t="shared" si="15"/>
        <v>6</v>
      </c>
      <c r="CC59" s="117">
        <f t="shared" si="15"/>
        <v>6</v>
      </c>
      <c r="CD59" s="117">
        <f t="shared" si="15"/>
        <v>6</v>
      </c>
      <c r="CE59" s="117">
        <f t="shared" si="15"/>
        <v>6</v>
      </c>
      <c r="CF59" s="117">
        <f t="shared" si="15"/>
        <v>6</v>
      </c>
      <c r="CG59" s="117">
        <f t="shared" si="15"/>
        <v>6</v>
      </c>
      <c r="CH59" s="117">
        <f t="shared" ref="CH59:ES59" si="16">+SUM(CH55:CH58)</f>
        <v>6</v>
      </c>
      <c r="CI59" s="117">
        <f t="shared" si="16"/>
        <v>6</v>
      </c>
      <c r="CJ59" s="117">
        <f t="shared" si="16"/>
        <v>6</v>
      </c>
      <c r="CK59" s="117">
        <f t="shared" si="16"/>
        <v>6</v>
      </c>
      <c r="CL59" s="117">
        <f t="shared" si="16"/>
        <v>6</v>
      </c>
      <c r="CM59" s="117">
        <f t="shared" si="16"/>
        <v>6</v>
      </c>
      <c r="CN59" s="117">
        <f t="shared" si="16"/>
        <v>6</v>
      </c>
      <c r="CO59" s="117">
        <f t="shared" si="16"/>
        <v>6</v>
      </c>
      <c r="CP59" s="117">
        <f t="shared" si="16"/>
        <v>6</v>
      </c>
      <c r="CQ59" s="117">
        <f t="shared" si="16"/>
        <v>6</v>
      </c>
      <c r="CR59" s="117">
        <f t="shared" si="16"/>
        <v>6</v>
      </c>
      <c r="CS59" s="117">
        <f t="shared" si="16"/>
        <v>6</v>
      </c>
      <c r="CT59" s="117">
        <f t="shared" si="16"/>
        <v>6</v>
      </c>
      <c r="CU59" s="117">
        <f t="shared" si="16"/>
        <v>6</v>
      </c>
      <c r="CV59" s="117">
        <f t="shared" si="16"/>
        <v>6</v>
      </c>
      <c r="CW59" s="117">
        <f t="shared" si="16"/>
        <v>6</v>
      </c>
      <c r="CX59" s="117">
        <f t="shared" si="16"/>
        <v>6</v>
      </c>
      <c r="CY59" s="117">
        <f t="shared" si="16"/>
        <v>6</v>
      </c>
      <c r="CZ59" s="117">
        <f t="shared" si="16"/>
        <v>6</v>
      </c>
      <c r="DA59" s="117">
        <f t="shared" si="16"/>
        <v>6</v>
      </c>
      <c r="DB59" s="117">
        <f t="shared" si="16"/>
        <v>6</v>
      </c>
      <c r="DC59" s="117">
        <f t="shared" si="16"/>
        <v>6</v>
      </c>
      <c r="DD59" s="117">
        <f t="shared" si="16"/>
        <v>6</v>
      </c>
      <c r="DE59" s="117">
        <f t="shared" si="16"/>
        <v>6</v>
      </c>
      <c r="DF59" s="117">
        <f t="shared" si="16"/>
        <v>6</v>
      </c>
      <c r="DG59" s="117">
        <f t="shared" si="16"/>
        <v>6</v>
      </c>
      <c r="DH59" s="117">
        <f t="shared" si="16"/>
        <v>6</v>
      </c>
      <c r="DI59" s="117">
        <f t="shared" si="16"/>
        <v>6</v>
      </c>
      <c r="DJ59" s="117">
        <f t="shared" si="16"/>
        <v>6</v>
      </c>
      <c r="DK59" s="117">
        <f t="shared" si="16"/>
        <v>6</v>
      </c>
      <c r="DL59" s="117">
        <f t="shared" si="16"/>
        <v>6</v>
      </c>
      <c r="DM59" s="117">
        <f t="shared" si="16"/>
        <v>6</v>
      </c>
      <c r="DN59" s="117">
        <f t="shared" si="16"/>
        <v>6</v>
      </c>
      <c r="DO59" s="117">
        <f t="shared" si="16"/>
        <v>6</v>
      </c>
      <c r="DP59" s="117">
        <f t="shared" si="16"/>
        <v>6</v>
      </c>
      <c r="DQ59" s="117">
        <f t="shared" si="16"/>
        <v>6</v>
      </c>
      <c r="DR59" s="117">
        <f t="shared" si="16"/>
        <v>6</v>
      </c>
      <c r="DS59" s="117">
        <f t="shared" si="16"/>
        <v>6</v>
      </c>
      <c r="DT59" s="117">
        <f t="shared" si="16"/>
        <v>6</v>
      </c>
      <c r="DU59" s="117">
        <f t="shared" si="16"/>
        <v>6</v>
      </c>
      <c r="DV59" s="117">
        <f t="shared" si="16"/>
        <v>6</v>
      </c>
      <c r="DW59" s="117">
        <f t="shared" si="16"/>
        <v>6</v>
      </c>
      <c r="DX59" s="117">
        <f t="shared" si="16"/>
        <v>6</v>
      </c>
      <c r="DY59" s="117">
        <f t="shared" si="16"/>
        <v>6</v>
      </c>
      <c r="DZ59" s="117">
        <f t="shared" si="16"/>
        <v>6</v>
      </c>
      <c r="EA59" s="117">
        <f t="shared" si="16"/>
        <v>6</v>
      </c>
      <c r="EB59" s="117">
        <f t="shared" si="16"/>
        <v>6</v>
      </c>
      <c r="EC59" s="117">
        <f t="shared" si="16"/>
        <v>6</v>
      </c>
      <c r="ED59" s="117">
        <f t="shared" si="16"/>
        <v>6</v>
      </c>
      <c r="EE59" s="117">
        <f t="shared" si="16"/>
        <v>6</v>
      </c>
      <c r="EF59" s="117">
        <f t="shared" si="16"/>
        <v>6</v>
      </c>
      <c r="EG59" s="117">
        <f t="shared" si="16"/>
        <v>6</v>
      </c>
      <c r="EH59" s="117">
        <f t="shared" si="16"/>
        <v>6</v>
      </c>
      <c r="EI59" s="117">
        <f t="shared" si="16"/>
        <v>6</v>
      </c>
      <c r="EJ59" s="117">
        <f t="shared" si="16"/>
        <v>6</v>
      </c>
      <c r="EK59" s="117">
        <f t="shared" si="16"/>
        <v>6</v>
      </c>
      <c r="EL59" s="117">
        <f t="shared" si="16"/>
        <v>6</v>
      </c>
      <c r="EM59" s="117">
        <f t="shared" si="16"/>
        <v>6</v>
      </c>
      <c r="EN59" s="117">
        <f t="shared" si="16"/>
        <v>6</v>
      </c>
      <c r="EO59" s="117">
        <f t="shared" si="16"/>
        <v>6</v>
      </c>
      <c r="EP59" s="117">
        <f t="shared" si="16"/>
        <v>6</v>
      </c>
      <c r="EQ59" s="117">
        <f t="shared" si="16"/>
        <v>6</v>
      </c>
      <c r="ER59" s="117">
        <f t="shared" si="16"/>
        <v>6</v>
      </c>
      <c r="ES59" s="117">
        <f t="shared" si="16"/>
        <v>6</v>
      </c>
      <c r="ET59" s="117">
        <f t="shared" ref="ET59:HE59" si="17">+SUM(ET55:ET58)</f>
        <v>6</v>
      </c>
      <c r="EU59" s="117">
        <f t="shared" si="17"/>
        <v>6</v>
      </c>
      <c r="EV59" s="117">
        <f t="shared" si="17"/>
        <v>6</v>
      </c>
      <c r="EW59" s="117">
        <f t="shared" si="17"/>
        <v>6</v>
      </c>
      <c r="EX59" s="117">
        <f t="shared" si="17"/>
        <v>6</v>
      </c>
      <c r="EY59" s="117">
        <f t="shared" si="17"/>
        <v>6</v>
      </c>
      <c r="EZ59" s="117">
        <f t="shared" si="17"/>
        <v>6</v>
      </c>
      <c r="FA59" s="117">
        <f t="shared" si="17"/>
        <v>6</v>
      </c>
      <c r="FB59" s="117">
        <f t="shared" si="17"/>
        <v>6</v>
      </c>
      <c r="FC59" s="117">
        <f t="shared" si="17"/>
        <v>6</v>
      </c>
      <c r="FD59" s="117">
        <f t="shared" si="17"/>
        <v>6</v>
      </c>
      <c r="FE59" s="117">
        <f t="shared" si="17"/>
        <v>6</v>
      </c>
      <c r="FF59" s="117">
        <f t="shared" si="17"/>
        <v>6</v>
      </c>
      <c r="FG59" s="117">
        <f t="shared" si="17"/>
        <v>6</v>
      </c>
      <c r="FH59" s="117">
        <f t="shared" si="17"/>
        <v>6</v>
      </c>
      <c r="FI59" s="117">
        <f t="shared" si="17"/>
        <v>6</v>
      </c>
      <c r="FJ59" s="117">
        <f t="shared" si="17"/>
        <v>6</v>
      </c>
      <c r="FK59" s="117">
        <f t="shared" si="17"/>
        <v>6</v>
      </c>
      <c r="FL59" s="117">
        <f t="shared" si="17"/>
        <v>6</v>
      </c>
      <c r="FM59" s="117">
        <f t="shared" si="17"/>
        <v>6</v>
      </c>
      <c r="FN59" s="117">
        <f t="shared" si="17"/>
        <v>6</v>
      </c>
      <c r="FO59" s="117">
        <f t="shared" si="17"/>
        <v>6</v>
      </c>
      <c r="FP59" s="117">
        <f t="shared" si="17"/>
        <v>6</v>
      </c>
      <c r="FQ59" s="117">
        <f t="shared" si="17"/>
        <v>6</v>
      </c>
      <c r="FR59" s="117">
        <f t="shared" si="17"/>
        <v>6</v>
      </c>
      <c r="FS59" s="117">
        <f t="shared" si="17"/>
        <v>6</v>
      </c>
      <c r="FT59" s="117">
        <f t="shared" si="17"/>
        <v>6</v>
      </c>
      <c r="FU59" s="117">
        <f t="shared" si="17"/>
        <v>6</v>
      </c>
      <c r="FV59" s="117">
        <f t="shared" si="17"/>
        <v>6</v>
      </c>
      <c r="FW59" s="117">
        <f t="shared" si="17"/>
        <v>6</v>
      </c>
      <c r="FX59" s="117">
        <f t="shared" si="17"/>
        <v>6</v>
      </c>
      <c r="FY59" s="117">
        <f t="shared" si="17"/>
        <v>6</v>
      </c>
      <c r="FZ59" s="117">
        <f t="shared" si="17"/>
        <v>6</v>
      </c>
      <c r="GA59" s="117">
        <f t="shared" si="17"/>
        <v>6</v>
      </c>
      <c r="GB59" s="117">
        <f t="shared" si="17"/>
        <v>6</v>
      </c>
      <c r="GC59" s="117">
        <f t="shared" si="17"/>
        <v>6</v>
      </c>
      <c r="GD59" s="117">
        <f t="shared" si="17"/>
        <v>6</v>
      </c>
      <c r="GE59" s="117">
        <f t="shared" si="17"/>
        <v>6</v>
      </c>
      <c r="GF59" s="117">
        <f t="shared" si="17"/>
        <v>6</v>
      </c>
      <c r="GG59" s="117">
        <f t="shared" si="17"/>
        <v>6</v>
      </c>
      <c r="GH59" s="117">
        <f t="shared" si="17"/>
        <v>6</v>
      </c>
      <c r="GI59" s="117">
        <f t="shared" si="17"/>
        <v>6</v>
      </c>
      <c r="GJ59" s="117">
        <f t="shared" si="17"/>
        <v>6</v>
      </c>
      <c r="GK59" s="117">
        <f t="shared" si="17"/>
        <v>6</v>
      </c>
      <c r="GL59" s="117">
        <f t="shared" si="17"/>
        <v>6</v>
      </c>
      <c r="GM59" s="117">
        <f t="shared" si="17"/>
        <v>6</v>
      </c>
      <c r="GN59" s="117">
        <f t="shared" si="17"/>
        <v>6</v>
      </c>
      <c r="GO59" s="117">
        <f t="shared" si="17"/>
        <v>6</v>
      </c>
      <c r="GP59" s="117">
        <f t="shared" si="17"/>
        <v>6</v>
      </c>
      <c r="GQ59" s="117">
        <f t="shared" si="17"/>
        <v>6</v>
      </c>
      <c r="GR59" s="117">
        <f t="shared" si="17"/>
        <v>6</v>
      </c>
      <c r="GS59" s="117">
        <f t="shared" si="17"/>
        <v>6</v>
      </c>
      <c r="GT59" s="117">
        <f t="shared" si="17"/>
        <v>6</v>
      </c>
      <c r="GU59" s="117">
        <f t="shared" si="17"/>
        <v>6</v>
      </c>
      <c r="GV59" s="117">
        <f t="shared" si="17"/>
        <v>6</v>
      </c>
      <c r="GW59" s="117">
        <f t="shared" si="17"/>
        <v>6</v>
      </c>
      <c r="GX59" s="117">
        <f t="shared" si="17"/>
        <v>6</v>
      </c>
      <c r="GY59" s="117">
        <f t="shared" si="17"/>
        <v>6</v>
      </c>
      <c r="GZ59" s="117">
        <f t="shared" si="17"/>
        <v>6</v>
      </c>
      <c r="HA59" s="117">
        <f t="shared" si="17"/>
        <v>6</v>
      </c>
      <c r="HB59" s="117">
        <f t="shared" si="17"/>
        <v>6</v>
      </c>
      <c r="HC59" s="117">
        <f t="shared" si="17"/>
        <v>6</v>
      </c>
      <c r="HD59" s="117">
        <f t="shared" si="17"/>
        <v>6</v>
      </c>
      <c r="HE59" s="117">
        <f t="shared" si="17"/>
        <v>6</v>
      </c>
      <c r="HF59" s="117">
        <f t="shared" ref="HF59:IV59" si="18">+SUM(HF55:HF58)</f>
        <v>6</v>
      </c>
      <c r="HG59" s="117">
        <f t="shared" si="18"/>
        <v>6</v>
      </c>
      <c r="HH59" s="117">
        <f t="shared" si="18"/>
        <v>6</v>
      </c>
      <c r="HI59" s="117">
        <f t="shared" si="18"/>
        <v>6</v>
      </c>
      <c r="HJ59" s="117">
        <f t="shared" si="18"/>
        <v>6</v>
      </c>
      <c r="HK59" s="117">
        <f t="shared" si="18"/>
        <v>6</v>
      </c>
      <c r="HL59" s="117">
        <f t="shared" si="18"/>
        <v>6</v>
      </c>
      <c r="HM59" s="117">
        <f t="shared" si="18"/>
        <v>6</v>
      </c>
      <c r="HN59" s="117">
        <f t="shared" si="18"/>
        <v>6</v>
      </c>
      <c r="HO59" s="117">
        <f t="shared" si="18"/>
        <v>6</v>
      </c>
      <c r="HP59" s="117">
        <f t="shared" si="18"/>
        <v>6</v>
      </c>
      <c r="HQ59" s="117">
        <f t="shared" si="18"/>
        <v>6</v>
      </c>
      <c r="HR59" s="117">
        <f t="shared" si="18"/>
        <v>6</v>
      </c>
      <c r="HS59" s="117">
        <f t="shared" si="18"/>
        <v>6</v>
      </c>
      <c r="HT59" s="117">
        <f t="shared" si="18"/>
        <v>6</v>
      </c>
      <c r="HU59" s="117">
        <f t="shared" si="18"/>
        <v>6</v>
      </c>
      <c r="HV59" s="117">
        <f t="shared" si="18"/>
        <v>6</v>
      </c>
      <c r="HW59" s="117">
        <f t="shared" si="18"/>
        <v>6</v>
      </c>
      <c r="HX59" s="117">
        <f t="shared" si="18"/>
        <v>6</v>
      </c>
      <c r="HY59" s="117">
        <f t="shared" si="18"/>
        <v>6</v>
      </c>
      <c r="HZ59" s="117">
        <f t="shared" si="18"/>
        <v>6</v>
      </c>
      <c r="IA59" s="117">
        <f t="shared" si="18"/>
        <v>6</v>
      </c>
      <c r="IB59" s="117">
        <f t="shared" si="18"/>
        <v>6</v>
      </c>
      <c r="IC59" s="117">
        <f t="shared" si="18"/>
        <v>6</v>
      </c>
      <c r="ID59" s="117">
        <f t="shared" si="18"/>
        <v>6</v>
      </c>
      <c r="IE59" s="117">
        <f t="shared" si="18"/>
        <v>6</v>
      </c>
      <c r="IF59" s="117">
        <f t="shared" si="18"/>
        <v>6</v>
      </c>
      <c r="IG59" s="117">
        <f t="shared" si="18"/>
        <v>6</v>
      </c>
      <c r="IH59" s="117">
        <f t="shared" si="18"/>
        <v>6</v>
      </c>
      <c r="II59" s="117">
        <f t="shared" si="18"/>
        <v>6</v>
      </c>
      <c r="IJ59" s="117">
        <f t="shared" si="18"/>
        <v>6</v>
      </c>
      <c r="IK59" s="117">
        <f t="shared" si="18"/>
        <v>6</v>
      </c>
      <c r="IL59" s="117">
        <f t="shared" si="18"/>
        <v>6</v>
      </c>
      <c r="IM59" s="117" t="e">
        <f t="shared" si="18"/>
        <v>#REF!</v>
      </c>
      <c r="IN59" s="117" t="e">
        <f t="shared" si="18"/>
        <v>#REF!</v>
      </c>
      <c r="IO59" s="117" t="e">
        <f t="shared" si="18"/>
        <v>#REF!</v>
      </c>
      <c r="IP59" s="117" t="e">
        <f t="shared" si="18"/>
        <v>#REF!</v>
      </c>
      <c r="IQ59" s="117" t="e">
        <f t="shared" si="18"/>
        <v>#REF!</v>
      </c>
      <c r="IR59" s="117" t="e">
        <f t="shared" si="18"/>
        <v>#REF!</v>
      </c>
      <c r="IS59" s="117" t="e">
        <f t="shared" si="18"/>
        <v>#REF!</v>
      </c>
      <c r="IT59" s="117" t="e">
        <f t="shared" si="18"/>
        <v>#REF!</v>
      </c>
      <c r="IU59" s="117" t="e">
        <f t="shared" si="18"/>
        <v>#REF!</v>
      </c>
      <c r="IV59" s="117">
        <f t="shared" si="18"/>
        <v>4</v>
      </c>
    </row>
    <row r="60" spans="1:256" x14ac:dyDescent="0.2">
      <c r="A60" s="124" t="s">
        <v>70</v>
      </c>
      <c r="C60" s="158"/>
      <c r="D60" s="158"/>
      <c r="E60" s="92"/>
      <c r="F60" s="92"/>
      <c r="G60" s="146"/>
      <c r="J60" s="124"/>
      <c r="M60" s="159"/>
      <c r="N60" s="164"/>
      <c r="O60" s="340"/>
      <c r="P60" s="340"/>
      <c r="Q60" s="340"/>
      <c r="U60" s="117" t="str">
        <f>+IF(requisitos!AE2=2,1,IF(requisitos!AE2=3,1,""))</f>
        <v/>
      </c>
    </row>
    <row r="61" spans="1:256" x14ac:dyDescent="0.2">
      <c r="A61" s="124" t="s">
        <v>69</v>
      </c>
      <c r="C61" s="158"/>
      <c r="D61" s="158"/>
      <c r="E61" s="92"/>
      <c r="F61" s="92"/>
      <c r="G61" s="146"/>
      <c r="J61" s="124"/>
      <c r="M61" s="159"/>
      <c r="O61" s="124"/>
      <c r="U61" s="117">
        <f>+IF(S61="",1,2)</f>
        <v>1</v>
      </c>
    </row>
    <row r="62" spans="1:256" x14ac:dyDescent="0.2">
      <c r="A62" s="124" t="s">
        <v>80</v>
      </c>
      <c r="C62" s="158"/>
      <c r="D62" s="158"/>
      <c r="E62" s="92"/>
      <c r="F62" s="92"/>
      <c r="G62" s="146"/>
      <c r="J62" s="124"/>
      <c r="M62" s="301"/>
      <c r="O62" s="99"/>
      <c r="U62" s="117">
        <f>+IF(S62="",1,2)</f>
        <v>1</v>
      </c>
    </row>
    <row r="63" spans="1:256" x14ac:dyDescent="0.2">
      <c r="A63" s="124" t="s">
        <v>71</v>
      </c>
      <c r="C63" s="158"/>
      <c r="D63" s="158"/>
      <c r="E63" s="92"/>
      <c r="F63" s="92"/>
      <c r="G63" s="146"/>
      <c r="J63" s="124"/>
      <c r="M63" s="301"/>
      <c r="O63" s="99"/>
      <c r="U63" s="117">
        <f>+IF(S63="",1,2)</f>
        <v>1</v>
      </c>
    </row>
    <row r="64" spans="1:256" x14ac:dyDescent="0.2">
      <c r="A64" s="124" t="s">
        <v>81</v>
      </c>
      <c r="C64" s="158"/>
      <c r="D64" s="158"/>
      <c r="E64" s="92"/>
      <c r="F64" s="92"/>
      <c r="G64" s="146"/>
      <c r="J64" s="124"/>
      <c r="M64" s="302"/>
      <c r="N64" s="1"/>
      <c r="O64" s="99"/>
      <c r="U64" s="117">
        <f>+SUM(U60:IV63)</f>
        <v>3</v>
      </c>
    </row>
    <row r="65" spans="1:22" x14ac:dyDescent="0.2">
      <c r="A65" s="124" t="s">
        <v>82</v>
      </c>
      <c r="C65" s="158"/>
      <c r="D65" s="158"/>
      <c r="E65" s="92"/>
      <c r="F65" s="92"/>
      <c r="G65" s="165"/>
      <c r="J65" s="124"/>
      <c r="M65" s="166"/>
      <c r="U65" s="117"/>
    </row>
    <row r="66" spans="1:22" ht="5.0999999999999996" customHeight="1" x14ac:dyDescent="0.2">
      <c r="A66" s="126"/>
      <c r="B66" s="126"/>
      <c r="C66" s="126"/>
      <c r="D66" s="126"/>
      <c r="E66" s="125"/>
      <c r="F66" s="125"/>
      <c r="G66" s="126"/>
      <c r="H66" s="126"/>
      <c r="I66" s="126" t="str">
        <f>IF(requisitos!C28=1,"INDICAR REGIMEN DE PROPIEDAD","")</f>
        <v/>
      </c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V66" s="1"/>
    </row>
    <row r="67" spans="1:22" ht="5.0999999999999996" customHeight="1" x14ac:dyDescent="0.2">
      <c r="O67" s="127"/>
      <c r="P67" s="127"/>
      <c r="Q67" s="127"/>
      <c r="R67" s="127"/>
      <c r="S67" s="127"/>
      <c r="T67" s="127"/>
      <c r="V67" s="1"/>
    </row>
    <row r="68" spans="1:22" ht="12.75" customHeight="1" x14ac:dyDescent="0.2">
      <c r="A68" s="106" t="s">
        <v>83</v>
      </c>
      <c r="D68" s="94"/>
      <c r="E68" s="120"/>
      <c r="F68" s="120"/>
      <c r="G68" s="94"/>
      <c r="H68" s="94"/>
      <c r="I68" s="94"/>
      <c r="J68" s="94"/>
      <c r="K68" s="94"/>
      <c r="L68" s="94"/>
      <c r="N68" s="106"/>
      <c r="O68" s="105"/>
      <c r="P68" s="113"/>
      <c r="Q68" s="376"/>
      <c r="R68" s="376"/>
      <c r="S68" s="376"/>
    </row>
    <row r="69" spans="1:22" ht="12.75" customHeight="1" x14ac:dyDescent="0.2">
      <c r="A69" s="305" t="s">
        <v>84</v>
      </c>
      <c r="B69" s="157"/>
      <c r="C69" s="158"/>
      <c r="D69" s="158"/>
      <c r="E69" s="157"/>
      <c r="F69" s="339"/>
      <c r="G69" s="362"/>
      <c r="H69" s="362"/>
      <c r="I69" s="362"/>
      <c r="J69" s="362"/>
      <c r="K69" s="362"/>
      <c r="L69" s="362"/>
      <c r="M69" s="113"/>
      <c r="N69" s="113" t="s">
        <v>85</v>
      </c>
      <c r="O69" s="339"/>
      <c r="P69" s="362"/>
      <c r="Q69" s="362"/>
      <c r="R69" s="362"/>
    </row>
    <row r="70" spans="1:22" ht="12.75" customHeight="1" x14ac:dyDescent="0.2">
      <c r="A70" s="124"/>
      <c r="C70" s="158"/>
      <c r="D70" s="158"/>
      <c r="E70" s="92"/>
      <c r="F70" s="92"/>
      <c r="G70" s="124"/>
      <c r="H70" s="94"/>
      <c r="I70" s="94"/>
      <c r="J70" s="94"/>
      <c r="K70" s="94"/>
      <c r="L70" s="94"/>
      <c r="O70" s="105"/>
      <c r="P70" s="124"/>
      <c r="Q70" s="376"/>
      <c r="R70" s="376"/>
      <c r="S70" s="376"/>
    </row>
    <row r="71" spans="1:22" ht="12.75" customHeight="1" x14ac:dyDescent="0.2">
      <c r="A71" s="124" t="s">
        <v>67</v>
      </c>
      <c r="C71" s="158"/>
      <c r="D71" s="158"/>
      <c r="E71" s="339"/>
      <c r="F71" s="362"/>
      <c r="G71" s="124" t="s">
        <v>86</v>
      </c>
      <c r="H71" s="339"/>
      <c r="I71" s="362"/>
      <c r="J71" s="362"/>
      <c r="K71" s="362"/>
      <c r="L71" s="362"/>
      <c r="M71" s="99"/>
      <c r="N71" s="113" t="s">
        <v>259</v>
      </c>
      <c r="O71" s="339"/>
      <c r="P71" s="362"/>
      <c r="Q71" s="362"/>
      <c r="R71" s="362"/>
    </row>
    <row r="72" spans="1:22" ht="12.75" customHeight="1" x14ac:dyDescent="0.2">
      <c r="A72" s="124"/>
      <c r="C72" s="158"/>
      <c r="D72" s="158"/>
      <c r="E72" s="92"/>
      <c r="F72" s="92"/>
      <c r="G72" s="124"/>
      <c r="M72" s="124"/>
      <c r="O72" s="124"/>
    </row>
    <row r="73" spans="1:22" ht="5.0999999999999996" customHeight="1" x14ac:dyDescent="0.2">
      <c r="A73" s="126"/>
      <c r="B73" s="126"/>
      <c r="C73" s="126"/>
      <c r="D73" s="126"/>
      <c r="E73" s="126"/>
      <c r="F73" s="125"/>
      <c r="G73" s="126"/>
      <c r="H73" s="167"/>
      <c r="I73" s="167"/>
      <c r="J73" s="167"/>
      <c r="K73" s="126"/>
      <c r="L73" s="126"/>
      <c r="M73" s="168"/>
      <c r="N73" s="126"/>
      <c r="O73" s="169"/>
      <c r="P73" s="126"/>
      <c r="Q73" s="169"/>
      <c r="R73" s="126"/>
      <c r="S73" s="126"/>
      <c r="T73" s="126"/>
    </row>
    <row r="74" spans="1:22" ht="6" customHeight="1" x14ac:dyDescent="0.2">
      <c r="E74" s="92"/>
      <c r="H74" s="99"/>
      <c r="I74" s="99"/>
      <c r="J74" s="99"/>
      <c r="M74" s="103"/>
      <c r="O74" s="102"/>
      <c r="Q74" s="102"/>
    </row>
    <row r="75" spans="1:22" ht="12.75" customHeight="1" x14ac:dyDescent="0.2">
      <c r="A75" s="170"/>
      <c r="B75" s="170"/>
      <c r="C75" s="170"/>
      <c r="D75" s="170"/>
      <c r="E75" s="99"/>
      <c r="F75" s="99"/>
      <c r="G75" s="99"/>
      <c r="Q75" s="171"/>
      <c r="R75" s="171"/>
    </row>
    <row r="76" spans="1:22" ht="12.75" customHeight="1" x14ac:dyDescent="0.2">
      <c r="A76" s="170"/>
      <c r="C76" s="172"/>
      <c r="D76" s="172"/>
      <c r="E76" s="173"/>
      <c r="F76" s="173"/>
      <c r="G76" s="174"/>
      <c r="H76" s="172"/>
      <c r="I76" s="172"/>
      <c r="J76" s="172"/>
      <c r="K76" s="172"/>
      <c r="L76" s="172"/>
      <c r="M76" s="175"/>
      <c r="N76" s="172"/>
      <c r="O76" s="172"/>
      <c r="P76" s="172"/>
      <c r="Q76" s="176"/>
      <c r="R76" s="176"/>
      <c r="S76" s="172"/>
      <c r="T76" s="172"/>
      <c r="U76" s="172"/>
    </row>
    <row r="77" spans="1:22" ht="12.75" customHeight="1" x14ac:dyDescent="0.2">
      <c r="A77" s="93"/>
      <c r="C77" s="177"/>
      <c r="D77" s="172"/>
      <c r="E77" s="173"/>
      <c r="F77" s="173"/>
      <c r="G77" s="174"/>
      <c r="H77" s="172"/>
      <c r="I77" s="172"/>
      <c r="J77" s="172"/>
      <c r="K77" s="172"/>
      <c r="L77" s="178"/>
      <c r="M77" s="173"/>
      <c r="N77" s="172"/>
      <c r="O77" s="172"/>
      <c r="P77" s="172"/>
      <c r="Q77" s="172"/>
      <c r="R77" s="172"/>
      <c r="S77" s="172"/>
      <c r="T77" s="172"/>
      <c r="U77" s="172"/>
    </row>
    <row r="78" spans="1:22" ht="12.95" customHeight="1" x14ac:dyDescent="0.2">
      <c r="A78" s="99"/>
      <c r="B78" s="179"/>
      <c r="C78" s="180"/>
      <c r="D78" s="172"/>
      <c r="E78" s="181"/>
      <c r="F78" s="177"/>
      <c r="G78" s="173"/>
      <c r="H78" s="172"/>
      <c r="I78" s="172"/>
      <c r="J78" s="172"/>
      <c r="K78" s="172"/>
      <c r="L78" s="172"/>
      <c r="M78" s="175"/>
      <c r="N78" s="172"/>
      <c r="O78" s="172"/>
      <c r="P78" s="172"/>
      <c r="Q78" s="172"/>
      <c r="R78" s="172"/>
      <c r="S78" s="172"/>
      <c r="T78" s="172"/>
      <c r="U78" s="172"/>
    </row>
    <row r="79" spans="1:22" ht="12.95" customHeight="1" x14ac:dyDescent="0.2">
      <c r="A79" s="99"/>
      <c r="B79" s="179"/>
      <c r="C79" s="182"/>
      <c r="D79" s="172"/>
      <c r="E79" s="181"/>
      <c r="F79" s="177"/>
      <c r="G79" s="173"/>
      <c r="H79" s="172"/>
      <c r="I79" s="172"/>
      <c r="J79" s="172"/>
      <c r="K79" s="172"/>
      <c r="L79" s="172"/>
      <c r="M79" s="175"/>
      <c r="N79" s="172"/>
      <c r="O79" s="172"/>
      <c r="P79" s="172"/>
      <c r="Q79" s="172"/>
      <c r="R79" s="172"/>
      <c r="S79" s="172"/>
      <c r="T79" s="172"/>
      <c r="U79" s="172"/>
    </row>
    <row r="80" spans="1:22" ht="6" customHeight="1" x14ac:dyDescent="0.2">
      <c r="A80" s="99"/>
      <c r="B80" s="179"/>
      <c r="C80" s="172"/>
      <c r="D80" s="172"/>
      <c r="E80" s="183"/>
      <c r="F80" s="173"/>
      <c r="G80" s="174"/>
      <c r="H80" s="172"/>
      <c r="I80" s="172"/>
      <c r="J80" s="172"/>
      <c r="K80" s="172"/>
      <c r="L80" s="172"/>
      <c r="M80" s="173"/>
      <c r="N80" s="172"/>
      <c r="O80" s="172"/>
      <c r="P80" s="172"/>
      <c r="Q80" s="172"/>
      <c r="R80" s="172"/>
      <c r="S80" s="172"/>
      <c r="T80" s="172"/>
      <c r="U80" s="172"/>
    </row>
    <row r="81" spans="1:22" x14ac:dyDescent="0.2">
      <c r="A81" s="99"/>
      <c r="B81" s="179"/>
      <c r="C81" s="180"/>
      <c r="D81" s="172"/>
      <c r="E81" s="181"/>
      <c r="F81" s="173"/>
      <c r="G81" s="173"/>
      <c r="H81" s="172"/>
      <c r="I81" s="172"/>
      <c r="J81" s="172"/>
      <c r="K81" s="172"/>
      <c r="L81" s="172"/>
      <c r="M81" s="173"/>
      <c r="N81" s="172"/>
      <c r="O81" s="172"/>
      <c r="P81" s="172"/>
      <c r="Q81" s="172"/>
      <c r="R81" s="172"/>
      <c r="S81" s="172"/>
      <c r="T81" s="172"/>
      <c r="U81" s="172"/>
    </row>
    <row r="82" spans="1:22" ht="9" customHeight="1" x14ac:dyDescent="0.2">
      <c r="A82" s="99"/>
      <c r="B82" s="179"/>
      <c r="E82" s="170"/>
      <c r="F82" s="92"/>
      <c r="I82" s="99"/>
      <c r="M82" s="99"/>
    </row>
    <row r="83" spans="1:22" ht="12.75" customHeight="1" x14ac:dyDescent="0.2">
      <c r="A83" s="99"/>
      <c r="B83" s="179"/>
      <c r="E83" s="184"/>
      <c r="F83" s="92"/>
      <c r="I83" s="99"/>
      <c r="M83" s="99"/>
    </row>
    <row r="84" spans="1:22" ht="5.0999999999999996" customHeight="1" x14ac:dyDescent="0.2">
      <c r="A84" s="167"/>
      <c r="E84" s="92"/>
      <c r="F84" s="92"/>
    </row>
    <row r="85" spans="1:22" ht="5.0999999999999996" customHeight="1" x14ac:dyDescent="0.2">
      <c r="B85" s="127"/>
      <c r="C85" s="127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</row>
    <row r="86" spans="1:22" x14ac:dyDescent="0.2">
      <c r="A86" s="137" t="s">
        <v>87</v>
      </c>
      <c r="E86" s="92"/>
    </row>
    <row r="87" spans="1:22" ht="12" customHeight="1" x14ac:dyDescent="0.2">
      <c r="A87" s="99" t="s">
        <v>88</v>
      </c>
      <c r="C87" s="99"/>
      <c r="E87" s="92"/>
      <c r="F87" s="92"/>
    </row>
    <row r="88" spans="1:22" x14ac:dyDescent="0.2">
      <c r="A88" s="113" t="s">
        <v>89</v>
      </c>
      <c r="B88" s="99" t="s">
        <v>90</v>
      </c>
    </row>
    <row r="89" spans="1:22" ht="12.6" customHeight="1" x14ac:dyDescent="0.2">
      <c r="A89" s="99"/>
      <c r="B89" s="99" t="s">
        <v>91</v>
      </c>
      <c r="E89" s="92"/>
    </row>
    <row r="90" spans="1:22" ht="12.6" customHeight="1" x14ac:dyDescent="0.2">
      <c r="A90" s="113" t="s">
        <v>92</v>
      </c>
      <c r="B90" s="366" t="s">
        <v>93</v>
      </c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</row>
    <row r="91" spans="1:22" ht="12.6" customHeight="1" x14ac:dyDescent="0.2">
      <c r="A91" s="126"/>
      <c r="B91" s="126"/>
      <c r="C91" s="126"/>
      <c r="D91" s="126"/>
      <c r="E91" s="126"/>
      <c r="F91" s="126"/>
      <c r="G91" s="126"/>
    </row>
    <row r="92" spans="1:22" x14ac:dyDescent="0.2">
      <c r="B92" s="93" t="str">
        <f>+IF(A15="DATOS DEL EMPLEADO","","USUARIO / BANCO")</f>
        <v>USUARIO / BANCO</v>
      </c>
      <c r="F92" s="120"/>
      <c r="G92" s="94"/>
      <c r="H92" s="367" t="s">
        <v>94</v>
      </c>
      <c r="I92" s="367"/>
      <c r="J92" s="367"/>
      <c r="K92" s="367"/>
      <c r="L92" s="367"/>
      <c r="M92" s="367"/>
      <c r="N92" s="367"/>
      <c r="O92" s="367"/>
      <c r="P92" s="367"/>
      <c r="Q92" s="367"/>
      <c r="R92" s="367"/>
      <c r="S92" s="367"/>
      <c r="T92" s="367"/>
    </row>
    <row r="93" spans="1:22" ht="12.75" customHeight="1" x14ac:dyDescent="0.2">
      <c r="A93" s="106"/>
      <c r="H93" s="368" t="s">
        <v>95</v>
      </c>
      <c r="I93" s="368"/>
      <c r="J93" s="368"/>
      <c r="K93" s="368"/>
      <c r="L93" s="368"/>
      <c r="M93" s="368"/>
      <c r="N93" s="368"/>
      <c r="O93" s="368"/>
      <c r="P93" s="368"/>
      <c r="Q93" s="368"/>
      <c r="R93" s="368"/>
      <c r="S93" s="368"/>
      <c r="T93" s="368"/>
      <c r="U93" s="185"/>
      <c r="V93" s="185"/>
    </row>
    <row r="94" spans="1:22" x14ac:dyDescent="0.2">
      <c r="A94" s="99"/>
      <c r="G94" s="186"/>
      <c r="H94" s="368"/>
      <c r="I94" s="368"/>
      <c r="J94" s="368"/>
      <c r="K94" s="368"/>
      <c r="L94" s="368"/>
      <c r="M94" s="368"/>
      <c r="N94" s="368"/>
      <c r="O94" s="368"/>
      <c r="P94" s="368"/>
      <c r="Q94" s="368"/>
      <c r="R94" s="368"/>
      <c r="S94" s="368"/>
      <c r="T94" s="368"/>
      <c r="U94" s="185"/>
      <c r="V94" s="185"/>
    </row>
    <row r="95" spans="1:22" x14ac:dyDescent="0.2">
      <c r="G95" s="186"/>
      <c r="H95" s="368"/>
      <c r="I95" s="368"/>
      <c r="J95" s="368"/>
      <c r="K95" s="368"/>
      <c r="L95" s="368"/>
      <c r="M95" s="368"/>
      <c r="N95" s="368"/>
      <c r="O95" s="368"/>
      <c r="P95" s="368"/>
      <c r="Q95" s="368"/>
      <c r="R95" s="368"/>
      <c r="S95" s="368"/>
      <c r="T95" s="368"/>
      <c r="U95" s="185"/>
      <c r="V95" s="185"/>
    </row>
    <row r="96" spans="1:22" x14ac:dyDescent="0.2">
      <c r="G96" s="186"/>
      <c r="H96" s="368"/>
      <c r="I96" s="368"/>
      <c r="J96" s="368"/>
      <c r="K96" s="368"/>
      <c r="L96" s="368"/>
      <c r="M96" s="368"/>
      <c r="N96" s="368"/>
      <c r="O96" s="368"/>
      <c r="P96" s="368"/>
      <c r="Q96" s="368"/>
      <c r="R96" s="368"/>
      <c r="S96" s="368"/>
      <c r="T96" s="368"/>
      <c r="U96" s="185"/>
      <c r="V96" s="185"/>
    </row>
    <row r="97" spans="1:22" x14ac:dyDescent="0.2">
      <c r="G97" s="186"/>
      <c r="H97" s="368"/>
      <c r="I97" s="368"/>
      <c r="J97" s="368"/>
      <c r="K97" s="368"/>
      <c r="L97" s="368"/>
      <c r="M97" s="368"/>
      <c r="N97" s="368"/>
      <c r="O97" s="368"/>
      <c r="P97" s="368"/>
      <c r="Q97" s="368"/>
      <c r="R97" s="368"/>
      <c r="S97" s="368"/>
      <c r="T97" s="368"/>
      <c r="U97" s="185"/>
      <c r="V97" s="187"/>
    </row>
    <row r="98" spans="1:22" x14ac:dyDescent="0.2">
      <c r="G98" s="186"/>
      <c r="H98" s="368" t="str">
        <f>+IF(requisitos!I14=5,'RESTO DE PRODUCTOS'!B120,"")</f>
        <v/>
      </c>
      <c r="I98" s="369"/>
      <c r="J98" s="369"/>
      <c r="K98" s="369"/>
      <c r="L98" s="369"/>
      <c r="M98" s="369"/>
      <c r="N98" s="369"/>
      <c r="O98" s="369"/>
      <c r="P98" s="369"/>
      <c r="Q98" s="369"/>
      <c r="R98" s="369"/>
      <c r="S98" s="369"/>
      <c r="T98" s="369"/>
      <c r="U98" s="185"/>
      <c r="V98" s="185"/>
    </row>
    <row r="99" spans="1:22" x14ac:dyDescent="0.2">
      <c r="G99" s="186"/>
      <c r="H99" s="369"/>
      <c r="I99" s="369"/>
      <c r="J99" s="369"/>
      <c r="K99" s="369"/>
      <c r="L99" s="369"/>
      <c r="M99" s="369"/>
      <c r="N99" s="369"/>
      <c r="O99" s="369"/>
      <c r="P99" s="369"/>
      <c r="Q99" s="369"/>
      <c r="R99" s="369"/>
      <c r="S99" s="369"/>
      <c r="T99" s="369"/>
      <c r="U99" s="185"/>
      <c r="V99" s="185"/>
    </row>
    <row r="100" spans="1:22" x14ac:dyDescent="0.2">
      <c r="G100" s="186"/>
      <c r="H100" s="369"/>
      <c r="I100" s="369"/>
      <c r="J100" s="369"/>
      <c r="K100" s="369"/>
      <c r="L100" s="369"/>
      <c r="M100" s="369"/>
      <c r="N100" s="369"/>
      <c r="O100" s="369"/>
      <c r="P100" s="369"/>
      <c r="Q100" s="369"/>
      <c r="R100" s="369"/>
      <c r="S100" s="369"/>
      <c r="T100" s="369"/>
      <c r="U100" s="185"/>
      <c r="V100" s="185"/>
    </row>
    <row r="101" spans="1:22" ht="12.75" customHeight="1" x14ac:dyDescent="0.2">
      <c r="G101" s="186"/>
      <c r="H101" s="370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185"/>
      <c r="V101" s="185"/>
    </row>
    <row r="102" spans="1:22" ht="13.5" customHeight="1" x14ac:dyDescent="0.2">
      <c r="G102" s="186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185"/>
      <c r="V102" s="185"/>
    </row>
    <row r="103" spans="1:22" ht="12.75" customHeight="1" x14ac:dyDescent="0.2">
      <c r="G103" s="186"/>
      <c r="H103" s="370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185"/>
      <c r="V103" s="185"/>
    </row>
    <row r="104" spans="1:22" ht="14.25" customHeight="1" x14ac:dyDescent="0.2">
      <c r="G104" s="186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185"/>
      <c r="V104" s="185"/>
    </row>
    <row r="105" spans="1:22" ht="18.75" customHeight="1" x14ac:dyDescent="0.2">
      <c r="G105" s="186"/>
      <c r="H105" s="372"/>
      <c r="I105" s="373"/>
      <c r="J105" s="373"/>
      <c r="K105" s="373"/>
      <c r="L105" s="373"/>
      <c r="M105" s="373"/>
      <c r="N105" s="373"/>
      <c r="O105" s="373"/>
      <c r="P105" s="373"/>
      <c r="Q105" s="373"/>
      <c r="R105" s="373"/>
      <c r="S105" s="373"/>
      <c r="T105" s="373"/>
      <c r="U105" s="185"/>
      <c r="V105" s="185"/>
    </row>
    <row r="106" spans="1:22" ht="13.5" thickBot="1" x14ac:dyDescent="0.25">
      <c r="A106" s="363">
        <f>+E17</f>
        <v>0</v>
      </c>
      <c r="B106" s="364"/>
      <c r="C106" s="364"/>
      <c r="D106" s="364"/>
      <c r="E106" s="364"/>
      <c r="F106" s="364"/>
      <c r="G106" s="188"/>
      <c r="H106" s="365">
        <f>+G52</f>
        <v>0</v>
      </c>
      <c r="I106" s="365"/>
      <c r="J106" s="365"/>
      <c r="K106" s="365"/>
      <c r="L106" s="365"/>
      <c r="M106" s="365"/>
      <c r="N106" s="365"/>
      <c r="O106" s="365"/>
      <c r="P106" s="365"/>
      <c r="Q106" s="365"/>
      <c r="R106" s="365"/>
      <c r="S106" s="365"/>
      <c r="T106" s="365"/>
    </row>
    <row r="107" spans="1:22" ht="13.5" thickTop="1" x14ac:dyDescent="0.2">
      <c r="R107" s="189"/>
      <c r="S107" s="189"/>
      <c r="T107" s="189" t="s">
        <v>264</v>
      </c>
    </row>
    <row r="108" spans="1:22" hidden="1" x14ac:dyDescent="0.2"/>
    <row r="110" spans="1:22" ht="12.75" customHeight="1" x14ac:dyDescent="0.2"/>
    <row r="111" spans="1:22" ht="12.75" customHeight="1" x14ac:dyDescent="0.2"/>
    <row r="112" spans="1:22" x14ac:dyDescent="0.2">
      <c r="A112" s="116"/>
      <c r="B112" s="116"/>
      <c r="C112" s="116"/>
      <c r="D112" s="116"/>
      <c r="E112" s="107"/>
      <c r="F112" s="107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</row>
    <row r="113" spans="1:20" x14ac:dyDescent="0.2">
      <c r="A113" s="116"/>
      <c r="B113" s="116"/>
      <c r="C113" s="116"/>
      <c r="D113" s="116"/>
      <c r="E113" s="107"/>
      <c r="F113" s="107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</row>
    <row r="114" spans="1:20" x14ac:dyDescent="0.2">
      <c r="A114" s="116"/>
      <c r="B114" s="116"/>
      <c r="C114" s="116"/>
      <c r="D114" s="116"/>
      <c r="E114" s="107"/>
      <c r="F114" s="107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</row>
    <row r="115" spans="1:20" x14ac:dyDescent="0.2">
      <c r="A115" s="116"/>
      <c r="B115" s="116"/>
      <c r="C115" s="116"/>
      <c r="D115" s="116"/>
      <c r="E115" s="107"/>
      <c r="F115" s="107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</row>
    <row r="116" spans="1:20" x14ac:dyDescent="0.2">
      <c r="A116" s="116"/>
      <c r="B116" s="116"/>
      <c r="C116" s="116"/>
      <c r="D116" s="116"/>
      <c r="E116" s="107"/>
      <c r="F116" s="107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</row>
    <row r="117" spans="1:20" x14ac:dyDescent="0.2">
      <c r="A117" s="116"/>
      <c r="B117" s="116"/>
      <c r="C117" s="116"/>
      <c r="D117" s="116"/>
      <c r="E117" s="107"/>
      <c r="F117" s="107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</row>
    <row r="118" spans="1:20" x14ac:dyDescent="0.2"/>
    <row r="119" spans="1:20" x14ac:dyDescent="0.2">
      <c r="B119" s="117"/>
      <c r="C119" s="117"/>
      <c r="D119" s="117"/>
      <c r="E119" s="286"/>
      <c r="F119" s="286"/>
      <c r="G119" s="117"/>
    </row>
    <row r="120" spans="1:20" s="116" customFormat="1" x14ac:dyDescent="0.2">
      <c r="B120" s="190" t="s">
        <v>96</v>
      </c>
      <c r="C120" s="117"/>
      <c r="D120" s="117"/>
      <c r="E120" s="286"/>
      <c r="F120" s="286"/>
      <c r="G120" s="117"/>
    </row>
    <row r="121" spans="1:20" s="116" customFormat="1" x14ac:dyDescent="0.2">
      <c r="B121" s="117"/>
      <c r="C121" s="117"/>
      <c r="D121" s="117"/>
      <c r="E121" s="286"/>
      <c r="F121" s="286"/>
      <c r="G121" s="117"/>
    </row>
    <row r="122" spans="1:20" s="116" customFormat="1" x14ac:dyDescent="0.2">
      <c r="B122" s="117"/>
      <c r="C122" s="117"/>
      <c r="D122" s="117"/>
      <c r="E122" s="286"/>
      <c r="F122" s="286"/>
      <c r="G122" s="117"/>
    </row>
    <row r="123" spans="1:20" s="116" customFormat="1" x14ac:dyDescent="0.2">
      <c r="B123" s="117"/>
      <c r="C123" s="117"/>
      <c r="D123" s="117"/>
      <c r="E123" s="286"/>
      <c r="F123" s="286"/>
      <c r="G123" s="117"/>
    </row>
    <row r="124" spans="1:20" x14ac:dyDescent="0.2">
      <c r="B124" s="117"/>
      <c r="C124" s="117"/>
      <c r="D124" s="117"/>
      <c r="E124" s="286"/>
      <c r="F124" s="286"/>
      <c r="G124" s="117"/>
    </row>
    <row r="125" spans="1:20" x14ac:dyDescent="0.2">
      <c r="B125" s="117"/>
      <c r="C125" s="117"/>
      <c r="D125" s="117"/>
      <c r="E125" s="286"/>
      <c r="F125" s="286"/>
      <c r="G125" s="117"/>
    </row>
    <row r="126" spans="1:20" x14ac:dyDescent="0.2">
      <c r="B126" s="117"/>
      <c r="C126" s="117"/>
      <c r="D126" s="117"/>
      <c r="E126" s="286"/>
      <c r="F126" s="286"/>
      <c r="G126" s="117"/>
    </row>
    <row r="127" spans="1:20" x14ac:dyDescent="0.2"/>
    <row r="128" spans="1:20" x14ac:dyDescent="0.2"/>
    <row r="129" x14ac:dyDescent="0.2"/>
    <row r="130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</sheetData>
  <sheetProtection algorithmName="SHA-512" hashValue="its3l8RRYAtHIx4ekpfYyt2o/VgHLEHqnXqlieVOUExDz7owlp47BhjF69SAVqW8U0tzt/smM4ULUZC0YwldbQ==" saltValue="/qZm0pP5SwpA/Mc4xs9N+A==" spinCount="100000" sheet="1" objects="1" scenarios="1"/>
  <mergeCells count="42">
    <mergeCell ref="H105:T105"/>
    <mergeCell ref="A106:F106"/>
    <mergeCell ref="H106:T106"/>
    <mergeCell ref="B90:T90"/>
    <mergeCell ref="H92:T92"/>
    <mergeCell ref="H93:T97"/>
    <mergeCell ref="H98:T100"/>
    <mergeCell ref="H101:T102"/>
    <mergeCell ref="H103:T104"/>
    <mergeCell ref="O71:R71"/>
    <mergeCell ref="M40:T41"/>
    <mergeCell ref="F46:J46"/>
    <mergeCell ref="O59:Q60"/>
    <mergeCell ref="N53:O53"/>
    <mergeCell ref="M52:O52"/>
    <mergeCell ref="M54:O54"/>
    <mergeCell ref="M55:O55"/>
    <mergeCell ref="Q68:S68"/>
    <mergeCell ref="F69:L69"/>
    <mergeCell ref="O69:R69"/>
    <mergeCell ref="Q70:S70"/>
    <mergeCell ref="E71:F71"/>
    <mergeCell ref="H71:L71"/>
    <mergeCell ref="A32:K32"/>
    <mergeCell ref="L26:M26"/>
    <mergeCell ref="O26:T26"/>
    <mergeCell ref="O27:T27"/>
    <mergeCell ref="N25:Q25"/>
    <mergeCell ref="H20:J20"/>
    <mergeCell ref="A21:J21"/>
    <mergeCell ref="A22:K24"/>
    <mergeCell ref="L23:M23"/>
    <mergeCell ref="E17:G17"/>
    <mergeCell ref="J17:O17"/>
    <mergeCell ref="N20:S20"/>
    <mergeCell ref="K20:M20"/>
    <mergeCell ref="Q17:T17"/>
    <mergeCell ref="J3:T3"/>
    <mergeCell ref="Q4:T4"/>
    <mergeCell ref="Q5:T5"/>
    <mergeCell ref="Q6:T6"/>
    <mergeCell ref="N15:O15"/>
  </mergeCells>
  <printOptions horizontalCentered="1" verticalCentered="1"/>
  <pageMargins left="0.19685039370078741" right="0.19685039370078741" top="0.19685039370078741" bottom="0.19685039370078741" header="0" footer="0"/>
  <pageSetup scale="61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>
                <anchor moveWithCells="1">
                  <from>
                    <xdr:col>0</xdr:col>
                    <xdr:colOff>76200</xdr:colOff>
                    <xdr:row>25</xdr:row>
                    <xdr:rowOff>142875</xdr:rowOff>
                  </from>
                  <to>
                    <xdr:col>7</xdr:col>
                    <xdr:colOff>19050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Drop Down 5">
              <controlPr defaultSize="0" print="0" autoLine="0" autoPict="0">
                <anchor moveWithCells="1">
                  <from>
                    <xdr:col>5</xdr:col>
                    <xdr:colOff>542925</xdr:colOff>
                    <xdr:row>30</xdr:row>
                    <xdr:rowOff>0</xdr:rowOff>
                  </from>
                  <to>
                    <xdr:col>10</xdr:col>
                    <xdr:colOff>104775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Drop Down 7">
              <controlPr defaultSize="0" autoLine="0" autoPict="0">
                <anchor moveWithCells="1">
                  <from>
                    <xdr:col>15</xdr:col>
                    <xdr:colOff>171450</xdr:colOff>
                    <xdr:row>20</xdr:row>
                    <xdr:rowOff>47625</xdr:rowOff>
                  </from>
                  <to>
                    <xdr:col>19</xdr:col>
                    <xdr:colOff>295275</xdr:colOff>
                    <xdr:row>20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DC46-BFDA-42BF-82A7-DCD10F490C81}">
  <dimension ref="A2:AF75"/>
  <sheetViews>
    <sheetView showGridLines="0" workbookViewId="0">
      <selection activeCell="I14" sqref="I14"/>
    </sheetView>
  </sheetViews>
  <sheetFormatPr baseColWidth="10" defaultRowHeight="11.25" x14ac:dyDescent="0.2"/>
  <cols>
    <col min="1" max="15" width="11.42578125" style="99"/>
    <col min="16" max="16" width="3.7109375" style="99" customWidth="1"/>
    <col min="17" max="18" width="10.28515625" style="99" customWidth="1"/>
    <col min="19" max="19" width="10.140625" style="99" customWidth="1"/>
    <col min="20" max="20" width="13.140625" style="99" customWidth="1"/>
    <col min="21" max="21" width="9.7109375" style="99" customWidth="1"/>
    <col min="22" max="22" width="9.85546875" style="99" customWidth="1"/>
    <col min="23" max="23" width="7" style="99" customWidth="1"/>
    <col min="24" max="24" width="12.140625" style="99" customWidth="1"/>
    <col min="25" max="25" width="2.5703125" style="99" customWidth="1"/>
    <col min="26" max="26" width="9.85546875" style="99" customWidth="1"/>
    <col min="27" max="27" width="13.5703125" style="99" customWidth="1"/>
    <col min="28" max="29" width="9.7109375" style="99" customWidth="1"/>
    <col min="30" max="30" width="11.5703125" style="99" customWidth="1"/>
    <col min="31" max="31" width="7.7109375" style="99" customWidth="1"/>
    <col min="32" max="32" width="9" style="99" customWidth="1"/>
    <col min="33" max="33" width="10.5703125" style="99" customWidth="1"/>
    <col min="34" max="166" width="3.7109375" style="99" customWidth="1"/>
    <col min="167" max="271" width="11.42578125" style="99"/>
    <col min="272" max="272" width="3.7109375" style="99" customWidth="1"/>
    <col min="273" max="274" width="10.28515625" style="99" customWidth="1"/>
    <col min="275" max="275" width="10.140625" style="99" customWidth="1"/>
    <col min="276" max="276" width="13.140625" style="99" customWidth="1"/>
    <col min="277" max="277" width="9.7109375" style="99" customWidth="1"/>
    <col min="278" max="278" width="9.85546875" style="99" customWidth="1"/>
    <col min="279" max="279" width="7" style="99" customWidth="1"/>
    <col min="280" max="280" width="12.140625" style="99" customWidth="1"/>
    <col min="281" max="281" width="2.5703125" style="99" customWidth="1"/>
    <col min="282" max="282" width="9.85546875" style="99" customWidth="1"/>
    <col min="283" max="283" width="13.5703125" style="99" customWidth="1"/>
    <col min="284" max="285" width="9.7109375" style="99" customWidth="1"/>
    <col min="286" max="286" width="11.5703125" style="99" customWidth="1"/>
    <col min="287" max="287" width="7.7109375" style="99" customWidth="1"/>
    <col min="288" max="288" width="9" style="99" customWidth="1"/>
    <col min="289" max="289" width="10.5703125" style="99" customWidth="1"/>
    <col min="290" max="422" width="3.7109375" style="99" customWidth="1"/>
    <col min="423" max="527" width="11.42578125" style="99"/>
    <col min="528" max="528" width="3.7109375" style="99" customWidth="1"/>
    <col min="529" max="530" width="10.28515625" style="99" customWidth="1"/>
    <col min="531" max="531" width="10.140625" style="99" customWidth="1"/>
    <col min="532" max="532" width="13.140625" style="99" customWidth="1"/>
    <col min="533" max="533" width="9.7109375" style="99" customWidth="1"/>
    <col min="534" max="534" width="9.85546875" style="99" customWidth="1"/>
    <col min="535" max="535" width="7" style="99" customWidth="1"/>
    <col min="536" max="536" width="12.140625" style="99" customWidth="1"/>
    <col min="537" max="537" width="2.5703125" style="99" customWidth="1"/>
    <col min="538" max="538" width="9.85546875" style="99" customWidth="1"/>
    <col min="539" max="539" width="13.5703125" style="99" customWidth="1"/>
    <col min="540" max="541" width="9.7109375" style="99" customWidth="1"/>
    <col min="542" max="542" width="11.5703125" style="99" customWidth="1"/>
    <col min="543" max="543" width="7.7109375" style="99" customWidth="1"/>
    <col min="544" max="544" width="9" style="99" customWidth="1"/>
    <col min="545" max="545" width="10.5703125" style="99" customWidth="1"/>
    <col min="546" max="678" width="3.7109375" style="99" customWidth="1"/>
    <col min="679" max="783" width="11.42578125" style="99"/>
    <col min="784" max="784" width="3.7109375" style="99" customWidth="1"/>
    <col min="785" max="786" width="10.28515625" style="99" customWidth="1"/>
    <col min="787" max="787" width="10.140625" style="99" customWidth="1"/>
    <col min="788" max="788" width="13.140625" style="99" customWidth="1"/>
    <col min="789" max="789" width="9.7109375" style="99" customWidth="1"/>
    <col min="790" max="790" width="9.85546875" style="99" customWidth="1"/>
    <col min="791" max="791" width="7" style="99" customWidth="1"/>
    <col min="792" max="792" width="12.140625" style="99" customWidth="1"/>
    <col min="793" max="793" width="2.5703125" style="99" customWidth="1"/>
    <col min="794" max="794" width="9.85546875" style="99" customWidth="1"/>
    <col min="795" max="795" width="13.5703125" style="99" customWidth="1"/>
    <col min="796" max="797" width="9.7109375" style="99" customWidth="1"/>
    <col min="798" max="798" width="11.5703125" style="99" customWidth="1"/>
    <col min="799" max="799" width="7.7109375" style="99" customWidth="1"/>
    <col min="800" max="800" width="9" style="99" customWidth="1"/>
    <col min="801" max="801" width="10.5703125" style="99" customWidth="1"/>
    <col min="802" max="934" width="3.7109375" style="99" customWidth="1"/>
    <col min="935" max="1039" width="11.42578125" style="99"/>
    <col min="1040" max="1040" width="3.7109375" style="99" customWidth="1"/>
    <col min="1041" max="1042" width="10.28515625" style="99" customWidth="1"/>
    <col min="1043" max="1043" width="10.140625" style="99" customWidth="1"/>
    <col min="1044" max="1044" width="13.140625" style="99" customWidth="1"/>
    <col min="1045" max="1045" width="9.7109375" style="99" customWidth="1"/>
    <col min="1046" max="1046" width="9.85546875" style="99" customWidth="1"/>
    <col min="1047" max="1047" width="7" style="99" customWidth="1"/>
    <col min="1048" max="1048" width="12.140625" style="99" customWidth="1"/>
    <col min="1049" max="1049" width="2.5703125" style="99" customWidth="1"/>
    <col min="1050" max="1050" width="9.85546875" style="99" customWidth="1"/>
    <col min="1051" max="1051" width="13.5703125" style="99" customWidth="1"/>
    <col min="1052" max="1053" width="9.7109375" style="99" customWidth="1"/>
    <col min="1054" max="1054" width="11.5703125" style="99" customWidth="1"/>
    <col min="1055" max="1055" width="7.7109375" style="99" customWidth="1"/>
    <col min="1056" max="1056" width="9" style="99" customWidth="1"/>
    <col min="1057" max="1057" width="10.5703125" style="99" customWidth="1"/>
    <col min="1058" max="1190" width="3.7109375" style="99" customWidth="1"/>
    <col min="1191" max="1295" width="11.42578125" style="99"/>
    <col min="1296" max="1296" width="3.7109375" style="99" customWidth="1"/>
    <col min="1297" max="1298" width="10.28515625" style="99" customWidth="1"/>
    <col min="1299" max="1299" width="10.140625" style="99" customWidth="1"/>
    <col min="1300" max="1300" width="13.140625" style="99" customWidth="1"/>
    <col min="1301" max="1301" width="9.7109375" style="99" customWidth="1"/>
    <col min="1302" max="1302" width="9.85546875" style="99" customWidth="1"/>
    <col min="1303" max="1303" width="7" style="99" customWidth="1"/>
    <col min="1304" max="1304" width="12.140625" style="99" customWidth="1"/>
    <col min="1305" max="1305" width="2.5703125" style="99" customWidth="1"/>
    <col min="1306" max="1306" width="9.85546875" style="99" customWidth="1"/>
    <col min="1307" max="1307" width="13.5703125" style="99" customWidth="1"/>
    <col min="1308" max="1309" width="9.7109375" style="99" customWidth="1"/>
    <col min="1310" max="1310" width="11.5703125" style="99" customWidth="1"/>
    <col min="1311" max="1311" width="7.7109375" style="99" customWidth="1"/>
    <col min="1312" max="1312" width="9" style="99" customWidth="1"/>
    <col min="1313" max="1313" width="10.5703125" style="99" customWidth="1"/>
    <col min="1314" max="1446" width="3.7109375" style="99" customWidth="1"/>
    <col min="1447" max="1551" width="11.42578125" style="99"/>
    <col min="1552" max="1552" width="3.7109375" style="99" customWidth="1"/>
    <col min="1553" max="1554" width="10.28515625" style="99" customWidth="1"/>
    <col min="1555" max="1555" width="10.140625" style="99" customWidth="1"/>
    <col min="1556" max="1556" width="13.140625" style="99" customWidth="1"/>
    <col min="1557" max="1557" width="9.7109375" style="99" customWidth="1"/>
    <col min="1558" max="1558" width="9.85546875" style="99" customWidth="1"/>
    <col min="1559" max="1559" width="7" style="99" customWidth="1"/>
    <col min="1560" max="1560" width="12.140625" style="99" customWidth="1"/>
    <col min="1561" max="1561" width="2.5703125" style="99" customWidth="1"/>
    <col min="1562" max="1562" width="9.85546875" style="99" customWidth="1"/>
    <col min="1563" max="1563" width="13.5703125" style="99" customWidth="1"/>
    <col min="1564" max="1565" width="9.7109375" style="99" customWidth="1"/>
    <col min="1566" max="1566" width="11.5703125" style="99" customWidth="1"/>
    <col min="1567" max="1567" width="7.7109375" style="99" customWidth="1"/>
    <col min="1568" max="1568" width="9" style="99" customWidth="1"/>
    <col min="1569" max="1569" width="10.5703125" style="99" customWidth="1"/>
    <col min="1570" max="1702" width="3.7109375" style="99" customWidth="1"/>
    <col min="1703" max="1807" width="11.42578125" style="99"/>
    <col min="1808" max="1808" width="3.7109375" style="99" customWidth="1"/>
    <col min="1809" max="1810" width="10.28515625" style="99" customWidth="1"/>
    <col min="1811" max="1811" width="10.140625" style="99" customWidth="1"/>
    <col min="1812" max="1812" width="13.140625" style="99" customWidth="1"/>
    <col min="1813" max="1813" width="9.7109375" style="99" customWidth="1"/>
    <col min="1814" max="1814" width="9.85546875" style="99" customWidth="1"/>
    <col min="1815" max="1815" width="7" style="99" customWidth="1"/>
    <col min="1816" max="1816" width="12.140625" style="99" customWidth="1"/>
    <col min="1817" max="1817" width="2.5703125" style="99" customWidth="1"/>
    <col min="1818" max="1818" width="9.85546875" style="99" customWidth="1"/>
    <col min="1819" max="1819" width="13.5703125" style="99" customWidth="1"/>
    <col min="1820" max="1821" width="9.7109375" style="99" customWidth="1"/>
    <col min="1822" max="1822" width="11.5703125" style="99" customWidth="1"/>
    <col min="1823" max="1823" width="7.7109375" style="99" customWidth="1"/>
    <col min="1824" max="1824" width="9" style="99" customWidth="1"/>
    <col min="1825" max="1825" width="10.5703125" style="99" customWidth="1"/>
    <col min="1826" max="1958" width="3.7109375" style="99" customWidth="1"/>
    <col min="1959" max="2063" width="11.42578125" style="99"/>
    <col min="2064" max="2064" width="3.7109375" style="99" customWidth="1"/>
    <col min="2065" max="2066" width="10.28515625" style="99" customWidth="1"/>
    <col min="2067" max="2067" width="10.140625" style="99" customWidth="1"/>
    <col min="2068" max="2068" width="13.140625" style="99" customWidth="1"/>
    <col min="2069" max="2069" width="9.7109375" style="99" customWidth="1"/>
    <col min="2070" max="2070" width="9.85546875" style="99" customWidth="1"/>
    <col min="2071" max="2071" width="7" style="99" customWidth="1"/>
    <col min="2072" max="2072" width="12.140625" style="99" customWidth="1"/>
    <col min="2073" max="2073" width="2.5703125" style="99" customWidth="1"/>
    <col min="2074" max="2074" width="9.85546875" style="99" customWidth="1"/>
    <col min="2075" max="2075" width="13.5703125" style="99" customWidth="1"/>
    <col min="2076" max="2077" width="9.7109375" style="99" customWidth="1"/>
    <col min="2078" max="2078" width="11.5703125" style="99" customWidth="1"/>
    <col min="2079" max="2079" width="7.7109375" style="99" customWidth="1"/>
    <col min="2080" max="2080" width="9" style="99" customWidth="1"/>
    <col min="2081" max="2081" width="10.5703125" style="99" customWidth="1"/>
    <col min="2082" max="2214" width="3.7109375" style="99" customWidth="1"/>
    <col min="2215" max="2319" width="11.42578125" style="99"/>
    <col min="2320" max="2320" width="3.7109375" style="99" customWidth="1"/>
    <col min="2321" max="2322" width="10.28515625" style="99" customWidth="1"/>
    <col min="2323" max="2323" width="10.140625" style="99" customWidth="1"/>
    <col min="2324" max="2324" width="13.140625" style="99" customWidth="1"/>
    <col min="2325" max="2325" width="9.7109375" style="99" customWidth="1"/>
    <col min="2326" max="2326" width="9.85546875" style="99" customWidth="1"/>
    <col min="2327" max="2327" width="7" style="99" customWidth="1"/>
    <col min="2328" max="2328" width="12.140625" style="99" customWidth="1"/>
    <col min="2329" max="2329" width="2.5703125" style="99" customWidth="1"/>
    <col min="2330" max="2330" width="9.85546875" style="99" customWidth="1"/>
    <col min="2331" max="2331" width="13.5703125" style="99" customWidth="1"/>
    <col min="2332" max="2333" width="9.7109375" style="99" customWidth="1"/>
    <col min="2334" max="2334" width="11.5703125" style="99" customWidth="1"/>
    <col min="2335" max="2335" width="7.7109375" style="99" customWidth="1"/>
    <col min="2336" max="2336" width="9" style="99" customWidth="1"/>
    <col min="2337" max="2337" width="10.5703125" style="99" customWidth="1"/>
    <col min="2338" max="2470" width="3.7109375" style="99" customWidth="1"/>
    <col min="2471" max="2575" width="11.42578125" style="99"/>
    <col min="2576" max="2576" width="3.7109375" style="99" customWidth="1"/>
    <col min="2577" max="2578" width="10.28515625" style="99" customWidth="1"/>
    <col min="2579" max="2579" width="10.140625" style="99" customWidth="1"/>
    <col min="2580" max="2580" width="13.140625" style="99" customWidth="1"/>
    <col min="2581" max="2581" width="9.7109375" style="99" customWidth="1"/>
    <col min="2582" max="2582" width="9.85546875" style="99" customWidth="1"/>
    <col min="2583" max="2583" width="7" style="99" customWidth="1"/>
    <col min="2584" max="2584" width="12.140625" style="99" customWidth="1"/>
    <col min="2585" max="2585" width="2.5703125" style="99" customWidth="1"/>
    <col min="2586" max="2586" width="9.85546875" style="99" customWidth="1"/>
    <col min="2587" max="2587" width="13.5703125" style="99" customWidth="1"/>
    <col min="2588" max="2589" width="9.7109375" style="99" customWidth="1"/>
    <col min="2590" max="2590" width="11.5703125" style="99" customWidth="1"/>
    <col min="2591" max="2591" width="7.7109375" style="99" customWidth="1"/>
    <col min="2592" max="2592" width="9" style="99" customWidth="1"/>
    <col min="2593" max="2593" width="10.5703125" style="99" customWidth="1"/>
    <col min="2594" max="2726" width="3.7109375" style="99" customWidth="1"/>
    <col min="2727" max="2831" width="11.42578125" style="99"/>
    <col min="2832" max="2832" width="3.7109375" style="99" customWidth="1"/>
    <col min="2833" max="2834" width="10.28515625" style="99" customWidth="1"/>
    <col min="2835" max="2835" width="10.140625" style="99" customWidth="1"/>
    <col min="2836" max="2836" width="13.140625" style="99" customWidth="1"/>
    <col min="2837" max="2837" width="9.7109375" style="99" customWidth="1"/>
    <col min="2838" max="2838" width="9.85546875" style="99" customWidth="1"/>
    <col min="2839" max="2839" width="7" style="99" customWidth="1"/>
    <col min="2840" max="2840" width="12.140625" style="99" customWidth="1"/>
    <col min="2841" max="2841" width="2.5703125" style="99" customWidth="1"/>
    <col min="2842" max="2842" width="9.85546875" style="99" customWidth="1"/>
    <col min="2843" max="2843" width="13.5703125" style="99" customWidth="1"/>
    <col min="2844" max="2845" width="9.7109375" style="99" customWidth="1"/>
    <col min="2846" max="2846" width="11.5703125" style="99" customWidth="1"/>
    <col min="2847" max="2847" width="7.7109375" style="99" customWidth="1"/>
    <col min="2848" max="2848" width="9" style="99" customWidth="1"/>
    <col min="2849" max="2849" width="10.5703125" style="99" customWidth="1"/>
    <col min="2850" max="2982" width="3.7109375" style="99" customWidth="1"/>
    <col min="2983" max="3087" width="11.42578125" style="99"/>
    <col min="3088" max="3088" width="3.7109375" style="99" customWidth="1"/>
    <col min="3089" max="3090" width="10.28515625" style="99" customWidth="1"/>
    <col min="3091" max="3091" width="10.140625" style="99" customWidth="1"/>
    <col min="3092" max="3092" width="13.140625" style="99" customWidth="1"/>
    <col min="3093" max="3093" width="9.7109375" style="99" customWidth="1"/>
    <col min="3094" max="3094" width="9.85546875" style="99" customWidth="1"/>
    <col min="3095" max="3095" width="7" style="99" customWidth="1"/>
    <col min="3096" max="3096" width="12.140625" style="99" customWidth="1"/>
    <col min="3097" max="3097" width="2.5703125" style="99" customWidth="1"/>
    <col min="3098" max="3098" width="9.85546875" style="99" customWidth="1"/>
    <col min="3099" max="3099" width="13.5703125" style="99" customWidth="1"/>
    <col min="3100" max="3101" width="9.7109375" style="99" customWidth="1"/>
    <col min="3102" max="3102" width="11.5703125" style="99" customWidth="1"/>
    <col min="3103" max="3103" width="7.7109375" style="99" customWidth="1"/>
    <col min="3104" max="3104" width="9" style="99" customWidth="1"/>
    <col min="3105" max="3105" width="10.5703125" style="99" customWidth="1"/>
    <col min="3106" max="3238" width="3.7109375" style="99" customWidth="1"/>
    <col min="3239" max="3343" width="11.42578125" style="99"/>
    <col min="3344" max="3344" width="3.7109375" style="99" customWidth="1"/>
    <col min="3345" max="3346" width="10.28515625" style="99" customWidth="1"/>
    <col min="3347" max="3347" width="10.140625" style="99" customWidth="1"/>
    <col min="3348" max="3348" width="13.140625" style="99" customWidth="1"/>
    <col min="3349" max="3349" width="9.7109375" style="99" customWidth="1"/>
    <col min="3350" max="3350" width="9.85546875" style="99" customWidth="1"/>
    <col min="3351" max="3351" width="7" style="99" customWidth="1"/>
    <col min="3352" max="3352" width="12.140625" style="99" customWidth="1"/>
    <col min="3353" max="3353" width="2.5703125" style="99" customWidth="1"/>
    <col min="3354" max="3354" width="9.85546875" style="99" customWidth="1"/>
    <col min="3355" max="3355" width="13.5703125" style="99" customWidth="1"/>
    <col min="3356" max="3357" width="9.7109375" style="99" customWidth="1"/>
    <col min="3358" max="3358" width="11.5703125" style="99" customWidth="1"/>
    <col min="3359" max="3359" width="7.7109375" style="99" customWidth="1"/>
    <col min="3360" max="3360" width="9" style="99" customWidth="1"/>
    <col min="3361" max="3361" width="10.5703125" style="99" customWidth="1"/>
    <col min="3362" max="3494" width="3.7109375" style="99" customWidth="1"/>
    <col min="3495" max="3599" width="11.42578125" style="99"/>
    <col min="3600" max="3600" width="3.7109375" style="99" customWidth="1"/>
    <col min="3601" max="3602" width="10.28515625" style="99" customWidth="1"/>
    <col min="3603" max="3603" width="10.140625" style="99" customWidth="1"/>
    <col min="3604" max="3604" width="13.140625" style="99" customWidth="1"/>
    <col min="3605" max="3605" width="9.7109375" style="99" customWidth="1"/>
    <col min="3606" max="3606" width="9.85546875" style="99" customWidth="1"/>
    <col min="3607" max="3607" width="7" style="99" customWidth="1"/>
    <col min="3608" max="3608" width="12.140625" style="99" customWidth="1"/>
    <col min="3609" max="3609" width="2.5703125" style="99" customWidth="1"/>
    <col min="3610" max="3610" width="9.85546875" style="99" customWidth="1"/>
    <col min="3611" max="3611" width="13.5703125" style="99" customWidth="1"/>
    <col min="3612" max="3613" width="9.7109375" style="99" customWidth="1"/>
    <col min="3614" max="3614" width="11.5703125" style="99" customWidth="1"/>
    <col min="3615" max="3615" width="7.7109375" style="99" customWidth="1"/>
    <col min="3616" max="3616" width="9" style="99" customWidth="1"/>
    <col min="3617" max="3617" width="10.5703125" style="99" customWidth="1"/>
    <col min="3618" max="3750" width="3.7109375" style="99" customWidth="1"/>
    <col min="3751" max="3855" width="11.42578125" style="99"/>
    <col min="3856" max="3856" width="3.7109375" style="99" customWidth="1"/>
    <col min="3857" max="3858" width="10.28515625" style="99" customWidth="1"/>
    <col min="3859" max="3859" width="10.140625" style="99" customWidth="1"/>
    <col min="3860" max="3860" width="13.140625" style="99" customWidth="1"/>
    <col min="3861" max="3861" width="9.7109375" style="99" customWidth="1"/>
    <col min="3862" max="3862" width="9.85546875" style="99" customWidth="1"/>
    <col min="3863" max="3863" width="7" style="99" customWidth="1"/>
    <col min="3864" max="3864" width="12.140625" style="99" customWidth="1"/>
    <col min="3865" max="3865" width="2.5703125" style="99" customWidth="1"/>
    <col min="3866" max="3866" width="9.85546875" style="99" customWidth="1"/>
    <col min="3867" max="3867" width="13.5703125" style="99" customWidth="1"/>
    <col min="3868" max="3869" width="9.7109375" style="99" customWidth="1"/>
    <col min="3870" max="3870" width="11.5703125" style="99" customWidth="1"/>
    <col min="3871" max="3871" width="7.7109375" style="99" customWidth="1"/>
    <col min="3872" max="3872" width="9" style="99" customWidth="1"/>
    <col min="3873" max="3873" width="10.5703125" style="99" customWidth="1"/>
    <col min="3874" max="4006" width="3.7109375" style="99" customWidth="1"/>
    <col min="4007" max="4111" width="11.42578125" style="99"/>
    <col min="4112" max="4112" width="3.7109375" style="99" customWidth="1"/>
    <col min="4113" max="4114" width="10.28515625" style="99" customWidth="1"/>
    <col min="4115" max="4115" width="10.140625" style="99" customWidth="1"/>
    <col min="4116" max="4116" width="13.140625" style="99" customWidth="1"/>
    <col min="4117" max="4117" width="9.7109375" style="99" customWidth="1"/>
    <col min="4118" max="4118" width="9.85546875" style="99" customWidth="1"/>
    <col min="4119" max="4119" width="7" style="99" customWidth="1"/>
    <col min="4120" max="4120" width="12.140625" style="99" customWidth="1"/>
    <col min="4121" max="4121" width="2.5703125" style="99" customWidth="1"/>
    <col min="4122" max="4122" width="9.85546875" style="99" customWidth="1"/>
    <col min="4123" max="4123" width="13.5703125" style="99" customWidth="1"/>
    <col min="4124" max="4125" width="9.7109375" style="99" customWidth="1"/>
    <col min="4126" max="4126" width="11.5703125" style="99" customWidth="1"/>
    <col min="4127" max="4127" width="7.7109375" style="99" customWidth="1"/>
    <col min="4128" max="4128" width="9" style="99" customWidth="1"/>
    <col min="4129" max="4129" width="10.5703125" style="99" customWidth="1"/>
    <col min="4130" max="4262" width="3.7109375" style="99" customWidth="1"/>
    <col min="4263" max="4367" width="11.42578125" style="99"/>
    <col min="4368" max="4368" width="3.7109375" style="99" customWidth="1"/>
    <col min="4369" max="4370" width="10.28515625" style="99" customWidth="1"/>
    <col min="4371" max="4371" width="10.140625" style="99" customWidth="1"/>
    <col min="4372" max="4372" width="13.140625" style="99" customWidth="1"/>
    <col min="4373" max="4373" width="9.7109375" style="99" customWidth="1"/>
    <col min="4374" max="4374" width="9.85546875" style="99" customWidth="1"/>
    <col min="4375" max="4375" width="7" style="99" customWidth="1"/>
    <col min="4376" max="4376" width="12.140625" style="99" customWidth="1"/>
    <col min="4377" max="4377" width="2.5703125" style="99" customWidth="1"/>
    <col min="4378" max="4378" width="9.85546875" style="99" customWidth="1"/>
    <col min="4379" max="4379" width="13.5703125" style="99" customWidth="1"/>
    <col min="4380" max="4381" width="9.7109375" style="99" customWidth="1"/>
    <col min="4382" max="4382" width="11.5703125" style="99" customWidth="1"/>
    <col min="4383" max="4383" width="7.7109375" style="99" customWidth="1"/>
    <col min="4384" max="4384" width="9" style="99" customWidth="1"/>
    <col min="4385" max="4385" width="10.5703125" style="99" customWidth="1"/>
    <col min="4386" max="4518" width="3.7109375" style="99" customWidth="1"/>
    <col min="4519" max="4623" width="11.42578125" style="99"/>
    <col min="4624" max="4624" width="3.7109375" style="99" customWidth="1"/>
    <col min="4625" max="4626" width="10.28515625" style="99" customWidth="1"/>
    <col min="4627" max="4627" width="10.140625" style="99" customWidth="1"/>
    <col min="4628" max="4628" width="13.140625" style="99" customWidth="1"/>
    <col min="4629" max="4629" width="9.7109375" style="99" customWidth="1"/>
    <col min="4630" max="4630" width="9.85546875" style="99" customWidth="1"/>
    <col min="4631" max="4631" width="7" style="99" customWidth="1"/>
    <col min="4632" max="4632" width="12.140625" style="99" customWidth="1"/>
    <col min="4633" max="4633" width="2.5703125" style="99" customWidth="1"/>
    <col min="4634" max="4634" width="9.85546875" style="99" customWidth="1"/>
    <col min="4635" max="4635" width="13.5703125" style="99" customWidth="1"/>
    <col min="4636" max="4637" width="9.7109375" style="99" customWidth="1"/>
    <col min="4638" max="4638" width="11.5703125" style="99" customWidth="1"/>
    <col min="4639" max="4639" width="7.7109375" style="99" customWidth="1"/>
    <col min="4640" max="4640" width="9" style="99" customWidth="1"/>
    <col min="4641" max="4641" width="10.5703125" style="99" customWidth="1"/>
    <col min="4642" max="4774" width="3.7109375" style="99" customWidth="1"/>
    <col min="4775" max="4879" width="11.42578125" style="99"/>
    <col min="4880" max="4880" width="3.7109375" style="99" customWidth="1"/>
    <col min="4881" max="4882" width="10.28515625" style="99" customWidth="1"/>
    <col min="4883" max="4883" width="10.140625" style="99" customWidth="1"/>
    <col min="4884" max="4884" width="13.140625" style="99" customWidth="1"/>
    <col min="4885" max="4885" width="9.7109375" style="99" customWidth="1"/>
    <col min="4886" max="4886" width="9.85546875" style="99" customWidth="1"/>
    <col min="4887" max="4887" width="7" style="99" customWidth="1"/>
    <col min="4888" max="4888" width="12.140625" style="99" customWidth="1"/>
    <col min="4889" max="4889" width="2.5703125" style="99" customWidth="1"/>
    <col min="4890" max="4890" width="9.85546875" style="99" customWidth="1"/>
    <col min="4891" max="4891" width="13.5703125" style="99" customWidth="1"/>
    <col min="4892" max="4893" width="9.7109375" style="99" customWidth="1"/>
    <col min="4894" max="4894" width="11.5703125" style="99" customWidth="1"/>
    <col min="4895" max="4895" width="7.7109375" style="99" customWidth="1"/>
    <col min="4896" max="4896" width="9" style="99" customWidth="1"/>
    <col min="4897" max="4897" width="10.5703125" style="99" customWidth="1"/>
    <col min="4898" max="5030" width="3.7109375" style="99" customWidth="1"/>
    <col min="5031" max="5135" width="11.42578125" style="99"/>
    <col min="5136" max="5136" width="3.7109375" style="99" customWidth="1"/>
    <col min="5137" max="5138" width="10.28515625" style="99" customWidth="1"/>
    <col min="5139" max="5139" width="10.140625" style="99" customWidth="1"/>
    <col min="5140" max="5140" width="13.140625" style="99" customWidth="1"/>
    <col min="5141" max="5141" width="9.7109375" style="99" customWidth="1"/>
    <col min="5142" max="5142" width="9.85546875" style="99" customWidth="1"/>
    <col min="5143" max="5143" width="7" style="99" customWidth="1"/>
    <col min="5144" max="5144" width="12.140625" style="99" customWidth="1"/>
    <col min="5145" max="5145" width="2.5703125" style="99" customWidth="1"/>
    <col min="5146" max="5146" width="9.85546875" style="99" customWidth="1"/>
    <col min="5147" max="5147" width="13.5703125" style="99" customWidth="1"/>
    <col min="5148" max="5149" width="9.7109375" style="99" customWidth="1"/>
    <col min="5150" max="5150" width="11.5703125" style="99" customWidth="1"/>
    <col min="5151" max="5151" width="7.7109375" style="99" customWidth="1"/>
    <col min="5152" max="5152" width="9" style="99" customWidth="1"/>
    <col min="5153" max="5153" width="10.5703125" style="99" customWidth="1"/>
    <col min="5154" max="5286" width="3.7109375" style="99" customWidth="1"/>
    <col min="5287" max="5391" width="11.42578125" style="99"/>
    <col min="5392" max="5392" width="3.7109375" style="99" customWidth="1"/>
    <col min="5393" max="5394" width="10.28515625" style="99" customWidth="1"/>
    <col min="5395" max="5395" width="10.140625" style="99" customWidth="1"/>
    <col min="5396" max="5396" width="13.140625" style="99" customWidth="1"/>
    <col min="5397" max="5397" width="9.7109375" style="99" customWidth="1"/>
    <col min="5398" max="5398" width="9.85546875" style="99" customWidth="1"/>
    <col min="5399" max="5399" width="7" style="99" customWidth="1"/>
    <col min="5400" max="5400" width="12.140625" style="99" customWidth="1"/>
    <col min="5401" max="5401" width="2.5703125" style="99" customWidth="1"/>
    <col min="5402" max="5402" width="9.85546875" style="99" customWidth="1"/>
    <col min="5403" max="5403" width="13.5703125" style="99" customWidth="1"/>
    <col min="5404" max="5405" width="9.7109375" style="99" customWidth="1"/>
    <col min="5406" max="5406" width="11.5703125" style="99" customWidth="1"/>
    <col min="5407" max="5407" width="7.7109375" style="99" customWidth="1"/>
    <col min="5408" max="5408" width="9" style="99" customWidth="1"/>
    <col min="5409" max="5409" width="10.5703125" style="99" customWidth="1"/>
    <col min="5410" max="5542" width="3.7109375" style="99" customWidth="1"/>
    <col min="5543" max="5647" width="11.42578125" style="99"/>
    <col min="5648" max="5648" width="3.7109375" style="99" customWidth="1"/>
    <col min="5649" max="5650" width="10.28515625" style="99" customWidth="1"/>
    <col min="5651" max="5651" width="10.140625" style="99" customWidth="1"/>
    <col min="5652" max="5652" width="13.140625" style="99" customWidth="1"/>
    <col min="5653" max="5653" width="9.7109375" style="99" customWidth="1"/>
    <col min="5654" max="5654" width="9.85546875" style="99" customWidth="1"/>
    <col min="5655" max="5655" width="7" style="99" customWidth="1"/>
    <col min="5656" max="5656" width="12.140625" style="99" customWidth="1"/>
    <col min="5657" max="5657" width="2.5703125" style="99" customWidth="1"/>
    <col min="5658" max="5658" width="9.85546875" style="99" customWidth="1"/>
    <col min="5659" max="5659" width="13.5703125" style="99" customWidth="1"/>
    <col min="5660" max="5661" width="9.7109375" style="99" customWidth="1"/>
    <col min="5662" max="5662" width="11.5703125" style="99" customWidth="1"/>
    <col min="5663" max="5663" width="7.7109375" style="99" customWidth="1"/>
    <col min="5664" max="5664" width="9" style="99" customWidth="1"/>
    <col min="5665" max="5665" width="10.5703125" style="99" customWidth="1"/>
    <col min="5666" max="5798" width="3.7109375" style="99" customWidth="1"/>
    <col min="5799" max="5903" width="11.42578125" style="99"/>
    <col min="5904" max="5904" width="3.7109375" style="99" customWidth="1"/>
    <col min="5905" max="5906" width="10.28515625" style="99" customWidth="1"/>
    <col min="5907" max="5907" width="10.140625" style="99" customWidth="1"/>
    <col min="5908" max="5908" width="13.140625" style="99" customWidth="1"/>
    <col min="5909" max="5909" width="9.7109375" style="99" customWidth="1"/>
    <col min="5910" max="5910" width="9.85546875" style="99" customWidth="1"/>
    <col min="5911" max="5911" width="7" style="99" customWidth="1"/>
    <col min="5912" max="5912" width="12.140625" style="99" customWidth="1"/>
    <col min="5913" max="5913" width="2.5703125" style="99" customWidth="1"/>
    <col min="5914" max="5914" width="9.85546875" style="99" customWidth="1"/>
    <col min="5915" max="5915" width="13.5703125" style="99" customWidth="1"/>
    <col min="5916" max="5917" width="9.7109375" style="99" customWidth="1"/>
    <col min="5918" max="5918" width="11.5703125" style="99" customWidth="1"/>
    <col min="5919" max="5919" width="7.7109375" style="99" customWidth="1"/>
    <col min="5920" max="5920" width="9" style="99" customWidth="1"/>
    <col min="5921" max="5921" width="10.5703125" style="99" customWidth="1"/>
    <col min="5922" max="6054" width="3.7109375" style="99" customWidth="1"/>
    <col min="6055" max="6159" width="11.42578125" style="99"/>
    <col min="6160" max="6160" width="3.7109375" style="99" customWidth="1"/>
    <col min="6161" max="6162" width="10.28515625" style="99" customWidth="1"/>
    <col min="6163" max="6163" width="10.140625" style="99" customWidth="1"/>
    <col min="6164" max="6164" width="13.140625" style="99" customWidth="1"/>
    <col min="6165" max="6165" width="9.7109375" style="99" customWidth="1"/>
    <col min="6166" max="6166" width="9.85546875" style="99" customWidth="1"/>
    <col min="6167" max="6167" width="7" style="99" customWidth="1"/>
    <col min="6168" max="6168" width="12.140625" style="99" customWidth="1"/>
    <col min="6169" max="6169" width="2.5703125" style="99" customWidth="1"/>
    <col min="6170" max="6170" width="9.85546875" style="99" customWidth="1"/>
    <col min="6171" max="6171" width="13.5703125" style="99" customWidth="1"/>
    <col min="6172" max="6173" width="9.7109375" style="99" customWidth="1"/>
    <col min="6174" max="6174" width="11.5703125" style="99" customWidth="1"/>
    <col min="6175" max="6175" width="7.7109375" style="99" customWidth="1"/>
    <col min="6176" max="6176" width="9" style="99" customWidth="1"/>
    <col min="6177" max="6177" width="10.5703125" style="99" customWidth="1"/>
    <col min="6178" max="6310" width="3.7109375" style="99" customWidth="1"/>
    <col min="6311" max="6415" width="11.42578125" style="99"/>
    <col min="6416" max="6416" width="3.7109375" style="99" customWidth="1"/>
    <col min="6417" max="6418" width="10.28515625" style="99" customWidth="1"/>
    <col min="6419" max="6419" width="10.140625" style="99" customWidth="1"/>
    <col min="6420" max="6420" width="13.140625" style="99" customWidth="1"/>
    <col min="6421" max="6421" width="9.7109375" style="99" customWidth="1"/>
    <col min="6422" max="6422" width="9.85546875" style="99" customWidth="1"/>
    <col min="6423" max="6423" width="7" style="99" customWidth="1"/>
    <col min="6424" max="6424" width="12.140625" style="99" customWidth="1"/>
    <col min="6425" max="6425" width="2.5703125" style="99" customWidth="1"/>
    <col min="6426" max="6426" width="9.85546875" style="99" customWidth="1"/>
    <col min="6427" max="6427" width="13.5703125" style="99" customWidth="1"/>
    <col min="6428" max="6429" width="9.7109375" style="99" customWidth="1"/>
    <col min="6430" max="6430" width="11.5703125" style="99" customWidth="1"/>
    <col min="6431" max="6431" width="7.7109375" style="99" customWidth="1"/>
    <col min="6432" max="6432" width="9" style="99" customWidth="1"/>
    <col min="6433" max="6433" width="10.5703125" style="99" customWidth="1"/>
    <col min="6434" max="6566" width="3.7109375" style="99" customWidth="1"/>
    <col min="6567" max="6671" width="11.42578125" style="99"/>
    <col min="6672" max="6672" width="3.7109375" style="99" customWidth="1"/>
    <col min="6673" max="6674" width="10.28515625" style="99" customWidth="1"/>
    <col min="6675" max="6675" width="10.140625" style="99" customWidth="1"/>
    <col min="6676" max="6676" width="13.140625" style="99" customWidth="1"/>
    <col min="6677" max="6677" width="9.7109375" style="99" customWidth="1"/>
    <col min="6678" max="6678" width="9.85546875" style="99" customWidth="1"/>
    <col min="6679" max="6679" width="7" style="99" customWidth="1"/>
    <col min="6680" max="6680" width="12.140625" style="99" customWidth="1"/>
    <col min="6681" max="6681" width="2.5703125" style="99" customWidth="1"/>
    <col min="6682" max="6682" width="9.85546875" style="99" customWidth="1"/>
    <col min="6683" max="6683" width="13.5703125" style="99" customWidth="1"/>
    <col min="6684" max="6685" width="9.7109375" style="99" customWidth="1"/>
    <col min="6686" max="6686" width="11.5703125" style="99" customWidth="1"/>
    <col min="6687" max="6687" width="7.7109375" style="99" customWidth="1"/>
    <col min="6688" max="6688" width="9" style="99" customWidth="1"/>
    <col min="6689" max="6689" width="10.5703125" style="99" customWidth="1"/>
    <col min="6690" max="6822" width="3.7109375" style="99" customWidth="1"/>
    <col min="6823" max="6927" width="11.42578125" style="99"/>
    <col min="6928" max="6928" width="3.7109375" style="99" customWidth="1"/>
    <col min="6929" max="6930" width="10.28515625" style="99" customWidth="1"/>
    <col min="6931" max="6931" width="10.140625" style="99" customWidth="1"/>
    <col min="6932" max="6932" width="13.140625" style="99" customWidth="1"/>
    <col min="6933" max="6933" width="9.7109375" style="99" customWidth="1"/>
    <col min="6934" max="6934" width="9.85546875" style="99" customWidth="1"/>
    <col min="6935" max="6935" width="7" style="99" customWidth="1"/>
    <col min="6936" max="6936" width="12.140625" style="99" customWidth="1"/>
    <col min="6937" max="6937" width="2.5703125" style="99" customWidth="1"/>
    <col min="6938" max="6938" width="9.85546875" style="99" customWidth="1"/>
    <col min="6939" max="6939" width="13.5703125" style="99" customWidth="1"/>
    <col min="6940" max="6941" width="9.7109375" style="99" customWidth="1"/>
    <col min="6942" max="6942" width="11.5703125" style="99" customWidth="1"/>
    <col min="6943" max="6943" width="7.7109375" style="99" customWidth="1"/>
    <col min="6944" max="6944" width="9" style="99" customWidth="1"/>
    <col min="6945" max="6945" width="10.5703125" style="99" customWidth="1"/>
    <col min="6946" max="7078" width="3.7109375" style="99" customWidth="1"/>
    <col min="7079" max="7183" width="11.42578125" style="99"/>
    <col min="7184" max="7184" width="3.7109375" style="99" customWidth="1"/>
    <col min="7185" max="7186" width="10.28515625" style="99" customWidth="1"/>
    <col min="7187" max="7187" width="10.140625" style="99" customWidth="1"/>
    <col min="7188" max="7188" width="13.140625" style="99" customWidth="1"/>
    <col min="7189" max="7189" width="9.7109375" style="99" customWidth="1"/>
    <col min="7190" max="7190" width="9.85546875" style="99" customWidth="1"/>
    <col min="7191" max="7191" width="7" style="99" customWidth="1"/>
    <col min="7192" max="7192" width="12.140625" style="99" customWidth="1"/>
    <col min="7193" max="7193" width="2.5703125" style="99" customWidth="1"/>
    <col min="7194" max="7194" width="9.85546875" style="99" customWidth="1"/>
    <col min="7195" max="7195" width="13.5703125" style="99" customWidth="1"/>
    <col min="7196" max="7197" width="9.7109375" style="99" customWidth="1"/>
    <col min="7198" max="7198" width="11.5703125" style="99" customWidth="1"/>
    <col min="7199" max="7199" width="7.7109375" style="99" customWidth="1"/>
    <col min="7200" max="7200" width="9" style="99" customWidth="1"/>
    <col min="7201" max="7201" width="10.5703125" style="99" customWidth="1"/>
    <col min="7202" max="7334" width="3.7109375" style="99" customWidth="1"/>
    <col min="7335" max="7439" width="11.42578125" style="99"/>
    <col min="7440" max="7440" width="3.7109375" style="99" customWidth="1"/>
    <col min="7441" max="7442" width="10.28515625" style="99" customWidth="1"/>
    <col min="7443" max="7443" width="10.140625" style="99" customWidth="1"/>
    <col min="7444" max="7444" width="13.140625" style="99" customWidth="1"/>
    <col min="7445" max="7445" width="9.7109375" style="99" customWidth="1"/>
    <col min="7446" max="7446" width="9.85546875" style="99" customWidth="1"/>
    <col min="7447" max="7447" width="7" style="99" customWidth="1"/>
    <col min="7448" max="7448" width="12.140625" style="99" customWidth="1"/>
    <col min="7449" max="7449" width="2.5703125" style="99" customWidth="1"/>
    <col min="7450" max="7450" width="9.85546875" style="99" customWidth="1"/>
    <col min="7451" max="7451" width="13.5703125" style="99" customWidth="1"/>
    <col min="7452" max="7453" width="9.7109375" style="99" customWidth="1"/>
    <col min="7454" max="7454" width="11.5703125" style="99" customWidth="1"/>
    <col min="7455" max="7455" width="7.7109375" style="99" customWidth="1"/>
    <col min="7456" max="7456" width="9" style="99" customWidth="1"/>
    <col min="7457" max="7457" width="10.5703125" style="99" customWidth="1"/>
    <col min="7458" max="7590" width="3.7109375" style="99" customWidth="1"/>
    <col min="7591" max="7695" width="11.42578125" style="99"/>
    <col min="7696" max="7696" width="3.7109375" style="99" customWidth="1"/>
    <col min="7697" max="7698" width="10.28515625" style="99" customWidth="1"/>
    <col min="7699" max="7699" width="10.140625" style="99" customWidth="1"/>
    <col min="7700" max="7700" width="13.140625" style="99" customWidth="1"/>
    <col min="7701" max="7701" width="9.7109375" style="99" customWidth="1"/>
    <col min="7702" max="7702" width="9.85546875" style="99" customWidth="1"/>
    <col min="7703" max="7703" width="7" style="99" customWidth="1"/>
    <col min="7704" max="7704" width="12.140625" style="99" customWidth="1"/>
    <col min="7705" max="7705" width="2.5703125" style="99" customWidth="1"/>
    <col min="7706" max="7706" width="9.85546875" style="99" customWidth="1"/>
    <col min="7707" max="7707" width="13.5703125" style="99" customWidth="1"/>
    <col min="7708" max="7709" width="9.7109375" style="99" customWidth="1"/>
    <col min="7710" max="7710" width="11.5703125" style="99" customWidth="1"/>
    <col min="7711" max="7711" width="7.7109375" style="99" customWidth="1"/>
    <col min="7712" max="7712" width="9" style="99" customWidth="1"/>
    <col min="7713" max="7713" width="10.5703125" style="99" customWidth="1"/>
    <col min="7714" max="7846" width="3.7109375" style="99" customWidth="1"/>
    <col min="7847" max="7951" width="11.42578125" style="99"/>
    <col min="7952" max="7952" width="3.7109375" style="99" customWidth="1"/>
    <col min="7953" max="7954" width="10.28515625" style="99" customWidth="1"/>
    <col min="7955" max="7955" width="10.140625" style="99" customWidth="1"/>
    <col min="7956" max="7956" width="13.140625" style="99" customWidth="1"/>
    <col min="7957" max="7957" width="9.7109375" style="99" customWidth="1"/>
    <col min="7958" max="7958" width="9.85546875" style="99" customWidth="1"/>
    <col min="7959" max="7959" width="7" style="99" customWidth="1"/>
    <col min="7960" max="7960" width="12.140625" style="99" customWidth="1"/>
    <col min="7961" max="7961" width="2.5703125" style="99" customWidth="1"/>
    <col min="7962" max="7962" width="9.85546875" style="99" customWidth="1"/>
    <col min="7963" max="7963" width="13.5703125" style="99" customWidth="1"/>
    <col min="7964" max="7965" width="9.7109375" style="99" customWidth="1"/>
    <col min="7966" max="7966" width="11.5703125" style="99" customWidth="1"/>
    <col min="7967" max="7967" width="7.7109375" style="99" customWidth="1"/>
    <col min="7968" max="7968" width="9" style="99" customWidth="1"/>
    <col min="7969" max="7969" width="10.5703125" style="99" customWidth="1"/>
    <col min="7970" max="8102" width="3.7109375" style="99" customWidth="1"/>
    <col min="8103" max="8207" width="11.42578125" style="99"/>
    <col min="8208" max="8208" width="3.7109375" style="99" customWidth="1"/>
    <col min="8209" max="8210" width="10.28515625" style="99" customWidth="1"/>
    <col min="8211" max="8211" width="10.140625" style="99" customWidth="1"/>
    <col min="8212" max="8212" width="13.140625" style="99" customWidth="1"/>
    <col min="8213" max="8213" width="9.7109375" style="99" customWidth="1"/>
    <col min="8214" max="8214" width="9.85546875" style="99" customWidth="1"/>
    <col min="8215" max="8215" width="7" style="99" customWidth="1"/>
    <col min="8216" max="8216" width="12.140625" style="99" customWidth="1"/>
    <col min="8217" max="8217" width="2.5703125" style="99" customWidth="1"/>
    <col min="8218" max="8218" width="9.85546875" style="99" customWidth="1"/>
    <col min="8219" max="8219" width="13.5703125" style="99" customWidth="1"/>
    <col min="8220" max="8221" width="9.7109375" style="99" customWidth="1"/>
    <col min="8222" max="8222" width="11.5703125" style="99" customWidth="1"/>
    <col min="8223" max="8223" width="7.7109375" style="99" customWidth="1"/>
    <col min="8224" max="8224" width="9" style="99" customWidth="1"/>
    <col min="8225" max="8225" width="10.5703125" style="99" customWidth="1"/>
    <col min="8226" max="8358" width="3.7109375" style="99" customWidth="1"/>
    <col min="8359" max="8463" width="11.42578125" style="99"/>
    <col min="8464" max="8464" width="3.7109375" style="99" customWidth="1"/>
    <col min="8465" max="8466" width="10.28515625" style="99" customWidth="1"/>
    <col min="8467" max="8467" width="10.140625" style="99" customWidth="1"/>
    <col min="8468" max="8468" width="13.140625" style="99" customWidth="1"/>
    <col min="8469" max="8469" width="9.7109375" style="99" customWidth="1"/>
    <col min="8470" max="8470" width="9.85546875" style="99" customWidth="1"/>
    <col min="8471" max="8471" width="7" style="99" customWidth="1"/>
    <col min="8472" max="8472" width="12.140625" style="99" customWidth="1"/>
    <col min="8473" max="8473" width="2.5703125" style="99" customWidth="1"/>
    <col min="8474" max="8474" width="9.85546875" style="99" customWidth="1"/>
    <col min="8475" max="8475" width="13.5703125" style="99" customWidth="1"/>
    <col min="8476" max="8477" width="9.7109375" style="99" customWidth="1"/>
    <col min="8478" max="8478" width="11.5703125" style="99" customWidth="1"/>
    <col min="8479" max="8479" width="7.7109375" style="99" customWidth="1"/>
    <col min="8480" max="8480" width="9" style="99" customWidth="1"/>
    <col min="8481" max="8481" width="10.5703125" style="99" customWidth="1"/>
    <col min="8482" max="8614" width="3.7109375" style="99" customWidth="1"/>
    <col min="8615" max="8719" width="11.42578125" style="99"/>
    <col min="8720" max="8720" width="3.7109375" style="99" customWidth="1"/>
    <col min="8721" max="8722" width="10.28515625" style="99" customWidth="1"/>
    <col min="8723" max="8723" width="10.140625" style="99" customWidth="1"/>
    <col min="8724" max="8724" width="13.140625" style="99" customWidth="1"/>
    <col min="8725" max="8725" width="9.7109375" style="99" customWidth="1"/>
    <col min="8726" max="8726" width="9.85546875" style="99" customWidth="1"/>
    <col min="8727" max="8727" width="7" style="99" customWidth="1"/>
    <col min="8728" max="8728" width="12.140625" style="99" customWidth="1"/>
    <col min="8729" max="8729" width="2.5703125" style="99" customWidth="1"/>
    <col min="8730" max="8730" width="9.85546875" style="99" customWidth="1"/>
    <col min="8731" max="8731" width="13.5703125" style="99" customWidth="1"/>
    <col min="8732" max="8733" width="9.7109375" style="99" customWidth="1"/>
    <col min="8734" max="8734" width="11.5703125" style="99" customWidth="1"/>
    <col min="8735" max="8735" width="7.7109375" style="99" customWidth="1"/>
    <col min="8736" max="8736" width="9" style="99" customWidth="1"/>
    <col min="8737" max="8737" width="10.5703125" style="99" customWidth="1"/>
    <col min="8738" max="8870" width="3.7109375" style="99" customWidth="1"/>
    <col min="8871" max="8975" width="11.42578125" style="99"/>
    <col min="8976" max="8976" width="3.7109375" style="99" customWidth="1"/>
    <col min="8977" max="8978" width="10.28515625" style="99" customWidth="1"/>
    <col min="8979" max="8979" width="10.140625" style="99" customWidth="1"/>
    <col min="8980" max="8980" width="13.140625" style="99" customWidth="1"/>
    <col min="8981" max="8981" width="9.7109375" style="99" customWidth="1"/>
    <col min="8982" max="8982" width="9.85546875" style="99" customWidth="1"/>
    <col min="8983" max="8983" width="7" style="99" customWidth="1"/>
    <col min="8984" max="8984" width="12.140625" style="99" customWidth="1"/>
    <col min="8985" max="8985" width="2.5703125" style="99" customWidth="1"/>
    <col min="8986" max="8986" width="9.85546875" style="99" customWidth="1"/>
    <col min="8987" max="8987" width="13.5703125" style="99" customWidth="1"/>
    <col min="8988" max="8989" width="9.7109375" style="99" customWidth="1"/>
    <col min="8990" max="8990" width="11.5703125" style="99" customWidth="1"/>
    <col min="8991" max="8991" width="7.7109375" style="99" customWidth="1"/>
    <col min="8992" max="8992" width="9" style="99" customWidth="1"/>
    <col min="8993" max="8993" width="10.5703125" style="99" customWidth="1"/>
    <col min="8994" max="9126" width="3.7109375" style="99" customWidth="1"/>
    <col min="9127" max="9231" width="11.42578125" style="99"/>
    <col min="9232" max="9232" width="3.7109375" style="99" customWidth="1"/>
    <col min="9233" max="9234" width="10.28515625" style="99" customWidth="1"/>
    <col min="9235" max="9235" width="10.140625" style="99" customWidth="1"/>
    <col min="9236" max="9236" width="13.140625" style="99" customWidth="1"/>
    <col min="9237" max="9237" width="9.7109375" style="99" customWidth="1"/>
    <col min="9238" max="9238" width="9.85546875" style="99" customWidth="1"/>
    <col min="9239" max="9239" width="7" style="99" customWidth="1"/>
    <col min="9240" max="9240" width="12.140625" style="99" customWidth="1"/>
    <col min="9241" max="9241" width="2.5703125" style="99" customWidth="1"/>
    <col min="9242" max="9242" width="9.85546875" style="99" customWidth="1"/>
    <col min="9243" max="9243" width="13.5703125" style="99" customWidth="1"/>
    <col min="9244" max="9245" width="9.7109375" style="99" customWidth="1"/>
    <col min="9246" max="9246" width="11.5703125" style="99" customWidth="1"/>
    <col min="9247" max="9247" width="7.7109375" style="99" customWidth="1"/>
    <col min="9248" max="9248" width="9" style="99" customWidth="1"/>
    <col min="9249" max="9249" width="10.5703125" style="99" customWidth="1"/>
    <col min="9250" max="9382" width="3.7109375" style="99" customWidth="1"/>
    <col min="9383" max="9487" width="11.42578125" style="99"/>
    <col min="9488" max="9488" width="3.7109375" style="99" customWidth="1"/>
    <col min="9489" max="9490" width="10.28515625" style="99" customWidth="1"/>
    <col min="9491" max="9491" width="10.140625" style="99" customWidth="1"/>
    <col min="9492" max="9492" width="13.140625" style="99" customWidth="1"/>
    <col min="9493" max="9493" width="9.7109375" style="99" customWidth="1"/>
    <col min="9494" max="9494" width="9.85546875" style="99" customWidth="1"/>
    <col min="9495" max="9495" width="7" style="99" customWidth="1"/>
    <col min="9496" max="9496" width="12.140625" style="99" customWidth="1"/>
    <col min="9497" max="9497" width="2.5703125" style="99" customWidth="1"/>
    <col min="9498" max="9498" width="9.85546875" style="99" customWidth="1"/>
    <col min="9499" max="9499" width="13.5703125" style="99" customWidth="1"/>
    <col min="9500" max="9501" width="9.7109375" style="99" customWidth="1"/>
    <col min="9502" max="9502" width="11.5703125" style="99" customWidth="1"/>
    <col min="9503" max="9503" width="7.7109375" style="99" customWidth="1"/>
    <col min="9504" max="9504" width="9" style="99" customWidth="1"/>
    <col min="9505" max="9505" width="10.5703125" style="99" customWidth="1"/>
    <col min="9506" max="9638" width="3.7109375" style="99" customWidth="1"/>
    <col min="9639" max="9743" width="11.42578125" style="99"/>
    <col min="9744" max="9744" width="3.7109375" style="99" customWidth="1"/>
    <col min="9745" max="9746" width="10.28515625" style="99" customWidth="1"/>
    <col min="9747" max="9747" width="10.140625" style="99" customWidth="1"/>
    <col min="9748" max="9748" width="13.140625" style="99" customWidth="1"/>
    <col min="9749" max="9749" width="9.7109375" style="99" customWidth="1"/>
    <col min="9750" max="9750" width="9.85546875" style="99" customWidth="1"/>
    <col min="9751" max="9751" width="7" style="99" customWidth="1"/>
    <col min="9752" max="9752" width="12.140625" style="99" customWidth="1"/>
    <col min="9753" max="9753" width="2.5703125" style="99" customWidth="1"/>
    <col min="9754" max="9754" width="9.85546875" style="99" customWidth="1"/>
    <col min="9755" max="9755" width="13.5703125" style="99" customWidth="1"/>
    <col min="9756" max="9757" width="9.7109375" style="99" customWidth="1"/>
    <col min="9758" max="9758" width="11.5703125" style="99" customWidth="1"/>
    <col min="9759" max="9759" width="7.7109375" style="99" customWidth="1"/>
    <col min="9760" max="9760" width="9" style="99" customWidth="1"/>
    <col min="9761" max="9761" width="10.5703125" style="99" customWidth="1"/>
    <col min="9762" max="9894" width="3.7109375" style="99" customWidth="1"/>
    <col min="9895" max="9999" width="11.42578125" style="99"/>
    <col min="10000" max="10000" width="3.7109375" style="99" customWidth="1"/>
    <col min="10001" max="10002" width="10.28515625" style="99" customWidth="1"/>
    <col min="10003" max="10003" width="10.140625" style="99" customWidth="1"/>
    <col min="10004" max="10004" width="13.140625" style="99" customWidth="1"/>
    <col min="10005" max="10005" width="9.7109375" style="99" customWidth="1"/>
    <col min="10006" max="10006" width="9.85546875" style="99" customWidth="1"/>
    <col min="10007" max="10007" width="7" style="99" customWidth="1"/>
    <col min="10008" max="10008" width="12.140625" style="99" customWidth="1"/>
    <col min="10009" max="10009" width="2.5703125" style="99" customWidth="1"/>
    <col min="10010" max="10010" width="9.85546875" style="99" customWidth="1"/>
    <col min="10011" max="10011" width="13.5703125" style="99" customWidth="1"/>
    <col min="10012" max="10013" width="9.7109375" style="99" customWidth="1"/>
    <col min="10014" max="10014" width="11.5703125" style="99" customWidth="1"/>
    <col min="10015" max="10015" width="7.7109375" style="99" customWidth="1"/>
    <col min="10016" max="10016" width="9" style="99" customWidth="1"/>
    <col min="10017" max="10017" width="10.5703125" style="99" customWidth="1"/>
    <col min="10018" max="10150" width="3.7109375" style="99" customWidth="1"/>
    <col min="10151" max="10255" width="11.42578125" style="99"/>
    <col min="10256" max="10256" width="3.7109375" style="99" customWidth="1"/>
    <col min="10257" max="10258" width="10.28515625" style="99" customWidth="1"/>
    <col min="10259" max="10259" width="10.140625" style="99" customWidth="1"/>
    <col min="10260" max="10260" width="13.140625" style="99" customWidth="1"/>
    <col min="10261" max="10261" width="9.7109375" style="99" customWidth="1"/>
    <col min="10262" max="10262" width="9.85546875" style="99" customWidth="1"/>
    <col min="10263" max="10263" width="7" style="99" customWidth="1"/>
    <col min="10264" max="10264" width="12.140625" style="99" customWidth="1"/>
    <col min="10265" max="10265" width="2.5703125" style="99" customWidth="1"/>
    <col min="10266" max="10266" width="9.85546875" style="99" customWidth="1"/>
    <col min="10267" max="10267" width="13.5703125" style="99" customWidth="1"/>
    <col min="10268" max="10269" width="9.7109375" style="99" customWidth="1"/>
    <col min="10270" max="10270" width="11.5703125" style="99" customWidth="1"/>
    <col min="10271" max="10271" width="7.7109375" style="99" customWidth="1"/>
    <col min="10272" max="10272" width="9" style="99" customWidth="1"/>
    <col min="10273" max="10273" width="10.5703125" style="99" customWidth="1"/>
    <col min="10274" max="10406" width="3.7109375" style="99" customWidth="1"/>
    <col min="10407" max="10511" width="11.42578125" style="99"/>
    <col min="10512" max="10512" width="3.7109375" style="99" customWidth="1"/>
    <col min="10513" max="10514" width="10.28515625" style="99" customWidth="1"/>
    <col min="10515" max="10515" width="10.140625" style="99" customWidth="1"/>
    <col min="10516" max="10516" width="13.140625" style="99" customWidth="1"/>
    <col min="10517" max="10517" width="9.7109375" style="99" customWidth="1"/>
    <col min="10518" max="10518" width="9.85546875" style="99" customWidth="1"/>
    <col min="10519" max="10519" width="7" style="99" customWidth="1"/>
    <col min="10520" max="10520" width="12.140625" style="99" customWidth="1"/>
    <col min="10521" max="10521" width="2.5703125" style="99" customWidth="1"/>
    <col min="10522" max="10522" width="9.85546875" style="99" customWidth="1"/>
    <col min="10523" max="10523" width="13.5703125" style="99" customWidth="1"/>
    <col min="10524" max="10525" width="9.7109375" style="99" customWidth="1"/>
    <col min="10526" max="10526" width="11.5703125" style="99" customWidth="1"/>
    <col min="10527" max="10527" width="7.7109375" style="99" customWidth="1"/>
    <col min="10528" max="10528" width="9" style="99" customWidth="1"/>
    <col min="10529" max="10529" width="10.5703125" style="99" customWidth="1"/>
    <col min="10530" max="10662" width="3.7109375" style="99" customWidth="1"/>
    <col min="10663" max="10767" width="11.42578125" style="99"/>
    <col min="10768" max="10768" width="3.7109375" style="99" customWidth="1"/>
    <col min="10769" max="10770" width="10.28515625" style="99" customWidth="1"/>
    <col min="10771" max="10771" width="10.140625" style="99" customWidth="1"/>
    <col min="10772" max="10772" width="13.140625" style="99" customWidth="1"/>
    <col min="10773" max="10773" width="9.7109375" style="99" customWidth="1"/>
    <col min="10774" max="10774" width="9.85546875" style="99" customWidth="1"/>
    <col min="10775" max="10775" width="7" style="99" customWidth="1"/>
    <col min="10776" max="10776" width="12.140625" style="99" customWidth="1"/>
    <col min="10777" max="10777" width="2.5703125" style="99" customWidth="1"/>
    <col min="10778" max="10778" width="9.85546875" style="99" customWidth="1"/>
    <col min="10779" max="10779" width="13.5703125" style="99" customWidth="1"/>
    <col min="10780" max="10781" width="9.7109375" style="99" customWidth="1"/>
    <col min="10782" max="10782" width="11.5703125" style="99" customWidth="1"/>
    <col min="10783" max="10783" width="7.7109375" style="99" customWidth="1"/>
    <col min="10784" max="10784" width="9" style="99" customWidth="1"/>
    <col min="10785" max="10785" width="10.5703125" style="99" customWidth="1"/>
    <col min="10786" max="10918" width="3.7109375" style="99" customWidth="1"/>
    <col min="10919" max="11023" width="11.42578125" style="99"/>
    <col min="11024" max="11024" width="3.7109375" style="99" customWidth="1"/>
    <col min="11025" max="11026" width="10.28515625" style="99" customWidth="1"/>
    <col min="11027" max="11027" width="10.140625" style="99" customWidth="1"/>
    <col min="11028" max="11028" width="13.140625" style="99" customWidth="1"/>
    <col min="11029" max="11029" width="9.7109375" style="99" customWidth="1"/>
    <col min="11030" max="11030" width="9.85546875" style="99" customWidth="1"/>
    <col min="11031" max="11031" width="7" style="99" customWidth="1"/>
    <col min="11032" max="11032" width="12.140625" style="99" customWidth="1"/>
    <col min="11033" max="11033" width="2.5703125" style="99" customWidth="1"/>
    <col min="11034" max="11034" width="9.85546875" style="99" customWidth="1"/>
    <col min="11035" max="11035" width="13.5703125" style="99" customWidth="1"/>
    <col min="11036" max="11037" width="9.7109375" style="99" customWidth="1"/>
    <col min="11038" max="11038" width="11.5703125" style="99" customWidth="1"/>
    <col min="11039" max="11039" width="7.7109375" style="99" customWidth="1"/>
    <col min="11040" max="11040" width="9" style="99" customWidth="1"/>
    <col min="11041" max="11041" width="10.5703125" style="99" customWidth="1"/>
    <col min="11042" max="11174" width="3.7109375" style="99" customWidth="1"/>
    <col min="11175" max="11279" width="11.42578125" style="99"/>
    <col min="11280" max="11280" width="3.7109375" style="99" customWidth="1"/>
    <col min="11281" max="11282" width="10.28515625" style="99" customWidth="1"/>
    <col min="11283" max="11283" width="10.140625" style="99" customWidth="1"/>
    <col min="11284" max="11284" width="13.140625" style="99" customWidth="1"/>
    <col min="11285" max="11285" width="9.7109375" style="99" customWidth="1"/>
    <col min="11286" max="11286" width="9.85546875" style="99" customWidth="1"/>
    <col min="11287" max="11287" width="7" style="99" customWidth="1"/>
    <col min="11288" max="11288" width="12.140625" style="99" customWidth="1"/>
    <col min="11289" max="11289" width="2.5703125" style="99" customWidth="1"/>
    <col min="11290" max="11290" width="9.85546875" style="99" customWidth="1"/>
    <col min="11291" max="11291" width="13.5703125" style="99" customWidth="1"/>
    <col min="11292" max="11293" width="9.7109375" style="99" customWidth="1"/>
    <col min="11294" max="11294" width="11.5703125" style="99" customWidth="1"/>
    <col min="11295" max="11295" width="7.7109375" style="99" customWidth="1"/>
    <col min="11296" max="11296" width="9" style="99" customWidth="1"/>
    <col min="11297" max="11297" width="10.5703125" style="99" customWidth="1"/>
    <col min="11298" max="11430" width="3.7109375" style="99" customWidth="1"/>
    <col min="11431" max="11535" width="11.42578125" style="99"/>
    <col min="11536" max="11536" width="3.7109375" style="99" customWidth="1"/>
    <col min="11537" max="11538" width="10.28515625" style="99" customWidth="1"/>
    <col min="11539" max="11539" width="10.140625" style="99" customWidth="1"/>
    <col min="11540" max="11540" width="13.140625" style="99" customWidth="1"/>
    <col min="11541" max="11541" width="9.7109375" style="99" customWidth="1"/>
    <col min="11542" max="11542" width="9.85546875" style="99" customWidth="1"/>
    <col min="11543" max="11543" width="7" style="99" customWidth="1"/>
    <col min="11544" max="11544" width="12.140625" style="99" customWidth="1"/>
    <col min="11545" max="11545" width="2.5703125" style="99" customWidth="1"/>
    <col min="11546" max="11546" width="9.85546875" style="99" customWidth="1"/>
    <col min="11547" max="11547" width="13.5703125" style="99" customWidth="1"/>
    <col min="11548" max="11549" width="9.7109375" style="99" customWidth="1"/>
    <col min="11550" max="11550" width="11.5703125" style="99" customWidth="1"/>
    <col min="11551" max="11551" width="7.7109375" style="99" customWidth="1"/>
    <col min="11552" max="11552" width="9" style="99" customWidth="1"/>
    <col min="11553" max="11553" width="10.5703125" style="99" customWidth="1"/>
    <col min="11554" max="11686" width="3.7109375" style="99" customWidth="1"/>
    <col min="11687" max="11791" width="11.42578125" style="99"/>
    <col min="11792" max="11792" width="3.7109375" style="99" customWidth="1"/>
    <col min="11793" max="11794" width="10.28515625" style="99" customWidth="1"/>
    <col min="11795" max="11795" width="10.140625" style="99" customWidth="1"/>
    <col min="11796" max="11796" width="13.140625" style="99" customWidth="1"/>
    <col min="11797" max="11797" width="9.7109375" style="99" customWidth="1"/>
    <col min="11798" max="11798" width="9.85546875" style="99" customWidth="1"/>
    <col min="11799" max="11799" width="7" style="99" customWidth="1"/>
    <col min="11800" max="11800" width="12.140625" style="99" customWidth="1"/>
    <col min="11801" max="11801" width="2.5703125" style="99" customWidth="1"/>
    <col min="11802" max="11802" width="9.85546875" style="99" customWidth="1"/>
    <col min="11803" max="11803" width="13.5703125" style="99" customWidth="1"/>
    <col min="11804" max="11805" width="9.7109375" style="99" customWidth="1"/>
    <col min="11806" max="11806" width="11.5703125" style="99" customWidth="1"/>
    <col min="11807" max="11807" width="7.7109375" style="99" customWidth="1"/>
    <col min="11808" max="11808" width="9" style="99" customWidth="1"/>
    <col min="11809" max="11809" width="10.5703125" style="99" customWidth="1"/>
    <col min="11810" max="11942" width="3.7109375" style="99" customWidth="1"/>
    <col min="11943" max="12047" width="11.42578125" style="99"/>
    <col min="12048" max="12048" width="3.7109375" style="99" customWidth="1"/>
    <col min="12049" max="12050" width="10.28515625" style="99" customWidth="1"/>
    <col min="12051" max="12051" width="10.140625" style="99" customWidth="1"/>
    <col min="12052" max="12052" width="13.140625" style="99" customWidth="1"/>
    <col min="12053" max="12053" width="9.7109375" style="99" customWidth="1"/>
    <col min="12054" max="12054" width="9.85546875" style="99" customWidth="1"/>
    <col min="12055" max="12055" width="7" style="99" customWidth="1"/>
    <col min="12056" max="12056" width="12.140625" style="99" customWidth="1"/>
    <col min="12057" max="12057" width="2.5703125" style="99" customWidth="1"/>
    <col min="12058" max="12058" width="9.85546875" style="99" customWidth="1"/>
    <col min="12059" max="12059" width="13.5703125" style="99" customWidth="1"/>
    <col min="12060" max="12061" width="9.7109375" style="99" customWidth="1"/>
    <col min="12062" max="12062" width="11.5703125" style="99" customWidth="1"/>
    <col min="12063" max="12063" width="7.7109375" style="99" customWidth="1"/>
    <col min="12064" max="12064" width="9" style="99" customWidth="1"/>
    <col min="12065" max="12065" width="10.5703125" style="99" customWidth="1"/>
    <col min="12066" max="12198" width="3.7109375" style="99" customWidth="1"/>
    <col min="12199" max="12303" width="11.42578125" style="99"/>
    <col min="12304" max="12304" width="3.7109375" style="99" customWidth="1"/>
    <col min="12305" max="12306" width="10.28515625" style="99" customWidth="1"/>
    <col min="12307" max="12307" width="10.140625" style="99" customWidth="1"/>
    <col min="12308" max="12308" width="13.140625" style="99" customWidth="1"/>
    <col min="12309" max="12309" width="9.7109375" style="99" customWidth="1"/>
    <col min="12310" max="12310" width="9.85546875" style="99" customWidth="1"/>
    <col min="12311" max="12311" width="7" style="99" customWidth="1"/>
    <col min="12312" max="12312" width="12.140625" style="99" customWidth="1"/>
    <col min="12313" max="12313" width="2.5703125" style="99" customWidth="1"/>
    <col min="12314" max="12314" width="9.85546875" style="99" customWidth="1"/>
    <col min="12315" max="12315" width="13.5703125" style="99" customWidth="1"/>
    <col min="12316" max="12317" width="9.7109375" style="99" customWidth="1"/>
    <col min="12318" max="12318" width="11.5703125" style="99" customWidth="1"/>
    <col min="12319" max="12319" width="7.7109375" style="99" customWidth="1"/>
    <col min="12320" max="12320" width="9" style="99" customWidth="1"/>
    <col min="12321" max="12321" width="10.5703125" style="99" customWidth="1"/>
    <col min="12322" max="12454" width="3.7109375" style="99" customWidth="1"/>
    <col min="12455" max="12559" width="11.42578125" style="99"/>
    <col min="12560" max="12560" width="3.7109375" style="99" customWidth="1"/>
    <col min="12561" max="12562" width="10.28515625" style="99" customWidth="1"/>
    <col min="12563" max="12563" width="10.140625" style="99" customWidth="1"/>
    <col min="12564" max="12564" width="13.140625" style="99" customWidth="1"/>
    <col min="12565" max="12565" width="9.7109375" style="99" customWidth="1"/>
    <col min="12566" max="12566" width="9.85546875" style="99" customWidth="1"/>
    <col min="12567" max="12567" width="7" style="99" customWidth="1"/>
    <col min="12568" max="12568" width="12.140625" style="99" customWidth="1"/>
    <col min="12569" max="12569" width="2.5703125" style="99" customWidth="1"/>
    <col min="12570" max="12570" width="9.85546875" style="99" customWidth="1"/>
    <col min="12571" max="12571" width="13.5703125" style="99" customWidth="1"/>
    <col min="12572" max="12573" width="9.7109375" style="99" customWidth="1"/>
    <col min="12574" max="12574" width="11.5703125" style="99" customWidth="1"/>
    <col min="12575" max="12575" width="7.7109375" style="99" customWidth="1"/>
    <col min="12576" max="12576" width="9" style="99" customWidth="1"/>
    <col min="12577" max="12577" width="10.5703125" style="99" customWidth="1"/>
    <col min="12578" max="12710" width="3.7109375" style="99" customWidth="1"/>
    <col min="12711" max="12815" width="11.42578125" style="99"/>
    <col min="12816" max="12816" width="3.7109375" style="99" customWidth="1"/>
    <col min="12817" max="12818" width="10.28515625" style="99" customWidth="1"/>
    <col min="12819" max="12819" width="10.140625" style="99" customWidth="1"/>
    <col min="12820" max="12820" width="13.140625" style="99" customWidth="1"/>
    <col min="12821" max="12821" width="9.7109375" style="99" customWidth="1"/>
    <col min="12822" max="12822" width="9.85546875" style="99" customWidth="1"/>
    <col min="12823" max="12823" width="7" style="99" customWidth="1"/>
    <col min="12824" max="12824" width="12.140625" style="99" customWidth="1"/>
    <col min="12825" max="12825" width="2.5703125" style="99" customWidth="1"/>
    <col min="12826" max="12826" width="9.85546875" style="99" customWidth="1"/>
    <col min="12827" max="12827" width="13.5703125" style="99" customWidth="1"/>
    <col min="12828" max="12829" width="9.7109375" style="99" customWidth="1"/>
    <col min="12830" max="12830" width="11.5703125" style="99" customWidth="1"/>
    <col min="12831" max="12831" width="7.7109375" style="99" customWidth="1"/>
    <col min="12832" max="12832" width="9" style="99" customWidth="1"/>
    <col min="12833" max="12833" width="10.5703125" style="99" customWidth="1"/>
    <col min="12834" max="12966" width="3.7109375" style="99" customWidth="1"/>
    <col min="12967" max="13071" width="11.42578125" style="99"/>
    <col min="13072" max="13072" width="3.7109375" style="99" customWidth="1"/>
    <col min="13073" max="13074" width="10.28515625" style="99" customWidth="1"/>
    <col min="13075" max="13075" width="10.140625" style="99" customWidth="1"/>
    <col min="13076" max="13076" width="13.140625" style="99" customWidth="1"/>
    <col min="13077" max="13077" width="9.7109375" style="99" customWidth="1"/>
    <col min="13078" max="13078" width="9.85546875" style="99" customWidth="1"/>
    <col min="13079" max="13079" width="7" style="99" customWidth="1"/>
    <col min="13080" max="13080" width="12.140625" style="99" customWidth="1"/>
    <col min="13081" max="13081" width="2.5703125" style="99" customWidth="1"/>
    <col min="13082" max="13082" width="9.85546875" style="99" customWidth="1"/>
    <col min="13083" max="13083" width="13.5703125" style="99" customWidth="1"/>
    <col min="13084" max="13085" width="9.7109375" style="99" customWidth="1"/>
    <col min="13086" max="13086" width="11.5703125" style="99" customWidth="1"/>
    <col min="13087" max="13087" width="7.7109375" style="99" customWidth="1"/>
    <col min="13088" max="13088" width="9" style="99" customWidth="1"/>
    <col min="13089" max="13089" width="10.5703125" style="99" customWidth="1"/>
    <col min="13090" max="13222" width="3.7109375" style="99" customWidth="1"/>
    <col min="13223" max="13327" width="11.42578125" style="99"/>
    <col min="13328" max="13328" width="3.7109375" style="99" customWidth="1"/>
    <col min="13329" max="13330" width="10.28515625" style="99" customWidth="1"/>
    <col min="13331" max="13331" width="10.140625" style="99" customWidth="1"/>
    <col min="13332" max="13332" width="13.140625" style="99" customWidth="1"/>
    <col min="13333" max="13333" width="9.7109375" style="99" customWidth="1"/>
    <col min="13334" max="13334" width="9.85546875" style="99" customWidth="1"/>
    <col min="13335" max="13335" width="7" style="99" customWidth="1"/>
    <col min="13336" max="13336" width="12.140625" style="99" customWidth="1"/>
    <col min="13337" max="13337" width="2.5703125" style="99" customWidth="1"/>
    <col min="13338" max="13338" width="9.85546875" style="99" customWidth="1"/>
    <col min="13339" max="13339" width="13.5703125" style="99" customWidth="1"/>
    <col min="13340" max="13341" width="9.7109375" style="99" customWidth="1"/>
    <col min="13342" max="13342" width="11.5703125" style="99" customWidth="1"/>
    <col min="13343" max="13343" width="7.7109375" style="99" customWidth="1"/>
    <col min="13344" max="13344" width="9" style="99" customWidth="1"/>
    <col min="13345" max="13345" width="10.5703125" style="99" customWidth="1"/>
    <col min="13346" max="13478" width="3.7109375" style="99" customWidth="1"/>
    <col min="13479" max="13583" width="11.42578125" style="99"/>
    <col min="13584" max="13584" width="3.7109375" style="99" customWidth="1"/>
    <col min="13585" max="13586" width="10.28515625" style="99" customWidth="1"/>
    <col min="13587" max="13587" width="10.140625" style="99" customWidth="1"/>
    <col min="13588" max="13588" width="13.140625" style="99" customWidth="1"/>
    <col min="13589" max="13589" width="9.7109375" style="99" customWidth="1"/>
    <col min="13590" max="13590" width="9.85546875" style="99" customWidth="1"/>
    <col min="13591" max="13591" width="7" style="99" customWidth="1"/>
    <col min="13592" max="13592" width="12.140625" style="99" customWidth="1"/>
    <col min="13593" max="13593" width="2.5703125" style="99" customWidth="1"/>
    <col min="13594" max="13594" width="9.85546875" style="99" customWidth="1"/>
    <col min="13595" max="13595" width="13.5703125" style="99" customWidth="1"/>
    <col min="13596" max="13597" width="9.7109375" style="99" customWidth="1"/>
    <col min="13598" max="13598" width="11.5703125" style="99" customWidth="1"/>
    <col min="13599" max="13599" width="7.7109375" style="99" customWidth="1"/>
    <col min="13600" max="13600" width="9" style="99" customWidth="1"/>
    <col min="13601" max="13601" width="10.5703125" style="99" customWidth="1"/>
    <col min="13602" max="13734" width="3.7109375" style="99" customWidth="1"/>
    <col min="13735" max="13839" width="11.42578125" style="99"/>
    <col min="13840" max="13840" width="3.7109375" style="99" customWidth="1"/>
    <col min="13841" max="13842" width="10.28515625" style="99" customWidth="1"/>
    <col min="13843" max="13843" width="10.140625" style="99" customWidth="1"/>
    <col min="13844" max="13844" width="13.140625" style="99" customWidth="1"/>
    <col min="13845" max="13845" width="9.7109375" style="99" customWidth="1"/>
    <col min="13846" max="13846" width="9.85546875" style="99" customWidth="1"/>
    <col min="13847" max="13847" width="7" style="99" customWidth="1"/>
    <col min="13848" max="13848" width="12.140625" style="99" customWidth="1"/>
    <col min="13849" max="13849" width="2.5703125" style="99" customWidth="1"/>
    <col min="13850" max="13850" width="9.85546875" style="99" customWidth="1"/>
    <col min="13851" max="13851" width="13.5703125" style="99" customWidth="1"/>
    <col min="13852" max="13853" width="9.7109375" style="99" customWidth="1"/>
    <col min="13854" max="13854" width="11.5703125" style="99" customWidth="1"/>
    <col min="13855" max="13855" width="7.7109375" style="99" customWidth="1"/>
    <col min="13856" max="13856" width="9" style="99" customWidth="1"/>
    <col min="13857" max="13857" width="10.5703125" style="99" customWidth="1"/>
    <col min="13858" max="13990" width="3.7109375" style="99" customWidth="1"/>
    <col min="13991" max="14095" width="11.42578125" style="99"/>
    <col min="14096" max="14096" width="3.7109375" style="99" customWidth="1"/>
    <col min="14097" max="14098" width="10.28515625" style="99" customWidth="1"/>
    <col min="14099" max="14099" width="10.140625" style="99" customWidth="1"/>
    <col min="14100" max="14100" width="13.140625" style="99" customWidth="1"/>
    <col min="14101" max="14101" width="9.7109375" style="99" customWidth="1"/>
    <col min="14102" max="14102" width="9.85546875" style="99" customWidth="1"/>
    <col min="14103" max="14103" width="7" style="99" customWidth="1"/>
    <col min="14104" max="14104" width="12.140625" style="99" customWidth="1"/>
    <col min="14105" max="14105" width="2.5703125" style="99" customWidth="1"/>
    <col min="14106" max="14106" width="9.85546875" style="99" customWidth="1"/>
    <col min="14107" max="14107" width="13.5703125" style="99" customWidth="1"/>
    <col min="14108" max="14109" width="9.7109375" style="99" customWidth="1"/>
    <col min="14110" max="14110" width="11.5703125" style="99" customWidth="1"/>
    <col min="14111" max="14111" width="7.7109375" style="99" customWidth="1"/>
    <col min="14112" max="14112" width="9" style="99" customWidth="1"/>
    <col min="14113" max="14113" width="10.5703125" style="99" customWidth="1"/>
    <col min="14114" max="14246" width="3.7109375" style="99" customWidth="1"/>
    <col min="14247" max="14351" width="11.42578125" style="99"/>
    <col min="14352" max="14352" width="3.7109375" style="99" customWidth="1"/>
    <col min="14353" max="14354" width="10.28515625" style="99" customWidth="1"/>
    <col min="14355" max="14355" width="10.140625" style="99" customWidth="1"/>
    <col min="14356" max="14356" width="13.140625" style="99" customWidth="1"/>
    <col min="14357" max="14357" width="9.7109375" style="99" customWidth="1"/>
    <col min="14358" max="14358" width="9.85546875" style="99" customWidth="1"/>
    <col min="14359" max="14359" width="7" style="99" customWidth="1"/>
    <col min="14360" max="14360" width="12.140625" style="99" customWidth="1"/>
    <col min="14361" max="14361" width="2.5703125" style="99" customWidth="1"/>
    <col min="14362" max="14362" width="9.85546875" style="99" customWidth="1"/>
    <col min="14363" max="14363" width="13.5703125" style="99" customWidth="1"/>
    <col min="14364" max="14365" width="9.7109375" style="99" customWidth="1"/>
    <col min="14366" max="14366" width="11.5703125" style="99" customWidth="1"/>
    <col min="14367" max="14367" width="7.7109375" style="99" customWidth="1"/>
    <col min="14368" max="14368" width="9" style="99" customWidth="1"/>
    <col min="14369" max="14369" width="10.5703125" style="99" customWidth="1"/>
    <col min="14370" max="14502" width="3.7109375" style="99" customWidth="1"/>
    <col min="14503" max="14607" width="11.42578125" style="99"/>
    <col min="14608" max="14608" width="3.7109375" style="99" customWidth="1"/>
    <col min="14609" max="14610" width="10.28515625" style="99" customWidth="1"/>
    <col min="14611" max="14611" width="10.140625" style="99" customWidth="1"/>
    <col min="14612" max="14612" width="13.140625" style="99" customWidth="1"/>
    <col min="14613" max="14613" width="9.7109375" style="99" customWidth="1"/>
    <col min="14614" max="14614" width="9.85546875" style="99" customWidth="1"/>
    <col min="14615" max="14615" width="7" style="99" customWidth="1"/>
    <col min="14616" max="14616" width="12.140625" style="99" customWidth="1"/>
    <col min="14617" max="14617" width="2.5703125" style="99" customWidth="1"/>
    <col min="14618" max="14618" width="9.85546875" style="99" customWidth="1"/>
    <col min="14619" max="14619" width="13.5703125" style="99" customWidth="1"/>
    <col min="14620" max="14621" width="9.7109375" style="99" customWidth="1"/>
    <col min="14622" max="14622" width="11.5703125" style="99" customWidth="1"/>
    <col min="14623" max="14623" width="7.7109375" style="99" customWidth="1"/>
    <col min="14624" max="14624" width="9" style="99" customWidth="1"/>
    <col min="14625" max="14625" width="10.5703125" style="99" customWidth="1"/>
    <col min="14626" max="14758" width="3.7109375" style="99" customWidth="1"/>
    <col min="14759" max="14863" width="11.42578125" style="99"/>
    <col min="14864" max="14864" width="3.7109375" style="99" customWidth="1"/>
    <col min="14865" max="14866" width="10.28515625" style="99" customWidth="1"/>
    <col min="14867" max="14867" width="10.140625" style="99" customWidth="1"/>
    <col min="14868" max="14868" width="13.140625" style="99" customWidth="1"/>
    <col min="14869" max="14869" width="9.7109375" style="99" customWidth="1"/>
    <col min="14870" max="14870" width="9.85546875" style="99" customWidth="1"/>
    <col min="14871" max="14871" width="7" style="99" customWidth="1"/>
    <col min="14872" max="14872" width="12.140625" style="99" customWidth="1"/>
    <col min="14873" max="14873" width="2.5703125" style="99" customWidth="1"/>
    <col min="14874" max="14874" width="9.85546875" style="99" customWidth="1"/>
    <col min="14875" max="14875" width="13.5703125" style="99" customWidth="1"/>
    <col min="14876" max="14877" width="9.7109375" style="99" customWidth="1"/>
    <col min="14878" max="14878" width="11.5703125" style="99" customWidth="1"/>
    <col min="14879" max="14879" width="7.7109375" style="99" customWidth="1"/>
    <col min="14880" max="14880" width="9" style="99" customWidth="1"/>
    <col min="14881" max="14881" width="10.5703125" style="99" customWidth="1"/>
    <col min="14882" max="15014" width="3.7109375" style="99" customWidth="1"/>
    <col min="15015" max="15119" width="11.42578125" style="99"/>
    <col min="15120" max="15120" width="3.7109375" style="99" customWidth="1"/>
    <col min="15121" max="15122" width="10.28515625" style="99" customWidth="1"/>
    <col min="15123" max="15123" width="10.140625" style="99" customWidth="1"/>
    <col min="15124" max="15124" width="13.140625" style="99" customWidth="1"/>
    <col min="15125" max="15125" width="9.7109375" style="99" customWidth="1"/>
    <col min="15126" max="15126" width="9.85546875" style="99" customWidth="1"/>
    <col min="15127" max="15127" width="7" style="99" customWidth="1"/>
    <col min="15128" max="15128" width="12.140625" style="99" customWidth="1"/>
    <col min="15129" max="15129" width="2.5703125" style="99" customWidth="1"/>
    <col min="15130" max="15130" width="9.85546875" style="99" customWidth="1"/>
    <col min="15131" max="15131" width="13.5703125" style="99" customWidth="1"/>
    <col min="15132" max="15133" width="9.7109375" style="99" customWidth="1"/>
    <col min="15134" max="15134" width="11.5703125" style="99" customWidth="1"/>
    <col min="15135" max="15135" width="7.7109375" style="99" customWidth="1"/>
    <col min="15136" max="15136" width="9" style="99" customWidth="1"/>
    <col min="15137" max="15137" width="10.5703125" style="99" customWidth="1"/>
    <col min="15138" max="15270" width="3.7109375" style="99" customWidth="1"/>
    <col min="15271" max="15375" width="11.42578125" style="99"/>
    <col min="15376" max="15376" width="3.7109375" style="99" customWidth="1"/>
    <col min="15377" max="15378" width="10.28515625" style="99" customWidth="1"/>
    <col min="15379" max="15379" width="10.140625" style="99" customWidth="1"/>
    <col min="15380" max="15380" width="13.140625" style="99" customWidth="1"/>
    <col min="15381" max="15381" width="9.7109375" style="99" customWidth="1"/>
    <col min="15382" max="15382" width="9.85546875" style="99" customWidth="1"/>
    <col min="15383" max="15383" width="7" style="99" customWidth="1"/>
    <col min="15384" max="15384" width="12.140625" style="99" customWidth="1"/>
    <col min="15385" max="15385" width="2.5703125" style="99" customWidth="1"/>
    <col min="15386" max="15386" width="9.85546875" style="99" customWidth="1"/>
    <col min="15387" max="15387" width="13.5703125" style="99" customWidth="1"/>
    <col min="15388" max="15389" width="9.7109375" style="99" customWidth="1"/>
    <col min="15390" max="15390" width="11.5703125" style="99" customWidth="1"/>
    <col min="15391" max="15391" width="7.7109375" style="99" customWidth="1"/>
    <col min="15392" max="15392" width="9" style="99" customWidth="1"/>
    <col min="15393" max="15393" width="10.5703125" style="99" customWidth="1"/>
    <col min="15394" max="15526" width="3.7109375" style="99" customWidth="1"/>
    <col min="15527" max="15631" width="11.42578125" style="99"/>
    <col min="15632" max="15632" width="3.7109375" style="99" customWidth="1"/>
    <col min="15633" max="15634" width="10.28515625" style="99" customWidth="1"/>
    <col min="15635" max="15635" width="10.140625" style="99" customWidth="1"/>
    <col min="15636" max="15636" width="13.140625" style="99" customWidth="1"/>
    <col min="15637" max="15637" width="9.7109375" style="99" customWidth="1"/>
    <col min="15638" max="15638" width="9.85546875" style="99" customWidth="1"/>
    <col min="15639" max="15639" width="7" style="99" customWidth="1"/>
    <col min="15640" max="15640" width="12.140625" style="99" customWidth="1"/>
    <col min="15641" max="15641" width="2.5703125" style="99" customWidth="1"/>
    <col min="15642" max="15642" width="9.85546875" style="99" customWidth="1"/>
    <col min="15643" max="15643" width="13.5703125" style="99" customWidth="1"/>
    <col min="15644" max="15645" width="9.7109375" style="99" customWidth="1"/>
    <col min="15646" max="15646" width="11.5703125" style="99" customWidth="1"/>
    <col min="15647" max="15647" width="7.7109375" style="99" customWidth="1"/>
    <col min="15648" max="15648" width="9" style="99" customWidth="1"/>
    <col min="15649" max="15649" width="10.5703125" style="99" customWidth="1"/>
    <col min="15650" max="15782" width="3.7109375" style="99" customWidth="1"/>
    <col min="15783" max="15887" width="11.42578125" style="99"/>
    <col min="15888" max="15888" width="3.7109375" style="99" customWidth="1"/>
    <col min="15889" max="15890" width="10.28515625" style="99" customWidth="1"/>
    <col min="15891" max="15891" width="10.140625" style="99" customWidth="1"/>
    <col min="15892" max="15892" width="13.140625" style="99" customWidth="1"/>
    <col min="15893" max="15893" width="9.7109375" style="99" customWidth="1"/>
    <col min="15894" max="15894" width="9.85546875" style="99" customWidth="1"/>
    <col min="15895" max="15895" width="7" style="99" customWidth="1"/>
    <col min="15896" max="15896" width="12.140625" style="99" customWidth="1"/>
    <col min="15897" max="15897" width="2.5703125" style="99" customWidth="1"/>
    <col min="15898" max="15898" width="9.85546875" style="99" customWidth="1"/>
    <col min="15899" max="15899" width="13.5703125" style="99" customWidth="1"/>
    <col min="15900" max="15901" width="9.7109375" style="99" customWidth="1"/>
    <col min="15902" max="15902" width="11.5703125" style="99" customWidth="1"/>
    <col min="15903" max="15903" width="7.7109375" style="99" customWidth="1"/>
    <col min="15904" max="15904" width="9" style="99" customWidth="1"/>
    <col min="15905" max="15905" width="10.5703125" style="99" customWidth="1"/>
    <col min="15906" max="16038" width="3.7109375" style="99" customWidth="1"/>
    <col min="16039" max="16143" width="11.42578125" style="99"/>
    <col min="16144" max="16144" width="3.7109375" style="99" customWidth="1"/>
    <col min="16145" max="16146" width="10.28515625" style="99" customWidth="1"/>
    <col min="16147" max="16147" width="10.140625" style="99" customWidth="1"/>
    <col min="16148" max="16148" width="13.140625" style="99" customWidth="1"/>
    <col min="16149" max="16149" width="9.7109375" style="99" customWidth="1"/>
    <col min="16150" max="16150" width="9.85546875" style="99" customWidth="1"/>
    <col min="16151" max="16151" width="7" style="99" customWidth="1"/>
    <col min="16152" max="16152" width="12.140625" style="99" customWidth="1"/>
    <col min="16153" max="16153" width="2.5703125" style="99" customWidth="1"/>
    <col min="16154" max="16154" width="9.85546875" style="99" customWidth="1"/>
    <col min="16155" max="16155" width="13.5703125" style="99" customWidth="1"/>
    <col min="16156" max="16157" width="9.7109375" style="99" customWidth="1"/>
    <col min="16158" max="16158" width="11.5703125" style="99" customWidth="1"/>
    <col min="16159" max="16159" width="7.7109375" style="99" customWidth="1"/>
    <col min="16160" max="16160" width="9" style="99" customWidth="1"/>
    <col min="16161" max="16161" width="10.5703125" style="99" customWidth="1"/>
    <col min="16162" max="16294" width="3.7109375" style="99" customWidth="1"/>
    <col min="16295" max="16384" width="11.42578125" style="99"/>
  </cols>
  <sheetData>
    <row r="2" spans="1:32" s="93" customFormat="1" x14ac:dyDescent="0.2">
      <c r="A2" s="120"/>
      <c r="AE2" s="93">
        <v>1</v>
      </c>
      <c r="AF2" s="99" t="s">
        <v>97</v>
      </c>
    </row>
    <row r="3" spans="1:32" s="108" customFormat="1" ht="12.75" x14ac:dyDescent="0.2">
      <c r="C3" s="191" t="s">
        <v>98</v>
      </c>
      <c r="F3" s="191" t="s">
        <v>99</v>
      </c>
      <c r="I3" s="191" t="s">
        <v>100</v>
      </c>
      <c r="J3" s="191"/>
      <c r="K3" s="191"/>
      <c r="L3" s="191"/>
      <c r="O3" s="191" t="s">
        <v>101</v>
      </c>
      <c r="S3" s="1"/>
      <c r="T3" s="108">
        <v>2</v>
      </c>
      <c r="U3" s="158" t="e">
        <f>VLOOKUP(T3,T4:U5,2,FALSE)</f>
        <v>#N/A</v>
      </c>
      <c r="AA3" s="108">
        <f>+T3+I14</f>
        <v>3</v>
      </c>
      <c r="AF3" s="99" t="s">
        <v>102</v>
      </c>
    </row>
    <row r="4" spans="1:32" ht="12.75" x14ac:dyDescent="0.2">
      <c r="B4" s="99">
        <v>1</v>
      </c>
      <c r="C4" s="192" t="s">
        <v>103</v>
      </c>
      <c r="F4" s="192" t="s">
        <v>104</v>
      </c>
      <c r="I4" s="192" t="s">
        <v>105</v>
      </c>
      <c r="J4" s="192"/>
      <c r="K4" s="192"/>
      <c r="L4" s="192"/>
      <c r="O4" s="192" t="e">
        <f>IF('Hipoteca Free'!#REF!=FALSE,"",1)</f>
        <v>#REF!</v>
      </c>
      <c r="S4" s="1"/>
      <c r="T4" s="155">
        <v>3</v>
      </c>
      <c r="U4" s="99" t="s">
        <v>106</v>
      </c>
      <c r="AF4" s="99" t="s">
        <v>107</v>
      </c>
    </row>
    <row r="5" spans="1:32" ht="12.75" x14ac:dyDescent="0.2">
      <c r="B5" s="113" t="s">
        <v>108</v>
      </c>
      <c r="C5" s="192" t="s">
        <v>109</v>
      </c>
      <c r="F5" s="192" t="s">
        <v>110</v>
      </c>
      <c r="I5" s="192" t="s">
        <v>111</v>
      </c>
      <c r="J5" s="192"/>
      <c r="K5" s="192"/>
      <c r="L5" s="192"/>
      <c r="O5" s="192" t="e">
        <f>IF('Hipoteca Free'!#REF!=FALSE,"",1)</f>
        <v>#REF!</v>
      </c>
      <c r="S5" s="1"/>
      <c r="T5" s="155">
        <v>4</v>
      </c>
      <c r="U5" s="99" t="s">
        <v>112</v>
      </c>
      <c r="AF5" s="99" t="s">
        <v>113</v>
      </c>
    </row>
    <row r="6" spans="1:32" ht="12.75" x14ac:dyDescent="0.2">
      <c r="B6" s="99">
        <v>4</v>
      </c>
      <c r="C6" s="192" t="s">
        <v>114</v>
      </c>
      <c r="F6" s="192" t="s">
        <v>115</v>
      </c>
      <c r="I6" s="192" t="s">
        <v>116</v>
      </c>
      <c r="J6" s="192"/>
      <c r="K6" s="192"/>
      <c r="L6" s="192"/>
      <c r="O6" s="192" t="e">
        <f>IF('Hipoteca Free'!#REF!=FALSE,"",1)</f>
        <v>#REF!</v>
      </c>
      <c r="S6" s="1"/>
      <c r="AF6" s="99" t="str">
        <f>+IF(I13=8,"",IF(I13=9,"","OTRO"))</f>
        <v>OTRO</v>
      </c>
    </row>
    <row r="7" spans="1:32" ht="12.75" x14ac:dyDescent="0.2">
      <c r="B7" s="99">
        <v>2</v>
      </c>
      <c r="C7" s="192" t="s">
        <v>117</v>
      </c>
      <c r="F7" s="192" t="s">
        <v>118</v>
      </c>
      <c r="I7" s="192" t="s">
        <v>119</v>
      </c>
      <c r="J7" s="192"/>
      <c r="K7" s="192"/>
      <c r="L7" s="192"/>
      <c r="O7" s="193" t="e">
        <f>SUM(O4:O6)</f>
        <v>#REF!</v>
      </c>
      <c r="S7" s="194">
        <f>'Hipoteca Free'!$H$20</f>
        <v>0</v>
      </c>
      <c r="T7" s="195"/>
      <c r="U7" s="195"/>
      <c r="V7" s="195"/>
      <c r="W7" s="195">
        <f>IF(AND($S$7&gt;16000000),$X$31,IF(AND($S$7&lt;=16000000,$S$7&gt;8000000),$X$30,IF(AND($S$7&lt;=8000000,$S$7&gt;4000000),$X$29,IF(AND($S$7&lt;=4000000,$S$7&gt;2000000),$X$28,IF(AND($S$7&lt;=2000000,$S$7&gt;1000000),$X$27,IF(AND($S$7&lt;=1000000,$S$7&gt;500000),$X$25,IF(AND($S$7&lt;=500000,$S$7&gt;320000),$X$24,920)))))))</f>
        <v>920</v>
      </c>
      <c r="X7" s="195">
        <f>IF(AND($S$7&gt;16000000),$W$31,IF(AND($S$7&lt;=16000000,$S$7&gt;8000000),$W$30,IF(AND($S$7&lt;=8000000,$S$7&gt;4000000),$W$29,IF(AND($S$7&lt;=4000000,$S$7&gt;2000000),$W$28,IF(AND($S$7&lt;=2000000,$S$7&gt;1000000),$W$27,IF(AND($S$7&lt;=1000000,$S$7&gt;500000),$W$25,IF(AND($S$7&lt;=500000,$S$7&gt;=320000),$W$24,920)))))))</f>
        <v>920</v>
      </c>
    </row>
    <row r="8" spans="1:32" ht="12.75" x14ac:dyDescent="0.2">
      <c r="C8" s="192" t="s">
        <v>120</v>
      </c>
      <c r="F8" s="192" t="s">
        <v>121</v>
      </c>
      <c r="I8" s="196">
        <v>4</v>
      </c>
      <c r="J8" s="196"/>
      <c r="K8" s="196"/>
      <c r="L8" s="196"/>
      <c r="M8" s="191" t="s">
        <v>122</v>
      </c>
      <c r="S8" s="194"/>
      <c r="T8" s="195"/>
      <c r="U8" s="195"/>
      <c r="V8" s="195"/>
      <c r="W8" s="195"/>
      <c r="X8" s="195"/>
    </row>
    <row r="9" spans="1:32" ht="12.75" x14ac:dyDescent="0.2">
      <c r="C9" s="192" t="s">
        <v>123</v>
      </c>
      <c r="F9" s="192" t="s">
        <v>124</v>
      </c>
      <c r="I9" s="197">
        <v>1</v>
      </c>
      <c r="J9" s="197"/>
      <c r="K9" s="197"/>
      <c r="L9" s="197"/>
      <c r="M9" s="107" t="s">
        <v>125</v>
      </c>
      <c r="N9" s="93" t="s">
        <v>126</v>
      </c>
      <c r="S9" s="194"/>
      <c r="T9" s="195"/>
      <c r="U9" s="195"/>
      <c r="V9" s="195"/>
      <c r="W9" s="195"/>
      <c r="X9" s="195"/>
    </row>
    <row r="10" spans="1:32" ht="12.75" x14ac:dyDescent="0.2">
      <c r="C10" s="192" t="s">
        <v>127</v>
      </c>
      <c r="F10" s="192" t="s">
        <v>128</v>
      </c>
      <c r="I10" s="197"/>
      <c r="J10" s="197"/>
      <c r="K10" s="197"/>
      <c r="L10" s="197"/>
      <c r="M10" s="107" t="s">
        <v>126</v>
      </c>
      <c r="N10" s="93" t="s">
        <v>125</v>
      </c>
      <c r="O10" s="99">
        <v>0</v>
      </c>
      <c r="S10" s="395" t="s">
        <v>129</v>
      </c>
      <c r="T10" s="395"/>
      <c r="U10" s="395"/>
      <c r="V10" s="395"/>
      <c r="W10" s="395"/>
      <c r="X10" s="395"/>
    </row>
    <row r="11" spans="1:32" ht="12.75" x14ac:dyDescent="0.2">
      <c r="C11" s="192" t="s">
        <v>100</v>
      </c>
      <c r="F11" s="192" t="s">
        <v>130</v>
      </c>
      <c r="I11" s="92"/>
      <c r="J11" s="92"/>
      <c r="K11" s="92"/>
      <c r="L11" s="92"/>
      <c r="O11" s="99">
        <f>2.75/1000</f>
        <v>2.7499999999999998E-3</v>
      </c>
      <c r="S11" s="1"/>
    </row>
    <row r="12" spans="1:32" ht="12.75" x14ac:dyDescent="0.2">
      <c r="C12" s="196">
        <f>I14</f>
        <v>1</v>
      </c>
      <c r="F12" s="196">
        <v>9</v>
      </c>
      <c r="M12" s="198" t="s">
        <v>131</v>
      </c>
      <c r="N12" s="199"/>
      <c r="O12" s="199">
        <f>+'Hipoteca Free'!$H$20*requisitos!$O$11</f>
        <v>0</v>
      </c>
      <c r="P12" s="199" t="str">
        <f t="shared" ref="P12:P19" si="0">+IF($I$9=1,"500",0)</f>
        <v>500</v>
      </c>
      <c r="Q12" s="199">
        <f t="shared" ref="Q12:Q21" si="1">+P12+O12</f>
        <v>500</v>
      </c>
      <c r="R12" s="274">
        <f>+IF('Hipoteca Free'!$H$20&lt;=420000,1413+requisitos!P12,IF(Q12&lt;=18000,Q12,18000))</f>
        <v>1913</v>
      </c>
      <c r="S12" s="1"/>
    </row>
    <row r="13" spans="1:32" ht="12.75" x14ac:dyDescent="0.2">
      <c r="C13" s="1"/>
      <c r="F13" s="92"/>
      <c r="M13" s="198" t="s">
        <v>132</v>
      </c>
      <c r="N13" s="199"/>
      <c r="O13" s="199">
        <f>+'Hipoteca Free'!$H$20*requisitos!$O$11</f>
        <v>0</v>
      </c>
      <c r="P13" s="199" t="str">
        <f t="shared" si="0"/>
        <v>500</v>
      </c>
      <c r="Q13" s="199">
        <f t="shared" si="1"/>
        <v>500</v>
      </c>
      <c r="R13" s="274">
        <f>+IF('Hipoteca Free'!$H$20&lt;=420000,1413+requisitos!P13,IF(Q13&lt;=18000,Q13,18000))</f>
        <v>1913</v>
      </c>
      <c r="S13" s="1"/>
    </row>
    <row r="14" spans="1:32" x14ac:dyDescent="0.2">
      <c r="C14" s="200">
        <v>1</v>
      </c>
      <c r="D14" s="99">
        <v>1</v>
      </c>
      <c r="E14" s="200" t="s">
        <v>133</v>
      </c>
      <c r="F14" s="200"/>
      <c r="G14" s="200"/>
      <c r="I14" s="200">
        <v>1</v>
      </c>
      <c r="J14" s="200"/>
      <c r="K14" s="200"/>
      <c r="L14" s="200"/>
      <c r="M14" s="198" t="s">
        <v>134</v>
      </c>
      <c r="N14" s="199"/>
      <c r="O14" s="199">
        <v>2320</v>
      </c>
      <c r="P14" s="199" t="str">
        <f t="shared" si="0"/>
        <v>500</v>
      </c>
      <c r="Q14" s="199">
        <f t="shared" si="1"/>
        <v>2820</v>
      </c>
      <c r="R14" s="274">
        <f>+Q14</f>
        <v>2820</v>
      </c>
      <c r="S14" s="99">
        <f>+IF(T3=1,'CALCULO Empleados'!M21,requisitos!R14)</f>
        <v>2820</v>
      </c>
      <c r="T14" s="201"/>
    </row>
    <row r="15" spans="1:32" ht="12.75" x14ac:dyDescent="0.2">
      <c r="C15" s="200"/>
      <c r="D15" s="99">
        <v>2</v>
      </c>
      <c r="E15" s="200" t="s">
        <v>135</v>
      </c>
      <c r="F15" s="200"/>
      <c r="G15" s="200"/>
      <c r="I15" s="200"/>
      <c r="J15" s="200"/>
      <c r="K15" s="200"/>
      <c r="L15" s="200"/>
      <c r="M15" s="198" t="s">
        <v>136</v>
      </c>
      <c r="N15" s="199"/>
      <c r="O15" s="199">
        <v>3000</v>
      </c>
      <c r="P15" s="199" t="str">
        <f t="shared" si="0"/>
        <v>500</v>
      </c>
      <c r="Q15" s="199">
        <f t="shared" si="1"/>
        <v>3500</v>
      </c>
      <c r="R15" s="274">
        <f>+Q15</f>
        <v>3500</v>
      </c>
      <c r="S15" s="1">
        <f>VALUE('Hipoteca Free'!$H$20)</f>
        <v>0</v>
      </c>
    </row>
    <row r="16" spans="1:32" ht="12.75" x14ac:dyDescent="0.2">
      <c r="B16" s="99" t="s">
        <v>137</v>
      </c>
      <c r="C16" s="92"/>
      <c r="M16" s="198" t="s">
        <v>138</v>
      </c>
      <c r="N16" s="199"/>
      <c r="O16" s="199">
        <f>('Hipoteca Free'!$H$20*requisitos!$O$11)+O10</f>
        <v>0</v>
      </c>
      <c r="P16" s="199" t="str">
        <f t="shared" si="0"/>
        <v>500</v>
      </c>
      <c r="Q16" s="199">
        <f t="shared" si="1"/>
        <v>500</v>
      </c>
      <c r="R16" s="274">
        <f>+IF('Hipoteca Free'!$H$20&lt;=420000,1413+requisitos!P16+O10,IF(Q16&lt;=18000,Q16,18000))</f>
        <v>1913</v>
      </c>
      <c r="S16" s="202" t="s">
        <v>139</v>
      </c>
      <c r="T16" s="203" t="e">
        <f>'Hipoteca Free'!#REF!</f>
        <v>#REF!</v>
      </c>
    </row>
    <row r="17" spans="1:32" ht="12.75" x14ac:dyDescent="0.2">
      <c r="B17" s="204" t="s">
        <v>140</v>
      </c>
      <c r="C17" s="193">
        <v>1</v>
      </c>
      <c r="D17" s="205">
        <v>2</v>
      </c>
      <c r="E17" s="193">
        <v>3</v>
      </c>
      <c r="F17" s="205">
        <v>4</v>
      </c>
      <c r="G17" s="193">
        <v>5</v>
      </c>
      <c r="H17" s="205">
        <v>6</v>
      </c>
      <c r="I17" s="193">
        <v>7</v>
      </c>
      <c r="J17" s="193">
        <v>8</v>
      </c>
      <c r="K17" s="193">
        <v>9</v>
      </c>
      <c r="L17" s="193">
        <v>10</v>
      </c>
      <c r="M17" s="198" t="s">
        <v>141</v>
      </c>
      <c r="N17" s="206"/>
      <c r="O17" s="199">
        <f>+'Hipoteca Free'!$H$20*requisitos!$O$11</f>
        <v>0</v>
      </c>
      <c r="P17" s="199" t="str">
        <f t="shared" si="0"/>
        <v>500</v>
      </c>
      <c r="Q17" s="199">
        <f t="shared" si="1"/>
        <v>500</v>
      </c>
      <c r="R17" s="274">
        <f>+IF('Hipoteca Free'!$H$20&lt;=420000,1413+requisitos!P17,IF(Q17&lt;=18000,Q17,18000))</f>
        <v>1913</v>
      </c>
      <c r="T17" s="207" t="s">
        <v>142</v>
      </c>
      <c r="U17" s="208"/>
      <c r="V17" s="208"/>
      <c r="W17" s="208"/>
      <c r="X17" s="208"/>
      <c r="Y17" s="208"/>
      <c r="Z17" s="208"/>
      <c r="AA17" s="148"/>
      <c r="AB17" s="207" t="s">
        <v>143</v>
      </c>
      <c r="AC17" s="208"/>
      <c r="AD17" s="208"/>
      <c r="AE17" s="208"/>
      <c r="AF17" s="208"/>
    </row>
    <row r="18" spans="1:32" x14ac:dyDescent="0.2">
      <c r="B18" s="209" t="str">
        <f>INDEX(C18:L18,$C$12)</f>
        <v>-BOLETA PREDIAL Y AGUA</v>
      </c>
      <c r="C18" s="210" t="s">
        <v>61</v>
      </c>
      <c r="D18" s="210" t="s">
        <v>61</v>
      </c>
      <c r="E18" s="210" t="s">
        <v>61</v>
      </c>
      <c r="F18" s="210" t="s">
        <v>61</v>
      </c>
      <c r="G18" s="210" t="s">
        <v>61</v>
      </c>
      <c r="H18" s="210" t="s">
        <v>61</v>
      </c>
      <c r="I18" s="210" t="s">
        <v>61</v>
      </c>
      <c r="J18" s="210" t="s">
        <v>61</v>
      </c>
      <c r="K18" s="210" t="s">
        <v>61</v>
      </c>
      <c r="L18" s="210" t="s">
        <v>61</v>
      </c>
      <c r="M18" s="198" t="s">
        <v>144</v>
      </c>
      <c r="N18" s="199"/>
      <c r="O18" s="199">
        <f>+'Hipoteca Free'!$H$20*requisitos!$O$11</f>
        <v>0</v>
      </c>
      <c r="P18" s="199" t="str">
        <f t="shared" si="0"/>
        <v>500</v>
      </c>
      <c r="Q18" s="199">
        <f t="shared" si="1"/>
        <v>500</v>
      </c>
      <c r="R18" s="274">
        <f>+IF('Hipoteca Free'!$H$20&lt;=420000,1413+requisitos!P18,IF(Q18&lt;=18000,Q18,18000))</f>
        <v>1913</v>
      </c>
      <c r="S18" s="211"/>
      <c r="T18" s="98" t="s">
        <v>145</v>
      </c>
      <c r="U18" s="208" t="s">
        <v>146</v>
      </c>
      <c r="V18" s="208"/>
      <c r="W18" s="208"/>
      <c r="X18" s="208"/>
      <c r="Y18" s="208"/>
      <c r="Z18" s="148"/>
      <c r="AA18" s="211"/>
      <c r="AB18" s="98" t="s">
        <v>145</v>
      </c>
      <c r="AC18" s="208" t="s">
        <v>146</v>
      </c>
      <c r="AD18" s="208"/>
      <c r="AE18" s="208"/>
    </row>
    <row r="19" spans="1:32" ht="12" thickBot="1" x14ac:dyDescent="0.25">
      <c r="B19" s="209" t="str">
        <f>INDEX(C19:L19,$C$12)</f>
        <v>-ESCRITURA ó TITULO DE PROPIEDAD</v>
      </c>
      <c r="C19" s="210" t="s">
        <v>63</v>
      </c>
      <c r="D19" s="210" t="s">
        <v>63</v>
      </c>
      <c r="E19" s="210" t="s">
        <v>63</v>
      </c>
      <c r="F19" s="210" t="s">
        <v>63</v>
      </c>
      <c r="G19" s="210" t="s">
        <v>63</v>
      </c>
      <c r="H19" s="210" t="s">
        <v>63</v>
      </c>
      <c r="I19" s="210" t="s">
        <v>63</v>
      </c>
      <c r="J19" s="210" t="s">
        <v>63</v>
      </c>
      <c r="K19" s="210" t="s">
        <v>63</v>
      </c>
      <c r="L19" s="210" t="s">
        <v>63</v>
      </c>
      <c r="M19" s="198" t="s">
        <v>147</v>
      </c>
      <c r="N19" s="199"/>
      <c r="O19" s="199">
        <f>+'Hipoteca Free'!$H$20*requisitos!$O$11</f>
        <v>0</v>
      </c>
      <c r="P19" s="199" t="str">
        <f t="shared" si="0"/>
        <v>500</v>
      </c>
      <c r="Q19" s="199">
        <f t="shared" si="1"/>
        <v>500</v>
      </c>
      <c r="R19" s="274">
        <f>+IF('Hipoteca Free'!$H$20&lt;=420000,1413+requisitos!P19,IF(Q19&lt;=18000,Q19,18000))</f>
        <v>1913</v>
      </c>
      <c r="S19" s="211"/>
      <c r="T19" s="98" t="s">
        <v>148</v>
      </c>
      <c r="U19" s="208">
        <v>800</v>
      </c>
      <c r="V19" s="208" t="s">
        <v>149</v>
      </c>
      <c r="W19" s="212">
        <v>2.5000000000000001E-3</v>
      </c>
      <c r="X19" s="208"/>
      <c r="Y19" s="208"/>
      <c r="Z19" s="148"/>
      <c r="AA19" s="211"/>
      <c r="AB19" s="98" t="s">
        <v>148</v>
      </c>
      <c r="AC19" s="208">
        <v>1000</v>
      </c>
      <c r="AD19" s="208" t="s">
        <v>149</v>
      </c>
      <c r="AE19" s="212">
        <v>3.5000000000000001E-3</v>
      </c>
    </row>
    <row r="20" spans="1:32" x14ac:dyDescent="0.2">
      <c r="B20" s="209" t="str">
        <f t="shared" ref="B20:B26" si="2">INDEX(C20:L20,$C$12)</f>
        <v>-PLANOS ARQUITECTÓNICOS</v>
      </c>
      <c r="C20" s="210" t="s">
        <v>65</v>
      </c>
      <c r="D20" s="210" t="s">
        <v>65</v>
      </c>
      <c r="E20" s="210" t="s">
        <v>65</v>
      </c>
      <c r="F20" s="210" t="s">
        <v>65</v>
      </c>
      <c r="G20" s="210" t="s">
        <v>65</v>
      </c>
      <c r="H20" s="210" t="s">
        <v>65</v>
      </c>
      <c r="I20" s="210" t="s">
        <v>65</v>
      </c>
      <c r="J20" s="210" t="s">
        <v>65</v>
      </c>
      <c r="K20" s="210" t="s">
        <v>65</v>
      </c>
      <c r="L20" s="210" t="s">
        <v>65</v>
      </c>
      <c r="M20" s="199" t="s">
        <v>150</v>
      </c>
      <c r="N20" s="199"/>
      <c r="O20" s="199">
        <f>+'Hipoteca Free'!$H$20*requisitos!$O$11</f>
        <v>0</v>
      </c>
      <c r="P20" s="199"/>
      <c r="Q20" s="199">
        <f t="shared" si="1"/>
        <v>0</v>
      </c>
      <c r="R20" s="274">
        <f>+IF('Hipoteca Free'!$H$20&lt;=420000,1413+requisitos!P20,IF(Q20&lt;=18000,Q20,18000))</f>
        <v>1413</v>
      </c>
      <c r="S20" s="213" t="s">
        <v>151</v>
      </c>
      <c r="T20" s="214" t="s">
        <v>152</v>
      </c>
      <c r="U20" s="214"/>
      <c r="V20" s="215" t="s">
        <v>153</v>
      </c>
      <c r="W20" s="216" t="s">
        <v>154</v>
      </c>
      <c r="X20" s="211"/>
      <c r="Y20" s="211"/>
      <c r="Z20" s="148"/>
      <c r="AA20" s="213" t="s">
        <v>151</v>
      </c>
      <c r="AB20" s="214" t="s">
        <v>152</v>
      </c>
      <c r="AC20" s="214"/>
      <c r="AD20" s="215" t="s">
        <v>153</v>
      </c>
      <c r="AE20" s="216" t="s">
        <v>154</v>
      </c>
    </row>
    <row r="21" spans="1:32" x14ac:dyDescent="0.2">
      <c r="B21" s="209" t="str">
        <f t="shared" si="2"/>
        <v>-COMPROBANTE PAGO ANTICIPO</v>
      </c>
      <c r="C21" s="210" t="s">
        <v>68</v>
      </c>
      <c r="D21" s="210" t="s">
        <v>68</v>
      </c>
      <c r="E21" s="210" t="s">
        <v>68</v>
      </c>
      <c r="F21" s="210" t="s">
        <v>68</v>
      </c>
      <c r="G21" s="210" t="s">
        <v>68</v>
      </c>
      <c r="H21" s="210" t="s">
        <v>68</v>
      </c>
      <c r="I21" s="210" t="s">
        <v>68</v>
      </c>
      <c r="J21" s="210" t="s">
        <v>68</v>
      </c>
      <c r="K21" s="210" t="s">
        <v>68</v>
      </c>
      <c r="L21" s="210" t="s">
        <v>68</v>
      </c>
      <c r="M21" s="199" t="s">
        <v>155</v>
      </c>
      <c r="N21" s="199"/>
      <c r="O21" s="199">
        <f>+'Hipoteca Free'!$H$20*requisitos!$O$11</f>
        <v>0</v>
      </c>
      <c r="P21" s="199"/>
      <c r="Q21" s="199">
        <f t="shared" si="1"/>
        <v>0</v>
      </c>
      <c r="R21" s="274">
        <f>+IF('Hipoteca Free'!$H$20&lt;=420000,1413+requisitos!P21,IF(Q21&lt;=18000,Q21,18000))</f>
        <v>1413</v>
      </c>
      <c r="S21" s="217" t="s">
        <v>156</v>
      </c>
      <c r="T21" s="218" t="s">
        <v>38</v>
      </c>
      <c r="U21" s="218" t="s">
        <v>157</v>
      </c>
      <c r="V21" s="219" t="s">
        <v>158</v>
      </c>
      <c r="W21" s="220" t="s">
        <v>159</v>
      </c>
      <c r="X21" s="211"/>
      <c r="Y21" s="211"/>
      <c r="Z21" s="148"/>
      <c r="AA21" s="217" t="s">
        <v>156</v>
      </c>
      <c r="AB21" s="218" t="s">
        <v>157</v>
      </c>
      <c r="AC21" s="218" t="s">
        <v>38</v>
      </c>
      <c r="AD21" s="219" t="s">
        <v>158</v>
      </c>
      <c r="AE21" s="220" t="s">
        <v>159</v>
      </c>
    </row>
    <row r="22" spans="1:32" x14ac:dyDescent="0.2">
      <c r="B22" s="209" t="str">
        <f t="shared" si="2"/>
        <v>-REGIMEN DE CONDOMINIO o PROYECTO DE REGIMEN</v>
      </c>
      <c r="C22" s="210" t="str">
        <f>IF($C$14=1,"-REGIMEN DE CONDOMINIO o PROYECTO DE REGIMEN","")</f>
        <v>-REGIMEN DE CONDOMINIO o PROYECTO DE REGIMEN</v>
      </c>
      <c r="D22" s="210" t="str">
        <f>IF($C$14=1,"-REGIMEN DE CONDOMINIO o PROYECTO DE REGIMEN","")</f>
        <v>-REGIMEN DE CONDOMINIO o PROYECTO DE REGIMEN</v>
      </c>
      <c r="E22" s="210" t="str">
        <f>IF($C$14=1,"-REGIMEN DE CONDOMINIO o PROYECTO DE REGIMEN","")</f>
        <v>-REGIMEN DE CONDOMINIO o PROYECTO DE REGIMEN</v>
      </c>
      <c r="F22" s="210" t="str">
        <f>IF($C$14=1,"-REGIMEN DE CONDOMINIO o PROYECTO DE REGIMEN","")</f>
        <v>-REGIMEN DE CONDOMINIO o PROYECTO DE REGIMEN</v>
      </c>
      <c r="G22" s="210" t="s">
        <v>160</v>
      </c>
      <c r="H22" s="210" t="s">
        <v>160</v>
      </c>
      <c r="I22" s="210" t="str">
        <f>IF($C$14=1,"-REGIMEN DE CONDOMINIO o PROYECTO DE REGIMEN","")</f>
        <v>-REGIMEN DE CONDOMINIO o PROYECTO DE REGIMEN</v>
      </c>
      <c r="J22" s="210" t="str">
        <f>IF($C$14=1,"-REGIMEN DE CONDOMINIO o PROYECTO DE REGIMEN","")</f>
        <v>-REGIMEN DE CONDOMINIO o PROYECTO DE REGIMEN</v>
      </c>
      <c r="K22" s="210" t="str">
        <f>IF($C$14=1,"-REGIMEN DE CONDOMINIO o PROYECTO DE REGIMEN","")</f>
        <v>-REGIMEN DE CONDOMINIO o PROYECTO DE REGIMEN</v>
      </c>
      <c r="L22" s="210" t="str">
        <f>IF($C$14=1,"-REGIMEN DE CONDOMINIO o PROYECTO DE REGIMEN","")</f>
        <v>-REGIMEN DE CONDOMINIO o PROYECTO DE REGIMEN</v>
      </c>
      <c r="M22" s="199" t="s">
        <v>239</v>
      </c>
      <c r="N22" s="199"/>
      <c r="O22" s="199">
        <f>+'Hipoteca Free'!$H$20*requisitos!$O$11</f>
        <v>0</v>
      </c>
      <c r="P22" s="199"/>
      <c r="Q22" s="199">
        <f>+P22+O22</f>
        <v>0</v>
      </c>
      <c r="R22" s="199">
        <f>+Q22</f>
        <v>0</v>
      </c>
      <c r="S22" s="221"/>
      <c r="T22" s="222"/>
      <c r="U22" s="222"/>
      <c r="V22" s="222"/>
      <c r="W22" s="223"/>
      <c r="X22" s="224" t="s">
        <v>161</v>
      </c>
      <c r="Y22" s="211"/>
      <c r="Z22" s="148"/>
      <c r="AA22" s="221"/>
      <c r="AB22" s="222"/>
      <c r="AC22" s="222"/>
      <c r="AD22" s="222"/>
      <c r="AE22" s="223"/>
    </row>
    <row r="23" spans="1:32" x14ac:dyDescent="0.2">
      <c r="B23" s="209" t="str">
        <f t="shared" si="2"/>
        <v>Nota: En la escritura deberán señalarse superficies, medidas</v>
      </c>
      <c r="C23" s="210" t="str">
        <f>IF($C$14=1,"Nota: En la escritura deberán señalarse superficies, medidas","")</f>
        <v>Nota: En la escritura deberán señalarse superficies, medidas</v>
      </c>
      <c r="D23" s="210" t="str">
        <f>IF($C$14=1,"Nota: En la escritura deberán señalarse superficies, medidas","")</f>
        <v>Nota: En la escritura deberán señalarse superficies, medidas</v>
      </c>
      <c r="E23" s="210" t="str">
        <f>IF($C$14=1,"Nota: En la escritura deberán señalarse superficies, medidas","")</f>
        <v>Nota: En la escritura deberán señalarse superficies, medidas</v>
      </c>
      <c r="F23" s="210" t="str">
        <f>IF($C$14=1,"Nota: En la escritura deberán señalarse superficies, medidas","")</f>
        <v>Nota: En la escritura deberán señalarse superficies, medidas</v>
      </c>
      <c r="G23" s="210" t="s">
        <v>162</v>
      </c>
      <c r="H23" s="210" t="s">
        <v>162</v>
      </c>
      <c r="I23" s="210" t="str">
        <f>IF($C$14=1,"Nota: En la escritura deberán señalarse superficies, medidas","")</f>
        <v>Nota: En la escritura deberán señalarse superficies, medidas</v>
      </c>
      <c r="J23" s="210" t="str">
        <f>IF($C$14=1,"Nota: En la escritura deberán señalarse superficies, medidas","")</f>
        <v>Nota: En la escritura deberán señalarse superficies, medidas</v>
      </c>
      <c r="K23" s="210" t="str">
        <f>IF($C$14=1,"Nota: En la escritura deberán señalarse superficies, medidas","")</f>
        <v>Nota: En la escritura deberán señalarse superficies, medidas</v>
      </c>
      <c r="L23" s="210" t="str">
        <f>IF($C$14=1,"Nota: En la escritura deberán señalarse superficies, medidas","")</f>
        <v>Nota: En la escritura deberán señalarse superficies, medidas</v>
      </c>
      <c r="Q23" s="225" t="e">
        <f>(('Hipoteca Free'!#REF!)*W23)+V23</f>
        <v>#REF!</v>
      </c>
      <c r="R23" s="225"/>
      <c r="S23" s="226"/>
      <c r="T23" s="227">
        <v>1</v>
      </c>
      <c r="U23" s="227">
        <v>320000</v>
      </c>
      <c r="V23" s="227">
        <v>800</v>
      </c>
      <c r="W23" s="228">
        <v>0</v>
      </c>
      <c r="X23" s="229">
        <f t="shared" ref="X23:X30" si="3">((($S$7-T23)*W23)+V23)*1.15</f>
        <v>919.99999999999989</v>
      </c>
      <c r="Z23" s="225" t="e">
        <f>(('Hipoteca Free'!#REF!)*AE23)+AD23</f>
        <v>#REF!</v>
      </c>
      <c r="AA23" s="226"/>
      <c r="AB23" s="227">
        <v>1</v>
      </c>
      <c r="AC23" s="227">
        <v>286000</v>
      </c>
      <c r="AD23" s="227">
        <v>1000</v>
      </c>
      <c r="AE23" s="228">
        <v>0</v>
      </c>
    </row>
    <row r="24" spans="1:32" x14ac:dyDescent="0.2">
      <c r="B24" s="209" t="str">
        <f t="shared" si="2"/>
        <v>y colindancias del terreno, de areas privativas e indiviso.</v>
      </c>
      <c r="C24" s="210" t="str">
        <f>IF($C$14=1,"y colindancias del terreno, de areas privativas e indiviso.","")</f>
        <v>y colindancias del terreno, de areas privativas e indiviso.</v>
      </c>
      <c r="D24" s="210" t="str">
        <f>IF($C$14=1,"y colindancias del terreno, de areas privativas e indiviso.","")</f>
        <v>y colindancias del terreno, de areas privativas e indiviso.</v>
      </c>
      <c r="E24" s="210" t="str">
        <f>IF($C$14=1,"y colindancias del terreno, de areas privativas e indiviso.","")</f>
        <v>y colindancias del terreno, de areas privativas e indiviso.</v>
      </c>
      <c r="F24" s="210" t="str">
        <f>IF($C$14=1,"y colindancias del terreno, de areas privativas e indiviso.","")</f>
        <v>y colindancias del terreno, de areas privativas e indiviso.</v>
      </c>
      <c r="G24" s="210" t="str">
        <f>IF($C$14=1,"-REGIMEN DE CONDOMINIO o PROYECTO DE REGIMEN","")</f>
        <v>-REGIMEN DE CONDOMINIO o PROYECTO DE REGIMEN</v>
      </c>
      <c r="H24" s="210" t="str">
        <f>IF($C$14=1,"-REGIMEN DE CONDOMINIO o PROYECTO DE REGIMEN","")</f>
        <v>-REGIMEN DE CONDOMINIO o PROYECTO DE REGIMEN</v>
      </c>
      <c r="I24" s="210" t="str">
        <f>IF($C$14=1,"y colindancias del terreno, de areas privativas e indiviso.","")</f>
        <v>y colindancias del terreno, de areas privativas e indiviso.</v>
      </c>
      <c r="J24" s="210" t="str">
        <f>IF($C$14=1,"y colindancias del terreno, de areas privativas e indiviso.","")</f>
        <v>y colindancias del terreno, de areas privativas e indiviso.</v>
      </c>
      <c r="K24" s="210" t="str">
        <f>IF($C$14=1,"y colindancias del terreno, de areas privativas e indiviso.","")</f>
        <v>y colindancias del terreno, de areas privativas e indiviso.</v>
      </c>
      <c r="L24" s="210" t="str">
        <f>IF($C$14=1,"y colindancias del terreno, de areas privativas e indiviso.","")</f>
        <v>y colindancias del terreno, de areas privativas e indiviso.</v>
      </c>
      <c r="Q24" s="225" t="e">
        <f>T16*W24</f>
        <v>#REF!</v>
      </c>
      <c r="R24" s="225"/>
      <c r="S24" s="226" t="s">
        <v>163</v>
      </c>
      <c r="T24" s="227">
        <v>320001</v>
      </c>
      <c r="U24" s="227">
        <v>500000</v>
      </c>
      <c r="V24" s="227">
        <v>800</v>
      </c>
      <c r="W24" s="228">
        <v>2.5000000000000001E-3</v>
      </c>
      <c r="X24" s="230">
        <f>((($S$7-T24)*W24)+V24)*1.15</f>
        <v>-2.8750000000627549E-3</v>
      </c>
      <c r="Z24" s="225" t="e">
        <f>T16*AE24</f>
        <v>#REF!</v>
      </c>
      <c r="AA24" s="226" t="s">
        <v>163</v>
      </c>
      <c r="AB24" s="227">
        <v>286001</v>
      </c>
      <c r="AC24" s="227">
        <v>500000</v>
      </c>
      <c r="AD24" s="227">
        <v>0</v>
      </c>
      <c r="AE24" s="228">
        <v>3.5000000000000001E-3</v>
      </c>
    </row>
    <row r="25" spans="1:32" x14ac:dyDescent="0.2">
      <c r="B25" s="209">
        <f t="shared" si="2"/>
        <v>0</v>
      </c>
      <c r="C25" s="210"/>
      <c r="D25" s="210"/>
      <c r="E25" s="210"/>
      <c r="F25" s="210"/>
      <c r="G25" s="210" t="str">
        <f>IF($C$14=1,"  (Señalando superficies, medidas, colindancias e indiviso)","")</f>
        <v xml:space="preserve">  (Señalando superficies, medidas, colindancias e indiviso)</v>
      </c>
      <c r="H25" s="210" t="str">
        <f>IF($C$14=1,"  (Señalando superficies, medidas, colindancias e indiviso)","")</f>
        <v xml:space="preserve">  (Señalando superficies, medidas, colindancias e indiviso)</v>
      </c>
      <c r="I25" s="210"/>
      <c r="J25" s="210"/>
      <c r="K25" s="210"/>
      <c r="L25" s="210"/>
      <c r="Q25" s="225" t="e">
        <f>(('Hipoteca Free'!#REF!-requisitos!T25)*W25)+V25</f>
        <v>#REF!</v>
      </c>
      <c r="R25" s="225"/>
      <c r="S25" s="226" t="s">
        <v>164</v>
      </c>
      <c r="T25" s="227">
        <v>500001</v>
      </c>
      <c r="U25" s="227">
        <v>1000000</v>
      </c>
      <c r="V25" s="227">
        <v>1250</v>
      </c>
      <c r="W25" s="228">
        <v>2.3800000000000002E-3</v>
      </c>
      <c r="X25" s="229">
        <f t="shared" si="3"/>
        <v>68.997262999999847</v>
      </c>
      <c r="Z25" s="225" t="e">
        <f>(('Hipoteca Free'!#REF!-requisitos!AB25)*AE25)+AD25</f>
        <v>#REF!</v>
      </c>
      <c r="AA25" s="226" t="s">
        <v>164</v>
      </c>
      <c r="AB25" s="227">
        <v>500001</v>
      </c>
      <c r="AC25" s="227">
        <v>1000000</v>
      </c>
      <c r="AD25" s="227">
        <v>1750</v>
      </c>
      <c r="AE25" s="228">
        <v>3.0999999999999999E-3</v>
      </c>
    </row>
    <row r="26" spans="1:32" x14ac:dyDescent="0.2">
      <c r="B26" s="209">
        <f t="shared" si="2"/>
        <v>0</v>
      </c>
      <c r="C26" s="210"/>
      <c r="D26" s="210"/>
      <c r="E26" s="210"/>
      <c r="F26" s="210"/>
      <c r="G26" s="210"/>
      <c r="H26" s="210"/>
      <c r="I26" s="210"/>
      <c r="J26" s="210"/>
      <c r="K26" s="210"/>
      <c r="L26" s="210"/>
      <c r="Q26" s="225"/>
      <c r="R26" s="225"/>
      <c r="S26" s="226"/>
      <c r="T26" s="227"/>
      <c r="U26" s="227"/>
      <c r="V26" s="227"/>
      <c r="W26" s="228"/>
      <c r="X26" s="229"/>
      <c r="Z26" s="225"/>
      <c r="AA26" s="226"/>
      <c r="AB26" s="227"/>
      <c r="AC26" s="227"/>
      <c r="AD26" s="227"/>
      <c r="AE26" s="228"/>
    </row>
    <row r="27" spans="1:32" x14ac:dyDescent="0.2">
      <c r="B27" s="99" t="s">
        <v>165</v>
      </c>
      <c r="G27" s="231" t="s">
        <v>166</v>
      </c>
      <c r="H27" s="231" t="s">
        <v>167</v>
      </c>
      <c r="I27" s="231" t="s">
        <v>168</v>
      </c>
      <c r="J27" s="231" t="s">
        <v>169</v>
      </c>
      <c r="K27" s="232"/>
      <c r="L27" s="232"/>
      <c r="Q27" s="225" t="e">
        <f>(('Hipoteca Free'!#REF!-requisitos!T27)*W27)+V27</f>
        <v>#REF!</v>
      </c>
      <c r="R27" s="225"/>
      <c r="S27" s="233" t="s">
        <v>170</v>
      </c>
      <c r="T27" s="234">
        <v>1000001</v>
      </c>
      <c r="U27" s="234">
        <v>2000000</v>
      </c>
      <c r="V27" s="234">
        <v>2440</v>
      </c>
      <c r="W27" s="235">
        <v>2.1800000000000001E-3</v>
      </c>
      <c r="X27" s="229">
        <f t="shared" si="3"/>
        <v>298.99749300000002</v>
      </c>
      <c r="Z27" s="225" t="e">
        <f>(('Hipoteca Free'!#REF!-requisitos!AB27)*AE27)+AD27</f>
        <v>#REF!</v>
      </c>
      <c r="AA27" s="233" t="s">
        <v>170</v>
      </c>
      <c r="AB27" s="234">
        <v>1000001</v>
      </c>
      <c r="AC27" s="234">
        <v>2000000</v>
      </c>
      <c r="AD27" s="234">
        <v>3300</v>
      </c>
      <c r="AE27" s="235">
        <v>2.8999999999999998E-3</v>
      </c>
    </row>
    <row r="28" spans="1:32" ht="12.75" x14ac:dyDescent="0.2">
      <c r="A28" s="99" t="s">
        <v>171</v>
      </c>
      <c r="B28" s="204" t="s">
        <v>140</v>
      </c>
      <c r="G28" s="231" t="s">
        <v>172</v>
      </c>
      <c r="H28" s="231" t="s">
        <v>173</v>
      </c>
      <c r="I28" s="231" t="s">
        <v>174</v>
      </c>
      <c r="J28" s="232"/>
      <c r="K28" s="232"/>
      <c r="L28" s="232"/>
      <c r="Q28" s="225" t="e">
        <f>(('Hipoteca Free'!#REF!-requisitos!T28)*W28)+V28</f>
        <v>#REF!</v>
      </c>
      <c r="R28" s="225"/>
      <c r="S28" s="226" t="s">
        <v>175</v>
      </c>
      <c r="T28" s="227">
        <v>2000001</v>
      </c>
      <c r="U28" s="227">
        <v>4000000</v>
      </c>
      <c r="V28" s="227">
        <v>4620</v>
      </c>
      <c r="W28" s="228">
        <v>1.89E-3</v>
      </c>
      <c r="X28" s="229">
        <f t="shared" si="3"/>
        <v>965.99782649999997</v>
      </c>
      <c r="Z28" s="225" t="e">
        <f>(('Hipoteca Free'!#REF!-requisitos!AB28)*AE28)+AD28</f>
        <v>#REF!</v>
      </c>
      <c r="AA28" s="226" t="s">
        <v>175</v>
      </c>
      <c r="AB28" s="227">
        <v>2000001</v>
      </c>
      <c r="AC28" s="227">
        <v>4000000</v>
      </c>
      <c r="AD28" s="227">
        <v>6200</v>
      </c>
      <c r="AE28" s="228">
        <v>2.2000000000000001E-3</v>
      </c>
    </row>
    <row r="29" spans="1:32" x14ac:dyDescent="0.2">
      <c r="A29" s="236" t="e">
        <f>(A40/$T$16)*1000</f>
        <v>#REF!</v>
      </c>
      <c r="B29" s="209" t="e">
        <f>INDEX(C29:M29,$C$12)</f>
        <v>#REF!</v>
      </c>
      <c r="C29" s="236" t="e">
        <f>(C40/$T$16)*1000</f>
        <v>#REF!</v>
      </c>
      <c r="D29" s="236" t="e">
        <f>(D40/$T$16)*1000</f>
        <v>#REF!</v>
      </c>
      <c r="E29" s="236" t="e">
        <f>(E40/$T$16)*1000</f>
        <v>#REF!</v>
      </c>
      <c r="F29" s="237">
        <v>0.01</v>
      </c>
      <c r="G29" s="238">
        <v>500</v>
      </c>
      <c r="H29" s="238">
        <v>2000</v>
      </c>
      <c r="I29" s="238">
        <v>2000</v>
      </c>
      <c r="J29" s="238"/>
      <c r="K29" s="238"/>
      <c r="L29" s="238"/>
      <c r="M29" s="232" t="s">
        <v>176</v>
      </c>
      <c r="Q29" s="225" t="e">
        <f>(('Hipoteca Free'!#REF!-requisitos!T29)*W29)+V29</f>
        <v>#REF!</v>
      </c>
      <c r="R29" s="225"/>
      <c r="S29" s="226" t="s">
        <v>177</v>
      </c>
      <c r="T29" s="227">
        <v>4000001</v>
      </c>
      <c r="U29" s="227">
        <v>8000000</v>
      </c>
      <c r="V29" s="227">
        <v>8400</v>
      </c>
      <c r="W29" s="228">
        <v>1.58E-3</v>
      </c>
      <c r="X29" s="229">
        <f t="shared" si="3"/>
        <v>2391.9981829999997</v>
      </c>
      <c r="Z29" s="225" t="e">
        <f>(('Hipoteca Free'!#REF!-requisitos!AB29)*AE29)+AD29</f>
        <v>#REF!</v>
      </c>
      <c r="AA29" s="226" t="s">
        <v>177</v>
      </c>
      <c r="AB29" s="227">
        <v>4000001</v>
      </c>
      <c r="AC29" s="227">
        <v>8000000</v>
      </c>
      <c r="AD29" s="227">
        <v>10600</v>
      </c>
      <c r="AE29" s="228">
        <v>1.3500000000000001E-3</v>
      </c>
    </row>
    <row r="30" spans="1:32" x14ac:dyDescent="0.2">
      <c r="A30" s="239" t="s">
        <v>178</v>
      </c>
      <c r="B30" s="209" t="str">
        <f>INDEX(C30:M30,$C$12)</f>
        <v>al millar</v>
      </c>
      <c r="C30" s="238" t="s">
        <v>179</v>
      </c>
      <c r="D30" s="238" t="s">
        <v>179</v>
      </c>
      <c r="E30" s="238" t="s">
        <v>179</v>
      </c>
      <c r="F30" s="240" t="s">
        <v>180</v>
      </c>
      <c r="G30" s="240" t="s">
        <v>181</v>
      </c>
      <c r="H30" s="240" t="s">
        <v>181</v>
      </c>
      <c r="I30" s="240" t="s">
        <v>181</v>
      </c>
      <c r="J30" s="240"/>
      <c r="K30" s="240"/>
      <c r="L30" s="240"/>
      <c r="M30" s="232" t="s">
        <v>182</v>
      </c>
      <c r="Q30" s="225" t="e">
        <f>(('Hipoteca Free'!#REF!-requisitos!T30)*W30)+V30</f>
        <v>#REF!</v>
      </c>
      <c r="R30" s="225"/>
      <c r="S30" s="233" t="s">
        <v>183</v>
      </c>
      <c r="T30" s="234">
        <v>8000001</v>
      </c>
      <c r="U30" s="234">
        <v>16000000</v>
      </c>
      <c r="V30" s="234">
        <v>14720</v>
      </c>
      <c r="W30" s="235">
        <v>1.2800000000000001E-3</v>
      </c>
      <c r="X30" s="229">
        <f t="shared" si="3"/>
        <v>5151.9985279999992</v>
      </c>
      <c r="Z30" s="225" t="e">
        <f>(('Hipoteca Free'!#REF!-requisitos!AB30)*AE30)+AD30</f>
        <v>#REF!</v>
      </c>
      <c r="AA30" s="233" t="s">
        <v>183</v>
      </c>
      <c r="AB30" s="234">
        <v>8000001</v>
      </c>
      <c r="AC30" s="234">
        <v>16000000</v>
      </c>
      <c r="AD30" s="234">
        <v>16000</v>
      </c>
      <c r="AE30" s="235">
        <v>1.1000000000000001E-3</v>
      </c>
    </row>
    <row r="31" spans="1:32" ht="12" thickBot="1" x14ac:dyDescent="0.25">
      <c r="B31" s="241" t="e">
        <f>INDEX(C31:M31,$C$12)</f>
        <v>#REF!</v>
      </c>
      <c r="C31" s="99" t="e">
        <f>IF('Hipoteca Free'!#REF!&lt;=240000,2.5,requisitos!C29)</f>
        <v>#REF!</v>
      </c>
      <c r="D31" s="99" t="e">
        <f>IF('Hipoteca Free'!#REF!&lt;=250000,5,requisitos!D29)</f>
        <v>#REF!</v>
      </c>
      <c r="E31" s="99" t="e">
        <f>IF('Hipoteca Free'!#REF!&lt;=250000,3.5,requisitos!E29)</f>
        <v>#REF!</v>
      </c>
      <c r="F31" s="242">
        <f>F29</f>
        <v>0.01</v>
      </c>
      <c r="G31" s="243">
        <f>G29</f>
        <v>500</v>
      </c>
      <c r="H31" s="243">
        <f>H29</f>
        <v>2000</v>
      </c>
      <c r="I31" s="243">
        <f>I29</f>
        <v>2000</v>
      </c>
      <c r="J31" s="243"/>
      <c r="K31" s="243"/>
      <c r="L31" s="243"/>
      <c r="M31" s="243" t="str">
        <f>M29</f>
        <v>DEPENDIENDO DEL</v>
      </c>
      <c r="Q31" s="225" t="e">
        <f>(('Hipoteca Free'!#REF!-requisitos!T31)*W31)+V31</f>
        <v>#REF!</v>
      </c>
      <c r="R31" s="225"/>
      <c r="S31" s="244" t="s">
        <v>184</v>
      </c>
      <c r="T31" s="245">
        <v>16000001</v>
      </c>
      <c r="U31" s="246" t="s">
        <v>185</v>
      </c>
      <c r="V31" s="245">
        <v>24960</v>
      </c>
      <c r="W31" s="247">
        <v>1.0200000000000001E-3</v>
      </c>
      <c r="X31" s="229">
        <f>((($S$7-T31)*W31)+V31)*1.15</f>
        <v>9935.9988269999976</v>
      </c>
      <c r="Z31" s="225" t="e">
        <f>(('Hipoteca Free'!#REF!-requisitos!AB31)*AE31)+AD31</f>
        <v>#REF!</v>
      </c>
      <c r="AA31" s="244" t="s">
        <v>186</v>
      </c>
      <c r="AB31" s="245">
        <v>16000001</v>
      </c>
      <c r="AC31" s="246" t="s">
        <v>185</v>
      </c>
      <c r="AD31" s="245">
        <v>24800</v>
      </c>
      <c r="AE31" s="247">
        <v>1.0499999999999999E-3</v>
      </c>
    </row>
    <row r="32" spans="1:32" ht="12.75" x14ac:dyDescent="0.2">
      <c r="O32" s="99">
        <f>Q32*0.6</f>
        <v>480</v>
      </c>
      <c r="Q32" s="248">
        <f>IF(ISERROR(S32),U19,MAX(INDEX(Q23:Q31,S32),U19))</f>
        <v>800</v>
      </c>
      <c r="R32" s="248"/>
      <c r="S32" s="249" t="e">
        <f>MATCH($T$16,T23:T31,1)</f>
        <v>#REF!</v>
      </c>
      <c r="T32" s="92"/>
      <c r="U32" s="148"/>
      <c r="V32" s="148"/>
      <c r="W32" s="250">
        <f>IF(ISERROR(S32),W19,MIN(INDEX(W23:W31,S32),W19))</f>
        <v>2.5000000000000001E-3</v>
      </c>
      <c r="X32" s="148"/>
      <c r="Y32" s="148"/>
      <c r="Z32" s="248">
        <f>IF(ISERROR(AA32),0,MAX(INDEX(Z23:Z31,AA32),AC19))</f>
        <v>0</v>
      </c>
      <c r="AA32" s="249" t="e">
        <f>MATCH($T$16,AB23:AB31,1)</f>
        <v>#REF!</v>
      </c>
      <c r="AB32" s="148"/>
      <c r="AC32" s="148"/>
      <c r="AD32" s="148"/>
      <c r="AE32" s="250">
        <f>IF(ISERROR(AA32),AE19,MIN(INDEX(AE23:AE31,AA32),AE19))</f>
        <v>3.5000000000000001E-3</v>
      </c>
    </row>
    <row r="33" spans="1:31" x14ac:dyDescent="0.2">
      <c r="B33" s="99" t="s">
        <v>187</v>
      </c>
      <c r="S33" s="207" t="s">
        <v>188</v>
      </c>
      <c r="T33" s="208"/>
      <c r="U33" s="208"/>
      <c r="V33" s="208"/>
      <c r="W33" s="208"/>
      <c r="X33" s="208"/>
      <c r="Y33" s="208"/>
      <c r="Z33" s="148"/>
      <c r="AA33" s="207" t="s">
        <v>189</v>
      </c>
      <c r="AB33" s="208"/>
      <c r="AC33" s="208"/>
      <c r="AD33" s="208"/>
      <c r="AE33" s="208"/>
    </row>
    <row r="34" spans="1:31" x14ac:dyDescent="0.2">
      <c r="B34" s="209" t="str">
        <f>INDEX(C34:M34,$C$12)</f>
        <v>12 DIAS HABILES</v>
      </c>
      <c r="C34" s="238" t="s">
        <v>190</v>
      </c>
      <c r="D34" s="238" t="s">
        <v>191</v>
      </c>
      <c r="E34" s="238" t="s">
        <v>192</v>
      </c>
      <c r="F34" s="238" t="s">
        <v>193</v>
      </c>
      <c r="G34" s="238" t="s">
        <v>193</v>
      </c>
      <c r="H34" s="238" t="s">
        <v>192</v>
      </c>
      <c r="I34" s="238" t="s">
        <v>192</v>
      </c>
      <c r="J34" s="238"/>
      <c r="K34" s="238"/>
      <c r="L34" s="238"/>
      <c r="M34" s="232"/>
      <c r="S34" s="211"/>
      <c r="T34" s="98" t="s">
        <v>145</v>
      </c>
      <c r="U34" s="208" t="s">
        <v>146</v>
      </c>
      <c r="V34" s="208"/>
      <c r="W34" s="208"/>
      <c r="X34" s="208"/>
      <c r="Y34" s="208"/>
      <c r="Z34" s="148"/>
      <c r="AA34" s="211"/>
      <c r="AB34" s="98" t="s">
        <v>145</v>
      </c>
      <c r="AC34" s="208" t="s">
        <v>146</v>
      </c>
      <c r="AD34" s="208"/>
      <c r="AE34" s="208"/>
    </row>
    <row r="35" spans="1:31" ht="12" thickBot="1" x14ac:dyDescent="0.25">
      <c r="B35" s="209">
        <f>INDEX(C35:M35,$C$12)</f>
        <v>0</v>
      </c>
      <c r="M35" s="232"/>
      <c r="S35" s="211"/>
      <c r="T35" s="98" t="s">
        <v>148</v>
      </c>
      <c r="U35" s="208">
        <f>800*1.15</f>
        <v>919.99999999999989</v>
      </c>
      <c r="V35" s="208" t="s">
        <v>194</v>
      </c>
      <c r="W35" s="212">
        <v>2.8700000000000002E-3</v>
      </c>
      <c r="X35" s="208"/>
      <c r="Y35" s="208"/>
      <c r="Z35" s="148"/>
      <c r="AA35" s="211"/>
      <c r="AB35" s="98" t="s">
        <v>148</v>
      </c>
      <c r="AC35" s="208">
        <v>800</v>
      </c>
      <c r="AD35" s="208" t="s">
        <v>149</v>
      </c>
      <c r="AE35" s="212">
        <v>5.0000000000000001E-3</v>
      </c>
    </row>
    <row r="36" spans="1:31" x14ac:dyDescent="0.2">
      <c r="B36" s="99" t="s">
        <v>195</v>
      </c>
      <c r="S36" s="213" t="s">
        <v>151</v>
      </c>
      <c r="T36" s="214" t="s">
        <v>152</v>
      </c>
      <c r="U36" s="214"/>
      <c r="V36" s="215" t="s">
        <v>153</v>
      </c>
      <c r="W36" s="216" t="s">
        <v>154</v>
      </c>
      <c r="X36" s="211"/>
      <c r="Y36" s="211"/>
      <c r="Z36" s="148"/>
      <c r="AA36" s="213" t="s">
        <v>151</v>
      </c>
      <c r="AB36" s="214" t="s">
        <v>152</v>
      </c>
      <c r="AC36" s="214"/>
      <c r="AD36" s="215" t="s">
        <v>153</v>
      </c>
      <c r="AE36" s="216" t="s">
        <v>154</v>
      </c>
    </row>
    <row r="37" spans="1:31" x14ac:dyDescent="0.2">
      <c r="B37" s="209" t="str">
        <f>INDEX(C37:M37,$C$12)</f>
        <v/>
      </c>
      <c r="C37" s="99" t="str">
        <f>IF(C40&lt;=300,"pago minimo","")</f>
        <v/>
      </c>
      <c r="D37" s="99" t="str">
        <f>IF(D40&lt;=500,"pago minimo","")</f>
        <v>pago minimo</v>
      </c>
      <c r="E37" s="99" t="str">
        <f>IF(E40&lt;=500,"pago minimo","")</f>
        <v>pago minimo</v>
      </c>
      <c r="G37" s="99" t="str">
        <f>IF(G40&lt;=500,"pago minimo","")</f>
        <v>pago minimo</v>
      </c>
      <c r="S37" s="217" t="s">
        <v>156</v>
      </c>
      <c r="T37" s="218" t="s">
        <v>157</v>
      </c>
      <c r="U37" s="218" t="s">
        <v>38</v>
      </c>
      <c r="V37" s="219" t="s">
        <v>158</v>
      </c>
      <c r="W37" s="220" t="s">
        <v>159</v>
      </c>
      <c r="X37" s="211"/>
      <c r="Y37" s="211"/>
      <c r="Z37" s="148"/>
      <c r="AA37" s="217" t="s">
        <v>156</v>
      </c>
      <c r="AB37" s="218" t="s">
        <v>157</v>
      </c>
      <c r="AC37" s="218" t="s">
        <v>38</v>
      </c>
      <c r="AD37" s="219" t="s">
        <v>158</v>
      </c>
      <c r="AE37" s="220" t="s">
        <v>159</v>
      </c>
    </row>
    <row r="38" spans="1:31" ht="12.75" x14ac:dyDescent="0.2">
      <c r="B38" s="99" t="s">
        <v>196</v>
      </c>
      <c r="C38" s="92"/>
      <c r="Q38" s="225" t="e">
        <f>(('Hipoteca Free'!#REF!)*W38)+V38</f>
        <v>#REF!</v>
      </c>
      <c r="R38" s="225"/>
      <c r="S38" s="226"/>
      <c r="T38" s="227">
        <v>1</v>
      </c>
      <c r="U38" s="227">
        <v>320000</v>
      </c>
      <c r="V38" s="227">
        <v>920</v>
      </c>
      <c r="W38" s="228">
        <v>0</v>
      </c>
      <c r="X38" s="212"/>
      <c r="Z38" s="225" t="e">
        <f>(('Hipoteca Free'!#REF!)*AE38)+AD38</f>
        <v>#REF!</v>
      </c>
      <c r="AA38" s="226"/>
      <c r="AB38" s="227">
        <v>1</v>
      </c>
      <c r="AC38" s="227">
        <v>160000</v>
      </c>
      <c r="AD38" s="227">
        <v>800</v>
      </c>
      <c r="AE38" s="228">
        <v>0</v>
      </c>
    </row>
    <row r="39" spans="1:31" x14ac:dyDescent="0.2">
      <c r="A39" s="99" t="s">
        <v>171</v>
      </c>
      <c r="B39" s="251">
        <v>1</v>
      </c>
      <c r="Q39" s="225" t="e">
        <f>T16*W39</f>
        <v>#REF!</v>
      </c>
      <c r="R39" s="225"/>
      <c r="S39" s="226" t="s">
        <v>163</v>
      </c>
      <c r="T39" s="227">
        <v>320001</v>
      </c>
      <c r="U39" s="227">
        <v>500000</v>
      </c>
      <c r="V39" s="227">
        <v>0</v>
      </c>
      <c r="W39" s="228">
        <v>2.8700000000000002E-3</v>
      </c>
      <c r="X39" s="212"/>
      <c r="Z39" s="225" t="e">
        <f>T16*AE39</f>
        <v>#REF!</v>
      </c>
      <c r="AA39" s="226" t="s">
        <v>163</v>
      </c>
      <c r="AB39" s="227">
        <v>160001</v>
      </c>
      <c r="AC39" s="227">
        <v>500000</v>
      </c>
      <c r="AD39" s="227">
        <v>0</v>
      </c>
      <c r="AE39" s="228">
        <v>5.0000000000000001E-3</v>
      </c>
    </row>
    <row r="40" spans="1:31" x14ac:dyDescent="0.2">
      <c r="A40" s="252">
        <f>Q46</f>
        <v>919.99999999999989</v>
      </c>
      <c r="B40" s="253">
        <f>INDEX(C40:M40,$C$12)</f>
        <v>800</v>
      </c>
      <c r="C40" s="236">
        <f>Q32</f>
        <v>800</v>
      </c>
      <c r="D40" s="236">
        <f>Z46</f>
        <v>0</v>
      </c>
      <c r="E40" s="236">
        <f>Z32</f>
        <v>0</v>
      </c>
      <c r="F40" s="236" t="e">
        <f>'Hipoteca Free'!#REF!*requisitos!F29</f>
        <v>#REF!</v>
      </c>
      <c r="G40" s="236">
        <f>G29</f>
        <v>500</v>
      </c>
      <c r="H40" s="254">
        <f>H29</f>
        <v>2000</v>
      </c>
      <c r="I40" s="254">
        <f>I29</f>
        <v>2000</v>
      </c>
      <c r="J40" s="254"/>
      <c r="K40" s="254"/>
      <c r="L40" s="254"/>
      <c r="M40" s="232"/>
      <c r="Q40" s="225" t="e">
        <f>(('Hipoteca Free'!#REF!-requisitos!T40)*W40)+V40</f>
        <v>#REF!</v>
      </c>
      <c r="R40" s="225"/>
      <c r="S40" s="226" t="s">
        <v>164</v>
      </c>
      <c r="T40" s="227">
        <v>500001</v>
      </c>
      <c r="U40" s="227">
        <v>1000000</v>
      </c>
      <c r="V40" s="227">
        <v>1437</v>
      </c>
      <c r="W40" s="228">
        <v>2.7399999999999998E-3</v>
      </c>
      <c r="X40" s="212"/>
      <c r="Z40" s="225" t="e">
        <f>(('Hipoteca Free'!#REF!-requisitos!AB40)*AE40)+AD40</f>
        <v>#REF!</v>
      </c>
      <c r="AA40" s="226" t="s">
        <v>164</v>
      </c>
      <c r="AB40" s="227">
        <v>500001</v>
      </c>
      <c r="AC40" s="227">
        <v>1000000</v>
      </c>
      <c r="AD40" s="227">
        <v>2500</v>
      </c>
      <c r="AE40" s="228">
        <v>4.0000000000000001E-3</v>
      </c>
    </row>
    <row r="41" spans="1:31" x14ac:dyDescent="0.2">
      <c r="A41" s="239">
        <f>A40*$B$39</f>
        <v>919.99999999999989</v>
      </c>
      <c r="B41" s="253">
        <f>INDEX(C41:M41,$C$12)</f>
        <v>800</v>
      </c>
      <c r="C41" s="236">
        <f t="shared" ref="C41:M41" si="4">C40*$B$39</f>
        <v>800</v>
      </c>
      <c r="D41" s="236">
        <f t="shared" si="4"/>
        <v>0</v>
      </c>
      <c r="E41" s="236">
        <f t="shared" si="4"/>
        <v>0</v>
      </c>
      <c r="F41" s="236" t="e">
        <f t="shared" si="4"/>
        <v>#REF!</v>
      </c>
      <c r="G41" s="236">
        <f t="shared" si="4"/>
        <v>500</v>
      </c>
      <c r="H41" s="236">
        <f t="shared" si="4"/>
        <v>2000</v>
      </c>
      <c r="I41" s="236">
        <f t="shared" si="4"/>
        <v>2000</v>
      </c>
      <c r="J41" s="236"/>
      <c r="K41" s="236"/>
      <c r="L41" s="236"/>
      <c r="M41" s="255">
        <f t="shared" si="4"/>
        <v>0</v>
      </c>
      <c r="Q41" s="225" t="e">
        <f>(('Hipoteca Free'!#REF!-requisitos!T41)*W41)+V41</f>
        <v>#REF!</v>
      </c>
      <c r="R41" s="225"/>
      <c r="S41" s="233" t="s">
        <v>170</v>
      </c>
      <c r="T41" s="234">
        <v>1000001</v>
      </c>
      <c r="U41" s="234">
        <v>2000000</v>
      </c>
      <c r="V41" s="234">
        <v>2806</v>
      </c>
      <c r="W41" s="235">
        <v>2.5100000000000001E-3</v>
      </c>
      <c r="X41" s="212"/>
      <c r="Z41" s="225" t="e">
        <f>(('Hipoteca Free'!#REF!-requisitos!AB41)*AE41)+AD41</f>
        <v>#REF!</v>
      </c>
      <c r="AA41" s="233" t="s">
        <v>170</v>
      </c>
      <c r="AB41" s="234">
        <v>1000001</v>
      </c>
      <c r="AC41" s="234">
        <v>2000000</v>
      </c>
      <c r="AD41" s="234">
        <v>4500</v>
      </c>
      <c r="AE41" s="235">
        <v>3.5000000000000001E-3</v>
      </c>
    </row>
    <row r="42" spans="1:31" x14ac:dyDescent="0.2">
      <c r="Q42" s="225" t="e">
        <f>(('Hipoteca Free'!#REF!-requisitos!T42)*W42)+V42</f>
        <v>#REF!</v>
      </c>
      <c r="R42" s="225"/>
      <c r="S42" s="226" t="s">
        <v>175</v>
      </c>
      <c r="T42" s="227">
        <v>2000001</v>
      </c>
      <c r="U42" s="227">
        <v>4000000</v>
      </c>
      <c r="V42" s="227">
        <v>5313</v>
      </c>
      <c r="W42" s="228">
        <v>2.1700000000000001E-3</v>
      </c>
      <c r="X42" s="212"/>
      <c r="Z42" s="225" t="e">
        <f>(('Hipoteca Free'!#REF!-requisitos!AB42)*AE42)+AD42</f>
        <v>#REF!</v>
      </c>
      <c r="AA42" s="226" t="s">
        <v>175</v>
      </c>
      <c r="AB42" s="227">
        <v>2000001</v>
      </c>
      <c r="AC42" s="227">
        <v>4000000</v>
      </c>
      <c r="AD42" s="227">
        <v>8000</v>
      </c>
      <c r="AE42" s="228">
        <v>2E-3</v>
      </c>
    </row>
    <row r="43" spans="1:31" x14ac:dyDescent="0.2">
      <c r="A43" s="99" t="s">
        <v>197</v>
      </c>
      <c r="B43" s="256">
        <f>IF(F12=7,A41,B41)</f>
        <v>800</v>
      </c>
      <c r="Q43" s="225" t="e">
        <f>(('Hipoteca Free'!#REF!-requisitos!T43)*W43)+V43</f>
        <v>#REF!</v>
      </c>
      <c r="R43" s="225"/>
      <c r="S43" s="226" t="s">
        <v>177</v>
      </c>
      <c r="T43" s="227">
        <v>4000001</v>
      </c>
      <c r="U43" s="227">
        <v>8000000</v>
      </c>
      <c r="V43" s="227">
        <v>9660</v>
      </c>
      <c r="W43" s="228">
        <v>1.82E-3</v>
      </c>
      <c r="X43" s="212"/>
      <c r="Z43" s="225" t="e">
        <f>(('Hipoteca Free'!#REF!-requisitos!AB43)*AE43)+AD43</f>
        <v>#REF!</v>
      </c>
      <c r="AA43" s="226" t="s">
        <v>177</v>
      </c>
      <c r="AB43" s="227">
        <v>4000001</v>
      </c>
      <c r="AC43" s="227">
        <v>8000000</v>
      </c>
      <c r="AD43" s="227">
        <v>12000</v>
      </c>
      <c r="AE43" s="228">
        <v>1.6000000000000001E-3</v>
      </c>
    </row>
    <row r="44" spans="1:31" x14ac:dyDescent="0.2">
      <c r="A44" s="99" t="s">
        <v>198</v>
      </c>
      <c r="B44" s="257">
        <f>IF(B43&lt;=300,300,B43)</f>
        <v>800</v>
      </c>
      <c r="Q44" s="225" t="e">
        <f>(('Hipoteca Free'!#REF!-requisitos!T44)*W44)+V44</f>
        <v>#REF!</v>
      </c>
      <c r="R44" s="225"/>
      <c r="S44" s="233" t="s">
        <v>183</v>
      </c>
      <c r="T44" s="234">
        <v>8000001</v>
      </c>
      <c r="U44" s="234">
        <v>16000000</v>
      </c>
      <c r="V44" s="234">
        <v>16928</v>
      </c>
      <c r="W44" s="235">
        <v>1.47E-3</v>
      </c>
      <c r="X44" s="212"/>
      <c r="Z44" s="225" t="e">
        <f>(('Hipoteca Free'!#REF!-requisitos!AB44)*AE44)+AD44</f>
        <v>#REF!</v>
      </c>
      <c r="AA44" s="233" t="s">
        <v>183</v>
      </c>
      <c r="AB44" s="234">
        <v>8000001</v>
      </c>
      <c r="AC44" s="234">
        <v>16000000</v>
      </c>
      <c r="AD44" s="234">
        <v>18400</v>
      </c>
      <c r="AE44" s="235">
        <v>1.2999999999999999E-3</v>
      </c>
    </row>
    <row r="45" spans="1:31" ht="12" thickBot="1" x14ac:dyDescent="0.25">
      <c r="N45" s="232" t="s">
        <v>199</v>
      </c>
      <c r="O45" s="232"/>
      <c r="P45" s="258" t="s">
        <v>200</v>
      </c>
      <c r="Q45" s="225" t="e">
        <f>(('Hipoteca Free'!#REF!-requisitos!T45)*W45)+V45</f>
        <v>#REF!</v>
      </c>
      <c r="R45" s="225"/>
      <c r="S45" s="244" t="s">
        <v>186</v>
      </c>
      <c r="T45" s="245">
        <v>16000001</v>
      </c>
      <c r="U45" s="246" t="s">
        <v>185</v>
      </c>
      <c r="V45" s="245">
        <v>28704</v>
      </c>
      <c r="W45" s="247">
        <v>1.17E-3</v>
      </c>
      <c r="X45" s="212"/>
      <c r="Z45" s="225" t="e">
        <f>(('Hipoteca Free'!#REF!-requisitos!AB45)*AE45)+AD45</f>
        <v>#REF!</v>
      </c>
      <c r="AA45" s="244" t="s">
        <v>186</v>
      </c>
      <c r="AB45" s="245">
        <v>16000001</v>
      </c>
      <c r="AC45" s="246" t="s">
        <v>185</v>
      </c>
      <c r="AD45" s="245">
        <v>28800</v>
      </c>
      <c r="AE45" s="247">
        <v>1.1999999999999999E-3</v>
      </c>
    </row>
    <row r="46" spans="1:31" ht="12.75" x14ac:dyDescent="0.2">
      <c r="N46" s="232" t="s">
        <v>201</v>
      </c>
      <c r="O46" s="232"/>
      <c r="P46" s="232"/>
      <c r="Q46" s="248">
        <f>IF(ISERROR(S46),U35,MAX(INDEX(Q39:Q45,S46),U35))</f>
        <v>919.99999999999989</v>
      </c>
      <c r="R46" s="248"/>
      <c r="S46" s="259" t="e">
        <f>MATCH($T$16,T39:T45,1)</f>
        <v>#REF!</v>
      </c>
      <c r="W46" s="250">
        <f>IF(ISERROR(S46),W35,MIN(INDEX(W39:W45,S46),W35))</f>
        <v>2.8700000000000002E-3</v>
      </c>
      <c r="Z46" s="248">
        <f>IF(ISERROR(AA46),0,MAX(INDEX(Z39:Z45,AA46),AC35))</f>
        <v>0</v>
      </c>
      <c r="AA46" s="249" t="e">
        <f>MATCH($T$16,AB39:AB45,1)</f>
        <v>#REF!</v>
      </c>
      <c r="AE46" s="250">
        <f>IF(ISERROR(AA46),AE35,MIN(INDEX(AE39:AE45,AA46),AE35))</f>
        <v>5.0000000000000001E-3</v>
      </c>
    </row>
    <row r="47" spans="1:31" ht="12.75" x14ac:dyDescent="0.2">
      <c r="N47" s="232" t="s">
        <v>202</v>
      </c>
      <c r="O47" s="232"/>
      <c r="P47" s="258" t="s">
        <v>165</v>
      </c>
      <c r="Q47" s="260" t="s">
        <v>203</v>
      </c>
      <c r="R47" s="260"/>
      <c r="S47" s="261">
        <f>IF(T47=1,Q32,IF(T47=2,Z32,IF(T47=3,Q46,Z46)))</f>
        <v>800</v>
      </c>
      <c r="T47" s="262">
        <f>C12</f>
        <v>1</v>
      </c>
      <c r="U47" s="232"/>
      <c r="W47" s="263"/>
    </row>
    <row r="48" spans="1:31" x14ac:dyDescent="0.2">
      <c r="Q48" s="264"/>
      <c r="R48" s="264"/>
      <c r="S48" s="264"/>
      <c r="T48" s="264"/>
      <c r="U48" s="232"/>
    </row>
    <row r="49" spans="2:21" ht="12.75" x14ac:dyDescent="0.2">
      <c r="Q49" s="260" t="s">
        <v>203</v>
      </c>
      <c r="R49" s="260"/>
      <c r="S49" s="265">
        <f>IF(T47=1,W32,IF(T47=2,AE32,IF(T47=3,W46,AE46)))</f>
        <v>2.5000000000000001E-3</v>
      </c>
      <c r="T49" s="264"/>
      <c r="U49" s="232"/>
    </row>
    <row r="52" spans="2:21" ht="12.75" x14ac:dyDescent="0.2">
      <c r="B52" s="191" t="s">
        <v>98</v>
      </c>
      <c r="C52" s="191" t="s">
        <v>98</v>
      </c>
      <c r="E52" s="1"/>
    </row>
    <row r="53" spans="2:21" ht="12.75" x14ac:dyDescent="0.2">
      <c r="B53" s="192" t="s">
        <v>204</v>
      </c>
      <c r="C53" s="192" t="s">
        <v>205</v>
      </c>
      <c r="E53" s="1"/>
    </row>
    <row r="54" spans="2:21" ht="12.75" x14ac:dyDescent="0.2">
      <c r="B54" s="192" t="s">
        <v>206</v>
      </c>
      <c r="C54" s="192" t="s">
        <v>207</v>
      </c>
      <c r="E54" s="1"/>
    </row>
    <row r="55" spans="2:21" ht="12.75" x14ac:dyDescent="0.2">
      <c r="B55" s="192" t="s">
        <v>107</v>
      </c>
      <c r="C55" s="192" t="s">
        <v>208</v>
      </c>
      <c r="E55" s="1"/>
    </row>
    <row r="56" spans="2:21" ht="12.75" x14ac:dyDescent="0.2">
      <c r="B56" s="192" t="s">
        <v>102</v>
      </c>
      <c r="C56" s="192" t="s">
        <v>209</v>
      </c>
      <c r="E56" s="1"/>
    </row>
    <row r="57" spans="2:21" ht="12.75" x14ac:dyDescent="0.2">
      <c r="B57" s="192" t="s">
        <v>210</v>
      </c>
      <c r="C57" s="192" t="s">
        <v>211</v>
      </c>
      <c r="E57" s="1"/>
    </row>
    <row r="58" spans="2:21" ht="12.75" x14ac:dyDescent="0.2">
      <c r="B58" s="192" t="s">
        <v>212</v>
      </c>
      <c r="C58" s="192" t="s">
        <v>213</v>
      </c>
      <c r="E58" s="1"/>
    </row>
    <row r="59" spans="2:21" ht="12.75" x14ac:dyDescent="0.2">
      <c r="B59" s="192" t="s">
        <v>214</v>
      </c>
      <c r="C59" s="192" t="s">
        <v>215</v>
      </c>
      <c r="E59" s="1"/>
    </row>
    <row r="60" spans="2:21" ht="12.75" x14ac:dyDescent="0.2">
      <c r="B60" s="192" t="s">
        <v>216</v>
      </c>
      <c r="C60" s="192" t="s">
        <v>217</v>
      </c>
      <c r="E60" s="1"/>
    </row>
    <row r="61" spans="2:21" ht="12.75" x14ac:dyDescent="0.2">
      <c r="B61" s="192" t="s">
        <v>218</v>
      </c>
      <c r="C61" s="192" t="s">
        <v>219</v>
      </c>
      <c r="E61" s="1"/>
    </row>
    <row r="62" spans="2:21" ht="12.75" x14ac:dyDescent="0.2">
      <c r="B62" s="192" t="s">
        <v>220</v>
      </c>
      <c r="C62" s="192" t="s">
        <v>221</v>
      </c>
      <c r="E62" s="1"/>
    </row>
    <row r="63" spans="2:21" ht="12.75" x14ac:dyDescent="0.2">
      <c r="B63" s="192" t="s">
        <v>222</v>
      </c>
      <c r="C63" s="192" t="s">
        <v>223</v>
      </c>
      <c r="E63" s="1"/>
    </row>
    <row r="64" spans="2:21" ht="12.75" x14ac:dyDescent="0.2">
      <c r="B64" s="192" t="s">
        <v>224</v>
      </c>
      <c r="C64" s="192" t="s">
        <v>225</v>
      </c>
      <c r="E64" s="1"/>
    </row>
    <row r="65" spans="2:5" ht="12.75" x14ac:dyDescent="0.2">
      <c r="B65" s="192" t="s">
        <v>226</v>
      </c>
      <c r="C65" s="192" t="s">
        <v>227</v>
      </c>
      <c r="E65" s="1"/>
    </row>
    <row r="66" spans="2:5" ht="12.75" x14ac:dyDescent="0.2">
      <c r="B66" s="192" t="s">
        <v>228</v>
      </c>
      <c r="C66" s="192" t="s">
        <v>229</v>
      </c>
      <c r="E66" s="1"/>
    </row>
    <row r="67" spans="2:5" ht="12" customHeight="1" x14ac:dyDescent="0.2">
      <c r="B67" s="192" t="s">
        <v>230</v>
      </c>
      <c r="C67" s="192" t="s">
        <v>231</v>
      </c>
      <c r="E67" s="1"/>
    </row>
    <row r="68" spans="2:5" ht="12.75" x14ac:dyDescent="0.2">
      <c r="B68" s="192" t="s">
        <v>232</v>
      </c>
      <c r="C68" s="192" t="s">
        <v>233</v>
      </c>
      <c r="E68" s="1"/>
    </row>
    <row r="69" spans="2:5" ht="12.75" x14ac:dyDescent="0.2">
      <c r="B69" s="192" t="s">
        <v>234</v>
      </c>
      <c r="C69" s="192" t="s">
        <v>130</v>
      </c>
      <c r="E69" s="1"/>
    </row>
    <row r="70" spans="2:5" ht="12.75" x14ac:dyDescent="0.2">
      <c r="B70" s="192" t="s">
        <v>235</v>
      </c>
      <c r="C70" s="196">
        <v>1</v>
      </c>
      <c r="E70" s="1"/>
    </row>
    <row r="71" spans="2:5" x14ac:dyDescent="0.2">
      <c r="B71" s="192" t="s">
        <v>236</v>
      </c>
    </row>
    <row r="72" spans="2:5" x14ac:dyDescent="0.2">
      <c r="B72" s="192" t="s">
        <v>237</v>
      </c>
    </row>
    <row r="73" spans="2:5" x14ac:dyDescent="0.2">
      <c r="B73" s="192" t="s">
        <v>238</v>
      </c>
    </row>
    <row r="74" spans="2:5" x14ac:dyDescent="0.2">
      <c r="B74" s="192" t="s">
        <v>130</v>
      </c>
    </row>
    <row r="75" spans="2:5" ht="12.75" x14ac:dyDescent="0.2">
      <c r="B75" s="196">
        <v>1</v>
      </c>
    </row>
  </sheetData>
  <mergeCells count="1">
    <mergeCell ref="S10:X10"/>
  </mergeCells>
  <printOptions gridLinesSet="0"/>
  <pageMargins left="0.75" right="0.75" top="1" bottom="1" header="0.511811024" footer="0.511811024"/>
  <pageSetup orientation="portrait" r:id="rId1"/>
  <headerFooter alignWithMargins="0">
    <oddHeader>&amp;A</oddHeader>
    <oddFooter>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2:AF628"/>
  <sheetViews>
    <sheetView showGridLines="0" zoomScale="85" zoomScaleNormal="85" workbookViewId="0">
      <selection activeCell="H20" sqref="H20:J20"/>
    </sheetView>
  </sheetViews>
  <sheetFormatPr baseColWidth="10" defaultRowHeight="12.75" x14ac:dyDescent="0.2"/>
  <cols>
    <col min="1" max="1" width="1.7109375" style="1" customWidth="1"/>
    <col min="2" max="2" width="13.85546875" style="1" customWidth="1"/>
    <col min="3" max="3" width="15" style="1" customWidth="1"/>
    <col min="4" max="4" width="13.42578125" style="1" customWidth="1"/>
    <col min="5" max="5" width="11.42578125" style="1"/>
    <col min="6" max="6" width="6.85546875" style="1" customWidth="1"/>
    <col min="7" max="7" width="16.42578125" style="1" customWidth="1"/>
    <col min="8" max="8" width="15" style="1" customWidth="1"/>
    <col min="9" max="9" width="13.7109375" style="1" customWidth="1"/>
    <col min="10" max="10" width="28.5703125" style="1" customWidth="1"/>
    <col min="11" max="11" width="14.5703125" style="1" customWidth="1"/>
    <col min="12" max="12" width="17.140625" style="1" customWidth="1"/>
    <col min="13" max="13" width="24" style="1" bestFit="1" customWidth="1"/>
    <col min="14" max="14" width="15.28515625" style="1" bestFit="1" customWidth="1"/>
    <col min="15" max="241" width="11.42578125" style="1"/>
    <col min="242" max="242" width="1.7109375" style="1" customWidth="1"/>
    <col min="243" max="243" width="13.85546875" style="1" customWidth="1"/>
    <col min="244" max="244" width="15" style="1" customWidth="1"/>
    <col min="245" max="245" width="13.42578125" style="1" customWidth="1"/>
    <col min="246" max="246" width="11.42578125" style="1"/>
    <col min="247" max="247" width="6.85546875" style="1" customWidth="1"/>
    <col min="248" max="248" width="0" style="1" hidden="1" customWidth="1"/>
    <col min="249" max="249" width="15" style="1" customWidth="1"/>
    <col min="250" max="250" width="13.7109375" style="1" customWidth="1"/>
    <col min="251" max="251" width="17.140625" style="1" customWidth="1"/>
    <col min="252" max="252" width="14.5703125" style="1" customWidth="1"/>
    <col min="253" max="253" width="16" style="1" customWidth="1"/>
    <col min="254" max="255" width="13.28515625" style="1" customWidth="1"/>
    <col min="256" max="264" width="0" style="1" hidden="1" customWidth="1"/>
    <col min="265" max="265" width="14.42578125" style="1" bestFit="1" customWidth="1"/>
    <col min="266" max="497" width="11.42578125" style="1"/>
    <col min="498" max="498" width="1.7109375" style="1" customWidth="1"/>
    <col min="499" max="499" width="13.85546875" style="1" customWidth="1"/>
    <col min="500" max="500" width="15" style="1" customWidth="1"/>
    <col min="501" max="501" width="13.42578125" style="1" customWidth="1"/>
    <col min="502" max="502" width="11.42578125" style="1"/>
    <col min="503" max="503" width="6.85546875" style="1" customWidth="1"/>
    <col min="504" max="504" width="0" style="1" hidden="1" customWidth="1"/>
    <col min="505" max="505" width="15" style="1" customWidth="1"/>
    <col min="506" max="506" width="13.7109375" style="1" customWidth="1"/>
    <col min="507" max="507" width="17.140625" style="1" customWidth="1"/>
    <col min="508" max="508" width="14.5703125" style="1" customWidth="1"/>
    <col min="509" max="509" width="16" style="1" customWidth="1"/>
    <col min="510" max="511" width="13.28515625" style="1" customWidth="1"/>
    <col min="512" max="520" width="0" style="1" hidden="1" customWidth="1"/>
    <col min="521" max="521" width="14.42578125" style="1" bestFit="1" customWidth="1"/>
    <col min="522" max="753" width="11.42578125" style="1"/>
    <col min="754" max="754" width="1.7109375" style="1" customWidth="1"/>
    <col min="755" max="755" width="13.85546875" style="1" customWidth="1"/>
    <col min="756" max="756" width="15" style="1" customWidth="1"/>
    <col min="757" max="757" width="13.42578125" style="1" customWidth="1"/>
    <col min="758" max="758" width="11.42578125" style="1"/>
    <col min="759" max="759" width="6.85546875" style="1" customWidth="1"/>
    <col min="760" max="760" width="0" style="1" hidden="1" customWidth="1"/>
    <col min="761" max="761" width="15" style="1" customWidth="1"/>
    <col min="762" max="762" width="13.7109375" style="1" customWidth="1"/>
    <col min="763" max="763" width="17.140625" style="1" customWidth="1"/>
    <col min="764" max="764" width="14.5703125" style="1" customWidth="1"/>
    <col min="765" max="765" width="16" style="1" customWidth="1"/>
    <col min="766" max="767" width="13.28515625" style="1" customWidth="1"/>
    <col min="768" max="776" width="0" style="1" hidden="1" customWidth="1"/>
    <col min="777" max="777" width="14.42578125" style="1" bestFit="1" customWidth="1"/>
    <col min="778" max="1009" width="11.42578125" style="1"/>
    <col min="1010" max="1010" width="1.7109375" style="1" customWidth="1"/>
    <col min="1011" max="1011" width="13.85546875" style="1" customWidth="1"/>
    <col min="1012" max="1012" width="15" style="1" customWidth="1"/>
    <col min="1013" max="1013" width="13.42578125" style="1" customWidth="1"/>
    <col min="1014" max="1014" width="11.42578125" style="1"/>
    <col min="1015" max="1015" width="6.85546875" style="1" customWidth="1"/>
    <col min="1016" max="1016" width="0" style="1" hidden="1" customWidth="1"/>
    <col min="1017" max="1017" width="15" style="1" customWidth="1"/>
    <col min="1018" max="1018" width="13.7109375" style="1" customWidth="1"/>
    <col min="1019" max="1019" width="17.140625" style="1" customWidth="1"/>
    <col min="1020" max="1020" width="14.5703125" style="1" customWidth="1"/>
    <col min="1021" max="1021" width="16" style="1" customWidth="1"/>
    <col min="1022" max="1023" width="13.28515625" style="1" customWidth="1"/>
    <col min="1024" max="1032" width="0" style="1" hidden="1" customWidth="1"/>
    <col min="1033" max="1033" width="14.42578125" style="1" bestFit="1" customWidth="1"/>
    <col min="1034" max="1265" width="11.42578125" style="1"/>
    <col min="1266" max="1266" width="1.7109375" style="1" customWidth="1"/>
    <col min="1267" max="1267" width="13.85546875" style="1" customWidth="1"/>
    <col min="1268" max="1268" width="15" style="1" customWidth="1"/>
    <col min="1269" max="1269" width="13.42578125" style="1" customWidth="1"/>
    <col min="1270" max="1270" width="11.42578125" style="1"/>
    <col min="1271" max="1271" width="6.85546875" style="1" customWidth="1"/>
    <col min="1272" max="1272" width="0" style="1" hidden="1" customWidth="1"/>
    <col min="1273" max="1273" width="15" style="1" customWidth="1"/>
    <col min="1274" max="1274" width="13.7109375" style="1" customWidth="1"/>
    <col min="1275" max="1275" width="17.140625" style="1" customWidth="1"/>
    <col min="1276" max="1276" width="14.5703125" style="1" customWidth="1"/>
    <col min="1277" max="1277" width="16" style="1" customWidth="1"/>
    <col min="1278" max="1279" width="13.28515625" style="1" customWidth="1"/>
    <col min="1280" max="1288" width="0" style="1" hidden="1" customWidth="1"/>
    <col min="1289" max="1289" width="14.42578125" style="1" bestFit="1" customWidth="1"/>
    <col min="1290" max="1521" width="11.42578125" style="1"/>
    <col min="1522" max="1522" width="1.7109375" style="1" customWidth="1"/>
    <col min="1523" max="1523" width="13.85546875" style="1" customWidth="1"/>
    <col min="1524" max="1524" width="15" style="1" customWidth="1"/>
    <col min="1525" max="1525" width="13.42578125" style="1" customWidth="1"/>
    <col min="1526" max="1526" width="11.42578125" style="1"/>
    <col min="1527" max="1527" width="6.85546875" style="1" customWidth="1"/>
    <col min="1528" max="1528" width="0" style="1" hidden="1" customWidth="1"/>
    <col min="1529" max="1529" width="15" style="1" customWidth="1"/>
    <col min="1530" max="1530" width="13.7109375" style="1" customWidth="1"/>
    <col min="1531" max="1531" width="17.140625" style="1" customWidth="1"/>
    <col min="1532" max="1532" width="14.5703125" style="1" customWidth="1"/>
    <col min="1533" max="1533" width="16" style="1" customWidth="1"/>
    <col min="1534" max="1535" width="13.28515625" style="1" customWidth="1"/>
    <col min="1536" max="1544" width="0" style="1" hidden="1" customWidth="1"/>
    <col min="1545" max="1545" width="14.42578125" style="1" bestFit="1" customWidth="1"/>
    <col min="1546" max="1777" width="11.42578125" style="1"/>
    <col min="1778" max="1778" width="1.7109375" style="1" customWidth="1"/>
    <col min="1779" max="1779" width="13.85546875" style="1" customWidth="1"/>
    <col min="1780" max="1780" width="15" style="1" customWidth="1"/>
    <col min="1781" max="1781" width="13.42578125" style="1" customWidth="1"/>
    <col min="1782" max="1782" width="11.42578125" style="1"/>
    <col min="1783" max="1783" width="6.85546875" style="1" customWidth="1"/>
    <col min="1784" max="1784" width="0" style="1" hidden="1" customWidth="1"/>
    <col min="1785" max="1785" width="15" style="1" customWidth="1"/>
    <col min="1786" max="1786" width="13.7109375" style="1" customWidth="1"/>
    <col min="1787" max="1787" width="17.140625" style="1" customWidth="1"/>
    <col min="1788" max="1788" width="14.5703125" style="1" customWidth="1"/>
    <col min="1789" max="1789" width="16" style="1" customWidth="1"/>
    <col min="1790" max="1791" width="13.28515625" style="1" customWidth="1"/>
    <col min="1792" max="1800" width="0" style="1" hidden="1" customWidth="1"/>
    <col min="1801" max="1801" width="14.42578125" style="1" bestFit="1" customWidth="1"/>
    <col min="1802" max="2033" width="11.42578125" style="1"/>
    <col min="2034" max="2034" width="1.7109375" style="1" customWidth="1"/>
    <col min="2035" max="2035" width="13.85546875" style="1" customWidth="1"/>
    <col min="2036" max="2036" width="15" style="1" customWidth="1"/>
    <col min="2037" max="2037" width="13.42578125" style="1" customWidth="1"/>
    <col min="2038" max="2038" width="11.42578125" style="1"/>
    <col min="2039" max="2039" width="6.85546875" style="1" customWidth="1"/>
    <col min="2040" max="2040" width="0" style="1" hidden="1" customWidth="1"/>
    <col min="2041" max="2041" width="15" style="1" customWidth="1"/>
    <col min="2042" max="2042" width="13.7109375" style="1" customWidth="1"/>
    <col min="2043" max="2043" width="17.140625" style="1" customWidth="1"/>
    <col min="2044" max="2044" width="14.5703125" style="1" customWidth="1"/>
    <col min="2045" max="2045" width="16" style="1" customWidth="1"/>
    <col min="2046" max="2047" width="13.28515625" style="1" customWidth="1"/>
    <col min="2048" max="2056" width="0" style="1" hidden="1" customWidth="1"/>
    <col min="2057" max="2057" width="14.42578125" style="1" bestFit="1" customWidth="1"/>
    <col min="2058" max="2289" width="11.42578125" style="1"/>
    <col min="2290" max="2290" width="1.7109375" style="1" customWidth="1"/>
    <col min="2291" max="2291" width="13.85546875" style="1" customWidth="1"/>
    <col min="2292" max="2292" width="15" style="1" customWidth="1"/>
    <col min="2293" max="2293" width="13.42578125" style="1" customWidth="1"/>
    <col min="2294" max="2294" width="11.42578125" style="1"/>
    <col min="2295" max="2295" width="6.85546875" style="1" customWidth="1"/>
    <col min="2296" max="2296" width="0" style="1" hidden="1" customWidth="1"/>
    <col min="2297" max="2297" width="15" style="1" customWidth="1"/>
    <col min="2298" max="2298" width="13.7109375" style="1" customWidth="1"/>
    <col min="2299" max="2299" width="17.140625" style="1" customWidth="1"/>
    <col min="2300" max="2300" width="14.5703125" style="1" customWidth="1"/>
    <col min="2301" max="2301" width="16" style="1" customWidth="1"/>
    <col min="2302" max="2303" width="13.28515625" style="1" customWidth="1"/>
    <col min="2304" max="2312" width="0" style="1" hidden="1" customWidth="1"/>
    <col min="2313" max="2313" width="14.42578125" style="1" bestFit="1" customWidth="1"/>
    <col min="2314" max="2545" width="11.42578125" style="1"/>
    <col min="2546" max="2546" width="1.7109375" style="1" customWidth="1"/>
    <col min="2547" max="2547" width="13.85546875" style="1" customWidth="1"/>
    <col min="2548" max="2548" width="15" style="1" customWidth="1"/>
    <col min="2549" max="2549" width="13.42578125" style="1" customWidth="1"/>
    <col min="2550" max="2550" width="11.42578125" style="1"/>
    <col min="2551" max="2551" width="6.85546875" style="1" customWidth="1"/>
    <col min="2552" max="2552" width="0" style="1" hidden="1" customWidth="1"/>
    <col min="2553" max="2553" width="15" style="1" customWidth="1"/>
    <col min="2554" max="2554" width="13.7109375" style="1" customWidth="1"/>
    <col min="2555" max="2555" width="17.140625" style="1" customWidth="1"/>
    <col min="2556" max="2556" width="14.5703125" style="1" customWidth="1"/>
    <col min="2557" max="2557" width="16" style="1" customWidth="1"/>
    <col min="2558" max="2559" width="13.28515625" style="1" customWidth="1"/>
    <col min="2560" max="2568" width="0" style="1" hidden="1" customWidth="1"/>
    <col min="2569" max="2569" width="14.42578125" style="1" bestFit="1" customWidth="1"/>
    <col min="2570" max="2801" width="11.42578125" style="1"/>
    <col min="2802" max="2802" width="1.7109375" style="1" customWidth="1"/>
    <col min="2803" max="2803" width="13.85546875" style="1" customWidth="1"/>
    <col min="2804" max="2804" width="15" style="1" customWidth="1"/>
    <col min="2805" max="2805" width="13.42578125" style="1" customWidth="1"/>
    <col min="2806" max="2806" width="11.42578125" style="1"/>
    <col min="2807" max="2807" width="6.85546875" style="1" customWidth="1"/>
    <col min="2808" max="2808" width="0" style="1" hidden="1" customWidth="1"/>
    <col min="2809" max="2809" width="15" style="1" customWidth="1"/>
    <col min="2810" max="2810" width="13.7109375" style="1" customWidth="1"/>
    <col min="2811" max="2811" width="17.140625" style="1" customWidth="1"/>
    <col min="2812" max="2812" width="14.5703125" style="1" customWidth="1"/>
    <col min="2813" max="2813" width="16" style="1" customWidth="1"/>
    <col min="2814" max="2815" width="13.28515625" style="1" customWidth="1"/>
    <col min="2816" max="2824" width="0" style="1" hidden="1" customWidth="1"/>
    <col min="2825" max="2825" width="14.42578125" style="1" bestFit="1" customWidth="1"/>
    <col min="2826" max="3057" width="11.42578125" style="1"/>
    <col min="3058" max="3058" width="1.7109375" style="1" customWidth="1"/>
    <col min="3059" max="3059" width="13.85546875" style="1" customWidth="1"/>
    <col min="3060" max="3060" width="15" style="1" customWidth="1"/>
    <col min="3061" max="3061" width="13.42578125" style="1" customWidth="1"/>
    <col min="3062" max="3062" width="11.42578125" style="1"/>
    <col min="3063" max="3063" width="6.85546875" style="1" customWidth="1"/>
    <col min="3064" max="3064" width="0" style="1" hidden="1" customWidth="1"/>
    <col min="3065" max="3065" width="15" style="1" customWidth="1"/>
    <col min="3066" max="3066" width="13.7109375" style="1" customWidth="1"/>
    <col min="3067" max="3067" width="17.140625" style="1" customWidth="1"/>
    <col min="3068" max="3068" width="14.5703125" style="1" customWidth="1"/>
    <col min="3069" max="3069" width="16" style="1" customWidth="1"/>
    <col min="3070" max="3071" width="13.28515625" style="1" customWidth="1"/>
    <col min="3072" max="3080" width="0" style="1" hidden="1" customWidth="1"/>
    <col min="3081" max="3081" width="14.42578125" style="1" bestFit="1" customWidth="1"/>
    <col min="3082" max="3313" width="11.42578125" style="1"/>
    <col min="3314" max="3314" width="1.7109375" style="1" customWidth="1"/>
    <col min="3315" max="3315" width="13.85546875" style="1" customWidth="1"/>
    <col min="3316" max="3316" width="15" style="1" customWidth="1"/>
    <col min="3317" max="3317" width="13.42578125" style="1" customWidth="1"/>
    <col min="3318" max="3318" width="11.42578125" style="1"/>
    <col min="3319" max="3319" width="6.85546875" style="1" customWidth="1"/>
    <col min="3320" max="3320" width="0" style="1" hidden="1" customWidth="1"/>
    <col min="3321" max="3321" width="15" style="1" customWidth="1"/>
    <col min="3322" max="3322" width="13.7109375" style="1" customWidth="1"/>
    <col min="3323" max="3323" width="17.140625" style="1" customWidth="1"/>
    <col min="3324" max="3324" width="14.5703125" style="1" customWidth="1"/>
    <col min="3325" max="3325" width="16" style="1" customWidth="1"/>
    <col min="3326" max="3327" width="13.28515625" style="1" customWidth="1"/>
    <col min="3328" max="3336" width="0" style="1" hidden="1" customWidth="1"/>
    <col min="3337" max="3337" width="14.42578125" style="1" bestFit="1" customWidth="1"/>
    <col min="3338" max="3569" width="11.42578125" style="1"/>
    <col min="3570" max="3570" width="1.7109375" style="1" customWidth="1"/>
    <col min="3571" max="3571" width="13.85546875" style="1" customWidth="1"/>
    <col min="3572" max="3572" width="15" style="1" customWidth="1"/>
    <col min="3573" max="3573" width="13.42578125" style="1" customWidth="1"/>
    <col min="3574" max="3574" width="11.42578125" style="1"/>
    <col min="3575" max="3575" width="6.85546875" style="1" customWidth="1"/>
    <col min="3576" max="3576" width="0" style="1" hidden="1" customWidth="1"/>
    <col min="3577" max="3577" width="15" style="1" customWidth="1"/>
    <col min="3578" max="3578" width="13.7109375" style="1" customWidth="1"/>
    <col min="3579" max="3579" width="17.140625" style="1" customWidth="1"/>
    <col min="3580" max="3580" width="14.5703125" style="1" customWidth="1"/>
    <col min="3581" max="3581" width="16" style="1" customWidth="1"/>
    <col min="3582" max="3583" width="13.28515625" style="1" customWidth="1"/>
    <col min="3584" max="3592" width="0" style="1" hidden="1" customWidth="1"/>
    <col min="3593" max="3593" width="14.42578125" style="1" bestFit="1" customWidth="1"/>
    <col min="3594" max="3825" width="11.42578125" style="1"/>
    <col min="3826" max="3826" width="1.7109375" style="1" customWidth="1"/>
    <col min="3827" max="3827" width="13.85546875" style="1" customWidth="1"/>
    <col min="3828" max="3828" width="15" style="1" customWidth="1"/>
    <col min="3829" max="3829" width="13.42578125" style="1" customWidth="1"/>
    <col min="3830" max="3830" width="11.42578125" style="1"/>
    <col min="3831" max="3831" width="6.85546875" style="1" customWidth="1"/>
    <col min="3832" max="3832" width="0" style="1" hidden="1" customWidth="1"/>
    <col min="3833" max="3833" width="15" style="1" customWidth="1"/>
    <col min="3834" max="3834" width="13.7109375" style="1" customWidth="1"/>
    <col min="3835" max="3835" width="17.140625" style="1" customWidth="1"/>
    <col min="3836" max="3836" width="14.5703125" style="1" customWidth="1"/>
    <col min="3837" max="3837" width="16" style="1" customWidth="1"/>
    <col min="3838" max="3839" width="13.28515625" style="1" customWidth="1"/>
    <col min="3840" max="3848" width="0" style="1" hidden="1" customWidth="1"/>
    <col min="3849" max="3849" width="14.42578125" style="1" bestFit="1" customWidth="1"/>
    <col min="3850" max="4081" width="11.42578125" style="1"/>
    <col min="4082" max="4082" width="1.7109375" style="1" customWidth="1"/>
    <col min="4083" max="4083" width="13.85546875" style="1" customWidth="1"/>
    <col min="4084" max="4084" width="15" style="1" customWidth="1"/>
    <col min="4085" max="4085" width="13.42578125" style="1" customWidth="1"/>
    <col min="4086" max="4086" width="11.42578125" style="1"/>
    <col min="4087" max="4087" width="6.85546875" style="1" customWidth="1"/>
    <col min="4088" max="4088" width="0" style="1" hidden="1" customWidth="1"/>
    <col min="4089" max="4089" width="15" style="1" customWidth="1"/>
    <col min="4090" max="4090" width="13.7109375" style="1" customWidth="1"/>
    <col min="4091" max="4091" width="17.140625" style="1" customWidth="1"/>
    <col min="4092" max="4092" width="14.5703125" style="1" customWidth="1"/>
    <col min="4093" max="4093" width="16" style="1" customWidth="1"/>
    <col min="4094" max="4095" width="13.28515625" style="1" customWidth="1"/>
    <col min="4096" max="4104" width="0" style="1" hidden="1" customWidth="1"/>
    <col min="4105" max="4105" width="14.42578125" style="1" bestFit="1" customWidth="1"/>
    <col min="4106" max="4337" width="11.42578125" style="1"/>
    <col min="4338" max="4338" width="1.7109375" style="1" customWidth="1"/>
    <col min="4339" max="4339" width="13.85546875" style="1" customWidth="1"/>
    <col min="4340" max="4340" width="15" style="1" customWidth="1"/>
    <col min="4341" max="4341" width="13.42578125" style="1" customWidth="1"/>
    <col min="4342" max="4342" width="11.42578125" style="1"/>
    <col min="4343" max="4343" width="6.85546875" style="1" customWidth="1"/>
    <col min="4344" max="4344" width="0" style="1" hidden="1" customWidth="1"/>
    <col min="4345" max="4345" width="15" style="1" customWidth="1"/>
    <col min="4346" max="4346" width="13.7109375" style="1" customWidth="1"/>
    <col min="4347" max="4347" width="17.140625" style="1" customWidth="1"/>
    <col min="4348" max="4348" width="14.5703125" style="1" customWidth="1"/>
    <col min="4349" max="4349" width="16" style="1" customWidth="1"/>
    <col min="4350" max="4351" width="13.28515625" style="1" customWidth="1"/>
    <col min="4352" max="4360" width="0" style="1" hidden="1" customWidth="1"/>
    <col min="4361" max="4361" width="14.42578125" style="1" bestFit="1" customWidth="1"/>
    <col min="4362" max="4593" width="11.42578125" style="1"/>
    <col min="4594" max="4594" width="1.7109375" style="1" customWidth="1"/>
    <col min="4595" max="4595" width="13.85546875" style="1" customWidth="1"/>
    <col min="4596" max="4596" width="15" style="1" customWidth="1"/>
    <col min="4597" max="4597" width="13.42578125" style="1" customWidth="1"/>
    <col min="4598" max="4598" width="11.42578125" style="1"/>
    <col min="4599" max="4599" width="6.85546875" style="1" customWidth="1"/>
    <col min="4600" max="4600" width="0" style="1" hidden="1" customWidth="1"/>
    <col min="4601" max="4601" width="15" style="1" customWidth="1"/>
    <col min="4602" max="4602" width="13.7109375" style="1" customWidth="1"/>
    <col min="4603" max="4603" width="17.140625" style="1" customWidth="1"/>
    <col min="4604" max="4604" width="14.5703125" style="1" customWidth="1"/>
    <col min="4605" max="4605" width="16" style="1" customWidth="1"/>
    <col min="4606" max="4607" width="13.28515625" style="1" customWidth="1"/>
    <col min="4608" max="4616" width="0" style="1" hidden="1" customWidth="1"/>
    <col min="4617" max="4617" width="14.42578125" style="1" bestFit="1" customWidth="1"/>
    <col min="4618" max="4849" width="11.42578125" style="1"/>
    <col min="4850" max="4850" width="1.7109375" style="1" customWidth="1"/>
    <col min="4851" max="4851" width="13.85546875" style="1" customWidth="1"/>
    <col min="4852" max="4852" width="15" style="1" customWidth="1"/>
    <col min="4853" max="4853" width="13.42578125" style="1" customWidth="1"/>
    <col min="4854" max="4854" width="11.42578125" style="1"/>
    <col min="4855" max="4855" width="6.85546875" style="1" customWidth="1"/>
    <col min="4856" max="4856" width="0" style="1" hidden="1" customWidth="1"/>
    <col min="4857" max="4857" width="15" style="1" customWidth="1"/>
    <col min="4858" max="4858" width="13.7109375" style="1" customWidth="1"/>
    <col min="4859" max="4859" width="17.140625" style="1" customWidth="1"/>
    <col min="4860" max="4860" width="14.5703125" style="1" customWidth="1"/>
    <col min="4861" max="4861" width="16" style="1" customWidth="1"/>
    <col min="4862" max="4863" width="13.28515625" style="1" customWidth="1"/>
    <col min="4864" max="4872" width="0" style="1" hidden="1" customWidth="1"/>
    <col min="4873" max="4873" width="14.42578125" style="1" bestFit="1" customWidth="1"/>
    <col min="4874" max="5105" width="11.42578125" style="1"/>
    <col min="5106" max="5106" width="1.7109375" style="1" customWidth="1"/>
    <col min="5107" max="5107" width="13.85546875" style="1" customWidth="1"/>
    <col min="5108" max="5108" width="15" style="1" customWidth="1"/>
    <col min="5109" max="5109" width="13.42578125" style="1" customWidth="1"/>
    <col min="5110" max="5110" width="11.42578125" style="1"/>
    <col min="5111" max="5111" width="6.85546875" style="1" customWidth="1"/>
    <col min="5112" max="5112" width="0" style="1" hidden="1" customWidth="1"/>
    <col min="5113" max="5113" width="15" style="1" customWidth="1"/>
    <col min="5114" max="5114" width="13.7109375" style="1" customWidth="1"/>
    <col min="5115" max="5115" width="17.140625" style="1" customWidth="1"/>
    <col min="5116" max="5116" width="14.5703125" style="1" customWidth="1"/>
    <col min="5117" max="5117" width="16" style="1" customWidth="1"/>
    <col min="5118" max="5119" width="13.28515625" style="1" customWidth="1"/>
    <col min="5120" max="5128" width="0" style="1" hidden="1" customWidth="1"/>
    <col min="5129" max="5129" width="14.42578125" style="1" bestFit="1" customWidth="1"/>
    <col min="5130" max="5361" width="11.42578125" style="1"/>
    <col min="5362" max="5362" width="1.7109375" style="1" customWidth="1"/>
    <col min="5363" max="5363" width="13.85546875" style="1" customWidth="1"/>
    <col min="5364" max="5364" width="15" style="1" customWidth="1"/>
    <col min="5365" max="5365" width="13.42578125" style="1" customWidth="1"/>
    <col min="5366" max="5366" width="11.42578125" style="1"/>
    <col min="5367" max="5367" width="6.85546875" style="1" customWidth="1"/>
    <col min="5368" max="5368" width="0" style="1" hidden="1" customWidth="1"/>
    <col min="5369" max="5369" width="15" style="1" customWidth="1"/>
    <col min="5370" max="5370" width="13.7109375" style="1" customWidth="1"/>
    <col min="5371" max="5371" width="17.140625" style="1" customWidth="1"/>
    <col min="5372" max="5372" width="14.5703125" style="1" customWidth="1"/>
    <col min="5373" max="5373" width="16" style="1" customWidth="1"/>
    <col min="5374" max="5375" width="13.28515625" style="1" customWidth="1"/>
    <col min="5376" max="5384" width="0" style="1" hidden="1" customWidth="1"/>
    <col min="5385" max="5385" width="14.42578125" style="1" bestFit="1" customWidth="1"/>
    <col min="5386" max="5617" width="11.42578125" style="1"/>
    <col min="5618" max="5618" width="1.7109375" style="1" customWidth="1"/>
    <col min="5619" max="5619" width="13.85546875" style="1" customWidth="1"/>
    <col min="5620" max="5620" width="15" style="1" customWidth="1"/>
    <col min="5621" max="5621" width="13.42578125" style="1" customWidth="1"/>
    <col min="5622" max="5622" width="11.42578125" style="1"/>
    <col min="5623" max="5623" width="6.85546875" style="1" customWidth="1"/>
    <col min="5624" max="5624" width="0" style="1" hidden="1" customWidth="1"/>
    <col min="5625" max="5625" width="15" style="1" customWidth="1"/>
    <col min="5626" max="5626" width="13.7109375" style="1" customWidth="1"/>
    <col min="5627" max="5627" width="17.140625" style="1" customWidth="1"/>
    <col min="5628" max="5628" width="14.5703125" style="1" customWidth="1"/>
    <col min="5629" max="5629" width="16" style="1" customWidth="1"/>
    <col min="5630" max="5631" width="13.28515625" style="1" customWidth="1"/>
    <col min="5632" max="5640" width="0" style="1" hidden="1" customWidth="1"/>
    <col min="5641" max="5641" width="14.42578125" style="1" bestFit="1" customWidth="1"/>
    <col min="5642" max="5873" width="11.42578125" style="1"/>
    <col min="5874" max="5874" width="1.7109375" style="1" customWidth="1"/>
    <col min="5875" max="5875" width="13.85546875" style="1" customWidth="1"/>
    <col min="5876" max="5876" width="15" style="1" customWidth="1"/>
    <col min="5877" max="5877" width="13.42578125" style="1" customWidth="1"/>
    <col min="5878" max="5878" width="11.42578125" style="1"/>
    <col min="5879" max="5879" width="6.85546875" style="1" customWidth="1"/>
    <col min="5880" max="5880" width="0" style="1" hidden="1" customWidth="1"/>
    <col min="5881" max="5881" width="15" style="1" customWidth="1"/>
    <col min="5882" max="5882" width="13.7109375" style="1" customWidth="1"/>
    <col min="5883" max="5883" width="17.140625" style="1" customWidth="1"/>
    <col min="5884" max="5884" width="14.5703125" style="1" customWidth="1"/>
    <col min="5885" max="5885" width="16" style="1" customWidth="1"/>
    <col min="5886" max="5887" width="13.28515625" style="1" customWidth="1"/>
    <col min="5888" max="5896" width="0" style="1" hidden="1" customWidth="1"/>
    <col min="5897" max="5897" width="14.42578125" style="1" bestFit="1" customWidth="1"/>
    <col min="5898" max="6129" width="11.42578125" style="1"/>
    <col min="6130" max="6130" width="1.7109375" style="1" customWidth="1"/>
    <col min="6131" max="6131" width="13.85546875" style="1" customWidth="1"/>
    <col min="6132" max="6132" width="15" style="1" customWidth="1"/>
    <col min="6133" max="6133" width="13.42578125" style="1" customWidth="1"/>
    <col min="6134" max="6134" width="11.42578125" style="1"/>
    <col min="6135" max="6135" width="6.85546875" style="1" customWidth="1"/>
    <col min="6136" max="6136" width="0" style="1" hidden="1" customWidth="1"/>
    <col min="6137" max="6137" width="15" style="1" customWidth="1"/>
    <col min="6138" max="6138" width="13.7109375" style="1" customWidth="1"/>
    <col min="6139" max="6139" width="17.140625" style="1" customWidth="1"/>
    <col min="6140" max="6140" width="14.5703125" style="1" customWidth="1"/>
    <col min="6141" max="6141" width="16" style="1" customWidth="1"/>
    <col min="6142" max="6143" width="13.28515625" style="1" customWidth="1"/>
    <col min="6144" max="6152" width="0" style="1" hidden="1" customWidth="1"/>
    <col min="6153" max="6153" width="14.42578125" style="1" bestFit="1" customWidth="1"/>
    <col min="6154" max="6385" width="11.42578125" style="1"/>
    <col min="6386" max="6386" width="1.7109375" style="1" customWidth="1"/>
    <col min="6387" max="6387" width="13.85546875" style="1" customWidth="1"/>
    <col min="6388" max="6388" width="15" style="1" customWidth="1"/>
    <col min="6389" max="6389" width="13.42578125" style="1" customWidth="1"/>
    <col min="6390" max="6390" width="11.42578125" style="1"/>
    <col min="6391" max="6391" width="6.85546875" style="1" customWidth="1"/>
    <col min="6392" max="6392" width="0" style="1" hidden="1" customWidth="1"/>
    <col min="6393" max="6393" width="15" style="1" customWidth="1"/>
    <col min="6394" max="6394" width="13.7109375" style="1" customWidth="1"/>
    <col min="6395" max="6395" width="17.140625" style="1" customWidth="1"/>
    <col min="6396" max="6396" width="14.5703125" style="1" customWidth="1"/>
    <col min="6397" max="6397" width="16" style="1" customWidth="1"/>
    <col min="6398" max="6399" width="13.28515625" style="1" customWidth="1"/>
    <col min="6400" max="6408" width="0" style="1" hidden="1" customWidth="1"/>
    <col min="6409" max="6409" width="14.42578125" style="1" bestFit="1" customWidth="1"/>
    <col min="6410" max="6641" width="11.42578125" style="1"/>
    <col min="6642" max="6642" width="1.7109375" style="1" customWidth="1"/>
    <col min="6643" max="6643" width="13.85546875" style="1" customWidth="1"/>
    <col min="6644" max="6644" width="15" style="1" customWidth="1"/>
    <col min="6645" max="6645" width="13.42578125" style="1" customWidth="1"/>
    <col min="6646" max="6646" width="11.42578125" style="1"/>
    <col min="6647" max="6647" width="6.85546875" style="1" customWidth="1"/>
    <col min="6648" max="6648" width="0" style="1" hidden="1" customWidth="1"/>
    <col min="6649" max="6649" width="15" style="1" customWidth="1"/>
    <col min="6650" max="6650" width="13.7109375" style="1" customWidth="1"/>
    <col min="6651" max="6651" width="17.140625" style="1" customWidth="1"/>
    <col min="6652" max="6652" width="14.5703125" style="1" customWidth="1"/>
    <col min="6653" max="6653" width="16" style="1" customWidth="1"/>
    <col min="6654" max="6655" width="13.28515625" style="1" customWidth="1"/>
    <col min="6656" max="6664" width="0" style="1" hidden="1" customWidth="1"/>
    <col min="6665" max="6665" width="14.42578125" style="1" bestFit="1" customWidth="1"/>
    <col min="6666" max="6897" width="11.42578125" style="1"/>
    <col min="6898" max="6898" width="1.7109375" style="1" customWidth="1"/>
    <col min="6899" max="6899" width="13.85546875" style="1" customWidth="1"/>
    <col min="6900" max="6900" width="15" style="1" customWidth="1"/>
    <col min="6901" max="6901" width="13.42578125" style="1" customWidth="1"/>
    <col min="6902" max="6902" width="11.42578125" style="1"/>
    <col min="6903" max="6903" width="6.85546875" style="1" customWidth="1"/>
    <col min="6904" max="6904" width="0" style="1" hidden="1" customWidth="1"/>
    <col min="6905" max="6905" width="15" style="1" customWidth="1"/>
    <col min="6906" max="6906" width="13.7109375" style="1" customWidth="1"/>
    <col min="6907" max="6907" width="17.140625" style="1" customWidth="1"/>
    <col min="6908" max="6908" width="14.5703125" style="1" customWidth="1"/>
    <col min="6909" max="6909" width="16" style="1" customWidth="1"/>
    <col min="6910" max="6911" width="13.28515625" style="1" customWidth="1"/>
    <col min="6912" max="6920" width="0" style="1" hidden="1" customWidth="1"/>
    <col min="6921" max="6921" width="14.42578125" style="1" bestFit="1" customWidth="1"/>
    <col min="6922" max="7153" width="11.42578125" style="1"/>
    <col min="7154" max="7154" width="1.7109375" style="1" customWidth="1"/>
    <col min="7155" max="7155" width="13.85546875" style="1" customWidth="1"/>
    <col min="7156" max="7156" width="15" style="1" customWidth="1"/>
    <col min="7157" max="7157" width="13.42578125" style="1" customWidth="1"/>
    <col min="7158" max="7158" width="11.42578125" style="1"/>
    <col min="7159" max="7159" width="6.85546875" style="1" customWidth="1"/>
    <col min="7160" max="7160" width="0" style="1" hidden="1" customWidth="1"/>
    <col min="7161" max="7161" width="15" style="1" customWidth="1"/>
    <col min="7162" max="7162" width="13.7109375" style="1" customWidth="1"/>
    <col min="7163" max="7163" width="17.140625" style="1" customWidth="1"/>
    <col min="7164" max="7164" width="14.5703125" style="1" customWidth="1"/>
    <col min="7165" max="7165" width="16" style="1" customWidth="1"/>
    <col min="7166" max="7167" width="13.28515625" style="1" customWidth="1"/>
    <col min="7168" max="7176" width="0" style="1" hidden="1" customWidth="1"/>
    <col min="7177" max="7177" width="14.42578125" style="1" bestFit="1" customWidth="1"/>
    <col min="7178" max="7409" width="11.42578125" style="1"/>
    <col min="7410" max="7410" width="1.7109375" style="1" customWidth="1"/>
    <col min="7411" max="7411" width="13.85546875" style="1" customWidth="1"/>
    <col min="7412" max="7412" width="15" style="1" customWidth="1"/>
    <col min="7413" max="7413" width="13.42578125" style="1" customWidth="1"/>
    <col min="7414" max="7414" width="11.42578125" style="1"/>
    <col min="7415" max="7415" width="6.85546875" style="1" customWidth="1"/>
    <col min="7416" max="7416" width="0" style="1" hidden="1" customWidth="1"/>
    <col min="7417" max="7417" width="15" style="1" customWidth="1"/>
    <col min="7418" max="7418" width="13.7109375" style="1" customWidth="1"/>
    <col min="7419" max="7419" width="17.140625" style="1" customWidth="1"/>
    <col min="7420" max="7420" width="14.5703125" style="1" customWidth="1"/>
    <col min="7421" max="7421" width="16" style="1" customWidth="1"/>
    <col min="7422" max="7423" width="13.28515625" style="1" customWidth="1"/>
    <col min="7424" max="7432" width="0" style="1" hidden="1" customWidth="1"/>
    <col min="7433" max="7433" width="14.42578125" style="1" bestFit="1" customWidth="1"/>
    <col min="7434" max="7665" width="11.42578125" style="1"/>
    <col min="7666" max="7666" width="1.7109375" style="1" customWidth="1"/>
    <col min="7667" max="7667" width="13.85546875" style="1" customWidth="1"/>
    <col min="7668" max="7668" width="15" style="1" customWidth="1"/>
    <col min="7669" max="7669" width="13.42578125" style="1" customWidth="1"/>
    <col min="7670" max="7670" width="11.42578125" style="1"/>
    <col min="7671" max="7671" width="6.85546875" style="1" customWidth="1"/>
    <col min="7672" max="7672" width="0" style="1" hidden="1" customWidth="1"/>
    <col min="7673" max="7673" width="15" style="1" customWidth="1"/>
    <col min="7674" max="7674" width="13.7109375" style="1" customWidth="1"/>
    <col min="7675" max="7675" width="17.140625" style="1" customWidth="1"/>
    <col min="7676" max="7676" width="14.5703125" style="1" customWidth="1"/>
    <col min="7677" max="7677" width="16" style="1" customWidth="1"/>
    <col min="7678" max="7679" width="13.28515625" style="1" customWidth="1"/>
    <col min="7680" max="7688" width="0" style="1" hidden="1" customWidth="1"/>
    <col min="7689" max="7689" width="14.42578125" style="1" bestFit="1" customWidth="1"/>
    <col min="7690" max="7921" width="11.42578125" style="1"/>
    <col min="7922" max="7922" width="1.7109375" style="1" customWidth="1"/>
    <col min="7923" max="7923" width="13.85546875" style="1" customWidth="1"/>
    <col min="7924" max="7924" width="15" style="1" customWidth="1"/>
    <col min="7925" max="7925" width="13.42578125" style="1" customWidth="1"/>
    <col min="7926" max="7926" width="11.42578125" style="1"/>
    <col min="7927" max="7927" width="6.85546875" style="1" customWidth="1"/>
    <col min="7928" max="7928" width="0" style="1" hidden="1" customWidth="1"/>
    <col min="7929" max="7929" width="15" style="1" customWidth="1"/>
    <col min="7930" max="7930" width="13.7109375" style="1" customWidth="1"/>
    <col min="7931" max="7931" width="17.140625" style="1" customWidth="1"/>
    <col min="7932" max="7932" width="14.5703125" style="1" customWidth="1"/>
    <col min="7933" max="7933" width="16" style="1" customWidth="1"/>
    <col min="7934" max="7935" width="13.28515625" style="1" customWidth="1"/>
    <col min="7936" max="7944" width="0" style="1" hidden="1" customWidth="1"/>
    <col min="7945" max="7945" width="14.42578125" style="1" bestFit="1" customWidth="1"/>
    <col min="7946" max="8177" width="11.42578125" style="1"/>
    <col min="8178" max="8178" width="1.7109375" style="1" customWidth="1"/>
    <col min="8179" max="8179" width="13.85546875" style="1" customWidth="1"/>
    <col min="8180" max="8180" width="15" style="1" customWidth="1"/>
    <col min="8181" max="8181" width="13.42578125" style="1" customWidth="1"/>
    <col min="8182" max="8182" width="11.42578125" style="1"/>
    <col min="8183" max="8183" width="6.85546875" style="1" customWidth="1"/>
    <col min="8184" max="8184" width="0" style="1" hidden="1" customWidth="1"/>
    <col min="8185" max="8185" width="15" style="1" customWidth="1"/>
    <col min="8186" max="8186" width="13.7109375" style="1" customWidth="1"/>
    <col min="8187" max="8187" width="17.140625" style="1" customWidth="1"/>
    <col min="8188" max="8188" width="14.5703125" style="1" customWidth="1"/>
    <col min="8189" max="8189" width="16" style="1" customWidth="1"/>
    <col min="8190" max="8191" width="13.28515625" style="1" customWidth="1"/>
    <col min="8192" max="8200" width="0" style="1" hidden="1" customWidth="1"/>
    <col min="8201" max="8201" width="14.42578125" style="1" bestFit="1" customWidth="1"/>
    <col min="8202" max="8433" width="11.42578125" style="1"/>
    <col min="8434" max="8434" width="1.7109375" style="1" customWidth="1"/>
    <col min="8435" max="8435" width="13.85546875" style="1" customWidth="1"/>
    <col min="8436" max="8436" width="15" style="1" customWidth="1"/>
    <col min="8437" max="8437" width="13.42578125" style="1" customWidth="1"/>
    <col min="8438" max="8438" width="11.42578125" style="1"/>
    <col min="8439" max="8439" width="6.85546875" style="1" customWidth="1"/>
    <col min="8440" max="8440" width="0" style="1" hidden="1" customWidth="1"/>
    <col min="8441" max="8441" width="15" style="1" customWidth="1"/>
    <col min="8442" max="8442" width="13.7109375" style="1" customWidth="1"/>
    <col min="8443" max="8443" width="17.140625" style="1" customWidth="1"/>
    <col min="8444" max="8444" width="14.5703125" style="1" customWidth="1"/>
    <col min="8445" max="8445" width="16" style="1" customWidth="1"/>
    <col min="8446" max="8447" width="13.28515625" style="1" customWidth="1"/>
    <col min="8448" max="8456" width="0" style="1" hidden="1" customWidth="1"/>
    <col min="8457" max="8457" width="14.42578125" style="1" bestFit="1" customWidth="1"/>
    <col min="8458" max="8689" width="11.42578125" style="1"/>
    <col min="8690" max="8690" width="1.7109375" style="1" customWidth="1"/>
    <col min="8691" max="8691" width="13.85546875" style="1" customWidth="1"/>
    <col min="8692" max="8692" width="15" style="1" customWidth="1"/>
    <col min="8693" max="8693" width="13.42578125" style="1" customWidth="1"/>
    <col min="8694" max="8694" width="11.42578125" style="1"/>
    <col min="8695" max="8695" width="6.85546875" style="1" customWidth="1"/>
    <col min="8696" max="8696" width="0" style="1" hidden="1" customWidth="1"/>
    <col min="8697" max="8697" width="15" style="1" customWidth="1"/>
    <col min="8698" max="8698" width="13.7109375" style="1" customWidth="1"/>
    <col min="8699" max="8699" width="17.140625" style="1" customWidth="1"/>
    <col min="8700" max="8700" width="14.5703125" style="1" customWidth="1"/>
    <col min="8701" max="8701" width="16" style="1" customWidth="1"/>
    <col min="8702" max="8703" width="13.28515625" style="1" customWidth="1"/>
    <col min="8704" max="8712" width="0" style="1" hidden="1" customWidth="1"/>
    <col min="8713" max="8713" width="14.42578125" style="1" bestFit="1" customWidth="1"/>
    <col min="8714" max="8945" width="11.42578125" style="1"/>
    <col min="8946" max="8946" width="1.7109375" style="1" customWidth="1"/>
    <col min="8947" max="8947" width="13.85546875" style="1" customWidth="1"/>
    <col min="8948" max="8948" width="15" style="1" customWidth="1"/>
    <col min="8949" max="8949" width="13.42578125" style="1" customWidth="1"/>
    <col min="8950" max="8950" width="11.42578125" style="1"/>
    <col min="8951" max="8951" width="6.85546875" style="1" customWidth="1"/>
    <col min="8952" max="8952" width="0" style="1" hidden="1" customWidth="1"/>
    <col min="8953" max="8953" width="15" style="1" customWidth="1"/>
    <col min="8954" max="8954" width="13.7109375" style="1" customWidth="1"/>
    <col min="8955" max="8955" width="17.140625" style="1" customWidth="1"/>
    <col min="8956" max="8956" width="14.5703125" style="1" customWidth="1"/>
    <col min="8957" max="8957" width="16" style="1" customWidth="1"/>
    <col min="8958" max="8959" width="13.28515625" style="1" customWidth="1"/>
    <col min="8960" max="8968" width="0" style="1" hidden="1" customWidth="1"/>
    <col min="8969" max="8969" width="14.42578125" style="1" bestFit="1" customWidth="1"/>
    <col min="8970" max="9201" width="11.42578125" style="1"/>
    <col min="9202" max="9202" width="1.7109375" style="1" customWidth="1"/>
    <col min="9203" max="9203" width="13.85546875" style="1" customWidth="1"/>
    <col min="9204" max="9204" width="15" style="1" customWidth="1"/>
    <col min="9205" max="9205" width="13.42578125" style="1" customWidth="1"/>
    <col min="9206" max="9206" width="11.42578125" style="1"/>
    <col min="9207" max="9207" width="6.85546875" style="1" customWidth="1"/>
    <col min="9208" max="9208" width="0" style="1" hidden="1" customWidth="1"/>
    <col min="9209" max="9209" width="15" style="1" customWidth="1"/>
    <col min="9210" max="9210" width="13.7109375" style="1" customWidth="1"/>
    <col min="9211" max="9211" width="17.140625" style="1" customWidth="1"/>
    <col min="9212" max="9212" width="14.5703125" style="1" customWidth="1"/>
    <col min="9213" max="9213" width="16" style="1" customWidth="1"/>
    <col min="9214" max="9215" width="13.28515625" style="1" customWidth="1"/>
    <col min="9216" max="9224" width="0" style="1" hidden="1" customWidth="1"/>
    <col min="9225" max="9225" width="14.42578125" style="1" bestFit="1" customWidth="1"/>
    <col min="9226" max="9457" width="11.42578125" style="1"/>
    <col min="9458" max="9458" width="1.7109375" style="1" customWidth="1"/>
    <col min="9459" max="9459" width="13.85546875" style="1" customWidth="1"/>
    <col min="9460" max="9460" width="15" style="1" customWidth="1"/>
    <col min="9461" max="9461" width="13.42578125" style="1" customWidth="1"/>
    <col min="9462" max="9462" width="11.42578125" style="1"/>
    <col min="9463" max="9463" width="6.85546875" style="1" customWidth="1"/>
    <col min="9464" max="9464" width="0" style="1" hidden="1" customWidth="1"/>
    <col min="9465" max="9465" width="15" style="1" customWidth="1"/>
    <col min="9466" max="9466" width="13.7109375" style="1" customWidth="1"/>
    <col min="9467" max="9467" width="17.140625" style="1" customWidth="1"/>
    <col min="9468" max="9468" width="14.5703125" style="1" customWidth="1"/>
    <col min="9469" max="9469" width="16" style="1" customWidth="1"/>
    <col min="9470" max="9471" width="13.28515625" style="1" customWidth="1"/>
    <col min="9472" max="9480" width="0" style="1" hidden="1" customWidth="1"/>
    <col min="9481" max="9481" width="14.42578125" style="1" bestFit="1" customWidth="1"/>
    <col min="9482" max="9713" width="11.42578125" style="1"/>
    <col min="9714" max="9714" width="1.7109375" style="1" customWidth="1"/>
    <col min="9715" max="9715" width="13.85546875" style="1" customWidth="1"/>
    <col min="9716" max="9716" width="15" style="1" customWidth="1"/>
    <col min="9717" max="9717" width="13.42578125" style="1" customWidth="1"/>
    <col min="9718" max="9718" width="11.42578125" style="1"/>
    <col min="9719" max="9719" width="6.85546875" style="1" customWidth="1"/>
    <col min="9720" max="9720" width="0" style="1" hidden="1" customWidth="1"/>
    <col min="9721" max="9721" width="15" style="1" customWidth="1"/>
    <col min="9722" max="9722" width="13.7109375" style="1" customWidth="1"/>
    <col min="9723" max="9723" width="17.140625" style="1" customWidth="1"/>
    <col min="9724" max="9724" width="14.5703125" style="1" customWidth="1"/>
    <col min="9725" max="9725" width="16" style="1" customWidth="1"/>
    <col min="9726" max="9727" width="13.28515625" style="1" customWidth="1"/>
    <col min="9728" max="9736" width="0" style="1" hidden="1" customWidth="1"/>
    <col min="9737" max="9737" width="14.42578125" style="1" bestFit="1" customWidth="1"/>
    <col min="9738" max="9969" width="11.42578125" style="1"/>
    <col min="9970" max="9970" width="1.7109375" style="1" customWidth="1"/>
    <col min="9971" max="9971" width="13.85546875" style="1" customWidth="1"/>
    <col min="9972" max="9972" width="15" style="1" customWidth="1"/>
    <col min="9973" max="9973" width="13.42578125" style="1" customWidth="1"/>
    <col min="9974" max="9974" width="11.42578125" style="1"/>
    <col min="9975" max="9975" width="6.85546875" style="1" customWidth="1"/>
    <col min="9976" max="9976" width="0" style="1" hidden="1" customWidth="1"/>
    <col min="9977" max="9977" width="15" style="1" customWidth="1"/>
    <col min="9978" max="9978" width="13.7109375" style="1" customWidth="1"/>
    <col min="9979" max="9979" width="17.140625" style="1" customWidth="1"/>
    <col min="9980" max="9980" width="14.5703125" style="1" customWidth="1"/>
    <col min="9981" max="9981" width="16" style="1" customWidth="1"/>
    <col min="9982" max="9983" width="13.28515625" style="1" customWidth="1"/>
    <col min="9984" max="9992" width="0" style="1" hidden="1" customWidth="1"/>
    <col min="9993" max="9993" width="14.42578125" style="1" bestFit="1" customWidth="1"/>
    <col min="9994" max="10225" width="11.42578125" style="1"/>
    <col min="10226" max="10226" width="1.7109375" style="1" customWidth="1"/>
    <col min="10227" max="10227" width="13.85546875" style="1" customWidth="1"/>
    <col min="10228" max="10228" width="15" style="1" customWidth="1"/>
    <col min="10229" max="10229" width="13.42578125" style="1" customWidth="1"/>
    <col min="10230" max="10230" width="11.42578125" style="1"/>
    <col min="10231" max="10231" width="6.85546875" style="1" customWidth="1"/>
    <col min="10232" max="10232" width="0" style="1" hidden="1" customWidth="1"/>
    <col min="10233" max="10233" width="15" style="1" customWidth="1"/>
    <col min="10234" max="10234" width="13.7109375" style="1" customWidth="1"/>
    <col min="10235" max="10235" width="17.140625" style="1" customWidth="1"/>
    <col min="10236" max="10236" width="14.5703125" style="1" customWidth="1"/>
    <col min="10237" max="10237" width="16" style="1" customWidth="1"/>
    <col min="10238" max="10239" width="13.28515625" style="1" customWidth="1"/>
    <col min="10240" max="10248" width="0" style="1" hidden="1" customWidth="1"/>
    <col min="10249" max="10249" width="14.42578125" style="1" bestFit="1" customWidth="1"/>
    <col min="10250" max="10481" width="11.42578125" style="1"/>
    <col min="10482" max="10482" width="1.7109375" style="1" customWidth="1"/>
    <col min="10483" max="10483" width="13.85546875" style="1" customWidth="1"/>
    <col min="10484" max="10484" width="15" style="1" customWidth="1"/>
    <col min="10485" max="10485" width="13.42578125" style="1" customWidth="1"/>
    <col min="10486" max="10486" width="11.42578125" style="1"/>
    <col min="10487" max="10487" width="6.85546875" style="1" customWidth="1"/>
    <col min="10488" max="10488" width="0" style="1" hidden="1" customWidth="1"/>
    <col min="10489" max="10489" width="15" style="1" customWidth="1"/>
    <col min="10490" max="10490" width="13.7109375" style="1" customWidth="1"/>
    <col min="10491" max="10491" width="17.140625" style="1" customWidth="1"/>
    <col min="10492" max="10492" width="14.5703125" style="1" customWidth="1"/>
    <col min="10493" max="10493" width="16" style="1" customWidth="1"/>
    <col min="10494" max="10495" width="13.28515625" style="1" customWidth="1"/>
    <col min="10496" max="10504" width="0" style="1" hidden="1" customWidth="1"/>
    <col min="10505" max="10505" width="14.42578125" style="1" bestFit="1" customWidth="1"/>
    <col min="10506" max="10737" width="11.42578125" style="1"/>
    <col min="10738" max="10738" width="1.7109375" style="1" customWidth="1"/>
    <col min="10739" max="10739" width="13.85546875" style="1" customWidth="1"/>
    <col min="10740" max="10740" width="15" style="1" customWidth="1"/>
    <col min="10741" max="10741" width="13.42578125" style="1" customWidth="1"/>
    <col min="10742" max="10742" width="11.42578125" style="1"/>
    <col min="10743" max="10743" width="6.85546875" style="1" customWidth="1"/>
    <col min="10744" max="10744" width="0" style="1" hidden="1" customWidth="1"/>
    <col min="10745" max="10745" width="15" style="1" customWidth="1"/>
    <col min="10746" max="10746" width="13.7109375" style="1" customWidth="1"/>
    <col min="10747" max="10747" width="17.140625" style="1" customWidth="1"/>
    <col min="10748" max="10748" width="14.5703125" style="1" customWidth="1"/>
    <col min="10749" max="10749" width="16" style="1" customWidth="1"/>
    <col min="10750" max="10751" width="13.28515625" style="1" customWidth="1"/>
    <col min="10752" max="10760" width="0" style="1" hidden="1" customWidth="1"/>
    <col min="10761" max="10761" width="14.42578125" style="1" bestFit="1" customWidth="1"/>
    <col min="10762" max="10993" width="11.42578125" style="1"/>
    <col min="10994" max="10994" width="1.7109375" style="1" customWidth="1"/>
    <col min="10995" max="10995" width="13.85546875" style="1" customWidth="1"/>
    <col min="10996" max="10996" width="15" style="1" customWidth="1"/>
    <col min="10997" max="10997" width="13.42578125" style="1" customWidth="1"/>
    <col min="10998" max="10998" width="11.42578125" style="1"/>
    <col min="10999" max="10999" width="6.85546875" style="1" customWidth="1"/>
    <col min="11000" max="11000" width="0" style="1" hidden="1" customWidth="1"/>
    <col min="11001" max="11001" width="15" style="1" customWidth="1"/>
    <col min="11002" max="11002" width="13.7109375" style="1" customWidth="1"/>
    <col min="11003" max="11003" width="17.140625" style="1" customWidth="1"/>
    <col min="11004" max="11004" width="14.5703125" style="1" customWidth="1"/>
    <col min="11005" max="11005" width="16" style="1" customWidth="1"/>
    <col min="11006" max="11007" width="13.28515625" style="1" customWidth="1"/>
    <col min="11008" max="11016" width="0" style="1" hidden="1" customWidth="1"/>
    <col min="11017" max="11017" width="14.42578125" style="1" bestFit="1" customWidth="1"/>
    <col min="11018" max="11249" width="11.42578125" style="1"/>
    <col min="11250" max="11250" width="1.7109375" style="1" customWidth="1"/>
    <col min="11251" max="11251" width="13.85546875" style="1" customWidth="1"/>
    <col min="11252" max="11252" width="15" style="1" customWidth="1"/>
    <col min="11253" max="11253" width="13.42578125" style="1" customWidth="1"/>
    <col min="11254" max="11254" width="11.42578125" style="1"/>
    <col min="11255" max="11255" width="6.85546875" style="1" customWidth="1"/>
    <col min="11256" max="11256" width="0" style="1" hidden="1" customWidth="1"/>
    <col min="11257" max="11257" width="15" style="1" customWidth="1"/>
    <col min="11258" max="11258" width="13.7109375" style="1" customWidth="1"/>
    <col min="11259" max="11259" width="17.140625" style="1" customWidth="1"/>
    <col min="11260" max="11260" width="14.5703125" style="1" customWidth="1"/>
    <col min="11261" max="11261" width="16" style="1" customWidth="1"/>
    <col min="11262" max="11263" width="13.28515625" style="1" customWidth="1"/>
    <col min="11264" max="11272" width="0" style="1" hidden="1" customWidth="1"/>
    <col min="11273" max="11273" width="14.42578125" style="1" bestFit="1" customWidth="1"/>
    <col min="11274" max="11505" width="11.42578125" style="1"/>
    <col min="11506" max="11506" width="1.7109375" style="1" customWidth="1"/>
    <col min="11507" max="11507" width="13.85546875" style="1" customWidth="1"/>
    <col min="11508" max="11508" width="15" style="1" customWidth="1"/>
    <col min="11509" max="11509" width="13.42578125" style="1" customWidth="1"/>
    <col min="11510" max="11510" width="11.42578125" style="1"/>
    <col min="11511" max="11511" width="6.85546875" style="1" customWidth="1"/>
    <col min="11512" max="11512" width="0" style="1" hidden="1" customWidth="1"/>
    <col min="11513" max="11513" width="15" style="1" customWidth="1"/>
    <col min="11514" max="11514" width="13.7109375" style="1" customWidth="1"/>
    <col min="11515" max="11515" width="17.140625" style="1" customWidth="1"/>
    <col min="11516" max="11516" width="14.5703125" style="1" customWidth="1"/>
    <col min="11517" max="11517" width="16" style="1" customWidth="1"/>
    <col min="11518" max="11519" width="13.28515625" style="1" customWidth="1"/>
    <col min="11520" max="11528" width="0" style="1" hidden="1" customWidth="1"/>
    <col min="11529" max="11529" width="14.42578125" style="1" bestFit="1" customWidth="1"/>
    <col min="11530" max="11761" width="11.42578125" style="1"/>
    <col min="11762" max="11762" width="1.7109375" style="1" customWidth="1"/>
    <col min="11763" max="11763" width="13.85546875" style="1" customWidth="1"/>
    <col min="11764" max="11764" width="15" style="1" customWidth="1"/>
    <col min="11765" max="11765" width="13.42578125" style="1" customWidth="1"/>
    <col min="11766" max="11766" width="11.42578125" style="1"/>
    <col min="11767" max="11767" width="6.85546875" style="1" customWidth="1"/>
    <col min="11768" max="11768" width="0" style="1" hidden="1" customWidth="1"/>
    <col min="11769" max="11769" width="15" style="1" customWidth="1"/>
    <col min="11770" max="11770" width="13.7109375" style="1" customWidth="1"/>
    <col min="11771" max="11771" width="17.140625" style="1" customWidth="1"/>
    <col min="11772" max="11772" width="14.5703125" style="1" customWidth="1"/>
    <col min="11773" max="11773" width="16" style="1" customWidth="1"/>
    <col min="11774" max="11775" width="13.28515625" style="1" customWidth="1"/>
    <col min="11776" max="11784" width="0" style="1" hidden="1" customWidth="1"/>
    <col min="11785" max="11785" width="14.42578125" style="1" bestFit="1" customWidth="1"/>
    <col min="11786" max="12017" width="11.42578125" style="1"/>
    <col min="12018" max="12018" width="1.7109375" style="1" customWidth="1"/>
    <col min="12019" max="12019" width="13.85546875" style="1" customWidth="1"/>
    <col min="12020" max="12020" width="15" style="1" customWidth="1"/>
    <col min="12021" max="12021" width="13.42578125" style="1" customWidth="1"/>
    <col min="12022" max="12022" width="11.42578125" style="1"/>
    <col min="12023" max="12023" width="6.85546875" style="1" customWidth="1"/>
    <col min="12024" max="12024" width="0" style="1" hidden="1" customWidth="1"/>
    <col min="12025" max="12025" width="15" style="1" customWidth="1"/>
    <col min="12026" max="12026" width="13.7109375" style="1" customWidth="1"/>
    <col min="12027" max="12027" width="17.140625" style="1" customWidth="1"/>
    <col min="12028" max="12028" width="14.5703125" style="1" customWidth="1"/>
    <col min="12029" max="12029" width="16" style="1" customWidth="1"/>
    <col min="12030" max="12031" width="13.28515625" style="1" customWidth="1"/>
    <col min="12032" max="12040" width="0" style="1" hidden="1" customWidth="1"/>
    <col min="12041" max="12041" width="14.42578125" style="1" bestFit="1" customWidth="1"/>
    <col min="12042" max="12273" width="11.42578125" style="1"/>
    <col min="12274" max="12274" width="1.7109375" style="1" customWidth="1"/>
    <col min="12275" max="12275" width="13.85546875" style="1" customWidth="1"/>
    <col min="12276" max="12276" width="15" style="1" customWidth="1"/>
    <col min="12277" max="12277" width="13.42578125" style="1" customWidth="1"/>
    <col min="12278" max="12278" width="11.42578125" style="1"/>
    <col min="12279" max="12279" width="6.85546875" style="1" customWidth="1"/>
    <col min="12280" max="12280" width="0" style="1" hidden="1" customWidth="1"/>
    <col min="12281" max="12281" width="15" style="1" customWidth="1"/>
    <col min="12282" max="12282" width="13.7109375" style="1" customWidth="1"/>
    <col min="12283" max="12283" width="17.140625" style="1" customWidth="1"/>
    <col min="12284" max="12284" width="14.5703125" style="1" customWidth="1"/>
    <col min="12285" max="12285" width="16" style="1" customWidth="1"/>
    <col min="12286" max="12287" width="13.28515625" style="1" customWidth="1"/>
    <col min="12288" max="12296" width="0" style="1" hidden="1" customWidth="1"/>
    <col min="12297" max="12297" width="14.42578125" style="1" bestFit="1" customWidth="1"/>
    <col min="12298" max="12529" width="11.42578125" style="1"/>
    <col min="12530" max="12530" width="1.7109375" style="1" customWidth="1"/>
    <col min="12531" max="12531" width="13.85546875" style="1" customWidth="1"/>
    <col min="12532" max="12532" width="15" style="1" customWidth="1"/>
    <col min="12533" max="12533" width="13.42578125" style="1" customWidth="1"/>
    <col min="12534" max="12534" width="11.42578125" style="1"/>
    <col min="12535" max="12535" width="6.85546875" style="1" customWidth="1"/>
    <col min="12536" max="12536" width="0" style="1" hidden="1" customWidth="1"/>
    <col min="12537" max="12537" width="15" style="1" customWidth="1"/>
    <col min="12538" max="12538" width="13.7109375" style="1" customWidth="1"/>
    <col min="12539" max="12539" width="17.140625" style="1" customWidth="1"/>
    <col min="12540" max="12540" width="14.5703125" style="1" customWidth="1"/>
    <col min="12541" max="12541" width="16" style="1" customWidth="1"/>
    <col min="12542" max="12543" width="13.28515625" style="1" customWidth="1"/>
    <col min="12544" max="12552" width="0" style="1" hidden="1" customWidth="1"/>
    <col min="12553" max="12553" width="14.42578125" style="1" bestFit="1" customWidth="1"/>
    <col min="12554" max="12785" width="11.42578125" style="1"/>
    <col min="12786" max="12786" width="1.7109375" style="1" customWidth="1"/>
    <col min="12787" max="12787" width="13.85546875" style="1" customWidth="1"/>
    <col min="12788" max="12788" width="15" style="1" customWidth="1"/>
    <col min="12789" max="12789" width="13.42578125" style="1" customWidth="1"/>
    <col min="12790" max="12790" width="11.42578125" style="1"/>
    <col min="12791" max="12791" width="6.85546875" style="1" customWidth="1"/>
    <col min="12792" max="12792" width="0" style="1" hidden="1" customWidth="1"/>
    <col min="12793" max="12793" width="15" style="1" customWidth="1"/>
    <col min="12794" max="12794" width="13.7109375" style="1" customWidth="1"/>
    <col min="12795" max="12795" width="17.140625" style="1" customWidth="1"/>
    <col min="12796" max="12796" width="14.5703125" style="1" customWidth="1"/>
    <col min="12797" max="12797" width="16" style="1" customWidth="1"/>
    <col min="12798" max="12799" width="13.28515625" style="1" customWidth="1"/>
    <col min="12800" max="12808" width="0" style="1" hidden="1" customWidth="1"/>
    <col min="12809" max="12809" width="14.42578125" style="1" bestFit="1" customWidth="1"/>
    <col min="12810" max="13041" width="11.42578125" style="1"/>
    <col min="13042" max="13042" width="1.7109375" style="1" customWidth="1"/>
    <col min="13043" max="13043" width="13.85546875" style="1" customWidth="1"/>
    <col min="13044" max="13044" width="15" style="1" customWidth="1"/>
    <col min="13045" max="13045" width="13.42578125" style="1" customWidth="1"/>
    <col min="13046" max="13046" width="11.42578125" style="1"/>
    <col min="13047" max="13047" width="6.85546875" style="1" customWidth="1"/>
    <col min="13048" max="13048" width="0" style="1" hidden="1" customWidth="1"/>
    <col min="13049" max="13049" width="15" style="1" customWidth="1"/>
    <col min="13050" max="13050" width="13.7109375" style="1" customWidth="1"/>
    <col min="13051" max="13051" width="17.140625" style="1" customWidth="1"/>
    <col min="13052" max="13052" width="14.5703125" style="1" customWidth="1"/>
    <col min="13053" max="13053" width="16" style="1" customWidth="1"/>
    <col min="13054" max="13055" width="13.28515625" style="1" customWidth="1"/>
    <col min="13056" max="13064" width="0" style="1" hidden="1" customWidth="1"/>
    <col min="13065" max="13065" width="14.42578125" style="1" bestFit="1" customWidth="1"/>
    <col min="13066" max="13297" width="11.42578125" style="1"/>
    <col min="13298" max="13298" width="1.7109375" style="1" customWidth="1"/>
    <col min="13299" max="13299" width="13.85546875" style="1" customWidth="1"/>
    <col min="13300" max="13300" width="15" style="1" customWidth="1"/>
    <col min="13301" max="13301" width="13.42578125" style="1" customWidth="1"/>
    <col min="13302" max="13302" width="11.42578125" style="1"/>
    <col min="13303" max="13303" width="6.85546875" style="1" customWidth="1"/>
    <col min="13304" max="13304" width="0" style="1" hidden="1" customWidth="1"/>
    <col min="13305" max="13305" width="15" style="1" customWidth="1"/>
    <col min="13306" max="13306" width="13.7109375" style="1" customWidth="1"/>
    <col min="13307" max="13307" width="17.140625" style="1" customWidth="1"/>
    <col min="13308" max="13308" width="14.5703125" style="1" customWidth="1"/>
    <col min="13309" max="13309" width="16" style="1" customWidth="1"/>
    <col min="13310" max="13311" width="13.28515625" style="1" customWidth="1"/>
    <col min="13312" max="13320" width="0" style="1" hidden="1" customWidth="1"/>
    <col min="13321" max="13321" width="14.42578125" style="1" bestFit="1" customWidth="1"/>
    <col min="13322" max="13553" width="11.42578125" style="1"/>
    <col min="13554" max="13554" width="1.7109375" style="1" customWidth="1"/>
    <col min="13555" max="13555" width="13.85546875" style="1" customWidth="1"/>
    <col min="13556" max="13556" width="15" style="1" customWidth="1"/>
    <col min="13557" max="13557" width="13.42578125" style="1" customWidth="1"/>
    <col min="13558" max="13558" width="11.42578125" style="1"/>
    <col min="13559" max="13559" width="6.85546875" style="1" customWidth="1"/>
    <col min="13560" max="13560" width="0" style="1" hidden="1" customWidth="1"/>
    <col min="13561" max="13561" width="15" style="1" customWidth="1"/>
    <col min="13562" max="13562" width="13.7109375" style="1" customWidth="1"/>
    <col min="13563" max="13563" width="17.140625" style="1" customWidth="1"/>
    <col min="13564" max="13564" width="14.5703125" style="1" customWidth="1"/>
    <col min="13565" max="13565" width="16" style="1" customWidth="1"/>
    <col min="13566" max="13567" width="13.28515625" style="1" customWidth="1"/>
    <col min="13568" max="13576" width="0" style="1" hidden="1" customWidth="1"/>
    <col min="13577" max="13577" width="14.42578125" style="1" bestFit="1" customWidth="1"/>
    <col min="13578" max="13809" width="11.42578125" style="1"/>
    <col min="13810" max="13810" width="1.7109375" style="1" customWidth="1"/>
    <col min="13811" max="13811" width="13.85546875" style="1" customWidth="1"/>
    <col min="13812" max="13812" width="15" style="1" customWidth="1"/>
    <col min="13813" max="13813" width="13.42578125" style="1" customWidth="1"/>
    <col min="13814" max="13814" width="11.42578125" style="1"/>
    <col min="13815" max="13815" width="6.85546875" style="1" customWidth="1"/>
    <col min="13816" max="13816" width="0" style="1" hidden="1" customWidth="1"/>
    <col min="13817" max="13817" width="15" style="1" customWidth="1"/>
    <col min="13818" max="13818" width="13.7109375" style="1" customWidth="1"/>
    <col min="13819" max="13819" width="17.140625" style="1" customWidth="1"/>
    <col min="13820" max="13820" width="14.5703125" style="1" customWidth="1"/>
    <col min="13821" max="13821" width="16" style="1" customWidth="1"/>
    <col min="13822" max="13823" width="13.28515625" style="1" customWidth="1"/>
    <col min="13824" max="13832" width="0" style="1" hidden="1" customWidth="1"/>
    <col min="13833" max="13833" width="14.42578125" style="1" bestFit="1" customWidth="1"/>
    <col min="13834" max="14065" width="11.42578125" style="1"/>
    <col min="14066" max="14066" width="1.7109375" style="1" customWidth="1"/>
    <col min="14067" max="14067" width="13.85546875" style="1" customWidth="1"/>
    <col min="14068" max="14068" width="15" style="1" customWidth="1"/>
    <col min="14069" max="14069" width="13.42578125" style="1" customWidth="1"/>
    <col min="14070" max="14070" width="11.42578125" style="1"/>
    <col min="14071" max="14071" width="6.85546875" style="1" customWidth="1"/>
    <col min="14072" max="14072" width="0" style="1" hidden="1" customWidth="1"/>
    <col min="14073" max="14073" width="15" style="1" customWidth="1"/>
    <col min="14074" max="14074" width="13.7109375" style="1" customWidth="1"/>
    <col min="14075" max="14075" width="17.140625" style="1" customWidth="1"/>
    <col min="14076" max="14076" width="14.5703125" style="1" customWidth="1"/>
    <col min="14077" max="14077" width="16" style="1" customWidth="1"/>
    <col min="14078" max="14079" width="13.28515625" style="1" customWidth="1"/>
    <col min="14080" max="14088" width="0" style="1" hidden="1" customWidth="1"/>
    <col min="14089" max="14089" width="14.42578125" style="1" bestFit="1" customWidth="1"/>
    <col min="14090" max="14321" width="11.42578125" style="1"/>
    <col min="14322" max="14322" width="1.7109375" style="1" customWidth="1"/>
    <col min="14323" max="14323" width="13.85546875" style="1" customWidth="1"/>
    <col min="14324" max="14324" width="15" style="1" customWidth="1"/>
    <col min="14325" max="14325" width="13.42578125" style="1" customWidth="1"/>
    <col min="14326" max="14326" width="11.42578125" style="1"/>
    <col min="14327" max="14327" width="6.85546875" style="1" customWidth="1"/>
    <col min="14328" max="14328" width="0" style="1" hidden="1" customWidth="1"/>
    <col min="14329" max="14329" width="15" style="1" customWidth="1"/>
    <col min="14330" max="14330" width="13.7109375" style="1" customWidth="1"/>
    <col min="14331" max="14331" width="17.140625" style="1" customWidth="1"/>
    <col min="14332" max="14332" width="14.5703125" style="1" customWidth="1"/>
    <col min="14333" max="14333" width="16" style="1" customWidth="1"/>
    <col min="14334" max="14335" width="13.28515625" style="1" customWidth="1"/>
    <col min="14336" max="14344" width="0" style="1" hidden="1" customWidth="1"/>
    <col min="14345" max="14345" width="14.42578125" style="1" bestFit="1" customWidth="1"/>
    <col min="14346" max="14577" width="11.42578125" style="1"/>
    <col min="14578" max="14578" width="1.7109375" style="1" customWidth="1"/>
    <col min="14579" max="14579" width="13.85546875" style="1" customWidth="1"/>
    <col min="14580" max="14580" width="15" style="1" customWidth="1"/>
    <col min="14581" max="14581" width="13.42578125" style="1" customWidth="1"/>
    <col min="14582" max="14582" width="11.42578125" style="1"/>
    <col min="14583" max="14583" width="6.85546875" style="1" customWidth="1"/>
    <col min="14584" max="14584" width="0" style="1" hidden="1" customWidth="1"/>
    <col min="14585" max="14585" width="15" style="1" customWidth="1"/>
    <col min="14586" max="14586" width="13.7109375" style="1" customWidth="1"/>
    <col min="14587" max="14587" width="17.140625" style="1" customWidth="1"/>
    <col min="14588" max="14588" width="14.5703125" style="1" customWidth="1"/>
    <col min="14589" max="14589" width="16" style="1" customWidth="1"/>
    <col min="14590" max="14591" width="13.28515625" style="1" customWidth="1"/>
    <col min="14592" max="14600" width="0" style="1" hidden="1" customWidth="1"/>
    <col min="14601" max="14601" width="14.42578125" style="1" bestFit="1" customWidth="1"/>
    <col min="14602" max="14833" width="11.42578125" style="1"/>
    <col min="14834" max="14834" width="1.7109375" style="1" customWidth="1"/>
    <col min="14835" max="14835" width="13.85546875" style="1" customWidth="1"/>
    <col min="14836" max="14836" width="15" style="1" customWidth="1"/>
    <col min="14837" max="14837" width="13.42578125" style="1" customWidth="1"/>
    <col min="14838" max="14838" width="11.42578125" style="1"/>
    <col min="14839" max="14839" width="6.85546875" style="1" customWidth="1"/>
    <col min="14840" max="14840" width="0" style="1" hidden="1" customWidth="1"/>
    <col min="14841" max="14841" width="15" style="1" customWidth="1"/>
    <col min="14842" max="14842" width="13.7109375" style="1" customWidth="1"/>
    <col min="14843" max="14843" width="17.140625" style="1" customWidth="1"/>
    <col min="14844" max="14844" width="14.5703125" style="1" customWidth="1"/>
    <col min="14845" max="14845" width="16" style="1" customWidth="1"/>
    <col min="14846" max="14847" width="13.28515625" style="1" customWidth="1"/>
    <col min="14848" max="14856" width="0" style="1" hidden="1" customWidth="1"/>
    <col min="14857" max="14857" width="14.42578125" style="1" bestFit="1" customWidth="1"/>
    <col min="14858" max="15089" width="11.42578125" style="1"/>
    <col min="15090" max="15090" width="1.7109375" style="1" customWidth="1"/>
    <col min="15091" max="15091" width="13.85546875" style="1" customWidth="1"/>
    <col min="15092" max="15092" width="15" style="1" customWidth="1"/>
    <col min="15093" max="15093" width="13.42578125" style="1" customWidth="1"/>
    <col min="15094" max="15094" width="11.42578125" style="1"/>
    <col min="15095" max="15095" width="6.85546875" style="1" customWidth="1"/>
    <col min="15096" max="15096" width="0" style="1" hidden="1" customWidth="1"/>
    <col min="15097" max="15097" width="15" style="1" customWidth="1"/>
    <col min="15098" max="15098" width="13.7109375" style="1" customWidth="1"/>
    <col min="15099" max="15099" width="17.140625" style="1" customWidth="1"/>
    <col min="15100" max="15100" width="14.5703125" style="1" customWidth="1"/>
    <col min="15101" max="15101" width="16" style="1" customWidth="1"/>
    <col min="15102" max="15103" width="13.28515625" style="1" customWidth="1"/>
    <col min="15104" max="15112" width="0" style="1" hidden="1" customWidth="1"/>
    <col min="15113" max="15113" width="14.42578125" style="1" bestFit="1" customWidth="1"/>
    <col min="15114" max="15345" width="11.42578125" style="1"/>
    <col min="15346" max="15346" width="1.7109375" style="1" customWidth="1"/>
    <col min="15347" max="15347" width="13.85546875" style="1" customWidth="1"/>
    <col min="15348" max="15348" width="15" style="1" customWidth="1"/>
    <col min="15349" max="15349" width="13.42578125" style="1" customWidth="1"/>
    <col min="15350" max="15350" width="11.42578125" style="1"/>
    <col min="15351" max="15351" width="6.85546875" style="1" customWidth="1"/>
    <col min="15352" max="15352" width="0" style="1" hidden="1" customWidth="1"/>
    <col min="15353" max="15353" width="15" style="1" customWidth="1"/>
    <col min="15354" max="15354" width="13.7109375" style="1" customWidth="1"/>
    <col min="15355" max="15355" width="17.140625" style="1" customWidth="1"/>
    <col min="15356" max="15356" width="14.5703125" style="1" customWidth="1"/>
    <col min="15357" max="15357" width="16" style="1" customWidth="1"/>
    <col min="15358" max="15359" width="13.28515625" style="1" customWidth="1"/>
    <col min="15360" max="15368" width="0" style="1" hidden="1" customWidth="1"/>
    <col min="15369" max="15369" width="14.42578125" style="1" bestFit="1" customWidth="1"/>
    <col min="15370" max="15601" width="11.42578125" style="1"/>
    <col min="15602" max="15602" width="1.7109375" style="1" customWidth="1"/>
    <col min="15603" max="15603" width="13.85546875" style="1" customWidth="1"/>
    <col min="15604" max="15604" width="15" style="1" customWidth="1"/>
    <col min="15605" max="15605" width="13.42578125" style="1" customWidth="1"/>
    <col min="15606" max="15606" width="11.42578125" style="1"/>
    <col min="15607" max="15607" width="6.85546875" style="1" customWidth="1"/>
    <col min="15608" max="15608" width="0" style="1" hidden="1" customWidth="1"/>
    <col min="15609" max="15609" width="15" style="1" customWidth="1"/>
    <col min="15610" max="15610" width="13.7109375" style="1" customWidth="1"/>
    <col min="15611" max="15611" width="17.140625" style="1" customWidth="1"/>
    <col min="15612" max="15612" width="14.5703125" style="1" customWidth="1"/>
    <col min="15613" max="15613" width="16" style="1" customWidth="1"/>
    <col min="15614" max="15615" width="13.28515625" style="1" customWidth="1"/>
    <col min="15616" max="15624" width="0" style="1" hidden="1" customWidth="1"/>
    <col min="15625" max="15625" width="14.42578125" style="1" bestFit="1" customWidth="1"/>
    <col min="15626" max="15857" width="11.42578125" style="1"/>
    <col min="15858" max="15858" width="1.7109375" style="1" customWidth="1"/>
    <col min="15859" max="15859" width="13.85546875" style="1" customWidth="1"/>
    <col min="15860" max="15860" width="15" style="1" customWidth="1"/>
    <col min="15861" max="15861" width="13.42578125" style="1" customWidth="1"/>
    <col min="15862" max="15862" width="11.42578125" style="1"/>
    <col min="15863" max="15863" width="6.85546875" style="1" customWidth="1"/>
    <col min="15864" max="15864" width="0" style="1" hidden="1" customWidth="1"/>
    <col min="15865" max="15865" width="15" style="1" customWidth="1"/>
    <col min="15866" max="15866" width="13.7109375" style="1" customWidth="1"/>
    <col min="15867" max="15867" width="17.140625" style="1" customWidth="1"/>
    <col min="15868" max="15868" width="14.5703125" style="1" customWidth="1"/>
    <col min="15869" max="15869" width="16" style="1" customWidth="1"/>
    <col min="15870" max="15871" width="13.28515625" style="1" customWidth="1"/>
    <col min="15872" max="15880" width="0" style="1" hidden="1" customWidth="1"/>
    <col min="15881" max="15881" width="14.42578125" style="1" bestFit="1" customWidth="1"/>
    <col min="15882" max="16113" width="11.42578125" style="1"/>
    <col min="16114" max="16114" width="1.7109375" style="1" customWidth="1"/>
    <col min="16115" max="16115" width="13.85546875" style="1" customWidth="1"/>
    <col min="16116" max="16116" width="15" style="1" customWidth="1"/>
    <col min="16117" max="16117" width="13.42578125" style="1" customWidth="1"/>
    <col min="16118" max="16118" width="11.42578125" style="1"/>
    <col min="16119" max="16119" width="6.85546875" style="1" customWidth="1"/>
    <col min="16120" max="16120" width="0" style="1" hidden="1" customWidth="1"/>
    <col min="16121" max="16121" width="15" style="1" customWidth="1"/>
    <col min="16122" max="16122" width="13.7109375" style="1" customWidth="1"/>
    <col min="16123" max="16123" width="17.140625" style="1" customWidth="1"/>
    <col min="16124" max="16124" width="14.5703125" style="1" customWidth="1"/>
    <col min="16125" max="16125" width="16" style="1" customWidth="1"/>
    <col min="16126" max="16127" width="13.28515625" style="1" customWidth="1"/>
    <col min="16128" max="16136" width="0" style="1" hidden="1" customWidth="1"/>
    <col min="16137" max="16137" width="14.42578125" style="1" bestFit="1" customWidth="1"/>
    <col min="16138" max="16384" width="11.42578125" style="1"/>
  </cols>
  <sheetData>
    <row r="2" spans="2:32" ht="20.25" x14ac:dyDescent="0.3">
      <c r="B2" s="89" t="s">
        <v>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</row>
    <row r="3" spans="2:32" ht="13.5" thickBot="1" x14ac:dyDescent="0.25">
      <c r="V3" s="266"/>
      <c r="W3" s="266"/>
      <c r="X3" s="266"/>
      <c r="Y3" s="266"/>
      <c r="Z3" s="266"/>
      <c r="AA3" s="266"/>
      <c r="AB3" s="266"/>
      <c r="AC3" s="266"/>
      <c r="AD3" s="266"/>
      <c r="AE3" s="266"/>
      <c r="AF3" s="266"/>
    </row>
    <row r="4" spans="2:32" x14ac:dyDescent="0.2">
      <c r="B4" s="4" t="s">
        <v>3</v>
      </c>
      <c r="C4" s="5"/>
      <c r="D4" s="5"/>
      <c r="E4" s="5"/>
      <c r="F4" s="6"/>
      <c r="G4" s="6"/>
      <c r="H4" s="6"/>
      <c r="I4" s="6"/>
      <c r="J4" s="6"/>
      <c r="K4" s="6"/>
      <c r="L4" s="6"/>
      <c r="M4" s="6"/>
      <c r="N4" s="7"/>
      <c r="V4" s="266"/>
      <c r="W4" s="266"/>
      <c r="X4" s="266"/>
      <c r="Y4" s="266"/>
      <c r="Z4" s="266"/>
      <c r="AA4" s="266"/>
      <c r="AB4" s="266"/>
      <c r="AC4" s="266"/>
      <c r="AD4" s="266"/>
      <c r="AE4" s="266"/>
      <c r="AF4" s="266"/>
    </row>
    <row r="5" spans="2:32" ht="15" x14ac:dyDescent="0.25">
      <c r="B5" s="8"/>
      <c r="C5" s="9" t="s">
        <v>4</v>
      </c>
      <c r="D5" s="9" t="s">
        <v>5</v>
      </c>
      <c r="E5" s="9"/>
      <c r="I5" s="10"/>
      <c r="J5" s="11"/>
      <c r="M5" s="12"/>
      <c r="N5" s="13"/>
      <c r="V5" s="266"/>
      <c r="W5" s="266"/>
      <c r="X5" s="266"/>
      <c r="Y5" s="266"/>
      <c r="Z5" s="266"/>
      <c r="AA5" s="266"/>
      <c r="AB5" s="266"/>
      <c r="AC5" s="266"/>
      <c r="AD5" s="266"/>
      <c r="AE5" s="266"/>
      <c r="AF5" s="266"/>
    </row>
    <row r="6" spans="2:32" x14ac:dyDescent="0.2">
      <c r="B6" s="8"/>
      <c r="C6" s="9" t="s">
        <v>6</v>
      </c>
      <c r="D6" s="9" t="s">
        <v>7</v>
      </c>
      <c r="E6" s="9"/>
      <c r="M6" s="12"/>
      <c r="N6" s="15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</row>
    <row r="7" spans="2:32" x14ac:dyDescent="0.2">
      <c r="B7" s="8"/>
      <c r="C7" s="9"/>
      <c r="D7" s="9"/>
      <c r="E7" s="9"/>
      <c r="M7" s="16"/>
      <c r="N7" s="15"/>
      <c r="V7" s="266"/>
      <c r="W7" s="266"/>
      <c r="X7" s="266"/>
      <c r="Y7" s="266"/>
      <c r="Z7" s="266"/>
      <c r="AA7" s="266"/>
      <c r="AB7" s="266"/>
      <c r="AC7" s="266"/>
      <c r="AD7" s="266"/>
      <c r="AE7" s="266"/>
      <c r="AF7" s="266"/>
    </row>
    <row r="8" spans="2:32" x14ac:dyDescent="0.2">
      <c r="B8" s="17"/>
      <c r="M8" s="18" t="s">
        <v>8</v>
      </c>
      <c r="N8" s="14"/>
      <c r="V8" s="266"/>
      <c r="W8" s="266"/>
      <c r="X8" s="266"/>
      <c r="Y8" s="266"/>
      <c r="Z8" s="266"/>
      <c r="AA8" s="266"/>
      <c r="AB8" s="266"/>
      <c r="AC8" s="266"/>
      <c r="AD8" s="266"/>
      <c r="AE8" s="266"/>
      <c r="AF8" s="266"/>
    </row>
    <row r="9" spans="2:32" ht="13.5" thickBot="1" x14ac:dyDescent="0.25">
      <c r="B9" s="19" t="s">
        <v>9</v>
      </c>
      <c r="C9" s="20" t="s">
        <v>10</v>
      </c>
      <c r="D9" s="21"/>
      <c r="E9" s="18" t="s">
        <v>11</v>
      </c>
      <c r="F9" s="20" t="s">
        <v>12</v>
      </c>
      <c r="G9" s="21"/>
      <c r="I9" s="90" t="s">
        <v>1</v>
      </c>
      <c r="J9" s="18" t="s">
        <v>10</v>
      </c>
      <c r="K9" s="22"/>
      <c r="L9" s="18" t="s">
        <v>13</v>
      </c>
      <c r="M9" s="23" t="s">
        <v>14</v>
      </c>
      <c r="N9" s="24"/>
      <c r="V9" s="266"/>
      <c r="W9" s="266"/>
      <c r="X9" s="266"/>
      <c r="Y9" s="266"/>
      <c r="Z9" s="266"/>
      <c r="AA9" s="266"/>
      <c r="AB9" s="266"/>
      <c r="AC9" s="266"/>
      <c r="AD9" s="266"/>
      <c r="AE9" s="266"/>
      <c r="AF9" s="266"/>
    </row>
    <row r="10" spans="2:32" ht="30" customHeight="1" thickBot="1" x14ac:dyDescent="0.25">
      <c r="B10" s="25" t="s">
        <v>15</v>
      </c>
      <c r="C10" s="25" t="s">
        <v>16</v>
      </c>
      <c r="D10" s="25" t="s">
        <v>17</v>
      </c>
      <c r="E10" s="25" t="s">
        <v>18</v>
      </c>
      <c r="F10" s="25"/>
      <c r="G10" s="26"/>
      <c r="H10" s="25" t="s">
        <v>1</v>
      </c>
      <c r="I10" s="27" t="s">
        <v>19</v>
      </c>
      <c r="J10" s="28" t="s">
        <v>20</v>
      </c>
      <c r="K10" s="27" t="s">
        <v>18</v>
      </c>
      <c r="L10" s="29" t="s">
        <v>21</v>
      </c>
      <c r="M10" s="30" t="s">
        <v>22</v>
      </c>
      <c r="N10" s="30" t="s">
        <v>0</v>
      </c>
      <c r="V10" s="266"/>
      <c r="W10" s="266"/>
      <c r="X10" s="266"/>
      <c r="Y10" s="266"/>
      <c r="Z10" s="266"/>
      <c r="AA10" s="266"/>
      <c r="AB10" s="266"/>
      <c r="AC10" s="266"/>
      <c r="AD10" s="266"/>
      <c r="AE10" s="266"/>
      <c r="AF10" s="266"/>
    </row>
    <row r="11" spans="2:32" x14ac:dyDescent="0.2">
      <c r="B11" s="31">
        <v>1</v>
      </c>
      <c r="C11" s="32">
        <v>320000</v>
      </c>
      <c r="D11" s="31">
        <v>1217.3900000000001</v>
      </c>
      <c r="E11" s="33">
        <v>0</v>
      </c>
      <c r="F11" s="34">
        <v>0</v>
      </c>
      <c r="H11" s="35">
        <v>219000</v>
      </c>
      <c r="I11" s="36">
        <v>1</v>
      </c>
      <c r="J11" s="37">
        <f t="shared" ref="J11:J18" si="0">H11-I11</f>
        <v>218999</v>
      </c>
      <c r="K11" s="38">
        <f>J11*E11</f>
        <v>0</v>
      </c>
      <c r="L11" s="39">
        <f>D11</f>
        <v>1217.3900000000001</v>
      </c>
      <c r="M11" s="40">
        <f>L11*0.16</f>
        <v>194.78240000000002</v>
      </c>
      <c r="N11" s="41">
        <f>L11+M11</f>
        <v>1412.1724000000002</v>
      </c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</row>
    <row r="12" spans="2:32" x14ac:dyDescent="0.2">
      <c r="B12" s="43">
        <v>320001</v>
      </c>
      <c r="C12" s="43">
        <v>500000</v>
      </c>
      <c r="D12" s="44">
        <v>1218</v>
      </c>
      <c r="E12" s="62"/>
      <c r="F12" s="45">
        <v>0</v>
      </c>
      <c r="H12" s="46">
        <f>$M$20</f>
        <v>0</v>
      </c>
      <c r="I12" s="47">
        <f>1</f>
        <v>1</v>
      </c>
      <c r="J12" s="48">
        <f t="shared" si="0"/>
        <v>-1</v>
      </c>
      <c r="K12" s="38">
        <v>0</v>
      </c>
      <c r="L12" s="39">
        <f>D12</f>
        <v>1218</v>
      </c>
      <c r="M12" s="40">
        <f>L12*0.16</f>
        <v>194.88</v>
      </c>
      <c r="N12" s="41">
        <f>(L12+M12)</f>
        <v>1412.88</v>
      </c>
      <c r="V12" s="266"/>
      <c r="W12" s="266"/>
      <c r="X12" s="266"/>
      <c r="Y12" s="266"/>
      <c r="Z12" s="266"/>
      <c r="AA12" s="266"/>
      <c r="AB12" s="266"/>
      <c r="AC12" s="266"/>
      <c r="AD12" s="266"/>
      <c r="AE12" s="266"/>
      <c r="AF12" s="266"/>
    </row>
    <row r="13" spans="2:32" x14ac:dyDescent="0.2">
      <c r="B13" s="43">
        <v>500001</v>
      </c>
      <c r="C13" s="43">
        <v>1000000</v>
      </c>
      <c r="D13" s="43">
        <v>1250</v>
      </c>
      <c r="E13" s="62">
        <v>2.3800000000000002E-3</v>
      </c>
      <c r="F13" s="45">
        <v>2.38</v>
      </c>
      <c r="H13" s="46">
        <f t="shared" ref="H13:H18" si="1">$M$20</f>
        <v>0</v>
      </c>
      <c r="I13" s="47">
        <f t="shared" ref="I13:I18" si="2">B13</f>
        <v>500001</v>
      </c>
      <c r="J13" s="48">
        <f t="shared" si="0"/>
        <v>-500001</v>
      </c>
      <c r="K13" s="49">
        <f t="shared" ref="K13:K18" si="3">J13*E13</f>
        <v>-1190.0023800000001</v>
      </c>
      <c r="L13" s="39">
        <f t="shared" ref="L13:L18" si="4">(K13+D13)*0.9</f>
        <v>53.997857999999887</v>
      </c>
      <c r="M13" s="40">
        <f t="shared" ref="M13:M18" si="5">L13*0.16</f>
        <v>8.639657279999982</v>
      </c>
      <c r="N13" s="41">
        <f t="shared" ref="N13:N18" si="6">L13+M13</f>
        <v>62.637515279999867</v>
      </c>
      <c r="V13" s="266"/>
      <c r="W13" s="266"/>
      <c r="X13" s="266"/>
      <c r="Y13" s="266"/>
      <c r="Z13" s="266"/>
      <c r="AA13" s="266"/>
      <c r="AB13" s="266"/>
      <c r="AC13" s="266"/>
      <c r="AD13" s="266"/>
      <c r="AE13" s="266"/>
      <c r="AF13" s="266"/>
    </row>
    <row r="14" spans="2:32" x14ac:dyDescent="0.2">
      <c r="B14" s="59">
        <v>1000001</v>
      </c>
      <c r="C14" s="59">
        <v>2000000</v>
      </c>
      <c r="D14" s="43">
        <v>2440</v>
      </c>
      <c r="E14" s="62">
        <v>2.1800000000000001E-3</v>
      </c>
      <c r="F14" s="45">
        <v>2.1800000000000002</v>
      </c>
      <c r="H14" s="46">
        <f t="shared" si="1"/>
        <v>0</v>
      </c>
      <c r="I14" s="47">
        <f t="shared" si="2"/>
        <v>1000001</v>
      </c>
      <c r="J14" s="48">
        <f t="shared" si="0"/>
        <v>-1000001</v>
      </c>
      <c r="K14" s="38">
        <f t="shared" si="3"/>
        <v>-2180.00218</v>
      </c>
      <c r="L14" s="39">
        <f t="shared" si="4"/>
        <v>233.99803800000004</v>
      </c>
      <c r="M14" s="40">
        <f t="shared" si="5"/>
        <v>37.439686080000008</v>
      </c>
      <c r="N14" s="50">
        <f t="shared" si="6"/>
        <v>271.43772408000007</v>
      </c>
      <c r="V14" s="266"/>
      <c r="W14" s="266"/>
      <c r="X14" s="266"/>
      <c r="Y14" s="266"/>
      <c r="Z14" s="266"/>
      <c r="AA14" s="266"/>
      <c r="AB14" s="266"/>
      <c r="AC14" s="266"/>
      <c r="AD14" s="266"/>
      <c r="AE14" s="266"/>
      <c r="AF14" s="266"/>
    </row>
    <row r="15" spans="2:32" x14ac:dyDescent="0.2">
      <c r="B15" s="43">
        <v>2000001</v>
      </c>
      <c r="C15" s="43">
        <v>4000000</v>
      </c>
      <c r="D15" s="43">
        <v>4620</v>
      </c>
      <c r="E15" s="62">
        <v>1.89E-3</v>
      </c>
      <c r="F15" s="45">
        <v>1.89</v>
      </c>
      <c r="H15" s="46">
        <f t="shared" si="1"/>
        <v>0</v>
      </c>
      <c r="I15" s="47">
        <f t="shared" si="2"/>
        <v>2000001</v>
      </c>
      <c r="J15" s="48">
        <f t="shared" si="0"/>
        <v>-2000001</v>
      </c>
      <c r="K15" s="38">
        <f t="shared" si="3"/>
        <v>-3780.00189</v>
      </c>
      <c r="L15" s="39">
        <f t="shared" si="4"/>
        <v>755.99829899999997</v>
      </c>
      <c r="M15" s="40">
        <f>L15*0.16</f>
        <v>120.95972784</v>
      </c>
      <c r="N15" s="50">
        <f t="shared" si="6"/>
        <v>876.95802684</v>
      </c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</row>
    <row r="16" spans="2:32" x14ac:dyDescent="0.2">
      <c r="B16" s="43">
        <v>4000001</v>
      </c>
      <c r="C16" s="43">
        <v>8000000</v>
      </c>
      <c r="D16" s="43">
        <v>8400</v>
      </c>
      <c r="E16" s="62">
        <v>1.58E-3</v>
      </c>
      <c r="F16" s="45">
        <v>1.58</v>
      </c>
      <c r="H16" s="46">
        <f t="shared" si="1"/>
        <v>0</v>
      </c>
      <c r="I16" s="47">
        <f t="shared" si="2"/>
        <v>4000001</v>
      </c>
      <c r="J16" s="48">
        <f t="shared" si="0"/>
        <v>-4000001</v>
      </c>
      <c r="K16" s="38">
        <f t="shared" si="3"/>
        <v>-6320.0015800000001</v>
      </c>
      <c r="L16" s="39">
        <f t="shared" si="4"/>
        <v>1871.998578</v>
      </c>
      <c r="M16" s="40">
        <f t="shared" si="5"/>
        <v>299.51977247999997</v>
      </c>
      <c r="N16" s="50">
        <f t="shared" si="6"/>
        <v>2171.5183504799998</v>
      </c>
      <c r="V16" s="266"/>
      <c r="W16" s="266"/>
      <c r="X16" s="266"/>
      <c r="Y16" s="266"/>
      <c r="Z16" s="266"/>
      <c r="AA16" s="266"/>
      <c r="AB16" s="266"/>
      <c r="AC16" s="266"/>
      <c r="AD16" s="266"/>
      <c r="AE16" s="266"/>
      <c r="AF16" s="266"/>
    </row>
    <row r="17" spans="2:32" x14ac:dyDescent="0.2">
      <c r="B17" s="43">
        <v>8000001</v>
      </c>
      <c r="C17" s="43">
        <v>16000000</v>
      </c>
      <c r="D17" s="43">
        <v>14720</v>
      </c>
      <c r="E17" s="62">
        <v>1.2800000000000001E-3</v>
      </c>
      <c r="F17" s="45">
        <v>1.28</v>
      </c>
      <c r="H17" s="46">
        <f t="shared" si="1"/>
        <v>0</v>
      </c>
      <c r="I17" s="47">
        <f t="shared" si="2"/>
        <v>8000001</v>
      </c>
      <c r="J17" s="48">
        <f t="shared" si="0"/>
        <v>-8000001</v>
      </c>
      <c r="K17" s="38">
        <f t="shared" si="3"/>
        <v>-10240.00128</v>
      </c>
      <c r="L17" s="39">
        <f t="shared" si="4"/>
        <v>4031.9988479999997</v>
      </c>
      <c r="M17" s="40">
        <f t="shared" si="5"/>
        <v>645.11981567999999</v>
      </c>
      <c r="N17" s="41">
        <f t="shared" si="6"/>
        <v>4677.1186636799994</v>
      </c>
      <c r="V17" s="266"/>
      <c r="W17" s="266"/>
      <c r="X17" s="266"/>
      <c r="Y17" s="266"/>
      <c r="Z17" s="266"/>
      <c r="AA17" s="266"/>
      <c r="AB17" s="266"/>
      <c r="AC17" s="266"/>
      <c r="AD17" s="266"/>
      <c r="AE17" s="266"/>
      <c r="AF17" s="266"/>
    </row>
    <row r="18" spans="2:32" ht="13.5" thickBot="1" x14ac:dyDescent="0.25">
      <c r="B18" s="51">
        <v>16000001</v>
      </c>
      <c r="C18" s="51">
        <v>900000000</v>
      </c>
      <c r="D18" s="51">
        <v>24960</v>
      </c>
      <c r="E18" s="63">
        <v>1.0200000000000001E-3</v>
      </c>
      <c r="F18" s="52">
        <v>1.02</v>
      </c>
      <c r="G18" s="26"/>
      <c r="H18" s="46">
        <f t="shared" si="1"/>
        <v>0</v>
      </c>
      <c r="I18" s="53">
        <f t="shared" si="2"/>
        <v>16000001</v>
      </c>
      <c r="J18" s="54">
        <f t="shared" si="0"/>
        <v>-16000001</v>
      </c>
      <c r="K18" s="55">
        <f t="shared" si="3"/>
        <v>-16320.001020000002</v>
      </c>
      <c r="L18" s="39">
        <f t="shared" si="4"/>
        <v>7775.9990819999985</v>
      </c>
      <c r="M18" s="40">
        <f t="shared" si="5"/>
        <v>1244.1598531199998</v>
      </c>
      <c r="N18" s="41">
        <f t="shared" si="6"/>
        <v>9020.1589351199982</v>
      </c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</row>
    <row r="19" spans="2:32" x14ac:dyDescent="0.2">
      <c r="K19" s="5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</row>
    <row r="20" spans="2:32" x14ac:dyDescent="0.2">
      <c r="B20" s="57" t="s">
        <v>23</v>
      </c>
      <c r="C20" s="57"/>
      <c r="D20" s="57"/>
      <c r="E20" s="57"/>
      <c r="F20" s="57"/>
      <c r="G20" s="57"/>
      <c r="H20" s="57"/>
      <c r="L20" s="1" t="s">
        <v>29</v>
      </c>
      <c r="M20" s="61">
        <f>+'Hipoteca Free'!H20</f>
        <v>0</v>
      </c>
      <c r="V20" s="266"/>
      <c r="W20" s="266"/>
      <c r="X20" s="266"/>
      <c r="Y20" s="266"/>
      <c r="Z20" s="266"/>
      <c r="AA20" s="266"/>
      <c r="AB20" s="266"/>
      <c r="AC20" s="266"/>
      <c r="AD20" s="266"/>
      <c r="AE20" s="266"/>
      <c r="AF20" s="266"/>
    </row>
    <row r="21" spans="2:32" x14ac:dyDescent="0.2">
      <c r="L21" s="1" t="s">
        <v>30</v>
      </c>
      <c r="M21" s="60" t="b">
        <f>IF(AND(M20&gt;=B12,M20&lt;=C12),N12,IF(AND(M20&gt;=B13,M20&lt;=C13),N13,IF(AND(M20&gt;=B14,M20&lt;=C14),N14,IF(AND(M20&gt;=B15,M20&lt;=C15),N15,IF(AND(M20&gt;=B16,M20&lt;=C16),N16,IF(AND(M20&gt;=B17,M20&lt;=C17),N17,IF(AND(M20&gt;=B18,M20&lt;=C18),N18)))))))</f>
        <v>0</v>
      </c>
      <c r="V21" s="266"/>
      <c r="W21" s="266"/>
      <c r="X21" s="266"/>
      <c r="Y21" s="266"/>
      <c r="Z21" s="266"/>
      <c r="AA21" s="266"/>
      <c r="AB21" s="266"/>
      <c r="AC21" s="266"/>
      <c r="AD21" s="266"/>
      <c r="AE21" s="266"/>
      <c r="AF21" s="266"/>
    </row>
    <row r="22" spans="2:32" x14ac:dyDescent="0.2">
      <c r="B22" s="1" t="s">
        <v>24</v>
      </c>
      <c r="M22" s="42"/>
      <c r="V22" s="266"/>
      <c r="W22" s="266"/>
      <c r="X22" s="266"/>
      <c r="Y22" s="266"/>
      <c r="Z22" s="266"/>
      <c r="AA22" s="266"/>
      <c r="AB22" s="266"/>
      <c r="AC22" s="266"/>
      <c r="AD22" s="266"/>
      <c r="AE22" s="266"/>
      <c r="AF22" s="266"/>
    </row>
    <row r="23" spans="2:32" x14ac:dyDescent="0.2">
      <c r="B23" s="1" t="s">
        <v>25</v>
      </c>
      <c r="M23" s="42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</row>
    <row r="24" spans="2:32" x14ac:dyDescent="0.2">
      <c r="B24" s="1" t="s">
        <v>26</v>
      </c>
      <c r="L24" s="1" t="s">
        <v>38</v>
      </c>
      <c r="M24" s="42" t="e">
        <f>VLOOKUP(M20,$B$10:$N$18,MATCH("Inferior",$B$10:$N$10,0),TRUE)</f>
        <v>#N/A</v>
      </c>
      <c r="V24" s="266"/>
      <c r="W24" s="266"/>
      <c r="X24" s="266"/>
      <c r="Y24" s="266"/>
      <c r="Z24" s="266"/>
      <c r="AA24" s="266"/>
      <c r="AB24" s="266"/>
      <c r="AC24" s="266"/>
      <c r="AD24" s="266"/>
      <c r="AE24" s="266"/>
      <c r="AF24" s="266"/>
    </row>
    <row r="25" spans="2:32" x14ac:dyDescent="0.2">
      <c r="B25" s="1" t="s">
        <v>27</v>
      </c>
      <c r="L25" s="1" t="s">
        <v>39</v>
      </c>
      <c r="M25" s="42" t="e">
        <f>M20-M24</f>
        <v>#N/A</v>
      </c>
      <c r="V25" s="266"/>
      <c r="W25" s="266"/>
      <c r="X25" s="266"/>
      <c r="Y25" s="266"/>
      <c r="Z25" s="266"/>
      <c r="AA25" s="266"/>
      <c r="AB25" s="266"/>
      <c r="AC25" s="266"/>
      <c r="AD25" s="266"/>
      <c r="AE25" s="266"/>
      <c r="AF25" s="266"/>
    </row>
    <row r="26" spans="2:32" x14ac:dyDescent="0.2">
      <c r="L26" s="1" t="s">
        <v>40</v>
      </c>
      <c r="M26" s="42" t="e">
        <f>VLOOKUP(M20,$B$10:$N$18,MATCH("marginal",$B$10:$N$10,0),TRUE)*M25</f>
        <v>#N/A</v>
      </c>
      <c r="V26" s="266"/>
      <c r="W26" s="266"/>
      <c r="X26" s="266"/>
      <c r="Y26" s="266"/>
      <c r="Z26" s="266"/>
      <c r="AA26" s="266"/>
      <c r="AB26" s="266"/>
      <c r="AC26" s="266"/>
      <c r="AD26" s="266"/>
      <c r="AE26" s="266"/>
      <c r="AF26" s="266"/>
    </row>
    <row r="27" spans="2:32" x14ac:dyDescent="0.2">
      <c r="L27" s="1" t="s">
        <v>41</v>
      </c>
      <c r="M27" s="42" t="e">
        <f>((VLOOKUP(M20,$B$10:$N$18,MATCH("Fija",$B$10:$N$10,0),TRUE)+M26)*0.9)*1.16</f>
        <v>#N/A</v>
      </c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</row>
    <row r="28" spans="2:32" x14ac:dyDescent="0.2">
      <c r="V28" s="266"/>
      <c r="W28" s="266"/>
      <c r="X28" s="266"/>
      <c r="Y28" s="266"/>
      <c r="Z28" s="266"/>
      <c r="AA28" s="266"/>
      <c r="AB28" s="266"/>
      <c r="AC28" s="266"/>
      <c r="AD28" s="266"/>
      <c r="AE28" s="266"/>
      <c r="AF28" s="266"/>
    </row>
    <row r="29" spans="2:32" x14ac:dyDescent="0.2">
      <c r="V29" s="266"/>
      <c r="W29" s="266"/>
      <c r="X29" s="266"/>
      <c r="Y29" s="266"/>
      <c r="Z29" s="266"/>
      <c r="AA29" s="266"/>
      <c r="AB29" s="266"/>
      <c r="AC29" s="266"/>
      <c r="AD29" s="266"/>
      <c r="AE29" s="266"/>
      <c r="AF29" s="266"/>
    </row>
    <row r="30" spans="2:32" x14ac:dyDescent="0.2">
      <c r="V30" s="266"/>
      <c r="W30" s="266"/>
      <c r="X30" s="266"/>
      <c r="Y30" s="266"/>
      <c r="Z30" s="266"/>
      <c r="AA30" s="266"/>
      <c r="AB30" s="266"/>
      <c r="AC30" s="266"/>
      <c r="AD30" s="266"/>
      <c r="AE30" s="266"/>
      <c r="AF30" s="266"/>
    </row>
    <row r="628" spans="29:29" ht="19.5" x14ac:dyDescent="0.3">
      <c r="AC628" s="58" t="s">
        <v>28</v>
      </c>
    </row>
  </sheetData>
  <conditionalFormatting sqref="N12:N18 M21">
    <cfRule type="duplicateValues" dxfId="6" priority="1"/>
  </conditionalFormatting>
  <printOptions horizontalCentered="1" verticalCentered="1"/>
  <pageMargins left="0.2" right="0.2" top="1" bottom="0.46" header="0.42" footer="0"/>
  <pageSetup scale="75" orientation="landscape" r:id="rId1"/>
  <headerFooter alignWithMargins="0">
    <oddHeader>&amp;C&amp;"Arial,Negrita"&amp;22Aranceles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728A2-C5F3-46E8-B9F9-9A73A02C5552}">
  <dimension ref="B1:N27"/>
  <sheetViews>
    <sheetView showGridLines="0" topLeftCell="A8" zoomScale="80" zoomScaleNormal="80" workbookViewId="0">
      <selection activeCell="H20" sqref="H20:J20"/>
    </sheetView>
  </sheetViews>
  <sheetFormatPr baseColWidth="10" defaultRowHeight="15" x14ac:dyDescent="0.25"/>
  <cols>
    <col min="3" max="3" width="12.140625" bestFit="1" customWidth="1"/>
    <col min="4" max="4" width="11.5703125" style="66" bestFit="1" customWidth="1"/>
    <col min="5" max="5" width="8.42578125" style="66" bestFit="1" customWidth="1"/>
    <col min="6" max="6" width="11.140625" style="66" customWidth="1"/>
    <col min="7" max="7" width="8.42578125" style="66" bestFit="1" customWidth="1"/>
    <col min="8" max="8" width="11.140625" style="66" customWidth="1"/>
    <col min="9" max="9" width="8.42578125" style="66" bestFit="1" customWidth="1"/>
    <col min="10" max="10" width="11.140625" customWidth="1"/>
  </cols>
  <sheetData>
    <row r="1" spans="2:11" x14ac:dyDescent="0.25">
      <c r="C1" s="67"/>
      <c r="E1" s="91">
        <v>2.75</v>
      </c>
      <c r="F1" s="69"/>
      <c r="G1" s="69">
        <v>2.75</v>
      </c>
      <c r="H1" s="69"/>
      <c r="I1" s="69">
        <v>2.75</v>
      </c>
    </row>
    <row r="2" spans="2:11" s="65" customFormat="1" ht="34.5" customHeight="1" x14ac:dyDescent="0.25">
      <c r="C2" s="73"/>
      <c r="D2" s="77" t="s">
        <v>32</v>
      </c>
      <c r="E2" s="396" t="s">
        <v>33</v>
      </c>
      <c r="F2" s="397"/>
      <c r="G2" s="396" t="s">
        <v>34</v>
      </c>
      <c r="H2" s="397"/>
      <c r="I2" s="396" t="s">
        <v>35</v>
      </c>
      <c r="J2" s="397"/>
    </row>
    <row r="3" spans="2:11" s="65" customFormat="1" ht="30" x14ac:dyDescent="0.25">
      <c r="C3" s="84" t="s">
        <v>31</v>
      </c>
      <c r="D3" s="85" t="s">
        <v>36</v>
      </c>
      <c r="E3" s="86" t="s">
        <v>36</v>
      </c>
      <c r="F3" s="87" t="s">
        <v>37</v>
      </c>
      <c r="G3" s="86" t="s">
        <v>36</v>
      </c>
      <c r="H3" s="87" t="s">
        <v>37</v>
      </c>
      <c r="I3" s="86" t="s">
        <v>36</v>
      </c>
      <c r="J3" s="87" t="s">
        <v>37</v>
      </c>
    </row>
    <row r="4" spans="2:11" x14ac:dyDescent="0.25">
      <c r="C4" s="81">
        <v>1000000</v>
      </c>
      <c r="D4" s="78">
        <f>IF(C4&lt;=500000,(((VLOOKUP(C4,'CALCULO Empleados'!$B$10:$N$18,MATCH("fija",'CALCULO Empleados'!$B$10:$N$10,0),TRUE)+VLOOKUP(C4,'CALCULO Empleados'!$B$10:$N$18,MATCH("marginal",'CALCULO Empleados'!$B$10:$N$10,0),TRUE)*(C4-VLOOKUP(C4,'CALCULO Empleados'!$B$10:$N$18,MATCH("Inferior",'CALCULO Empleados'!$B$10:$N$10,0),TRUE))))*1.16),(((VLOOKUP(C4,'CALCULO Empleados'!$B$10:$N$18,MATCH("fija",'CALCULO Empleados'!$B$10:$N$10,0),TRUE)+VLOOKUP(C4,'CALCULO Empleados'!$B$10:$N$18,MATCH("marginal",'CALCULO Empleados'!$B$10:$N$10,0),TRUE)*(C4-VLOOKUP(C4,'CALCULO Empleados'!$B$10:$N$18,MATCH("Inferior",'CALCULO Empleados'!$B$10:$N$10,0),TRUE)))*0.9)*1.16))</f>
        <v>2547.3575152799999</v>
      </c>
      <c r="E4" s="74">
        <f>IF((($C4*E$1)/1000)&lt;=1413,1413,(IF((($C4*E$1)/1000)&gt;18000,18000,(($C4*E$1)/1000))))</f>
        <v>2750</v>
      </c>
      <c r="F4" s="70">
        <f>E4-$D4</f>
        <v>202.64248472000008</v>
      </c>
      <c r="G4" s="74">
        <f>(IF((($C4*G$1)/1000)&lt;=1413,1413,(IF((($C4*G$1)/1000)&gt;18000,18000,(($C4*G$1)/1000)))))*0.9</f>
        <v>2475</v>
      </c>
      <c r="H4" s="70">
        <f t="shared" ref="H4:H21" si="0">G4-$D4</f>
        <v>-72.357515279999916</v>
      </c>
      <c r="I4" s="74">
        <f>(IF((($C4*I$1)/1000)&lt;=1413,1413,(IF((($C4*I$1)/1000)&gt;18000,18000,(($C4*I$1)/1000)))))*0.8</f>
        <v>2200</v>
      </c>
      <c r="J4" s="70">
        <f t="shared" ref="J4:J21" si="1">I4-$D4</f>
        <v>-347.35751527999992</v>
      </c>
      <c r="K4" s="64"/>
    </row>
    <row r="5" spans="2:11" x14ac:dyDescent="0.25">
      <c r="B5" s="68"/>
      <c r="C5" s="82">
        <f>C4+1000000</f>
        <v>2000000</v>
      </c>
      <c r="D5" s="79">
        <f>IF(C5&lt;=500000,(((VLOOKUP(C5,'CALCULO Empleados'!$B$10:$N$18,MATCH("fija",'CALCULO Empleados'!$B$10:$N$10,0),TRUE)+VLOOKUP(C5,'CALCULO Empleados'!$B$10:$N$18,MATCH("marginal",'CALCULO Empleados'!$B$10:$N$10,0),TRUE)*(C5-VLOOKUP(C5,'CALCULO Empleados'!$B$10:$N$18,MATCH("Inferior",'CALCULO Empleados'!$B$10:$N$10,0),TRUE))))*1.16),(((VLOOKUP(C5,'CALCULO Empleados'!$B$10:$N$18,MATCH("fija",'CALCULO Empleados'!$B$10:$N$10,0),TRUE)+VLOOKUP(C5,'CALCULO Empleados'!$B$10:$N$18,MATCH("marginal",'CALCULO Empleados'!$B$10:$N$10,0),TRUE)*(C5-VLOOKUP(C5,'CALCULO Empleados'!$B$10:$N$18,MATCH("Inferior",'CALCULO Empleados'!$B$10:$N$10,0),TRUE)))*0.9)*1.16))</f>
        <v>4823.2777240800006</v>
      </c>
      <c r="E5" s="75">
        <f t="shared" ref="E5:E21" si="2">IF((($C5*E$1)/1000)&lt;=1413,1413,(IF((($C5*E$1)/1000)&gt;18000,18000,(($C5*E$1)/1000))))</f>
        <v>5500</v>
      </c>
      <c r="F5" s="71">
        <f t="shared" ref="F5:F21" si="3">E5-$D5</f>
        <v>676.72227591999945</v>
      </c>
      <c r="G5" s="75">
        <f t="shared" ref="G5:G21" si="4">(IF((($C5*G$1)/1000)&lt;=1413,1413,(IF((($C5*G$1)/1000)&gt;18000,18000,(($C5*G$1)/1000)))))*0.9</f>
        <v>4950</v>
      </c>
      <c r="H5" s="71">
        <f t="shared" si="0"/>
        <v>126.72227591999945</v>
      </c>
      <c r="I5" s="75">
        <f t="shared" ref="I5:I21" si="5">(IF((($C5*I$1)/1000)&lt;=1413,1413,(IF((($C5*I$1)/1000)&gt;18000,18000,(($C5*I$1)/1000)))))*0.8</f>
        <v>4400</v>
      </c>
      <c r="J5" s="71">
        <f t="shared" si="1"/>
        <v>-423.27772408000055</v>
      </c>
      <c r="K5" s="64"/>
    </row>
    <row r="6" spans="2:11" x14ac:dyDescent="0.25">
      <c r="C6" s="82">
        <f t="shared" ref="C6:C13" si="6">C5+1000000</f>
        <v>3000000</v>
      </c>
      <c r="D6" s="79">
        <f>IF(C6&lt;=500000,(((VLOOKUP(C6,'CALCULO Empleados'!$B$10:$N$18,MATCH("fija",'CALCULO Empleados'!$B$10:$N$10,0),TRUE)+VLOOKUP(C6,'CALCULO Empleados'!$B$10:$N$18,MATCH("marginal",'CALCULO Empleados'!$B$10:$N$10,0),TRUE)*(C6-VLOOKUP(C6,'CALCULO Empleados'!$B$10:$N$18,MATCH("Inferior",'CALCULO Empleados'!$B$10:$N$10,0),TRUE))))*1.16),(((VLOOKUP(C6,'CALCULO Empleados'!$B$10:$N$18,MATCH("fija",'CALCULO Empleados'!$B$10:$N$10,0),TRUE)+VLOOKUP(C6,'CALCULO Empleados'!$B$10:$N$18,MATCH("marginal",'CALCULO Empleados'!$B$10:$N$10,0),TRUE)*(C6-VLOOKUP(C6,'CALCULO Empleados'!$B$10:$N$18,MATCH("Inferior",'CALCULO Empleados'!$B$10:$N$10,0),TRUE)))*0.9)*1.16))</f>
        <v>6796.43802684</v>
      </c>
      <c r="E6" s="75">
        <f t="shared" si="2"/>
        <v>8250</v>
      </c>
      <c r="F6" s="71">
        <f t="shared" si="3"/>
        <v>1453.56197316</v>
      </c>
      <c r="G6" s="75">
        <f t="shared" si="4"/>
        <v>7425</v>
      </c>
      <c r="H6" s="71">
        <f t="shared" si="0"/>
        <v>628.56197315999998</v>
      </c>
      <c r="I6" s="75">
        <f t="shared" si="5"/>
        <v>6600</v>
      </c>
      <c r="J6" s="71">
        <f t="shared" si="1"/>
        <v>-196.43802684000002</v>
      </c>
      <c r="K6" s="64"/>
    </row>
    <row r="7" spans="2:11" x14ac:dyDescent="0.25">
      <c r="C7" s="82">
        <f t="shared" si="6"/>
        <v>4000000</v>
      </c>
      <c r="D7" s="79">
        <f>IF(C7&lt;=500000,(((VLOOKUP(C7,'CALCULO Empleados'!$B$10:$N$18,MATCH("fija",'CALCULO Empleados'!$B$10:$N$10,0),TRUE)+VLOOKUP(C7,'CALCULO Empleados'!$B$10:$N$18,MATCH("marginal",'CALCULO Empleados'!$B$10:$N$10,0),TRUE)*(C7-VLOOKUP(C7,'CALCULO Empleados'!$B$10:$N$18,MATCH("Inferior",'CALCULO Empleados'!$B$10:$N$10,0),TRUE))))*1.16),(((VLOOKUP(C7,'CALCULO Empleados'!$B$10:$N$18,MATCH("fija",'CALCULO Empleados'!$B$10:$N$10,0),TRUE)+VLOOKUP(C7,'CALCULO Empleados'!$B$10:$N$18,MATCH("marginal",'CALCULO Empleados'!$B$10:$N$10,0),TRUE)*(C7-VLOOKUP(C7,'CALCULO Empleados'!$B$10:$N$18,MATCH("Inferior",'CALCULO Empleados'!$B$10:$N$10,0),TRUE)))*0.9)*1.16))</f>
        <v>8769.5980268399999</v>
      </c>
      <c r="E7" s="75">
        <f t="shared" si="2"/>
        <v>11000</v>
      </c>
      <c r="F7" s="71">
        <f t="shared" si="3"/>
        <v>2230.4019731600001</v>
      </c>
      <c r="G7" s="75">
        <f t="shared" si="4"/>
        <v>9900</v>
      </c>
      <c r="H7" s="71">
        <f t="shared" si="0"/>
        <v>1130.4019731600001</v>
      </c>
      <c r="I7" s="75">
        <f t="shared" si="5"/>
        <v>8800</v>
      </c>
      <c r="J7" s="71">
        <f t="shared" si="1"/>
        <v>30.401973160000125</v>
      </c>
      <c r="K7" s="64"/>
    </row>
    <row r="8" spans="2:11" x14ac:dyDescent="0.25">
      <c r="C8" s="82">
        <f t="shared" si="6"/>
        <v>5000000</v>
      </c>
      <c r="D8" s="79">
        <f>IF(C8&lt;=500000,(((VLOOKUP(C8,'CALCULO Empleados'!$B$10:$N$18,MATCH("fija",'CALCULO Empleados'!$B$10:$N$10,0),TRUE)+VLOOKUP(C8,'CALCULO Empleados'!$B$10:$N$18,MATCH("marginal",'CALCULO Empleados'!$B$10:$N$10,0),TRUE)*(C8-VLOOKUP(C8,'CALCULO Empleados'!$B$10:$N$18,MATCH("Inferior",'CALCULO Empleados'!$B$10:$N$10,0),TRUE))))*1.16),(((VLOOKUP(C8,'CALCULO Empleados'!$B$10:$N$18,MATCH("fija",'CALCULO Empleados'!$B$10:$N$10,0),TRUE)+VLOOKUP(C8,'CALCULO Empleados'!$B$10:$N$18,MATCH("marginal",'CALCULO Empleados'!$B$10:$N$10,0),TRUE)*(C8-VLOOKUP(C8,'CALCULO Empleados'!$B$10:$N$18,MATCH("Inferior",'CALCULO Empleados'!$B$10:$N$10,0),TRUE)))*0.9)*1.16))</f>
        <v>10419.118350479999</v>
      </c>
      <c r="E8" s="75">
        <f t="shared" si="2"/>
        <v>13750</v>
      </c>
      <c r="F8" s="71">
        <f t="shared" si="3"/>
        <v>3330.8816495200008</v>
      </c>
      <c r="G8" s="75">
        <f t="shared" si="4"/>
        <v>12375</v>
      </c>
      <c r="H8" s="71">
        <f t="shared" si="0"/>
        <v>1955.8816495200008</v>
      </c>
      <c r="I8" s="75">
        <f t="shared" si="5"/>
        <v>11000</v>
      </c>
      <c r="J8" s="71">
        <f t="shared" si="1"/>
        <v>580.88164952000079</v>
      </c>
      <c r="K8" s="64"/>
    </row>
    <row r="9" spans="2:11" x14ac:dyDescent="0.25">
      <c r="C9" s="82">
        <f t="shared" si="6"/>
        <v>6000000</v>
      </c>
      <c r="D9" s="79">
        <f>IF(C9&lt;=500000,(((VLOOKUP(C9,'CALCULO Empleados'!$B$10:$N$18,MATCH("fija",'CALCULO Empleados'!$B$10:$N$10,0),TRUE)+VLOOKUP(C9,'CALCULO Empleados'!$B$10:$N$18,MATCH("marginal",'CALCULO Empleados'!$B$10:$N$10,0),TRUE)*(C9-VLOOKUP(C9,'CALCULO Empleados'!$B$10:$N$18,MATCH("Inferior",'CALCULO Empleados'!$B$10:$N$10,0),TRUE))))*1.16),(((VLOOKUP(C9,'CALCULO Empleados'!$B$10:$N$18,MATCH("fija",'CALCULO Empleados'!$B$10:$N$10,0),TRUE)+VLOOKUP(C9,'CALCULO Empleados'!$B$10:$N$18,MATCH("marginal",'CALCULO Empleados'!$B$10:$N$10,0),TRUE)*(C9-VLOOKUP(C9,'CALCULO Empleados'!$B$10:$N$18,MATCH("Inferior",'CALCULO Empleados'!$B$10:$N$10,0),TRUE)))*0.9)*1.16))</f>
        <v>12068.63835048</v>
      </c>
      <c r="E9" s="75">
        <f t="shared" si="2"/>
        <v>16500</v>
      </c>
      <c r="F9" s="71">
        <f t="shared" si="3"/>
        <v>4431.3616495200004</v>
      </c>
      <c r="G9" s="75">
        <f t="shared" si="4"/>
        <v>14850</v>
      </c>
      <c r="H9" s="71">
        <f t="shared" si="0"/>
        <v>2781.3616495200004</v>
      </c>
      <c r="I9" s="75">
        <f t="shared" si="5"/>
        <v>13200</v>
      </c>
      <c r="J9" s="71">
        <f t="shared" si="1"/>
        <v>1131.3616495200004</v>
      </c>
      <c r="K9" s="64"/>
    </row>
    <row r="10" spans="2:11" x14ac:dyDescent="0.25">
      <c r="C10" s="82">
        <f t="shared" si="6"/>
        <v>7000000</v>
      </c>
      <c r="D10" s="79">
        <f>IF(C10&lt;=500000,(((VLOOKUP(C10,'CALCULO Empleados'!$B$10:$N$18,MATCH("fija",'CALCULO Empleados'!$B$10:$N$10,0),TRUE)+VLOOKUP(C10,'CALCULO Empleados'!$B$10:$N$18,MATCH("marginal",'CALCULO Empleados'!$B$10:$N$10,0),TRUE)*(C10-VLOOKUP(C10,'CALCULO Empleados'!$B$10:$N$18,MATCH("Inferior",'CALCULO Empleados'!$B$10:$N$10,0),TRUE))))*1.16),(((VLOOKUP(C10,'CALCULO Empleados'!$B$10:$N$18,MATCH("fija",'CALCULO Empleados'!$B$10:$N$10,0),TRUE)+VLOOKUP(C10,'CALCULO Empleados'!$B$10:$N$18,MATCH("marginal",'CALCULO Empleados'!$B$10:$N$10,0),TRUE)*(C10-VLOOKUP(C10,'CALCULO Empleados'!$B$10:$N$18,MATCH("Inferior",'CALCULO Empleados'!$B$10:$N$10,0),TRUE)))*0.9)*1.16))</f>
        <v>13718.15835048</v>
      </c>
      <c r="E10" s="75">
        <f t="shared" si="2"/>
        <v>18000</v>
      </c>
      <c r="F10" s="71">
        <f t="shared" si="3"/>
        <v>4281.8416495199999</v>
      </c>
      <c r="G10" s="75">
        <f t="shared" si="4"/>
        <v>16200</v>
      </c>
      <c r="H10" s="71">
        <f t="shared" si="0"/>
        <v>2481.8416495199999</v>
      </c>
      <c r="I10" s="75">
        <f t="shared" si="5"/>
        <v>14400</v>
      </c>
      <c r="J10" s="71">
        <f t="shared" si="1"/>
        <v>681.84164951999992</v>
      </c>
      <c r="K10" s="88"/>
    </row>
    <row r="11" spans="2:11" x14ac:dyDescent="0.25">
      <c r="C11" s="82">
        <f t="shared" si="6"/>
        <v>8000000</v>
      </c>
      <c r="D11" s="79">
        <f>IF(C11&lt;=500000,(((VLOOKUP(C11,'CALCULO Empleados'!$B$10:$N$18,MATCH("fija",'CALCULO Empleados'!$B$10:$N$10,0),TRUE)+VLOOKUP(C11,'CALCULO Empleados'!$B$10:$N$18,MATCH("marginal",'CALCULO Empleados'!$B$10:$N$10,0),TRUE)*(C11-VLOOKUP(C11,'CALCULO Empleados'!$B$10:$N$18,MATCH("Inferior",'CALCULO Empleados'!$B$10:$N$10,0),TRUE))))*1.16),(((VLOOKUP(C11,'CALCULO Empleados'!$B$10:$N$18,MATCH("fija",'CALCULO Empleados'!$B$10:$N$10,0),TRUE)+VLOOKUP(C11,'CALCULO Empleados'!$B$10:$N$18,MATCH("marginal",'CALCULO Empleados'!$B$10:$N$10,0),TRUE)*(C11-VLOOKUP(C11,'CALCULO Empleados'!$B$10:$N$18,MATCH("Inferior",'CALCULO Empleados'!$B$10:$N$10,0),TRUE)))*0.9)*1.16))</f>
        <v>15367.678350480001</v>
      </c>
      <c r="E11" s="75">
        <f t="shared" si="2"/>
        <v>18000</v>
      </c>
      <c r="F11" s="71">
        <f t="shared" si="3"/>
        <v>2632.3216495199995</v>
      </c>
      <c r="G11" s="75">
        <f t="shared" si="4"/>
        <v>16200</v>
      </c>
      <c r="H11" s="71">
        <f t="shared" si="0"/>
        <v>832.32164951999948</v>
      </c>
      <c r="I11" s="75">
        <f t="shared" si="5"/>
        <v>14400</v>
      </c>
      <c r="J11" s="71">
        <f t="shared" si="1"/>
        <v>-967.67835048000052</v>
      </c>
      <c r="K11" s="64"/>
    </row>
    <row r="12" spans="2:11" x14ac:dyDescent="0.25">
      <c r="C12" s="82">
        <f t="shared" si="6"/>
        <v>9000000</v>
      </c>
      <c r="D12" s="79">
        <f>IF(C12&lt;=500000,(((VLOOKUP(C12,'CALCULO Empleados'!$B$10:$N$18,MATCH("fija",'CALCULO Empleados'!$B$10:$N$10,0),TRUE)+VLOOKUP(C12,'CALCULO Empleados'!$B$10:$N$18,MATCH("marginal",'CALCULO Empleados'!$B$10:$N$10,0),TRUE)*(C12-VLOOKUP(C12,'CALCULO Empleados'!$B$10:$N$18,MATCH("Inferior",'CALCULO Empleados'!$B$10:$N$10,0),TRUE))))*1.16),(((VLOOKUP(C12,'CALCULO Empleados'!$B$10:$N$18,MATCH("fija",'CALCULO Empleados'!$B$10:$N$10,0),TRUE)+VLOOKUP(C12,'CALCULO Empleados'!$B$10:$N$18,MATCH("marginal",'CALCULO Empleados'!$B$10:$N$10,0),TRUE)*(C12-VLOOKUP(C12,'CALCULO Empleados'!$B$10:$N$18,MATCH("Inferior",'CALCULO Empleados'!$B$10:$N$10,0),TRUE)))*0.9)*1.16))</f>
        <v>16703.998663679999</v>
      </c>
      <c r="E12" s="75">
        <f t="shared" si="2"/>
        <v>18000</v>
      </c>
      <c r="F12" s="71">
        <f t="shared" si="3"/>
        <v>1296.0013363200014</v>
      </c>
      <c r="G12" s="75">
        <f t="shared" si="4"/>
        <v>16200</v>
      </c>
      <c r="H12" s="71">
        <f t="shared" si="0"/>
        <v>-503.99866367999857</v>
      </c>
      <c r="I12" s="75">
        <f t="shared" si="5"/>
        <v>14400</v>
      </c>
      <c r="J12" s="71">
        <f t="shared" si="1"/>
        <v>-2303.9986636799986</v>
      </c>
      <c r="K12" s="64"/>
    </row>
    <row r="13" spans="2:11" x14ac:dyDescent="0.25">
      <c r="C13" s="82">
        <f t="shared" si="6"/>
        <v>10000000</v>
      </c>
      <c r="D13" s="79">
        <f>IF(C13&lt;=500000,(((VLOOKUP(C13,'CALCULO Empleados'!$B$10:$N$18,MATCH("fija",'CALCULO Empleados'!$B$10:$N$10,0),TRUE)+VLOOKUP(C13,'CALCULO Empleados'!$B$10:$N$18,MATCH("marginal",'CALCULO Empleados'!$B$10:$N$10,0),TRUE)*(C13-VLOOKUP(C13,'CALCULO Empleados'!$B$10:$N$18,MATCH("Inferior",'CALCULO Empleados'!$B$10:$N$10,0),TRUE))))*1.16),(((VLOOKUP(C13,'CALCULO Empleados'!$B$10:$N$18,MATCH("fija",'CALCULO Empleados'!$B$10:$N$10,0),TRUE)+VLOOKUP(C13,'CALCULO Empleados'!$B$10:$N$18,MATCH("marginal",'CALCULO Empleados'!$B$10:$N$10,0),TRUE)*(C13-VLOOKUP(C13,'CALCULO Empleados'!$B$10:$N$18,MATCH("Inferior",'CALCULO Empleados'!$B$10:$N$10,0),TRUE)))*0.9)*1.16))</f>
        <v>18040.318663679998</v>
      </c>
      <c r="E13" s="75">
        <f t="shared" si="2"/>
        <v>18000</v>
      </c>
      <c r="F13" s="71">
        <f t="shared" si="3"/>
        <v>-40.318663679998281</v>
      </c>
      <c r="G13" s="75">
        <f t="shared" si="4"/>
        <v>16200</v>
      </c>
      <c r="H13" s="71">
        <f t="shared" si="0"/>
        <v>-1840.3186636799983</v>
      </c>
      <c r="I13" s="75">
        <f t="shared" si="5"/>
        <v>14400</v>
      </c>
      <c r="J13" s="71">
        <f t="shared" si="1"/>
        <v>-3640.3186636799983</v>
      </c>
      <c r="K13" s="64"/>
    </row>
    <row r="14" spans="2:11" x14ac:dyDescent="0.25">
      <c r="C14" s="82">
        <f>C13+5000000</f>
        <v>15000000</v>
      </c>
      <c r="D14" s="79">
        <f>IF(C14&lt;=500000,(((VLOOKUP(C14,'CALCULO Empleados'!$B$10:$N$18,MATCH("fija",'CALCULO Empleados'!$B$10:$N$10,0),TRUE)+VLOOKUP(C14,'CALCULO Empleados'!$B$10:$N$18,MATCH("marginal",'CALCULO Empleados'!$B$10:$N$10,0),TRUE)*(C14-VLOOKUP(C14,'CALCULO Empleados'!$B$10:$N$18,MATCH("Inferior",'CALCULO Empleados'!$B$10:$N$10,0),TRUE))))*1.16),(((VLOOKUP(C14,'CALCULO Empleados'!$B$10:$N$18,MATCH("fija",'CALCULO Empleados'!$B$10:$N$10,0),TRUE)+VLOOKUP(C14,'CALCULO Empleados'!$B$10:$N$18,MATCH("marginal",'CALCULO Empleados'!$B$10:$N$10,0),TRUE)*(C14-VLOOKUP(C14,'CALCULO Empleados'!$B$10:$N$18,MATCH("Inferior",'CALCULO Empleados'!$B$10:$N$10,0),TRUE)))*0.9)*1.16))</f>
        <v>24721.91866368</v>
      </c>
      <c r="E14" s="75">
        <f t="shared" si="2"/>
        <v>18000</v>
      </c>
      <c r="F14" s="71">
        <f t="shared" si="3"/>
        <v>-6721.9186636800005</v>
      </c>
      <c r="G14" s="75">
        <f t="shared" si="4"/>
        <v>16200</v>
      </c>
      <c r="H14" s="71">
        <f t="shared" si="0"/>
        <v>-8521.9186636800005</v>
      </c>
      <c r="I14" s="75">
        <f t="shared" si="5"/>
        <v>14400</v>
      </c>
      <c r="J14" s="71">
        <f t="shared" si="1"/>
        <v>-10321.91866368</v>
      </c>
      <c r="K14" s="64"/>
    </row>
    <row r="15" spans="2:11" x14ac:dyDescent="0.25">
      <c r="C15" s="82">
        <f t="shared" ref="C15:C21" si="7">C14+5000000</f>
        <v>20000000</v>
      </c>
      <c r="D15" s="79">
        <f>IF(C15&lt;=500000,(((VLOOKUP(C15,'CALCULO Empleados'!$B$10:$N$18,MATCH("fija",'CALCULO Empleados'!$B$10:$N$10,0),TRUE)+VLOOKUP(C15,'CALCULO Empleados'!$B$10:$N$18,MATCH("marginal",'CALCULO Empleados'!$B$10:$N$10,0),TRUE)*(C15-VLOOKUP(C15,'CALCULO Empleados'!$B$10:$N$18,MATCH("Inferior",'CALCULO Empleados'!$B$10:$N$10,0),TRUE))))*1.16),(((VLOOKUP(C15,'CALCULO Empleados'!$B$10:$N$18,MATCH("fija",'CALCULO Empleados'!$B$10:$N$10,0),TRUE)+VLOOKUP(C15,'CALCULO Empleados'!$B$10:$N$18,MATCH("marginal",'CALCULO Empleados'!$B$10:$N$10,0),TRUE)*(C15-VLOOKUP(C15,'CALCULO Empleados'!$B$10:$N$18,MATCH("Inferior",'CALCULO Empleados'!$B$10:$N$10,0),TRUE)))*0.9)*1.16))</f>
        <v>30317.75893512</v>
      </c>
      <c r="E15" s="75">
        <f t="shared" si="2"/>
        <v>18000</v>
      </c>
      <c r="F15" s="71">
        <f t="shared" si="3"/>
        <v>-12317.75893512</v>
      </c>
      <c r="G15" s="75">
        <f t="shared" si="4"/>
        <v>16200</v>
      </c>
      <c r="H15" s="71">
        <f t="shared" si="0"/>
        <v>-14117.75893512</v>
      </c>
      <c r="I15" s="75">
        <f t="shared" si="5"/>
        <v>14400</v>
      </c>
      <c r="J15" s="71">
        <f t="shared" si="1"/>
        <v>-15917.75893512</v>
      </c>
      <c r="K15" s="64"/>
    </row>
    <row r="16" spans="2:11" x14ac:dyDescent="0.25">
      <c r="C16" s="82">
        <f t="shared" si="7"/>
        <v>25000000</v>
      </c>
      <c r="D16" s="79">
        <f>IF(C16&lt;=500000,(((VLOOKUP(C16,'CALCULO Empleados'!$B$10:$N$18,MATCH("fija",'CALCULO Empleados'!$B$10:$N$10,0),TRUE)+VLOOKUP(C16,'CALCULO Empleados'!$B$10:$N$18,MATCH("marginal",'CALCULO Empleados'!$B$10:$N$10,0),TRUE)*(C16-VLOOKUP(C16,'CALCULO Empleados'!$B$10:$N$18,MATCH("Inferior",'CALCULO Empleados'!$B$10:$N$10,0),TRUE))))*1.16),(((VLOOKUP(C16,'CALCULO Empleados'!$B$10:$N$18,MATCH("fija",'CALCULO Empleados'!$B$10:$N$10,0),TRUE)+VLOOKUP(C16,'CALCULO Empleados'!$B$10:$N$18,MATCH("marginal",'CALCULO Empleados'!$B$10:$N$10,0),TRUE)*(C16-VLOOKUP(C16,'CALCULO Empleados'!$B$10:$N$18,MATCH("Inferior",'CALCULO Empleados'!$B$10:$N$10,0),TRUE)))*0.9)*1.16))</f>
        <v>35642.158935120002</v>
      </c>
      <c r="E16" s="75">
        <f t="shared" si="2"/>
        <v>18000</v>
      </c>
      <c r="F16" s="71">
        <f t="shared" si="3"/>
        <v>-17642.158935120002</v>
      </c>
      <c r="G16" s="75">
        <f t="shared" si="4"/>
        <v>16200</v>
      </c>
      <c r="H16" s="71">
        <f t="shared" si="0"/>
        <v>-19442.158935120002</v>
      </c>
      <c r="I16" s="75">
        <f t="shared" si="5"/>
        <v>14400</v>
      </c>
      <c r="J16" s="71">
        <f t="shared" si="1"/>
        <v>-21242.158935120002</v>
      </c>
      <c r="K16" s="64"/>
    </row>
    <row r="17" spans="3:14" x14ac:dyDescent="0.25">
      <c r="C17" s="82">
        <f t="shared" si="7"/>
        <v>30000000</v>
      </c>
      <c r="D17" s="79">
        <f>IF(C17&lt;=500000,(((VLOOKUP(C17,'CALCULO Empleados'!$B$10:$N$18,MATCH("fija",'CALCULO Empleados'!$B$10:$N$10,0),TRUE)+VLOOKUP(C17,'CALCULO Empleados'!$B$10:$N$18,MATCH("marginal",'CALCULO Empleados'!$B$10:$N$10,0),TRUE)*(C17-VLOOKUP(C17,'CALCULO Empleados'!$B$10:$N$18,MATCH("Inferior",'CALCULO Empleados'!$B$10:$N$10,0),TRUE))))*1.16),(((VLOOKUP(C17,'CALCULO Empleados'!$B$10:$N$18,MATCH("fija",'CALCULO Empleados'!$B$10:$N$10,0),TRUE)+VLOOKUP(C17,'CALCULO Empleados'!$B$10:$N$18,MATCH("marginal",'CALCULO Empleados'!$B$10:$N$10,0),TRUE)*(C17-VLOOKUP(C17,'CALCULO Empleados'!$B$10:$N$18,MATCH("Inferior",'CALCULO Empleados'!$B$10:$N$10,0),TRUE)))*0.9)*1.16))</f>
        <v>40966.558935119996</v>
      </c>
      <c r="E17" s="75">
        <f t="shared" si="2"/>
        <v>18000</v>
      </c>
      <c r="F17" s="71">
        <f t="shared" si="3"/>
        <v>-22966.558935119996</v>
      </c>
      <c r="G17" s="75">
        <f t="shared" si="4"/>
        <v>16200</v>
      </c>
      <c r="H17" s="71">
        <f t="shared" si="0"/>
        <v>-24766.558935119996</v>
      </c>
      <c r="I17" s="75">
        <f t="shared" si="5"/>
        <v>14400</v>
      </c>
      <c r="J17" s="71">
        <f t="shared" si="1"/>
        <v>-26566.558935119996</v>
      </c>
      <c r="K17" s="64"/>
    </row>
    <row r="18" spans="3:14" x14ac:dyDescent="0.25">
      <c r="C18" s="82">
        <f t="shared" si="7"/>
        <v>35000000</v>
      </c>
      <c r="D18" s="79">
        <f>IF(C18&lt;=500000,(((VLOOKUP(C18,'CALCULO Empleados'!$B$10:$N$18,MATCH("fija",'CALCULO Empleados'!$B$10:$N$10,0),TRUE)+VLOOKUP(C18,'CALCULO Empleados'!$B$10:$N$18,MATCH("marginal",'CALCULO Empleados'!$B$10:$N$10,0),TRUE)*(C18-VLOOKUP(C18,'CALCULO Empleados'!$B$10:$N$18,MATCH("Inferior",'CALCULO Empleados'!$B$10:$N$10,0),TRUE))))*1.16),(((VLOOKUP(C18,'CALCULO Empleados'!$B$10:$N$18,MATCH("fija",'CALCULO Empleados'!$B$10:$N$10,0),TRUE)+VLOOKUP(C18,'CALCULO Empleados'!$B$10:$N$18,MATCH("marginal",'CALCULO Empleados'!$B$10:$N$10,0),TRUE)*(C18-VLOOKUP(C18,'CALCULO Empleados'!$B$10:$N$18,MATCH("Inferior",'CALCULO Empleados'!$B$10:$N$10,0),TRUE)))*0.9)*1.16))</f>
        <v>46290.958935119997</v>
      </c>
      <c r="E18" s="75">
        <f t="shared" si="2"/>
        <v>18000</v>
      </c>
      <c r="F18" s="71">
        <f t="shared" si="3"/>
        <v>-28290.958935119997</v>
      </c>
      <c r="G18" s="75">
        <f t="shared" si="4"/>
        <v>16200</v>
      </c>
      <c r="H18" s="71">
        <f t="shared" si="0"/>
        <v>-30090.958935119997</v>
      </c>
      <c r="I18" s="75">
        <f t="shared" si="5"/>
        <v>14400</v>
      </c>
      <c r="J18" s="71">
        <f t="shared" si="1"/>
        <v>-31890.958935119997</v>
      </c>
      <c r="K18" s="64"/>
    </row>
    <row r="19" spans="3:14" x14ac:dyDescent="0.25">
      <c r="C19" s="82">
        <f t="shared" si="7"/>
        <v>40000000</v>
      </c>
      <c r="D19" s="79">
        <f>IF(C19&lt;=500000,(((VLOOKUP(C19,'CALCULO Empleados'!$B$10:$N$18,MATCH("fija",'CALCULO Empleados'!$B$10:$N$10,0),TRUE)+VLOOKUP(C19,'CALCULO Empleados'!$B$10:$N$18,MATCH("marginal",'CALCULO Empleados'!$B$10:$N$10,0),TRUE)*(C19-VLOOKUP(C19,'CALCULO Empleados'!$B$10:$N$18,MATCH("Inferior",'CALCULO Empleados'!$B$10:$N$10,0),TRUE))))*1.16),(((VLOOKUP(C19,'CALCULO Empleados'!$B$10:$N$18,MATCH("fija",'CALCULO Empleados'!$B$10:$N$10,0),TRUE)+VLOOKUP(C19,'CALCULO Empleados'!$B$10:$N$18,MATCH("marginal",'CALCULO Empleados'!$B$10:$N$10,0),TRUE)*(C19-VLOOKUP(C19,'CALCULO Empleados'!$B$10:$N$18,MATCH("Inferior",'CALCULO Empleados'!$B$10:$N$10,0),TRUE)))*0.9)*1.16))</f>
        <v>51615.358935119999</v>
      </c>
      <c r="E19" s="75">
        <f t="shared" si="2"/>
        <v>18000</v>
      </c>
      <c r="F19" s="71">
        <f t="shared" si="3"/>
        <v>-33615.358935119999</v>
      </c>
      <c r="G19" s="75">
        <f t="shared" si="4"/>
        <v>16200</v>
      </c>
      <c r="H19" s="71">
        <f t="shared" si="0"/>
        <v>-35415.358935119999</v>
      </c>
      <c r="I19" s="75">
        <f t="shared" si="5"/>
        <v>14400</v>
      </c>
      <c r="J19" s="71">
        <f t="shared" si="1"/>
        <v>-37215.358935119999</v>
      </c>
      <c r="K19" s="64"/>
    </row>
    <row r="20" spans="3:14" x14ac:dyDescent="0.25">
      <c r="C20" s="82">
        <f t="shared" si="7"/>
        <v>45000000</v>
      </c>
      <c r="D20" s="79">
        <f>IF(C20&lt;=500000,(((VLOOKUP(C20,'CALCULO Empleados'!$B$10:$N$18,MATCH("fija",'CALCULO Empleados'!$B$10:$N$10,0),TRUE)+VLOOKUP(C20,'CALCULO Empleados'!$B$10:$N$18,MATCH("marginal",'CALCULO Empleados'!$B$10:$N$10,0),TRUE)*(C20-VLOOKUP(C20,'CALCULO Empleados'!$B$10:$N$18,MATCH("Inferior",'CALCULO Empleados'!$B$10:$N$10,0),TRUE))))*1.16),(((VLOOKUP(C20,'CALCULO Empleados'!$B$10:$N$18,MATCH("fija",'CALCULO Empleados'!$B$10:$N$10,0),TRUE)+VLOOKUP(C20,'CALCULO Empleados'!$B$10:$N$18,MATCH("marginal",'CALCULO Empleados'!$B$10:$N$10,0),TRUE)*(C20-VLOOKUP(C20,'CALCULO Empleados'!$B$10:$N$18,MATCH("Inferior",'CALCULO Empleados'!$B$10:$N$10,0),TRUE)))*0.9)*1.16))</f>
        <v>56939.75893512</v>
      </c>
      <c r="E20" s="75">
        <f t="shared" si="2"/>
        <v>18000</v>
      </c>
      <c r="F20" s="71">
        <f t="shared" si="3"/>
        <v>-38939.75893512</v>
      </c>
      <c r="G20" s="75">
        <f t="shared" si="4"/>
        <v>16200</v>
      </c>
      <c r="H20" s="71">
        <f t="shared" si="0"/>
        <v>-40739.75893512</v>
      </c>
      <c r="I20" s="75">
        <f t="shared" si="5"/>
        <v>14400</v>
      </c>
      <c r="J20" s="71">
        <f t="shared" si="1"/>
        <v>-42539.75893512</v>
      </c>
      <c r="K20" s="64"/>
    </row>
    <row r="21" spans="3:14" x14ac:dyDescent="0.25">
      <c r="C21" s="83">
        <f t="shared" si="7"/>
        <v>50000000</v>
      </c>
      <c r="D21" s="80">
        <f>IF(C21&lt;=500000,(((VLOOKUP(C21,'CALCULO Empleados'!$B$10:$N$18,MATCH("fija",'CALCULO Empleados'!$B$10:$N$10,0),TRUE)+VLOOKUP(C21,'CALCULO Empleados'!$B$10:$N$18,MATCH("marginal",'CALCULO Empleados'!$B$10:$N$10,0),TRUE)*(C21-VLOOKUP(C21,'CALCULO Empleados'!$B$10:$N$18,MATCH("Inferior",'CALCULO Empleados'!$B$10:$N$10,0),TRUE))))*1.16),(((VLOOKUP(C21,'CALCULO Empleados'!$B$10:$N$18,MATCH("fija",'CALCULO Empleados'!$B$10:$N$10,0),TRUE)+VLOOKUP(C21,'CALCULO Empleados'!$B$10:$N$18,MATCH("marginal",'CALCULO Empleados'!$B$10:$N$10,0),TRUE)*(C21-VLOOKUP(C21,'CALCULO Empleados'!$B$10:$N$18,MATCH("Inferior",'CALCULO Empleados'!$B$10:$N$10,0),TRUE)))*0.9)*1.16))</f>
        <v>62264.158935119995</v>
      </c>
      <c r="E21" s="76">
        <f t="shared" si="2"/>
        <v>18000</v>
      </c>
      <c r="F21" s="72">
        <f t="shared" si="3"/>
        <v>-44264.158935119995</v>
      </c>
      <c r="G21" s="76">
        <f t="shared" si="4"/>
        <v>16200</v>
      </c>
      <c r="H21" s="72">
        <f t="shared" si="0"/>
        <v>-46064.158935119995</v>
      </c>
      <c r="I21" s="76">
        <f t="shared" si="5"/>
        <v>14400</v>
      </c>
      <c r="J21" s="72">
        <f t="shared" si="1"/>
        <v>-47864.158935119995</v>
      </c>
      <c r="K21" s="64"/>
    </row>
    <row r="24" spans="3:14" x14ac:dyDescent="0.25">
      <c r="M24" s="1"/>
      <c r="N24" s="42"/>
    </row>
    <row r="25" spans="3:14" x14ac:dyDescent="0.25">
      <c r="M25" s="1"/>
      <c r="N25" s="42"/>
    </row>
    <row r="26" spans="3:14" x14ac:dyDescent="0.25">
      <c r="M26" s="1"/>
      <c r="N26" s="42"/>
    </row>
    <row r="27" spans="3:14" x14ac:dyDescent="0.25">
      <c r="M27" s="1"/>
      <c r="N27" s="42"/>
    </row>
  </sheetData>
  <mergeCells count="3">
    <mergeCell ref="E2:F2"/>
    <mergeCell ref="G2:H2"/>
    <mergeCell ref="I2:J2"/>
  </mergeCells>
  <conditionalFormatting sqref="F4:F21">
    <cfRule type="cellIs" dxfId="5" priority="11" operator="greaterThan">
      <formula>0</formula>
    </cfRule>
    <cfRule type="cellIs" dxfId="4" priority="12" operator="lessThan">
      <formula>0</formula>
    </cfRule>
  </conditionalFormatting>
  <conditionalFormatting sqref="H4:H21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J4:J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Hipoteca Free</vt:lpstr>
      <vt:lpstr>anticipos</vt:lpstr>
      <vt:lpstr>RESTO DE PRODUCTOS</vt:lpstr>
      <vt:lpstr>requisitos</vt:lpstr>
      <vt:lpstr>CALCULO Empleados</vt:lpstr>
      <vt:lpstr>Análisis Costos</vt:lpstr>
      <vt:lpstr>'CALCULO Empleados'!Área_de_impresión</vt:lpstr>
      <vt:lpstr>'Hipoteca Free'!Área_de_impresión</vt:lpstr>
      <vt:lpstr>'RESTO DE PRODUCTOS'!Área_de_impresión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Espinoza</dc:creator>
  <cp:lastModifiedBy>MANUEL GONZALEZ PINEDA</cp:lastModifiedBy>
  <cp:lastPrinted>2024-11-01T23:29:31Z</cp:lastPrinted>
  <dcterms:created xsi:type="dcterms:W3CDTF">2018-10-09T23:28:14Z</dcterms:created>
  <dcterms:modified xsi:type="dcterms:W3CDTF">2025-05-23T15:31:54Z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2023-07-31T19:44:47Z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65e78f88-6b01-4b30-8c82-285e1235c4b5</vt:lpwstr>
  </property>
  <property fmtid="{D5CDD505-2E9C-101B-9397-08002B2CF9AE}" pid="8" name="MSIP_Label_0c2abd79-57a9-4473-8700-c843f76a1e37_ContentBits">
    <vt:lpwstr>0</vt:lpwstr>
  </property>
</Properties>
</file>