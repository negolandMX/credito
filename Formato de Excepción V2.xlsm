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esus Garay\Desktop\NUEVA OFERTA DIC 2023\"/>
    </mc:Choice>
  </mc:AlternateContent>
  <bookViews>
    <workbookView xWindow="0" yWindow="0" windowWidth="19200" windowHeight="6930"/>
  </bookViews>
  <sheets>
    <sheet name="UserForm" sheetId="1" r:id="rId1"/>
    <sheet name="Instrucciones de Instalación" sheetId="3" r:id="rId2"/>
    <sheet name="Catalogos" sheetId="2" state="hidden" r:id="rId3"/>
    <sheet name="Control de Cambios" sheetId="4" state="hidden" r:id="rId4"/>
  </sheets>
  <definedNames>
    <definedName name="ADQUISICIÓN_DE_VIVIENDA">Tabla44[ADQUISICIÓN_DE_VIVIENDA]</definedName>
    <definedName name="AGUASCALIENTES">Catalogos!$AF$2:$AF$12</definedName>
    <definedName name="APOYO_INFONAVIT">Tabla47[APOYO_INFONAVIT]</definedName>
    <definedName name="_xlnm.Print_Area" localSheetId="0">UserForm!$B$3:$E$64</definedName>
    <definedName name="BAJA_CALIFORNIA">Catalogos!$AG$2:$AG$8</definedName>
    <definedName name="BAJA_CALIFORNIA_SUR">Catalogos!$AH$2:$AH$6</definedName>
    <definedName name="CAMPECHE">Catalogos!$AI$2:$AI$14</definedName>
    <definedName name="CATALOGOEXCEPCIONES">Catalogos!$E$2:$E$28</definedName>
    <definedName name="CHIAPAS">Catalogos!$AL$2:$AL$125</definedName>
    <definedName name="CHIHUAHUA">Catalogos!$AM$2:$AM$68</definedName>
    <definedName name="CI_MAS_CB">Tabla48[CI_MAS_CB]</definedName>
    <definedName name="CIUDAD_DE_MÉXICO">Tabla19[CIUDAD_DE_MÉXICO]</definedName>
    <definedName name="COAHUILA">Catalogos!$AJ$2:$AJ$39</definedName>
    <definedName name="COFINANCIAMIENTO">Tabla49[COFINANCIAMIENTO]</definedName>
    <definedName name="COLIMA">Catalogos!$AK$2:$AK$11</definedName>
    <definedName name="COMPROBANTEDEINGRESOS">Catalogos!$C$2:$C$8</definedName>
    <definedName name="CONSTRUCCIÓN">Tabla50[CONSTRUCCIÓN]</definedName>
    <definedName name="CONSTRUCCIÓN_MAS_TERRENO">Tabla51[CONSTRUCCIÓN_MAS_TERRENO]</definedName>
    <definedName name="DURANGO">Catalogos!$AO$2:$AO$40</definedName>
    <definedName name="ESTADO_DE_MEXICO">Catalogos!$AT$2:$AT$126</definedName>
    <definedName name="ESTADOS">Catalogos!$AD$2:$AD$33</definedName>
    <definedName name="GERRERO">Catalogos!$AQ$2:$AQ$86</definedName>
    <definedName name="GUANAJUATO">Catalogos!$AP$2:$AP$47</definedName>
    <definedName name="HIDALGO">Catalogos!$AR$2:$AR$85</definedName>
    <definedName name="JALISCO">Catalogos!$AS$2:$AS$126</definedName>
    <definedName name="LIQUIDEZ">Tabla52[LIQUIDEZ]</definedName>
    <definedName name="LIQUIDEZ_TOPUP">Tabla53[LIQUIDEZ_TOPUP]</definedName>
    <definedName name="MICHOACÁN">Catalogos!$AU$2:$AU$114</definedName>
    <definedName name="MORELOS">Catalogos!$AV$2:$AV$37</definedName>
    <definedName name="NAYARIT">Catalogos!$AW$2:$AW$21</definedName>
    <definedName name="NUEVO_LEÓN">Catalogos!$AX$2:$AX$52</definedName>
    <definedName name="NUMDEEXCEPCIONES">Catalogos!$A$2:$A$3</definedName>
    <definedName name="OAXACA">Catalogos!$AY$2:$AY$571</definedName>
    <definedName name="PAGO_DE_HIPOTECAS">Tabla54[PAGO_DE_HIPOTECAS]</definedName>
    <definedName name="PAGO_HIPOTECA_MAS_LÍQUIDEZ">Tabla55[PAGO_HIPOTECA_MAS_LÍQUIDEZ]</definedName>
    <definedName name="PF">Catalogos!$U$2:$U$5</definedName>
    <definedName name="PF_Y_PFAE_O_PROF">Catalogos!$X$2:$X$7</definedName>
    <definedName name="PFAE">Catalogos!$V$2</definedName>
    <definedName name="PLAZOS">Catalogos!$Z$2:$Z$22</definedName>
    <definedName name="PRODUCTO">Catalogos!$G$2:$G$12</definedName>
    <definedName name="PROF">Catalogos!$W$2</definedName>
    <definedName name="PUEBLA">Catalogos!$AZ$2:$AZ$218</definedName>
    <definedName name="QUERÉTARO">Catalogos!$BA$2:$BA$19</definedName>
    <definedName name="QUINTANA_ROO">Catalogos!$BB$2:$BB$12</definedName>
    <definedName name="REMODELACION">Tabla56[REMODELACION]</definedName>
    <definedName name="SAN_LUIS_POTOSI">Catalogos!$BC$2:$BC$59</definedName>
    <definedName name="SINALOA">Catalogos!$BD$2:$BD$19</definedName>
    <definedName name="SONORA">Catalogos!$BE$2:$BE$73</definedName>
    <definedName name="TABASCO">Catalogos!$BF$2:$BF$18</definedName>
    <definedName name="TAMAULIPAS">Catalogos!$BG$2:$BG$44</definedName>
    <definedName name="TIPODECLIENTE">Catalogos!$AB$2:$AB$17</definedName>
    <definedName name="TIPODEPERSONA">Catalogos!$T$2:$T$5</definedName>
    <definedName name="_xlnm.Print_Titles" localSheetId="0">UserForm!$3:$5</definedName>
    <definedName name="TLAXCALA">Catalogos!$BH$2:$BH$61</definedName>
    <definedName name="VERACRUZ">Catalogos!$BI$2:$BI$213</definedName>
    <definedName name="YUCATÁN">Catalogos!$BJ$2:$BJ$107</definedName>
    <definedName name="ZACATECAS">Catalogos!$BK$2:$BK$59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8" i="1" l="1"/>
  <c r="B90" i="1"/>
  <c r="B93" i="1"/>
  <c r="B92" i="1"/>
  <c r="B91" i="1"/>
  <c r="B84" i="1"/>
  <c r="B82" i="1"/>
  <c r="B81" i="1"/>
  <c r="B80" i="1"/>
  <c r="B79" i="1"/>
  <c r="B83" i="1"/>
  <c r="B94" i="1"/>
  <c r="B98" i="1" l="1"/>
  <c r="E75" i="1" l="1"/>
  <c r="B105" i="1" l="1"/>
  <c r="B104" i="1"/>
  <c r="B103" i="1"/>
  <c r="B102" i="1"/>
  <c r="B101" i="1"/>
  <c r="B100" i="1"/>
  <c r="B99" i="1"/>
  <c r="B97" i="1"/>
  <c r="B96" i="1"/>
  <c r="B95" i="1"/>
  <c r="B89" i="1"/>
  <c r="B88" i="1"/>
  <c r="B87" i="1"/>
  <c r="B86" i="1"/>
  <c r="B85" i="1"/>
  <c r="B13" i="1"/>
  <c r="C78" i="1" l="1"/>
  <c r="B14" i="1"/>
</calcChain>
</file>

<file path=xl/comments1.xml><?xml version="1.0" encoding="utf-8"?>
<comments xmlns="http://schemas.openxmlformats.org/spreadsheetml/2006/main">
  <authors>
    <author>tc={3D4DAAD5-31D2-4360-9FDC-1B97FE782B73}</author>
    <author>tc={CCDCD853-F1DE-4C40-91C9-D7B87AA0A2C0}</author>
    <author>tc={039A8CC9-C703-4B19-B531-A620A1DB0E43}</author>
    <author>tc={0A46D1A7-4EF0-4766-AE85-61B47E95764D}</author>
  </authors>
  <commentList>
    <comment ref="B12" authorId="0" shapeId="0">
      <text>
        <r>
          <rPr>
            <sz val="11"/>
            <color theme="1"/>
            <rFont val="Calibri"/>
            <family val="2"/>
            <scheme val="minor"/>
          </rPr>
          <t xml:space="preserve"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Selecciona el Número de Excepciones solicitadas, recuerda que no es posible solicitar más de 3 motivos de excepción por folio o cliente. </t>
        </r>
      </text>
    </comment>
    <comment ref="B22" authorId="1" shapeId="0">
      <text>
        <r>
          <rPr>
            <sz val="11"/>
            <color theme="1"/>
            <rFont val="Calibri"/>
            <family val="2"/>
            <scheme val="minor"/>
          </rPr>
  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Capturar Valor del Proyecto de Obra para Créditos de Construcción para los demás Destinos Capturar el Valor Avalúo.</t>
        </r>
      </text>
    </comment>
    <comment ref="B28" authorId="2" shapeId="0">
      <text>
        <r>
          <rPr>
            <sz val="11"/>
            <color theme="1"/>
            <rFont val="Calibri"/>
            <family val="2"/>
            <scheme val="minor"/>
          </rPr>
  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Indicar para que será ocupado el monto del crédito de Liquidez</t>
        </r>
      </text>
    </comment>
    <comment ref="B54" authorId="3" shapeId="0">
      <text>
        <r>
          <rPr>
            <sz val="11"/>
            <color theme="1"/>
            <rFont val="Calibri"/>
            <family val="2"/>
            <scheme val="minor"/>
          </rPr>
  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Indicar Tipos Productos con HSBC como TDC, Personal, Autos etc, mencionar la Antigüedad de cada Producto.</t>
        </r>
      </text>
    </comment>
  </commentList>
</comments>
</file>

<file path=xl/sharedStrings.xml><?xml version="1.0" encoding="utf-8"?>
<sst xmlns="http://schemas.openxmlformats.org/spreadsheetml/2006/main" count="2778" uniqueCount="2500">
  <si>
    <t>Excepciones Requeridas:</t>
  </si>
  <si>
    <t>WORLD CHECK RECHAZADO</t>
  </si>
  <si>
    <t>TRAMITE DE 3ER HIPOTECA</t>
  </si>
  <si>
    <t>SIN REFERENCIAS DE CREDITO O MENORES A 7 MESES</t>
  </si>
  <si>
    <t>SIN ANTIGUEDAD MINIMA EN EL EMPLEO U OCUPACION</t>
  </si>
  <si>
    <t>REGLAS DE BURO DE CREDITO RECHAZADO</t>
  </si>
  <si>
    <t>REGLAS DE BURO DE CREDITO D&amp;B RECHAZADO</t>
  </si>
  <si>
    <t>REFERENCIAS NEGATIVAS LAR</t>
  </si>
  <si>
    <t>POLITICAS INTERNAS (HAWK)</t>
  </si>
  <si>
    <t>OTRAS</t>
  </si>
  <si>
    <t>NO CUMPLE CON LA EDAD MINIMA DEL PRODUCTO</t>
  </si>
  <si>
    <t>NO CUMPLE CON EL INGRESO MINIMO DEL PRODUCTO</t>
  </si>
  <si>
    <t>MONTO A FINANCIAR MENOR AL MINIMO DEL PRODUCTO</t>
  </si>
  <si>
    <t>MONTO A FINANCIAR MAYOR AL ESTABLECIDO</t>
  </si>
  <si>
    <t>INGRESOS FUERA DE NORMATIVIDAD</t>
  </si>
  <si>
    <t>INCREMENTO DE CAPACIDAD DE PAGO</t>
  </si>
  <si>
    <t>FORMATO MIGRATORIO NO VALIDO</t>
  </si>
  <si>
    <t>FINANCIAMIENTO A LOS SUJETOS DE CREDITO QUE REQUIEREN AUTORIZACION ESPECIAL</t>
  </si>
  <si>
    <t>EXCEDE EL NUMERO DE CREDITOS VIGENTES</t>
  </si>
  <si>
    <t>EDAD MAYOR AL LIMITE MAXIMO PERMITIDO POR POLITICA</t>
  </si>
  <si>
    <t>EDAD MAS PLAZO MAYOR AL LIMITE MAXIMO</t>
  </si>
  <si>
    <t>DISMINUCION DE OBLIGACIONES</t>
  </si>
  <si>
    <t>AMPLIACION DE LA VIGENCIA DE LA CONSTANCIA</t>
  </si>
  <si>
    <t>2A HIPOTECA EN UN PLAZO MENOR A 12 MESES</t>
  </si>
  <si>
    <t>Condiciones de Crédito Solicitado</t>
  </si>
  <si>
    <t>COFINANCIAMIENTO</t>
  </si>
  <si>
    <t>LIQUIDEZ</t>
  </si>
  <si>
    <t>CONSTRUCCIÓN</t>
  </si>
  <si>
    <t>REMODELACION</t>
  </si>
  <si>
    <t>HIPOTECA VERDE</t>
  </si>
  <si>
    <t>PRODUCTO</t>
  </si>
  <si>
    <t>2. Perfil del Cliente</t>
  </si>
  <si>
    <t>PF</t>
  </si>
  <si>
    <t>3. Ingresos y Capacidad de pago</t>
  </si>
  <si>
    <t xml:space="preserve">4. Experiencia de crédito: </t>
  </si>
  <si>
    <t>5. Relación de Negocio con HSBC</t>
  </si>
  <si>
    <t>EMPLEADO GSC</t>
  </si>
  <si>
    <t>FOVISSSTE PARA TODOS</t>
  </si>
  <si>
    <t>HIPOTECA CON HSBC</t>
  </si>
  <si>
    <t>NÓMINA ESPECIAL</t>
  </si>
  <si>
    <t>NORMAL</t>
  </si>
  <si>
    <t>PEMEX</t>
  </si>
  <si>
    <t>PODER JUDICIAL</t>
  </si>
  <si>
    <t>PREMIER</t>
  </si>
  <si>
    <t>PREMIER INFONAVIT</t>
  </si>
  <si>
    <t>WEALTH &amp; PREMIER EXECUTIVE</t>
  </si>
  <si>
    <t>Geolocalización Domicilio Garantía</t>
  </si>
  <si>
    <t>Geolocalización Domicilio Laboral</t>
  </si>
  <si>
    <t>Geolocalización Domicilio Particular</t>
  </si>
  <si>
    <t xml:space="preserve">Información en Internet </t>
  </si>
  <si>
    <t>Evidencias o Anexos Otros</t>
  </si>
  <si>
    <t>MALAS REFERENCIAS INTERNAS (WHIRL, KRONER, OH-CARDS, CUENTAS DE CAPTACION SOBREGIRADAS).</t>
  </si>
  <si>
    <t>COAHUILA</t>
  </si>
  <si>
    <t>ESTADO_DE_MEXICO</t>
  </si>
  <si>
    <t>MICHOACÁN</t>
  </si>
  <si>
    <t>SAN_LUIS_POTOSI</t>
  </si>
  <si>
    <t>VERACRUZ</t>
  </si>
  <si>
    <t>EMPLEADO</t>
  </si>
  <si>
    <t>Nobre del Cliente</t>
  </si>
  <si>
    <t>1.	Motivo de elevación y antecedentes del caso</t>
  </si>
  <si>
    <t>Folio LEAP (Solo si fue generado en sistema)</t>
  </si>
  <si>
    <t xml:space="preserve">                       Producto</t>
  </si>
  <si>
    <t xml:space="preserve">                       LTV</t>
  </si>
  <si>
    <t xml:space="preserve">                       Plazo</t>
  </si>
  <si>
    <t xml:space="preserve">                       Estado</t>
  </si>
  <si>
    <t xml:space="preserve">                       Municipio o Ciudad</t>
  </si>
  <si>
    <t xml:space="preserve">                       Tipo de Persona</t>
  </si>
  <si>
    <t xml:space="preserve">                       Ocupación</t>
  </si>
  <si>
    <t xml:space="preserve">                       Actividad/Giro</t>
  </si>
  <si>
    <t xml:space="preserve">                       Actividad Especifica</t>
  </si>
  <si>
    <t xml:space="preserve">        Portal  o  Pagina Web o Dirección de
        la URL de Redes Sociales la empresa</t>
  </si>
  <si>
    <t xml:space="preserve">                       Ingreso </t>
  </si>
  <si>
    <t xml:space="preserve">                      Tipo de Cliente</t>
  </si>
  <si>
    <t xml:space="preserve">                      Clasificación de Cliente</t>
  </si>
  <si>
    <t xml:space="preserve">                      Relación de Negocio</t>
  </si>
  <si>
    <t xml:space="preserve">                      Nivel de Riesgo</t>
  </si>
  <si>
    <t>Excepciones Requeridas</t>
  </si>
  <si>
    <t>AGUASCALIENTES</t>
  </si>
  <si>
    <t>BAJA_CALIFORNIA</t>
  </si>
  <si>
    <t>BAJA_CALIFORNIA_SUR</t>
  </si>
  <si>
    <t>CAMPECHE</t>
  </si>
  <si>
    <t>COLIMA</t>
  </si>
  <si>
    <t>CHIAPAS</t>
  </si>
  <si>
    <t>CHIHUAHUA</t>
  </si>
  <si>
    <t>DURANGO</t>
  </si>
  <si>
    <t>GUANAJUATO</t>
  </si>
  <si>
    <t>GERRERO</t>
  </si>
  <si>
    <t>HIDALGO</t>
  </si>
  <si>
    <t>JALISCO</t>
  </si>
  <si>
    <t>MORELOS</t>
  </si>
  <si>
    <t>NAYARIT</t>
  </si>
  <si>
    <t>NUEVO_LEÓN</t>
  </si>
  <si>
    <t>OAXACA</t>
  </si>
  <si>
    <t>PUEBLA</t>
  </si>
  <si>
    <t>QUERÉTARO</t>
  </si>
  <si>
    <t>QUINTANA_ROO</t>
  </si>
  <si>
    <t>SINALOA</t>
  </si>
  <si>
    <t>SONORA</t>
  </si>
  <si>
    <t>TABASCO</t>
  </si>
  <si>
    <t>TAMAULIPAS</t>
  </si>
  <si>
    <t>TLAXCALA</t>
  </si>
  <si>
    <t>YUCATÁN</t>
  </si>
  <si>
    <t>ZACATECAS</t>
  </si>
  <si>
    <t>ESTADOS</t>
  </si>
  <si>
    <t>ACAMBAY DE RUÍZ CASTAÑEDA</t>
  </si>
  <si>
    <t>ACOLMAN</t>
  </si>
  <si>
    <t>ACULCO</t>
  </si>
  <si>
    <t>ALMOLOYA DE ALQUISIRAS</t>
  </si>
  <si>
    <t>ALMOLOYA DE JUÁREZ</t>
  </si>
  <si>
    <t>ALMOLOYA DEL RÍO</t>
  </si>
  <si>
    <t>AMANALCO</t>
  </si>
  <si>
    <t>AMATEPEC</t>
  </si>
  <si>
    <t>AMECAMECA</t>
  </si>
  <si>
    <t>APAXCO</t>
  </si>
  <si>
    <t>ATENCO</t>
  </si>
  <si>
    <t>ATIZAPÁN</t>
  </si>
  <si>
    <t>ATIZAPÁN DE ZARAGOZA</t>
  </si>
  <si>
    <t>ATLACOMULCO</t>
  </si>
  <si>
    <t>ATLAUTLA</t>
  </si>
  <si>
    <t>AXAPUSCO</t>
  </si>
  <si>
    <t>AYAPANGO</t>
  </si>
  <si>
    <t>CALIMAYA</t>
  </si>
  <si>
    <t>CAPULHUAC</t>
  </si>
  <si>
    <t>CHALCO</t>
  </si>
  <si>
    <t>CHAPA DE MOTA</t>
  </si>
  <si>
    <t>CHAPULTEPEC</t>
  </si>
  <si>
    <t>CHIAUTLA</t>
  </si>
  <si>
    <t>CHICOLOAPAN</t>
  </si>
  <si>
    <t>CHICONCUAC</t>
  </si>
  <si>
    <t>CHIMALHUACÁN</t>
  </si>
  <si>
    <t>COACALCO DE BERRIOZÁBAL</t>
  </si>
  <si>
    <t>COATEPEC HARINAS</t>
  </si>
  <si>
    <t>COCOTITLÁN</t>
  </si>
  <si>
    <t>COYOTEPEC</t>
  </si>
  <si>
    <t>CUAUTITLÁN</t>
  </si>
  <si>
    <t>CUAUTITLÁN IZCALLI</t>
  </si>
  <si>
    <t>DONATO GUERRA</t>
  </si>
  <si>
    <t>ECATEPEC DE MORELOS</t>
  </si>
  <si>
    <t>ECATZINGO</t>
  </si>
  <si>
    <t>EL ORO</t>
  </si>
  <si>
    <t>HUEHUETOCA</t>
  </si>
  <si>
    <t>HUEYPOXTLA</t>
  </si>
  <si>
    <t>HUIXQUILUCAN</t>
  </si>
  <si>
    <t>ISIDRO FABELA</t>
  </si>
  <si>
    <t>IXTAPALUCA</t>
  </si>
  <si>
    <t>IXTAPAN DE LA SAL</t>
  </si>
  <si>
    <t>IXTAPAN DEL ORO</t>
  </si>
  <si>
    <t>IXTLAHUACA</t>
  </si>
  <si>
    <t>JALTENCO</t>
  </si>
  <si>
    <t>JILOTEPEC</t>
  </si>
  <si>
    <t>JILOTZINGO</t>
  </si>
  <si>
    <t>JIQUIPILCO</t>
  </si>
  <si>
    <t>JOCOTITLÁN</t>
  </si>
  <si>
    <t>JOQUICINGO</t>
  </si>
  <si>
    <t>JUCHITEPEC</t>
  </si>
  <si>
    <t>LA PAZ</t>
  </si>
  <si>
    <t>LERMA</t>
  </si>
  <si>
    <t>LUVIANOS</t>
  </si>
  <si>
    <t>MALINALCO</t>
  </si>
  <si>
    <t>MELCHOR OCAMPO</t>
  </si>
  <si>
    <t>METEPEC</t>
  </si>
  <si>
    <t>MEXICALTZINGO</t>
  </si>
  <si>
    <t>NAUCALPAN DE JUÁREZ</t>
  </si>
  <si>
    <t>NEXTLALPAN</t>
  </si>
  <si>
    <t>NEZAHUALCÓYOTL</t>
  </si>
  <si>
    <t>NICOLÁS ROMERO</t>
  </si>
  <si>
    <t>NOPALTEPEC</t>
  </si>
  <si>
    <t>OCOYOACAC</t>
  </si>
  <si>
    <t>OCUILAN</t>
  </si>
  <si>
    <t>OTUMBA</t>
  </si>
  <si>
    <t>OTZOLOAPAN</t>
  </si>
  <si>
    <t>OTZOLOTEPEC</t>
  </si>
  <si>
    <t>OZUMBA</t>
  </si>
  <si>
    <t>PAPALOTLA</t>
  </si>
  <si>
    <t>POLOTITLÁN</t>
  </si>
  <si>
    <t>RAYÓN</t>
  </si>
  <si>
    <t>SAN ANTONIO LA ISLA</t>
  </si>
  <si>
    <t>SAN FELIPE DEL PROGRESO</t>
  </si>
  <si>
    <t>SAN JOSÉ DEL RINCÓN</t>
  </si>
  <si>
    <t>SAN MARTÍN DE LAS PIRÁMIDES</t>
  </si>
  <si>
    <t>SAN MATEO ATENCO</t>
  </si>
  <si>
    <t>SAN SIMÓN DE GUERRERO</t>
  </si>
  <si>
    <t>SANTO TOMÁS</t>
  </si>
  <si>
    <t>SOYANIQUILPAN DE JUÁREZ</t>
  </si>
  <si>
    <t>SULTEPEC</t>
  </si>
  <si>
    <t>TECÁMAC</t>
  </si>
  <si>
    <t>TEJUPILCO</t>
  </si>
  <si>
    <t>TEMAMATLA</t>
  </si>
  <si>
    <t>TEMASCALAPA</t>
  </si>
  <si>
    <t>TEMASCALCINGO</t>
  </si>
  <si>
    <t>TEMASCALTEPEC</t>
  </si>
  <si>
    <t>TEMOAYA</t>
  </si>
  <si>
    <t>TENANCINGO</t>
  </si>
  <si>
    <t>TENANGO DEL AIRE</t>
  </si>
  <si>
    <t>TENANGO DEL VALLE</t>
  </si>
  <si>
    <t>TEOLOYUCAN</t>
  </si>
  <si>
    <t>TEOTIHUACÁN</t>
  </si>
  <si>
    <t>TEPETLAOXTOC</t>
  </si>
  <si>
    <t>TEPETLIXPA</t>
  </si>
  <si>
    <t>TEPOTZOTLÁN</t>
  </si>
  <si>
    <t>TEQUIXQUIAC</t>
  </si>
  <si>
    <t>TEXCALTITLÁN</t>
  </si>
  <si>
    <t>TEXCALYACAC</t>
  </si>
  <si>
    <t>TEXCOCO</t>
  </si>
  <si>
    <t>TEZOYUCA</t>
  </si>
  <si>
    <t>TIANGUISTENCO</t>
  </si>
  <si>
    <t>TIMILPAN</t>
  </si>
  <si>
    <t>TLALMANALCO</t>
  </si>
  <si>
    <t>TLALNEPANTLA DE BAZ</t>
  </si>
  <si>
    <t>TLATLAYA</t>
  </si>
  <si>
    <t>TOLUCA</t>
  </si>
  <si>
    <t>TONANITLA</t>
  </si>
  <si>
    <t>TONATICO</t>
  </si>
  <si>
    <t>TULTEPEC</t>
  </si>
  <si>
    <t>TULTITLÁN</t>
  </si>
  <si>
    <t>VALLE DE BRAVO</t>
  </si>
  <si>
    <t>VALLE DE CHALCO SOLIDARIDAD</t>
  </si>
  <si>
    <t>VILLA DE ALLENDE</t>
  </si>
  <si>
    <t>VILLA DEL CARBÓN</t>
  </si>
  <si>
    <t>VILLA GUERRERO</t>
  </si>
  <si>
    <t>VILLA VICTORIA</t>
  </si>
  <si>
    <t>XALATLACO</t>
  </si>
  <si>
    <t>XONACATLÁN</t>
  </si>
  <si>
    <t>ZACAZONAPAN</t>
  </si>
  <si>
    <t>ZACUALPAN</t>
  </si>
  <si>
    <t>ZINACANTEPEC</t>
  </si>
  <si>
    <t>ZUMPAHUACÁN</t>
  </si>
  <si>
    <t>ZUMPANGO</t>
  </si>
  <si>
    <t>ASIENTOS</t>
  </si>
  <si>
    <t>CALVILLO</t>
  </si>
  <si>
    <t>COSÍO</t>
  </si>
  <si>
    <t>EL LLANO</t>
  </si>
  <si>
    <t>JESÚS MARÍA</t>
  </si>
  <si>
    <t>PABELLÓN DE ARTEAGA</t>
  </si>
  <si>
    <t>RINCÓN DE ROMOS</t>
  </si>
  <si>
    <t>SAN FRANCISCO DE LOS ROMO</t>
  </si>
  <si>
    <t>SAN JOSÉ DE GRACIA</t>
  </si>
  <si>
    <t>TEPEZALÁ</t>
  </si>
  <si>
    <t>ENSENADA</t>
  </si>
  <si>
    <t>MEXICALI</t>
  </si>
  <si>
    <t>PLAYAS DE ROSARITO</t>
  </si>
  <si>
    <t>SAN FELIPE</t>
  </si>
  <si>
    <t>SAN QUINTÍN</t>
  </si>
  <si>
    <t>TECATE</t>
  </si>
  <si>
    <t>TIJUANA</t>
  </si>
  <si>
    <t>COMONDÚ</t>
  </si>
  <si>
    <t>LORETO</t>
  </si>
  <si>
    <t>LOS CABOS</t>
  </si>
  <si>
    <t>MULEGÉ</t>
  </si>
  <si>
    <t>CALAKMUL</t>
  </si>
  <si>
    <t>CALKINÍ</t>
  </si>
  <si>
    <t>CANDELARIA</t>
  </si>
  <si>
    <t>CARMEN</t>
  </si>
  <si>
    <t>CHAMPOTÓN</t>
  </si>
  <si>
    <t>DZITBALCHÉ</t>
  </si>
  <si>
    <t>ESCÁRCEGA</t>
  </si>
  <si>
    <t>HECELCHAKÁN</t>
  </si>
  <si>
    <t>HOPELCHÉN</t>
  </si>
  <si>
    <t>PALIZADA</t>
  </si>
  <si>
    <t>SEYBAPLAYA</t>
  </si>
  <si>
    <t>TENABO</t>
  </si>
  <si>
    <t>ABASOLO</t>
  </si>
  <si>
    <t>ACUÑA</t>
  </si>
  <si>
    <t>ALLENDE</t>
  </si>
  <si>
    <t>ARTEAGA</t>
  </si>
  <si>
    <t>CANDELA</t>
  </si>
  <si>
    <t>CASTAÑOS</t>
  </si>
  <si>
    <t>CUATRO CIÉNEGAS</t>
  </si>
  <si>
    <t>ESCOBEDO</t>
  </si>
  <si>
    <t>FRANCISCO I. MADERO</t>
  </si>
  <si>
    <t>FRONTERA</t>
  </si>
  <si>
    <t>GENERAL CEPEDA</t>
  </si>
  <si>
    <t>GUERRERO</t>
  </si>
  <si>
    <t>JIMÉNEZ</t>
  </si>
  <si>
    <t>JUÁREZ</t>
  </si>
  <si>
    <t>LAMADRID</t>
  </si>
  <si>
    <t>MATAMOROS</t>
  </si>
  <si>
    <t>MONCLOVA</t>
  </si>
  <si>
    <t>MÚZQUIZ</t>
  </si>
  <si>
    <t>NADADORES</t>
  </si>
  <si>
    <t>NAVA</t>
  </si>
  <si>
    <t>OCAMPO</t>
  </si>
  <si>
    <t>PARRAS</t>
  </si>
  <si>
    <t>PIEDRAS NEGRAS</t>
  </si>
  <si>
    <t>PROGRESO</t>
  </si>
  <si>
    <t>RAMOS ARIZPE</t>
  </si>
  <si>
    <t>SABINAS</t>
  </si>
  <si>
    <t>SACRAMENTO</t>
  </si>
  <si>
    <t>SALTILLO</t>
  </si>
  <si>
    <t>SAN BUENAVENTURA</t>
  </si>
  <si>
    <t>SAN JUAN DE SABINAS</t>
  </si>
  <si>
    <t>SAN PEDRO</t>
  </si>
  <si>
    <t>SIERRA MOJADA</t>
  </si>
  <si>
    <t>TORREÓN</t>
  </si>
  <si>
    <t>VIESCA</t>
  </si>
  <si>
    <t>VILLA UNIÓN</t>
  </si>
  <si>
    <t>ZARAGOZA</t>
  </si>
  <si>
    <t>CATALOGO DE EXCEPCIONES</t>
  </si>
  <si>
    <t>TIPO DE PERSONA</t>
  </si>
  <si>
    <t>PFAE</t>
  </si>
  <si>
    <t>PROF</t>
  </si>
  <si>
    <t>SOCIO/DUEÑO/PROPIETARIO</t>
  </si>
  <si>
    <t>PROFESIONISTA INDEPENDIENTE</t>
  </si>
  <si>
    <t>FUNCIONARIO</t>
  </si>
  <si>
    <t>DIRECTIVO</t>
  </si>
  <si>
    <t>PENSIONADO/JUBILADO</t>
  </si>
  <si>
    <t>SUMA VALIDACION DE DATOS</t>
  </si>
  <si>
    <t>PLAZO</t>
  </si>
  <si>
    <t>ARMERÍA</t>
  </si>
  <si>
    <t>ACACOYAGUA</t>
  </si>
  <si>
    <t>AHUMADA</t>
  </si>
  <si>
    <t>ÁLVARO OBREGÓN</t>
  </si>
  <si>
    <t>CANATLÁN</t>
  </si>
  <si>
    <t>ACAPULCO DE JUÁREZ</t>
  </si>
  <si>
    <t>ACATLÁN</t>
  </si>
  <si>
    <t>ACATIC</t>
  </si>
  <si>
    <t>ACUITZIO</t>
  </si>
  <si>
    <t>AMACUZAC</t>
  </si>
  <si>
    <t>ACAPONETA</t>
  </si>
  <si>
    <t>ABEJONES</t>
  </si>
  <si>
    <t>ZOQUITLÁN</t>
  </si>
  <si>
    <t>AMEALCO DE BONFIL</t>
  </si>
  <si>
    <t>BACALAR</t>
  </si>
  <si>
    <t>AHUALULCO DEL SONIDO 13</t>
  </si>
  <si>
    <t>AHOME</t>
  </si>
  <si>
    <t>ACONCHI</t>
  </si>
  <si>
    <t>BALANCÁN</t>
  </si>
  <si>
    <t>ACUAMANALA DE MIGUEL HIDALGO</t>
  </si>
  <si>
    <t>ACAJETE</t>
  </si>
  <si>
    <t>ABALÁ</t>
  </si>
  <si>
    <t>APOZOL</t>
  </si>
  <si>
    <t>ACALA</t>
  </si>
  <si>
    <t>ALDAMA</t>
  </si>
  <si>
    <t>AZCAPOTZALCO</t>
  </si>
  <si>
    <t>CANELAS</t>
  </si>
  <si>
    <t>ACÁMBARO</t>
  </si>
  <si>
    <t>ACATEPEC</t>
  </si>
  <si>
    <t>ACAXOCHITLÁN</t>
  </si>
  <si>
    <t>ACATLÁN DE JUÁREZ</t>
  </si>
  <si>
    <t>AGUILILLA</t>
  </si>
  <si>
    <t>ATLATLAHUCAN</t>
  </si>
  <si>
    <t>AHUACATLÁN</t>
  </si>
  <si>
    <t>AGUALEGUAS</t>
  </si>
  <si>
    <t>ACATLÁN DE PÉREZ FIGUEROA</t>
  </si>
  <si>
    <t>ZOQUIAPAN</t>
  </si>
  <si>
    <t>ARROYO SECO</t>
  </si>
  <si>
    <t>BENITO JUÁREZ</t>
  </si>
  <si>
    <t>ALAQUINES</t>
  </si>
  <si>
    <t>ANGOSTURA</t>
  </si>
  <si>
    <t>AGUA PRIETA</t>
  </si>
  <si>
    <t>CÁRDENAS</t>
  </si>
  <si>
    <t>AMAXAC DE GUERRERO</t>
  </si>
  <si>
    <t>ACANCEH</t>
  </si>
  <si>
    <t>APULCO</t>
  </si>
  <si>
    <t>COMALA</t>
  </si>
  <si>
    <t>ACAPETAHUA</t>
  </si>
  <si>
    <t>CONETO DE COMONFORT</t>
  </si>
  <si>
    <t>APASEO EL ALTO</t>
  </si>
  <si>
    <t>AHUACUOTZINGO</t>
  </si>
  <si>
    <t>ACTOPAN</t>
  </si>
  <si>
    <t>AHUALULCO DE MERCADO</t>
  </si>
  <si>
    <t>AXOCHIAPAN</t>
  </si>
  <si>
    <t>AMATLÁN DE CAÑAS</t>
  </si>
  <si>
    <t>ÁNIMAS TRUJANO</t>
  </si>
  <si>
    <t>ZONGOZOTLA</t>
  </si>
  <si>
    <t>CADEREYTA DE MONTES</t>
  </si>
  <si>
    <t>COZUMEL</t>
  </si>
  <si>
    <t>AQUISMÓN</t>
  </si>
  <si>
    <t>BADIRAGUATO</t>
  </si>
  <si>
    <t>ÁLAMOS</t>
  </si>
  <si>
    <t>CENTLA</t>
  </si>
  <si>
    <t>ALTAMIRA</t>
  </si>
  <si>
    <t>APETATITLÁN DE ANTONIO CARVAJAL</t>
  </si>
  <si>
    <t>ACAYUCAN</t>
  </si>
  <si>
    <t>AKIL</t>
  </si>
  <si>
    <t>ATOLINGA</t>
  </si>
  <si>
    <t>COQUIMATLÁN</t>
  </si>
  <si>
    <t>AQUILES SERDÁN</t>
  </si>
  <si>
    <t>COYOACÁN</t>
  </si>
  <si>
    <t>CUENCAMÉ</t>
  </si>
  <si>
    <t>APASEO EL GRANDE</t>
  </si>
  <si>
    <t>AJUCHITLÁN DEL PROGRESO</t>
  </si>
  <si>
    <t>AGUA BLANCA DE ITURBIDE</t>
  </si>
  <si>
    <t>AMACUECA</t>
  </si>
  <si>
    <t>ANGAMACUTIRO</t>
  </si>
  <si>
    <t>AYALA</t>
  </si>
  <si>
    <t>BAHÍA DE BANDERAS</t>
  </si>
  <si>
    <t>ANÁHUAC</t>
  </si>
  <si>
    <t>ASUNCIÓN CACALOTEPEC</t>
  </si>
  <si>
    <t>ZINACATEPEC</t>
  </si>
  <si>
    <t>COLÓN</t>
  </si>
  <si>
    <t>FELIPE CARRILLO PUERTO</t>
  </si>
  <si>
    <t>ARMADILLO DE LOS INFANTE</t>
  </si>
  <si>
    <t>CHOIX</t>
  </si>
  <si>
    <t>ALTAR</t>
  </si>
  <si>
    <t>CENTRO</t>
  </si>
  <si>
    <t>ANTIGUO MORELOS</t>
  </si>
  <si>
    <t>APIZACO</t>
  </si>
  <si>
    <t>BACA</t>
  </si>
  <si>
    <t>CUAUHTÉMOC</t>
  </si>
  <si>
    <t>ALTAMIRANO</t>
  </si>
  <si>
    <t>ASCENSIÓN</t>
  </si>
  <si>
    <t>CUAJIMALPA DE MORELOS</t>
  </si>
  <si>
    <t>ATARJEA</t>
  </si>
  <si>
    <t>ALCOZAUCA DE GUERRERO</t>
  </si>
  <si>
    <t>AJACUBA</t>
  </si>
  <si>
    <t>AMATITÁN</t>
  </si>
  <si>
    <t>ANGANGUEO</t>
  </si>
  <si>
    <t>COATETELCO</t>
  </si>
  <si>
    <t>COMPOSTELA</t>
  </si>
  <si>
    <t>APODACA</t>
  </si>
  <si>
    <t>ASUNCIÓN CUYOTEPEJI</t>
  </si>
  <si>
    <t>ZIHUATEUTLA</t>
  </si>
  <si>
    <t>CORREGIDORA</t>
  </si>
  <si>
    <t>ISLA MUJERES</t>
  </si>
  <si>
    <t>AXTLA DE TERRAZAS</t>
  </si>
  <si>
    <t>CONCORDIA</t>
  </si>
  <si>
    <t>ARIVECHI</t>
  </si>
  <si>
    <t>COMALCALCO</t>
  </si>
  <si>
    <t>BURGOS</t>
  </si>
  <si>
    <t>ATLANGATEPEC</t>
  </si>
  <si>
    <t>ACULA</t>
  </si>
  <si>
    <t>BOKOBÁ</t>
  </si>
  <si>
    <t>CALERA</t>
  </si>
  <si>
    <t>IXTLAHUACÁN</t>
  </si>
  <si>
    <t>AMATÁN</t>
  </si>
  <si>
    <t>BACHÍNIVA</t>
  </si>
  <si>
    <t>CELAYA</t>
  </si>
  <si>
    <t>ALPOYECA</t>
  </si>
  <si>
    <t>ALFAJAYUCAN</t>
  </si>
  <si>
    <t>AMECA</t>
  </si>
  <si>
    <t>APATZINGÁN</t>
  </si>
  <si>
    <t>COATLÁN DEL RÍO</t>
  </si>
  <si>
    <t>DEL NAYAR</t>
  </si>
  <si>
    <t>ARAMBERRI</t>
  </si>
  <si>
    <t>ASUNCIÓN IXTALTEPEC</t>
  </si>
  <si>
    <t>ZAUTLA</t>
  </si>
  <si>
    <t>EL MARQUÉS</t>
  </si>
  <si>
    <t>JOSÉ MARÍA MORELOS</t>
  </si>
  <si>
    <t>COSALÁ</t>
  </si>
  <si>
    <t>ARIZPE</t>
  </si>
  <si>
    <t>CUNDUACÁN</t>
  </si>
  <si>
    <t>BUSTAMANTE</t>
  </si>
  <si>
    <t>ATLTZAYANCA</t>
  </si>
  <si>
    <t>ACULTZINGO</t>
  </si>
  <si>
    <t>BUCTZOTZ</t>
  </si>
  <si>
    <t>CAÑITAS DE FELIPE PESCADOR</t>
  </si>
  <si>
    <t>MANZANILLO</t>
  </si>
  <si>
    <t>AMATENANGO DE LA FRONTERA</t>
  </si>
  <si>
    <t>BALLEZA</t>
  </si>
  <si>
    <t>GUSTAVO A. MADERO</t>
  </si>
  <si>
    <t>GENERAL SIMÓN BOLÍVAR</t>
  </si>
  <si>
    <t>COMONFORT</t>
  </si>
  <si>
    <t>APAXTLA</t>
  </si>
  <si>
    <t>ALMOLOYA</t>
  </si>
  <si>
    <t>ARANDAS</t>
  </si>
  <si>
    <t>APORO</t>
  </si>
  <si>
    <t>CUAUTLA</t>
  </si>
  <si>
    <t>HUAJICORI</t>
  </si>
  <si>
    <t>ASUNCIÓN NOCHIXTLÁN</t>
  </si>
  <si>
    <t>EZEQUIEL MONTES</t>
  </si>
  <si>
    <t>LÁZARO CÁRDENAS</t>
  </si>
  <si>
    <t>CATORCE</t>
  </si>
  <si>
    <t>CULIACÁN</t>
  </si>
  <si>
    <t>ATIL</t>
  </si>
  <si>
    <t>EMILIANO ZAPATA</t>
  </si>
  <si>
    <t>CAMARGO</t>
  </si>
  <si>
    <t>AGUA DULCE</t>
  </si>
  <si>
    <t>CACALCHÉN</t>
  </si>
  <si>
    <t>CHALCHIHUITES</t>
  </si>
  <si>
    <t>MINATITLÁN</t>
  </si>
  <si>
    <t>AMATENANGO DEL VALLE</t>
  </si>
  <si>
    <t>BATOPILAS DE MANUEL GÓMEZ MORÍN</t>
  </si>
  <si>
    <t>IZTACALCO</t>
  </si>
  <si>
    <t>GÓMEZ PALACIO</t>
  </si>
  <si>
    <t>CORONEO</t>
  </si>
  <si>
    <t>ARCELIA</t>
  </si>
  <si>
    <t>APAN</t>
  </si>
  <si>
    <t>ATEMAJAC DE BRIZUELA</t>
  </si>
  <si>
    <t>AQUILA</t>
  </si>
  <si>
    <t>CUERNAVACA</t>
  </si>
  <si>
    <t>IXTLÁN DEL RÍO</t>
  </si>
  <si>
    <t>CADEREYTA JIMÉNEZ</t>
  </si>
  <si>
    <t>ASUNCIÓN OCOTLÁN</t>
  </si>
  <si>
    <t>ZAPOTITLÁN DE MÉNDEZ</t>
  </si>
  <si>
    <t>HUIMILPAN</t>
  </si>
  <si>
    <t>OTHÓN P. BLANCO</t>
  </si>
  <si>
    <t>CEDRAL</t>
  </si>
  <si>
    <t>EL FUERTE</t>
  </si>
  <si>
    <t>BACADÉHUACHI</t>
  </si>
  <si>
    <t>HUIMANGUILLO</t>
  </si>
  <si>
    <t>CASAS</t>
  </si>
  <si>
    <t>CALPULALPAN</t>
  </si>
  <si>
    <t>ÁLAMO TEMAPACHE</t>
  </si>
  <si>
    <t>CALOTMUL</t>
  </si>
  <si>
    <t>CONCEPCIÓN DEL ORO</t>
  </si>
  <si>
    <t>TECOMÁN</t>
  </si>
  <si>
    <t>ÁNGEL ALBINO CORZO</t>
  </si>
  <si>
    <t>BOCOYNA</t>
  </si>
  <si>
    <t>IZTAPALAPA</t>
  </si>
  <si>
    <t>GUADALUPE VICTORIA</t>
  </si>
  <si>
    <t>CORTAZAR</t>
  </si>
  <si>
    <t>ATENANGO DEL RÍO</t>
  </si>
  <si>
    <t>ATITALAQUIA</t>
  </si>
  <si>
    <t>ATENGO</t>
  </si>
  <si>
    <t>ARIO</t>
  </si>
  <si>
    <t>JALA</t>
  </si>
  <si>
    <t>CERRALVO</t>
  </si>
  <si>
    <t>ASUNCIÓN TLACOLULITA</t>
  </si>
  <si>
    <t>ZAPOTITLÁN</t>
  </si>
  <si>
    <t>JALPAN DE SERRA</t>
  </si>
  <si>
    <t>PUERTO MORELOS</t>
  </si>
  <si>
    <t>CERRITOS</t>
  </si>
  <si>
    <t>ELOTA</t>
  </si>
  <si>
    <t>BACANORA</t>
  </si>
  <si>
    <t>JALAPA</t>
  </si>
  <si>
    <t>CIUDAD MADERO</t>
  </si>
  <si>
    <t>CHIAUTEMPAN</t>
  </si>
  <si>
    <t>ALPATLÁHUAC</t>
  </si>
  <si>
    <t>CANSAHCAB</t>
  </si>
  <si>
    <t>VILLA DE ÁLVAREZ</t>
  </si>
  <si>
    <t>ARRIAGA</t>
  </si>
  <si>
    <t>BUENAVENTURA</t>
  </si>
  <si>
    <t>LA MAGDALENA CONTRERAS</t>
  </si>
  <si>
    <t>GUANACEVÍ</t>
  </si>
  <si>
    <t>CUERÁMARO</t>
  </si>
  <si>
    <t>ATLAMAJALCINGO DEL MONTE</t>
  </si>
  <si>
    <t>ATLAPEXCO</t>
  </si>
  <si>
    <t>ATENGUILLO</t>
  </si>
  <si>
    <t>HUEYAPAN</t>
  </si>
  <si>
    <t>LA YESCA</t>
  </si>
  <si>
    <t>CHINA</t>
  </si>
  <si>
    <t>AYOQUEZCO DE ALDAMA</t>
  </si>
  <si>
    <t>ZACATLÁN</t>
  </si>
  <si>
    <t>LANDA DE MATAMOROS</t>
  </si>
  <si>
    <t>SOLIDARIDAD</t>
  </si>
  <si>
    <t>CERRO DE SAN PEDRO</t>
  </si>
  <si>
    <t>ESCUINAPA</t>
  </si>
  <si>
    <t>BACERAC</t>
  </si>
  <si>
    <t>JALPA DE MÉNDEZ</t>
  </si>
  <si>
    <t>CRUILLAS</t>
  </si>
  <si>
    <t>CONTLA DE JUAN CUAMATZI</t>
  </si>
  <si>
    <t>ALTO LUCERO DE GUTIÉRREZ BARRIOS</t>
  </si>
  <si>
    <t>CANTAMAYEC</t>
  </si>
  <si>
    <t>EL PLATEADO DE JOAQUÍN AMARO</t>
  </si>
  <si>
    <t>BEJUCAL DE OCAMPO</t>
  </si>
  <si>
    <t>MIGUEL HIDALGO</t>
  </si>
  <si>
    <t>DOCTOR MORA</t>
  </si>
  <si>
    <t>ATLIXTAC</t>
  </si>
  <si>
    <t>ATOTONILCO DE TULA</t>
  </si>
  <si>
    <t>ATOTONILCO EL ALTO</t>
  </si>
  <si>
    <t>BRISEÑAS</t>
  </si>
  <si>
    <t>HUITZILAC</t>
  </si>
  <si>
    <t>ROSAMORADA</t>
  </si>
  <si>
    <t>CIÉNEGA DE FLORES</t>
  </si>
  <si>
    <t>AYOTZINTEPEC</t>
  </si>
  <si>
    <t>ZACAPOAXTLA</t>
  </si>
  <si>
    <t>PEDRO ESCOBEDO</t>
  </si>
  <si>
    <t>TULUM</t>
  </si>
  <si>
    <t>CHARCAS</t>
  </si>
  <si>
    <t>GUASAVE</t>
  </si>
  <si>
    <t>BACOACHI</t>
  </si>
  <si>
    <t>JONUTA</t>
  </si>
  <si>
    <t>EL MANTE</t>
  </si>
  <si>
    <t>CUAPIAXTLA</t>
  </si>
  <si>
    <t>ALTOTONGA</t>
  </si>
  <si>
    <t>CELESTÚN</t>
  </si>
  <si>
    <t>EL SALVADOR</t>
  </si>
  <si>
    <t>BELLA VISTA</t>
  </si>
  <si>
    <t>CARICHÍ</t>
  </si>
  <si>
    <t>MILPA ALTA</t>
  </si>
  <si>
    <t>INDÉ</t>
  </si>
  <si>
    <t>DOLORES HIDALGO CUNA DE LA INDEPENDENCIA NACIONAL</t>
  </si>
  <si>
    <t>ATOYAC DE ÁLVAREZ</t>
  </si>
  <si>
    <t>ATOTONILCO EL GRANDE</t>
  </si>
  <si>
    <t>ATOYAC</t>
  </si>
  <si>
    <t>BUENAVISTA</t>
  </si>
  <si>
    <t>JANTETELCO</t>
  </si>
  <si>
    <t>RUÍZ</t>
  </si>
  <si>
    <t>DOCTOR ARROYO</t>
  </si>
  <si>
    <t>CALIHUALÁ</t>
  </si>
  <si>
    <t>ZACAPALA</t>
  </si>
  <si>
    <t>PEÑAMILLER</t>
  </si>
  <si>
    <t>CIUDAD DEL MAÍZ</t>
  </si>
  <si>
    <t>MAZATLÁN</t>
  </si>
  <si>
    <t>BÁCUM</t>
  </si>
  <si>
    <t>MACUSPANA</t>
  </si>
  <si>
    <t>GÓMEZ FARÍAS</t>
  </si>
  <si>
    <t>CUAXOMULCO</t>
  </si>
  <si>
    <t>ALVARADO</t>
  </si>
  <si>
    <t>CENOTILLO</t>
  </si>
  <si>
    <t>FRESNILLO</t>
  </si>
  <si>
    <t>BENEMÉRITO DE LAS AMÉRICAS</t>
  </si>
  <si>
    <t>CASAS GRANDES</t>
  </si>
  <si>
    <t>TLÁHUAC</t>
  </si>
  <si>
    <t>LERDO</t>
  </si>
  <si>
    <t>AYUTLA DE LOS LIBRES</t>
  </si>
  <si>
    <t>CALNALI</t>
  </si>
  <si>
    <t>AUTLÁN DE NAVARRO</t>
  </si>
  <si>
    <t>CARÁCUARO</t>
  </si>
  <si>
    <t>JIUTEPEC</t>
  </si>
  <si>
    <t>SAN BLAS</t>
  </si>
  <si>
    <t>DOCTOR COSS</t>
  </si>
  <si>
    <t>CANDELARIA LOXICHA</t>
  </si>
  <si>
    <t>YEHUALTEPEC</t>
  </si>
  <si>
    <t>PINAL DE AMOLES</t>
  </si>
  <si>
    <t>CIUDAD FERNÁNDEZ</t>
  </si>
  <si>
    <t>MOCORITO</t>
  </si>
  <si>
    <t>BANÁMICHI</t>
  </si>
  <si>
    <t>NACAJUCA</t>
  </si>
  <si>
    <t>GONZÁLEZ</t>
  </si>
  <si>
    <t>EL CARMEN TEQUEXQUITLA</t>
  </si>
  <si>
    <t>AMATITLÁN</t>
  </si>
  <si>
    <t>CHACSINKÍN</t>
  </si>
  <si>
    <t>GENARO CODINA</t>
  </si>
  <si>
    <t>BERRIOZÁBAL</t>
  </si>
  <si>
    <t>TLALPAN</t>
  </si>
  <si>
    <t>MAPIMÍ</t>
  </si>
  <si>
    <t>HUANÍMARO</t>
  </si>
  <si>
    <t>AZOYÚ</t>
  </si>
  <si>
    <t>CARDONAL</t>
  </si>
  <si>
    <t>AYOTLÁN</t>
  </si>
  <si>
    <t>CHARAPAN</t>
  </si>
  <si>
    <t>JOJUTLA</t>
  </si>
  <si>
    <t>SAN PEDRO LAGUNILLAS</t>
  </si>
  <si>
    <t>DOCTOR GONZÁLEZ</t>
  </si>
  <si>
    <t>CAPULÁLPAM DE MÉNDEZ</t>
  </si>
  <si>
    <t>YAONÁHUAC</t>
  </si>
  <si>
    <t>CIUDAD VALLES</t>
  </si>
  <si>
    <t>NAVOLATO</t>
  </si>
  <si>
    <t>BAVIÁCORA</t>
  </si>
  <si>
    <t>PARAÍSO</t>
  </si>
  <si>
    <t>GÜÉMEZ</t>
  </si>
  <si>
    <t>AMATLÁN DE LOS REYES</t>
  </si>
  <si>
    <t>CHANKOM</t>
  </si>
  <si>
    <t>GENERAL ENRIQUE ESTRADA</t>
  </si>
  <si>
    <t>BOCHIL</t>
  </si>
  <si>
    <t>CHÍNIPAS</t>
  </si>
  <si>
    <t>VENUSTIANO CARRANZA</t>
  </si>
  <si>
    <t>MEZQUITAL</t>
  </si>
  <si>
    <t>IRAPUATO</t>
  </si>
  <si>
    <t>CHAPANTONGO</t>
  </si>
  <si>
    <t>AYUTLA</t>
  </si>
  <si>
    <t>CHARO</t>
  </si>
  <si>
    <t>JONACATEPEC DE LEANDRO VALLE</t>
  </si>
  <si>
    <t>SANTA MARÍA DEL ORO</t>
  </si>
  <si>
    <t>EL CARMEN</t>
  </si>
  <si>
    <t>CHAHUITES</t>
  </si>
  <si>
    <t>XOCHITLÁN TODOS SANTOS</t>
  </si>
  <si>
    <t>SAN JOAQUÍN</t>
  </si>
  <si>
    <t>COXCATLÁN</t>
  </si>
  <si>
    <t>ROSARIO</t>
  </si>
  <si>
    <t>BAVISPE</t>
  </si>
  <si>
    <t>TACOTALPA</t>
  </si>
  <si>
    <t>ESPAÑITA</t>
  </si>
  <si>
    <t>ANGEL R. CABADA</t>
  </si>
  <si>
    <t>CHAPAB</t>
  </si>
  <si>
    <t>GENERAL FRANCISCO R. MURGUÍA</t>
  </si>
  <si>
    <t>CACAHOATÁN</t>
  </si>
  <si>
    <t>CORONADO</t>
  </si>
  <si>
    <t>XOCHIMILCO</t>
  </si>
  <si>
    <t>NAZAS</t>
  </si>
  <si>
    <t>JARAL DEL PROGRESO</t>
  </si>
  <si>
    <t>BUENAVISTA DE CUÉLLAR</t>
  </si>
  <si>
    <t>CHAPULHUACÁN</t>
  </si>
  <si>
    <t>BOLAÑOS</t>
  </si>
  <si>
    <t>CHAVINDA</t>
  </si>
  <si>
    <t>MAZATEPEC</t>
  </si>
  <si>
    <t>SANTIAGO IXCUINTLA</t>
  </si>
  <si>
    <t>GALEANA</t>
  </si>
  <si>
    <t>CHALCATONGO DE HIDALGO</t>
  </si>
  <si>
    <t>XOCHITLÁN DE VICENTE SUÁREZ</t>
  </si>
  <si>
    <t>SAN JUAN DEL RÍO</t>
  </si>
  <si>
    <t>EBANO</t>
  </si>
  <si>
    <t>SALVADOR ALVARADO</t>
  </si>
  <si>
    <t>TEAPA</t>
  </si>
  <si>
    <t>GUSTAVO DÍAZ ORDAZ</t>
  </si>
  <si>
    <t>HUAMANTLA</t>
  </si>
  <si>
    <t>APAZAPAN</t>
  </si>
  <si>
    <t>CHEMAX</t>
  </si>
  <si>
    <t>GENERAL PÁNFILO NATERA</t>
  </si>
  <si>
    <t>CAPITÁN LUIS ÁNGEL VIDAL</t>
  </si>
  <si>
    <t>COYAME DEL SOTOL</t>
  </si>
  <si>
    <t>NOMBRE DE DIOS</t>
  </si>
  <si>
    <t>JERÉCUARO</t>
  </si>
  <si>
    <t>CHILAPA DE ÁLVAREZ</t>
  </si>
  <si>
    <t>CHILCUAUTLA</t>
  </si>
  <si>
    <t>CABO CORRIENTES</t>
  </si>
  <si>
    <t>CHERÁN</t>
  </si>
  <si>
    <t>MIACATLÁN</t>
  </si>
  <si>
    <t>TECUALA</t>
  </si>
  <si>
    <t>GARCÍA</t>
  </si>
  <si>
    <t>CHIQUIHUITLÁN DE BENITO JUÁREZ</t>
  </si>
  <si>
    <t>XOCHILTEPEC</t>
  </si>
  <si>
    <t>TEQUISQUIAPAN</t>
  </si>
  <si>
    <t>EL NARANJO</t>
  </si>
  <si>
    <t>SAN IGNACIO</t>
  </si>
  <si>
    <t>BENJAMÍN HILL</t>
  </si>
  <si>
    <t>TENOSIQUE</t>
  </si>
  <si>
    <t>HUEYOTLIPAN</t>
  </si>
  <si>
    <t>CHICHIMILÁ</t>
  </si>
  <si>
    <t>GUADALUPE</t>
  </si>
  <si>
    <t>CATAZAJÁ</t>
  </si>
  <si>
    <t>NUEVO IDEAL</t>
  </si>
  <si>
    <t>LEÓN</t>
  </si>
  <si>
    <t>CHILPANCINGO DE LOS BRAVO</t>
  </si>
  <si>
    <t>CUAUTEPEC DE HINOJOSA</t>
  </si>
  <si>
    <t>CAÑADAS DE OBREGÓN</t>
  </si>
  <si>
    <t>CHILCHOTA</t>
  </si>
  <si>
    <t>OCUITUCO</t>
  </si>
  <si>
    <t>TEPIC</t>
  </si>
  <si>
    <t>GENERAL BRAVO</t>
  </si>
  <si>
    <t>CIÉNEGA DE ZIMATLÁN</t>
  </si>
  <si>
    <t>XOCHIAPULCO</t>
  </si>
  <si>
    <t>TOLIMÁN</t>
  </si>
  <si>
    <t>GUADALCÁZAR</t>
  </si>
  <si>
    <t>CABORCA</t>
  </si>
  <si>
    <t>JAUMAVE</t>
  </si>
  <si>
    <t>IXTACUIXTLA DE MARIANO MATAMOROS</t>
  </si>
  <si>
    <t>ASTACINGA</t>
  </si>
  <si>
    <t>CHICXULUB PUEBLO</t>
  </si>
  <si>
    <t>HUANUSCO</t>
  </si>
  <si>
    <t>CHALCHIHUITÁN</t>
  </si>
  <si>
    <t>CUSIHUIRIACHI</t>
  </si>
  <si>
    <t>MANUEL DOBLADO</t>
  </si>
  <si>
    <t>COAHUAYUTLA DE JOSÉ MARÍA IZAZAGA</t>
  </si>
  <si>
    <t>EL ARENAL</t>
  </si>
  <si>
    <t>CASIMIRO CASTILLO</t>
  </si>
  <si>
    <t>CHINICUILA</t>
  </si>
  <si>
    <t>PUENTE DE IXTLA</t>
  </si>
  <si>
    <t>TUXPAN</t>
  </si>
  <si>
    <t>GENERAL ESCOBEDO</t>
  </si>
  <si>
    <t>CIUDAD IXTEPEC</t>
  </si>
  <si>
    <t>XIUTETELCO</t>
  </si>
  <si>
    <t>HUEHUETLÁN</t>
  </si>
  <si>
    <t>CAJEME</t>
  </si>
  <si>
    <t>IXTENCO</t>
  </si>
  <si>
    <t>ATLAHUILCO</t>
  </si>
  <si>
    <t>CHIKINDZONOT</t>
  </si>
  <si>
    <t>JALPA</t>
  </si>
  <si>
    <t>CHAMULA</t>
  </si>
  <si>
    <t>DELICIAS</t>
  </si>
  <si>
    <t>OTÁEZ</t>
  </si>
  <si>
    <t>MOROLEÓN</t>
  </si>
  <si>
    <t>COCHOAPA EL GRANDE</t>
  </si>
  <si>
    <t>ELOXOCHITLÁN</t>
  </si>
  <si>
    <t>CHAPALA</t>
  </si>
  <si>
    <t>CHUCÁNDIRO</t>
  </si>
  <si>
    <t>TEMIXCO</t>
  </si>
  <si>
    <t>XALISCO</t>
  </si>
  <si>
    <t>GENERAL TERÁN</t>
  </si>
  <si>
    <t>COATECAS ALTAS</t>
  </si>
  <si>
    <t>XICOTLÁN</t>
  </si>
  <si>
    <t>LAGUNILLAS</t>
  </si>
  <si>
    <t>CANANEA</t>
  </si>
  <si>
    <t>LLERA</t>
  </si>
  <si>
    <t>LA MAGDALENA TLALTELULCO</t>
  </si>
  <si>
    <t>CHOCHOLÁ</t>
  </si>
  <si>
    <t>JEREZ</t>
  </si>
  <si>
    <t>CHANAL</t>
  </si>
  <si>
    <t>DR. BELISARIO DOMÍNGUEZ</t>
  </si>
  <si>
    <t>PÁNUCO DE CORONADO</t>
  </si>
  <si>
    <t>COCULA</t>
  </si>
  <si>
    <t>CHIMALTITÁN</t>
  </si>
  <si>
    <t>CHURINTZIO</t>
  </si>
  <si>
    <t>TEMOAC</t>
  </si>
  <si>
    <t>GENERAL TREVIÑO</t>
  </si>
  <si>
    <t>COICOYÁN DE LAS FLORES</t>
  </si>
  <si>
    <t>XICOTEPEC</t>
  </si>
  <si>
    <t>MATEHUALA</t>
  </si>
  <si>
    <t>CARBÓ</t>
  </si>
  <si>
    <t>MAINERO</t>
  </si>
  <si>
    <t>ATZACAN</t>
  </si>
  <si>
    <t>CHUMAYEL</t>
  </si>
  <si>
    <t>JIMÉNEZ DEL TEUL</t>
  </si>
  <si>
    <t>CHAPULTENANGO</t>
  </si>
  <si>
    <t>EL TULE</t>
  </si>
  <si>
    <t>PEÑÓN BLANCO</t>
  </si>
  <si>
    <t>PÉNJAMO</t>
  </si>
  <si>
    <t>COPALA</t>
  </si>
  <si>
    <t>EPAZOYUCAN</t>
  </si>
  <si>
    <t>CHIQUILISTLÁN</t>
  </si>
  <si>
    <t>CHURUMUCO</t>
  </si>
  <si>
    <t>TEPALCINGO</t>
  </si>
  <si>
    <t>GENERAL ZARAGOZA</t>
  </si>
  <si>
    <t>CONCEPCIÓN BUENAVISTA</t>
  </si>
  <si>
    <t>XAYACATLÁN DE BRAVO</t>
  </si>
  <si>
    <t>MATLAPA</t>
  </si>
  <si>
    <t>CUCURPE</t>
  </si>
  <si>
    <t>MAZATECOCHCO DE JOSÉ MARÍA MORELOS</t>
  </si>
  <si>
    <t>ATZALAN</t>
  </si>
  <si>
    <t>CONKAL</t>
  </si>
  <si>
    <t>JUAN ALDAMA</t>
  </si>
  <si>
    <t>CHENALHÓ</t>
  </si>
  <si>
    <t>POANAS</t>
  </si>
  <si>
    <t>PUEBLO NUEVO</t>
  </si>
  <si>
    <t>COPALILLO</t>
  </si>
  <si>
    <t>CIHUATLÁN</t>
  </si>
  <si>
    <t>COAHUAYANA</t>
  </si>
  <si>
    <t>TEPOZTLÁN</t>
  </si>
  <si>
    <t>GENERAL ZUAZUA</t>
  </si>
  <si>
    <t>CONCEPCIÓN PÁPALO</t>
  </si>
  <si>
    <t>VICENTE GUERRERO</t>
  </si>
  <si>
    <t>MEXQUITIC DE CARMONA</t>
  </si>
  <si>
    <t>CUMPAS</t>
  </si>
  <si>
    <t>MÉNDEZ</t>
  </si>
  <si>
    <t>MUÑOZ DE DOMINGO ARENAS</t>
  </si>
  <si>
    <t>AYAHUALULCO</t>
  </si>
  <si>
    <t>CUNCUNUL</t>
  </si>
  <si>
    <t>JUCHIPILA</t>
  </si>
  <si>
    <t>CHIAPA DE CORZO</t>
  </si>
  <si>
    <t>PURÍSIMA DEL RINCÓN</t>
  </si>
  <si>
    <t>COPANATOYAC</t>
  </si>
  <si>
    <t>HUASCA DE OCAMPO</t>
  </si>
  <si>
    <t>COALCOMÁN DE VÁZQUEZ PALLARES</t>
  </si>
  <si>
    <t>TETECALA</t>
  </si>
  <si>
    <t>CONSTANCIA DEL ROSARIO</t>
  </si>
  <si>
    <t>MOCTEZUMA</t>
  </si>
  <si>
    <t>DIVISADEROS</t>
  </si>
  <si>
    <t>MIER</t>
  </si>
  <si>
    <t>NANACAMILPA DE MARIANO ARISTA</t>
  </si>
  <si>
    <t>BANDERILLA</t>
  </si>
  <si>
    <t>CUZAMÁ</t>
  </si>
  <si>
    <t>CHIAPILLA</t>
  </si>
  <si>
    <t>GRAN MORELOS</t>
  </si>
  <si>
    <t>RODEO</t>
  </si>
  <si>
    <t>ROMITA</t>
  </si>
  <si>
    <t>COYUCA DE BENÍTEZ</t>
  </si>
  <si>
    <t>HUAUTLA</t>
  </si>
  <si>
    <t>COLOTLÁN</t>
  </si>
  <si>
    <t>COENEO</t>
  </si>
  <si>
    <t>TETELA DEL VOLCÁN</t>
  </si>
  <si>
    <t>COSOLAPA</t>
  </si>
  <si>
    <t>TZICATLACOYAN</t>
  </si>
  <si>
    <t>EMPALME</t>
  </si>
  <si>
    <t>MIGUEL ALEMÁN</t>
  </si>
  <si>
    <t>NATÍVITAS</t>
  </si>
  <si>
    <t>DZAN</t>
  </si>
  <si>
    <t>LUIS MOYA</t>
  </si>
  <si>
    <t>CHICOASÉN</t>
  </si>
  <si>
    <t>GUACHOCHI</t>
  </si>
  <si>
    <t>SAN BERNARDO</t>
  </si>
  <si>
    <t>SALAMANCA</t>
  </si>
  <si>
    <t>COYUCA DE CATALÁN</t>
  </si>
  <si>
    <t>HUAZALINGO</t>
  </si>
  <si>
    <t>CONCEPCIÓN DE BUENOS AIRES</t>
  </si>
  <si>
    <t>COJUMATLÁN DE RÉGULES</t>
  </si>
  <si>
    <t>TLALNEPANTLA</t>
  </si>
  <si>
    <t>HIGUERAS</t>
  </si>
  <si>
    <t>COSOLTEPEC</t>
  </si>
  <si>
    <t>TUZAMAPAN DE GALEANA</t>
  </si>
  <si>
    <t>RIOVERDE</t>
  </si>
  <si>
    <t>ETCHOJOA</t>
  </si>
  <si>
    <t>MIQUIHUANA</t>
  </si>
  <si>
    <t>PANOTLA</t>
  </si>
  <si>
    <t>BOCA DEL RÍO</t>
  </si>
  <si>
    <t>DZEMUL</t>
  </si>
  <si>
    <t>MAZAPIL</t>
  </si>
  <si>
    <t>CHICOMUSELO</t>
  </si>
  <si>
    <t>SAN DIMAS</t>
  </si>
  <si>
    <t>SALVATIERRA</t>
  </si>
  <si>
    <t>CUAJINICUILAPA</t>
  </si>
  <si>
    <t>HUEHUETLA</t>
  </si>
  <si>
    <t>CUAUTITLÁN DE GARCÍA BARRAGÁN</t>
  </si>
  <si>
    <t>CONTEPEC</t>
  </si>
  <si>
    <t>TLALTIZAPÁN DE ZAPATA</t>
  </si>
  <si>
    <t>HUALAHUISES</t>
  </si>
  <si>
    <t>CUILÁPAM DE GUERRERO</t>
  </si>
  <si>
    <t>TULCINGO</t>
  </si>
  <si>
    <t>SALINAS</t>
  </si>
  <si>
    <t>FRONTERAS</t>
  </si>
  <si>
    <t>NUEVO LAREDO</t>
  </si>
  <si>
    <t>PAPALOTLA DE XICOHTÉNCATL</t>
  </si>
  <si>
    <t>CALCAHUALCO</t>
  </si>
  <si>
    <t>DZIDZANTÚN</t>
  </si>
  <si>
    <t>CHILÓN</t>
  </si>
  <si>
    <t>GUADALUPE Y CALVO</t>
  </si>
  <si>
    <t>SAN JUAN DE GUADALUPE</t>
  </si>
  <si>
    <t>SAN DIEGO DE LA UNIÓN</t>
  </si>
  <si>
    <t>CUALÁC</t>
  </si>
  <si>
    <t>HUEJUTLA DE REYES</t>
  </si>
  <si>
    <t>COPÁNDARO</t>
  </si>
  <si>
    <t>TLAQUILTENANGO</t>
  </si>
  <si>
    <t>ITURBIDE</t>
  </si>
  <si>
    <t>CUYAMECALCO VILLA DE ZARAGOZA</t>
  </si>
  <si>
    <t>TOTOLTEPEC DE GUERRERO</t>
  </si>
  <si>
    <t>SAN ANTONIO</t>
  </si>
  <si>
    <t>GENERAL PLUTARCO ELÍAS CALLES</t>
  </si>
  <si>
    <t>NUEVO MORELOS</t>
  </si>
  <si>
    <t>SAN DAMIÁN TEXÓLOC</t>
  </si>
  <si>
    <t>CAMARÓN DE TEJEDA</t>
  </si>
  <si>
    <t>DZILAM DE BRAVO</t>
  </si>
  <si>
    <t>MEZQUITAL DEL ORO</t>
  </si>
  <si>
    <t>CINTALAPA DE FIGUEROA</t>
  </si>
  <si>
    <t>GUAZAPARES</t>
  </si>
  <si>
    <t>CUAUTEPEC</t>
  </si>
  <si>
    <t>HUICHAPAN</t>
  </si>
  <si>
    <t>CUQUÍO</t>
  </si>
  <si>
    <t>COTIJA</t>
  </si>
  <si>
    <t>TLAYACAPAN</t>
  </si>
  <si>
    <t>EL BARRIO DE LA SOLEDAD</t>
  </si>
  <si>
    <t>TOCHTEPEC</t>
  </si>
  <si>
    <t>SAN CIRO DE ACOSTA</t>
  </si>
  <si>
    <t>GRANADOS</t>
  </si>
  <si>
    <t>SAN FRANCISCO TETLANOHCAN</t>
  </si>
  <si>
    <t>CAMERINO Z. MENDOZA</t>
  </si>
  <si>
    <t>DZILAM GONZÁLEZ</t>
  </si>
  <si>
    <t>MIGUEL AUZA</t>
  </si>
  <si>
    <t>COAPILLA</t>
  </si>
  <si>
    <t>SAN LUIS DEL CORDERO</t>
  </si>
  <si>
    <t>SAN FRANCISCO DEL RINCÓN</t>
  </si>
  <si>
    <t>CUETZALA DEL PROGRESO</t>
  </si>
  <si>
    <t>IXMIQUILPAN</t>
  </si>
  <si>
    <t>DEGOLLADO</t>
  </si>
  <si>
    <t>CUITZEO</t>
  </si>
  <si>
    <t>TOTOLAPAN</t>
  </si>
  <si>
    <t>LAMPAZOS DE NARANJO</t>
  </si>
  <si>
    <t>EL ESPINAL</t>
  </si>
  <si>
    <t>TOCHIMILCO</t>
  </si>
  <si>
    <t>SAN LUIS POTOSÍ</t>
  </si>
  <si>
    <t>GUAYMAS</t>
  </si>
  <si>
    <t>PADILLA</t>
  </si>
  <si>
    <t>SAN JERÓNIMO ZACUALPAN</t>
  </si>
  <si>
    <t>CARLOS A. CARRILLO</t>
  </si>
  <si>
    <t>DZITÁS</t>
  </si>
  <si>
    <t>MOMAX</t>
  </si>
  <si>
    <t>COMITÁN DE DOMÍNGUEZ</t>
  </si>
  <si>
    <t>HIDALGO DEL PARRAL</t>
  </si>
  <si>
    <t>SAN PEDRO DEL GALLO</t>
  </si>
  <si>
    <t>SAN JOSÉ ITURBIDE</t>
  </si>
  <si>
    <t>CUTZAMALA DE PINZÓN</t>
  </si>
  <si>
    <t>JACALA DE LEDEZMA</t>
  </si>
  <si>
    <t>EJUTLA</t>
  </si>
  <si>
    <t>ECUANDUREO</t>
  </si>
  <si>
    <t>XOCHITEPEC</t>
  </si>
  <si>
    <t>LINARES</t>
  </si>
  <si>
    <t>ELOXOCHITLÁN DE FLORES MAGÓN</t>
  </si>
  <si>
    <t>TLAXCO</t>
  </si>
  <si>
    <t>SAN MARTÍN CHALCHICUAUTLA</t>
  </si>
  <si>
    <t>HERMOSILLO</t>
  </si>
  <si>
    <t>PALMILLAS</t>
  </si>
  <si>
    <t>SAN JOSÉ TEACALCO</t>
  </si>
  <si>
    <t>CARRILLO PUERTO</t>
  </si>
  <si>
    <t>DZONCAUICH</t>
  </si>
  <si>
    <t>MONTE ESCOBEDO</t>
  </si>
  <si>
    <t>COPAINALÁ</t>
  </si>
  <si>
    <t>HUEJOTITÁN</t>
  </si>
  <si>
    <t>SANTA CLARA</t>
  </si>
  <si>
    <t>SAN LUIS DE LA PAZ</t>
  </si>
  <si>
    <t>EDUARDO NERI</t>
  </si>
  <si>
    <t>JALTOCÁN</t>
  </si>
  <si>
    <t>EPITACIO HUERTA</t>
  </si>
  <si>
    <t>XOXOCOTLA</t>
  </si>
  <si>
    <t>LOS ALDAMAS</t>
  </si>
  <si>
    <t>FRESNILLO DE TRUJANO</t>
  </si>
  <si>
    <t>TLATLAUQUITEPEC</t>
  </si>
  <si>
    <t>SAN NICOLÁS TOLENTINO</t>
  </si>
  <si>
    <t>HUACHINERA</t>
  </si>
  <si>
    <t>REYNOSA</t>
  </si>
  <si>
    <t>SAN JUAN HUACTZINCO</t>
  </si>
  <si>
    <t>CASTILLO DE TEAYO</t>
  </si>
  <si>
    <t>ESPITA</t>
  </si>
  <si>
    <t>EL BOSQUE</t>
  </si>
  <si>
    <t>IGNACIO ZARAGOZA</t>
  </si>
  <si>
    <t>SANTIAGO PAPASQUIARO</t>
  </si>
  <si>
    <t>SAN MIGUEL DE ALLENDE</t>
  </si>
  <si>
    <t>FLORENCIO VILLARREAL</t>
  </si>
  <si>
    <t>JUÁREZ HIDALGO</t>
  </si>
  <si>
    <t>EL GRULLO</t>
  </si>
  <si>
    <t>ERONGARÍCUARO</t>
  </si>
  <si>
    <t>YAUTEPEC</t>
  </si>
  <si>
    <t>LOS HERRERAS</t>
  </si>
  <si>
    <t>GUADALUPE DE RAMÍREZ</t>
  </si>
  <si>
    <t>TLAPANALÁ</t>
  </si>
  <si>
    <t>SAN VICENTE TANCUAYALAB</t>
  </si>
  <si>
    <t>HUÁSABAS</t>
  </si>
  <si>
    <t>RÍO BRAVO</t>
  </si>
  <si>
    <t>SAN LORENZO AXOCOMANITLA</t>
  </si>
  <si>
    <t>CATEMACO</t>
  </si>
  <si>
    <t>HALACHÓ</t>
  </si>
  <si>
    <t>MOYAHUA DE ESTRADA</t>
  </si>
  <si>
    <t>EL PARRAL</t>
  </si>
  <si>
    <t>JANOS</t>
  </si>
  <si>
    <t>SÚCHIL</t>
  </si>
  <si>
    <t>SANTA CATARINA</t>
  </si>
  <si>
    <t>GENERAL CANUTO A. NERI</t>
  </si>
  <si>
    <t>LA MISIÓN</t>
  </si>
  <si>
    <t>EL LIMÓN</t>
  </si>
  <si>
    <t>GABRIEL ZAMORA</t>
  </si>
  <si>
    <t>YECAPIXTLA</t>
  </si>
  <si>
    <t>LOS RAMONES</t>
  </si>
  <si>
    <t>GUADALUPE ETLA</t>
  </si>
  <si>
    <t>TLAPACOYA</t>
  </si>
  <si>
    <t>HUATABAMPO</t>
  </si>
  <si>
    <t>SAN CARLOS</t>
  </si>
  <si>
    <t>SAN LUCAS TECOPILCO</t>
  </si>
  <si>
    <t>CAZONES DE HERRERA</t>
  </si>
  <si>
    <t>HOCABÁ</t>
  </si>
  <si>
    <t>NOCHISTLÁN DE MEJÍA</t>
  </si>
  <si>
    <t>EL PORVENIR</t>
  </si>
  <si>
    <t>TAMAZULA</t>
  </si>
  <si>
    <t>SANTA CRUZ DE JUVENTINO ROSAS</t>
  </si>
  <si>
    <t>GENERAL HELIODORO CASTILLO</t>
  </si>
  <si>
    <t>LOLOTLA</t>
  </si>
  <si>
    <t>EL SALTO</t>
  </si>
  <si>
    <t>ZACATEPEC</t>
  </si>
  <si>
    <t>MARÍN</t>
  </si>
  <si>
    <t>GUELATAO DE JUÁREZ</t>
  </si>
  <si>
    <t>TLAOLA</t>
  </si>
  <si>
    <t>SANTA MARÍA DEL RÍO</t>
  </si>
  <si>
    <t>HUÉPAC</t>
  </si>
  <si>
    <t>SAN FERNANDO</t>
  </si>
  <si>
    <t>SAN PABLO DEL MONTE</t>
  </si>
  <si>
    <t>CERRO AZUL</t>
  </si>
  <si>
    <t>HOCTÚN</t>
  </si>
  <si>
    <t>NORIA DE ÁNGELES</t>
  </si>
  <si>
    <t>TEPEHUANES</t>
  </si>
  <si>
    <t>SANTIAGO MARAVATÍO</t>
  </si>
  <si>
    <t>HUAMUXTITLÁN</t>
  </si>
  <si>
    <t>ENCARNACIÓN DE DÍAZ</t>
  </si>
  <si>
    <t>HUANDACAREO</t>
  </si>
  <si>
    <t>ZACUALPAN DE AMILPAS</t>
  </si>
  <si>
    <t>GUEVEA DE HUMBOLDT</t>
  </si>
  <si>
    <t>TLANEPANTLA</t>
  </si>
  <si>
    <t>SANTO DOMINGO</t>
  </si>
  <si>
    <t>IMURIS</t>
  </si>
  <si>
    <t>SAN NICOLÁS</t>
  </si>
  <si>
    <t>SANCTÓRUM DE LÁZARO CÁRDENAS</t>
  </si>
  <si>
    <t>CHACALTIANGUIS</t>
  </si>
  <si>
    <t>HOMÚN</t>
  </si>
  <si>
    <t>OJOCALIENTE</t>
  </si>
  <si>
    <t>ESCUINTLA</t>
  </si>
  <si>
    <t>JULIMES</t>
  </si>
  <si>
    <t>TLAHUALILO</t>
  </si>
  <si>
    <t>SILAO DE LA VICTORIA</t>
  </si>
  <si>
    <t>HUITZUCO DE LOS FIGUEROA</t>
  </si>
  <si>
    <t>METZTITLÁN</t>
  </si>
  <si>
    <t>ETZATLÁN</t>
  </si>
  <si>
    <t>HUANIQUEO</t>
  </si>
  <si>
    <t>MIER Y NORIEGA</t>
  </si>
  <si>
    <t>HEROICA CIUDAD DE EJUTLA DE CRESPO</t>
  </si>
  <si>
    <t>TLALTENANGO</t>
  </si>
  <si>
    <t>SOLEDAD DE GRACIANO SÁNCHEZ</t>
  </si>
  <si>
    <t>LA COLORADA</t>
  </si>
  <si>
    <t>SOTO LA MARINA</t>
  </si>
  <si>
    <t>SANTA ANA NOPALUCAN</t>
  </si>
  <si>
    <t>CHALMA</t>
  </si>
  <si>
    <t>HUHÍ</t>
  </si>
  <si>
    <t>PÁNUCO</t>
  </si>
  <si>
    <t>FRANCISCO LEÓN</t>
  </si>
  <si>
    <t>LA CRUZ</t>
  </si>
  <si>
    <t>TOPIA</t>
  </si>
  <si>
    <t>TARANDACUAO</t>
  </si>
  <si>
    <t>IGUALA DE LA INDEPENDENCIA</t>
  </si>
  <si>
    <t>MINERAL DE LA REFORMA</t>
  </si>
  <si>
    <t>HUETAMO</t>
  </si>
  <si>
    <t>MINA</t>
  </si>
  <si>
    <t>HEROICA CIUDAD DE HUAJUAPAN DE LEÓN</t>
  </si>
  <si>
    <t>TLAHUAPAN</t>
  </si>
  <si>
    <t>TAMASOPO</t>
  </si>
  <si>
    <t>MAGDALENA</t>
  </si>
  <si>
    <t>TAMPICO</t>
  </si>
  <si>
    <t>SANTA APOLONIA TEACALCO</t>
  </si>
  <si>
    <t>CHICONAMEL</t>
  </si>
  <si>
    <t>HUNUCMÁ</t>
  </si>
  <si>
    <t>PINOS</t>
  </si>
  <si>
    <t>FRONTERA COMALAPA</t>
  </si>
  <si>
    <t>LÓPEZ</t>
  </si>
  <si>
    <t>TARIMORO</t>
  </si>
  <si>
    <t>IGUALAPA</t>
  </si>
  <si>
    <t>MINERAL DEL CHICO</t>
  </si>
  <si>
    <t>GUACHINANGO</t>
  </si>
  <si>
    <t>HUIRAMBA</t>
  </si>
  <si>
    <t>MONTEMORELOS</t>
  </si>
  <si>
    <t>HEROICA CIUDAD DE TLAXIACO</t>
  </si>
  <si>
    <t>TLACUILOTEPEC</t>
  </si>
  <si>
    <t>TAMAZUNCHALE</t>
  </si>
  <si>
    <t>MAZATÁN</t>
  </si>
  <si>
    <t>TULA</t>
  </si>
  <si>
    <t>SANTA CATARINA AYOMETLA</t>
  </si>
  <si>
    <t>CHICONQUIACO</t>
  </si>
  <si>
    <t>IXIL</t>
  </si>
  <si>
    <t>RÍO GRANDE</t>
  </si>
  <si>
    <t>FRONTERA HIDALGO</t>
  </si>
  <si>
    <t>MADERA</t>
  </si>
  <si>
    <t>TIERRA BLANCA</t>
  </si>
  <si>
    <t>ILIATENCO</t>
  </si>
  <si>
    <t>MINERAL DEL MONTE</t>
  </si>
  <si>
    <t>GUADALAJARA</t>
  </si>
  <si>
    <t>INDAPARAPEO</t>
  </si>
  <si>
    <t>MONTERREY</t>
  </si>
  <si>
    <t>HEROICA VILLA DE SAN BLAS ATEMPA</t>
  </si>
  <si>
    <t>TLACOTEPEC DE BENITO JUÁREZ</t>
  </si>
  <si>
    <t>TAMPACÁN</t>
  </si>
  <si>
    <t>VALLE HERMOSO</t>
  </si>
  <si>
    <t>SANTA CRUZ QUILEHTLA</t>
  </si>
  <si>
    <t>CHICONTEPEC</t>
  </si>
  <si>
    <t>IZAMAL</t>
  </si>
  <si>
    <t>SAIN ALTO</t>
  </si>
  <si>
    <t>HONDURAS DE LA SIERRA</t>
  </si>
  <si>
    <t>MAGUARICHI</t>
  </si>
  <si>
    <t>URIANGATO</t>
  </si>
  <si>
    <t>IXCATEOPAN DE CUAUHTÉMOC</t>
  </si>
  <si>
    <t>MIXQUIAHUALA DE JUÁREZ</t>
  </si>
  <si>
    <t>HOSTOTIPAQUILLO</t>
  </si>
  <si>
    <t>IRIMBO</t>
  </si>
  <si>
    <t>PARÁS</t>
  </si>
  <si>
    <t>HUAUTEPEC</t>
  </si>
  <si>
    <t>TLACHICHUCA</t>
  </si>
  <si>
    <t>TAMPAMOLÓN CORONA</t>
  </si>
  <si>
    <t>NACO</t>
  </si>
  <si>
    <t>VICTORIA</t>
  </si>
  <si>
    <t>SANTA CRUZ TLAXCALA</t>
  </si>
  <si>
    <t>CHINAMECA</t>
  </si>
  <si>
    <t>KANASÍN</t>
  </si>
  <si>
    <t>SANTA MARÍA DE LA PAZ</t>
  </si>
  <si>
    <t>HUEHUETÁN</t>
  </si>
  <si>
    <t>MANUEL BENAVIDES</t>
  </si>
  <si>
    <t>VALLE DE SANTIAGO</t>
  </si>
  <si>
    <t>JOSÉ JOAQUÍN DE HERRERA</t>
  </si>
  <si>
    <t>MOLANGO DE ESCAMILLA</t>
  </si>
  <si>
    <t>HUEJÚCAR</t>
  </si>
  <si>
    <t>IXTLÁN</t>
  </si>
  <si>
    <t>PESQUERÍA</t>
  </si>
  <si>
    <t>HUAUTLA DE JIMÉNEZ</t>
  </si>
  <si>
    <t>TILAPA</t>
  </si>
  <si>
    <t>TAMUÍN</t>
  </si>
  <si>
    <t>NÁCORI CHICO</t>
  </si>
  <si>
    <t>VILLAGRÁN</t>
  </si>
  <si>
    <t>SANTA ISABEL XILOXOXTLA</t>
  </si>
  <si>
    <t>CHINAMPA DE GOROSTIZA</t>
  </si>
  <si>
    <t>KANTUNIL</t>
  </si>
  <si>
    <t>SOMBRERETE</t>
  </si>
  <si>
    <t>HUITIUPÁN</t>
  </si>
  <si>
    <t>MATACHÍ</t>
  </si>
  <si>
    <t>JUAN R. ESCUDERO</t>
  </si>
  <si>
    <t>NICOLÁS FLORES</t>
  </si>
  <si>
    <t>HUEJUQUILLA EL ALTO</t>
  </si>
  <si>
    <t>JACONA</t>
  </si>
  <si>
    <t>RAYONES</t>
  </si>
  <si>
    <t>IXPANTEPEC NIEVES</t>
  </si>
  <si>
    <t>TIANGUISMANALCO</t>
  </si>
  <si>
    <t>TANCANHUITZ</t>
  </si>
  <si>
    <t>NACOZARI DE GARCÍA</t>
  </si>
  <si>
    <t>XICOTÉNCATL</t>
  </si>
  <si>
    <t>CHOCAMÁN</t>
  </si>
  <si>
    <t>KAUA</t>
  </si>
  <si>
    <t>SUSTICACÁN</t>
  </si>
  <si>
    <t>HUIXTÁN</t>
  </si>
  <si>
    <t>JUCHITÁN</t>
  </si>
  <si>
    <t>NOPALA DE VILLAGRÁN</t>
  </si>
  <si>
    <t>IXTLAHUACÁN DE LOS MEMBRILLOS</t>
  </si>
  <si>
    <t>SABINAS HIDALGO</t>
  </si>
  <si>
    <t>IXTLÁN DE JUÁREZ</t>
  </si>
  <si>
    <t>TEZIUTLÁN</t>
  </si>
  <si>
    <t>TANLAJÁS</t>
  </si>
  <si>
    <t>NAVOJOA</t>
  </si>
  <si>
    <t>TEOLOCHOLCO</t>
  </si>
  <si>
    <t>CHONTLA</t>
  </si>
  <si>
    <t>KINCHIL</t>
  </si>
  <si>
    <t>HUIXTLA</t>
  </si>
  <si>
    <t>MEOQUI</t>
  </si>
  <si>
    <t>XICHÚ</t>
  </si>
  <si>
    <t>LA UNIÓN DE ISIDORO MONTES DE OCA</t>
  </si>
  <si>
    <t>OMITLÁN DE JUÁREZ</t>
  </si>
  <si>
    <t>IXTLAHUACÁN DEL RÍO</t>
  </si>
  <si>
    <t>JIQUILPAN</t>
  </si>
  <si>
    <t>SALINAS VICTORIA</t>
  </si>
  <si>
    <t>JUCHITÁN DE ZARAGOZA</t>
  </si>
  <si>
    <t>TETELES DE ÁVILA CASTILLO</t>
  </si>
  <si>
    <t>TANQUIÁN DE ESCOBEDO</t>
  </si>
  <si>
    <t>NOGALES</t>
  </si>
  <si>
    <t>TEPETITLA DE LARDIZÁBAL</t>
  </si>
  <si>
    <t>CHUMATLÁN</t>
  </si>
  <si>
    <t>KOPOMÁ</t>
  </si>
  <si>
    <t>TEPECHITLÁN</t>
  </si>
  <si>
    <t>IXHUATÁN</t>
  </si>
  <si>
    <t>YURIRIA</t>
  </si>
  <si>
    <t>LAS VIGAS</t>
  </si>
  <si>
    <t>PACHUCA DE SOTO</t>
  </si>
  <si>
    <t>JALOSTOTITLÁN</t>
  </si>
  <si>
    <t>JOSÉ SIXTO VERDUZCO</t>
  </si>
  <si>
    <t>SAN NICOLÁS DE LOS GARZA</t>
  </si>
  <si>
    <t>LA COMPAÑÍA</t>
  </si>
  <si>
    <t>TETELA DE OCAMPO</t>
  </si>
  <si>
    <t>TIERRA NUEVA</t>
  </si>
  <si>
    <t>ÓNAVAS</t>
  </si>
  <si>
    <t>TEPEYANCO</t>
  </si>
  <si>
    <t>CITLALTÉPETL</t>
  </si>
  <si>
    <t>MAMA</t>
  </si>
  <si>
    <t>TEPETONGO</t>
  </si>
  <si>
    <t>IXTACOMITÁN</t>
  </si>
  <si>
    <t>MORIS</t>
  </si>
  <si>
    <t>LEONARDO BRAVO</t>
  </si>
  <si>
    <t>PACULA</t>
  </si>
  <si>
    <t>JAMAY</t>
  </si>
  <si>
    <t>SAN PEDRO GARZA GARCÍA</t>
  </si>
  <si>
    <t>LA PE</t>
  </si>
  <si>
    <t>TEPEYAHUALCO DE CUAUHTÉMOC</t>
  </si>
  <si>
    <t>VANEGAS</t>
  </si>
  <si>
    <t>OPODEPE</t>
  </si>
  <si>
    <t>TERRENATE</t>
  </si>
  <si>
    <t>COACOATZINTLA</t>
  </si>
  <si>
    <t>MANÍ</t>
  </si>
  <si>
    <t>TEÚL DE GONZÁLEZ ORTEGA</t>
  </si>
  <si>
    <t>IXTAPA</t>
  </si>
  <si>
    <t>NAMIQUIPA</t>
  </si>
  <si>
    <t>MALINALTEPEC</t>
  </si>
  <si>
    <t>PISAFLORES</t>
  </si>
  <si>
    <t>JUNGAPEO</t>
  </si>
  <si>
    <t>LA REFORMA</t>
  </si>
  <si>
    <t>TEPEYAHUALCO</t>
  </si>
  <si>
    <t>VENADO</t>
  </si>
  <si>
    <t>OQUITOA</t>
  </si>
  <si>
    <t>TETLA DE LA SOLIDARIDAD</t>
  </si>
  <si>
    <t>COAHUITLÁN</t>
  </si>
  <si>
    <t>MAXCANÚ</t>
  </si>
  <si>
    <t>TLALTENANGO DE SÁNCHEZ ROMÁN</t>
  </si>
  <si>
    <t>IXTAPANGAJOYA</t>
  </si>
  <si>
    <t>NONOAVA</t>
  </si>
  <si>
    <t>MARQUELIA</t>
  </si>
  <si>
    <t>PROGRESO DE OBREGÓN</t>
  </si>
  <si>
    <t>JILOTLÁN DE LOS DOLORES</t>
  </si>
  <si>
    <t>LA HUACANA</t>
  </si>
  <si>
    <t>SANTIAGO</t>
  </si>
  <si>
    <t>LA TRINIDAD VISTA HERMOSA</t>
  </si>
  <si>
    <t>TEPEXI DE RODRÍGUEZ</t>
  </si>
  <si>
    <t>VILLA DE ARISTA</t>
  </si>
  <si>
    <t>PITIQUITO</t>
  </si>
  <si>
    <t>TETLATLAHUCA</t>
  </si>
  <si>
    <t>COATEPEC</t>
  </si>
  <si>
    <t>MAYAPÁN</t>
  </si>
  <si>
    <t>TRANCOSO</t>
  </si>
  <si>
    <t>JIQUIPILAS</t>
  </si>
  <si>
    <t>NUEVO CASAS GRANDES</t>
  </si>
  <si>
    <t>MÁRTIR DE CUILAPAN</t>
  </si>
  <si>
    <t>SAN AGUSTÍN METZQUITITLÁN</t>
  </si>
  <si>
    <t>JOCOTEPEC</t>
  </si>
  <si>
    <t>LA PIEDAD</t>
  </si>
  <si>
    <t>VALLECILLO</t>
  </si>
  <si>
    <t>LOMA BONITA</t>
  </si>
  <si>
    <t>TEPEXCO</t>
  </si>
  <si>
    <t>VILLA DE ARRIAGA</t>
  </si>
  <si>
    <t>PUERTO PEÑASCO</t>
  </si>
  <si>
    <t>COATZACOALCOS</t>
  </si>
  <si>
    <t>MÉRIDA</t>
  </si>
  <si>
    <t>TRINIDAD GARCÍA DE LA CADENA</t>
  </si>
  <si>
    <t>JITOTOL</t>
  </si>
  <si>
    <t>METLATÓNOC</t>
  </si>
  <si>
    <t>SAN AGUSTÍN TLAXIACA</t>
  </si>
  <si>
    <t>JUANACATLÁN</t>
  </si>
  <si>
    <t>VILLALDAMA</t>
  </si>
  <si>
    <t>MAGDALENA APASCO</t>
  </si>
  <si>
    <t>TEPETZINTLA</t>
  </si>
  <si>
    <t>VILLA DE GUADALUPE</t>
  </si>
  <si>
    <t>QUIRIEGO</t>
  </si>
  <si>
    <t>COATZINTLA</t>
  </si>
  <si>
    <t>MOCOCHÁ</t>
  </si>
  <si>
    <t>VALPARAÍSO</t>
  </si>
  <si>
    <t>OJINAGA</t>
  </si>
  <si>
    <t>MOCHITLÁN</t>
  </si>
  <si>
    <t>SAN BARTOLO TUTOTEPEC</t>
  </si>
  <si>
    <t>JUCHITLÁN</t>
  </si>
  <si>
    <t>MAGDALENA JALTEPEC</t>
  </si>
  <si>
    <t>TEPEOJUMA</t>
  </si>
  <si>
    <t>VILLA DE LA PAZ</t>
  </si>
  <si>
    <t>TOCATLÁN</t>
  </si>
  <si>
    <t>COETZALA</t>
  </si>
  <si>
    <t>MOTUL</t>
  </si>
  <si>
    <t>VETAGRANDE</t>
  </si>
  <si>
    <t>LA CONCORDIA</t>
  </si>
  <si>
    <t>PRAXEDIS G. GUERRERO</t>
  </si>
  <si>
    <t>ÑUU SAVI</t>
  </si>
  <si>
    <t>SAN FELIPE ORIZATLÁN</t>
  </si>
  <si>
    <t>LA BARCA</t>
  </si>
  <si>
    <t>LOS REYES</t>
  </si>
  <si>
    <t>MAGDALENA MIXTEPEC</t>
  </si>
  <si>
    <t>TEPEMAXALCO</t>
  </si>
  <si>
    <t>VILLA DE RAMOS</t>
  </si>
  <si>
    <t>TOTOLAC</t>
  </si>
  <si>
    <t>COLIPA</t>
  </si>
  <si>
    <t>MUNA</t>
  </si>
  <si>
    <t>VILLA DE COS</t>
  </si>
  <si>
    <t>LA GRANDEZA</t>
  </si>
  <si>
    <t>RIVA PALACIO</t>
  </si>
  <si>
    <t>OLINALÁ</t>
  </si>
  <si>
    <t>SAN SALVADOR</t>
  </si>
  <si>
    <t>LA HUERTA</t>
  </si>
  <si>
    <t>MADERO</t>
  </si>
  <si>
    <t>MAGDALENA OCOTLÁN</t>
  </si>
  <si>
    <t>TEPEACA</t>
  </si>
  <si>
    <t>VILLA DE REYES</t>
  </si>
  <si>
    <t>SAHUARIPA</t>
  </si>
  <si>
    <t>TZOMPANTEPEC</t>
  </si>
  <si>
    <t>COMAPA</t>
  </si>
  <si>
    <t>MUXUPIP</t>
  </si>
  <si>
    <t>VILLA GARCÍA</t>
  </si>
  <si>
    <t>LA INDEPENDENCIA</t>
  </si>
  <si>
    <t>ROSALES</t>
  </si>
  <si>
    <t>OMETEPEC</t>
  </si>
  <si>
    <t>SANTIAGO DE ANAYA</t>
  </si>
  <si>
    <t>LA MANZANILLA DE LA PAZ</t>
  </si>
  <si>
    <t>MARAVATÍO</t>
  </si>
  <si>
    <t>MAGDALENA PEÑASCO</t>
  </si>
  <si>
    <t>TEPATLAXCO DE HIDALGO</t>
  </si>
  <si>
    <t>VILLA HIDALGO</t>
  </si>
  <si>
    <t>SAN FELIPE DE JESÚS</t>
  </si>
  <si>
    <t>XALOZTOC</t>
  </si>
  <si>
    <t>CÓRDOBA</t>
  </si>
  <si>
    <t>OPICHÉN</t>
  </si>
  <si>
    <t>VILLA GONZÁLEZ ORTEGA</t>
  </si>
  <si>
    <t>LA LIBERTAD</t>
  </si>
  <si>
    <t>PEDRO ASCENCIO ALQUISIRAS</t>
  </si>
  <si>
    <t>SANTIAGO TULANTEPEC DE LUGO GUERRERO</t>
  </si>
  <si>
    <t>LAGOS DE MORENO</t>
  </si>
  <si>
    <t>MARCOS CASTELLANOS</t>
  </si>
  <si>
    <t>MAGDALENA TEITIPAC</t>
  </si>
  <si>
    <t>TEPANGO DE RODRÍGUEZ</t>
  </si>
  <si>
    <t>VILLA JUÁREZ</t>
  </si>
  <si>
    <t>SAN IGNACIO RÍO MUERTO</t>
  </si>
  <si>
    <t>XALTOCAN</t>
  </si>
  <si>
    <t>COSAMALOAPAN DE CARPIO</t>
  </si>
  <si>
    <t>OXKUTZCAB</t>
  </si>
  <si>
    <t>LA TRINITARIA</t>
  </si>
  <si>
    <t>SAN FRANCISCO DE BORJA</t>
  </si>
  <si>
    <t>PETATLÁN</t>
  </si>
  <si>
    <t>SINGUILUCAN</t>
  </si>
  <si>
    <t>MORELIA</t>
  </si>
  <si>
    <t>MAGDALENA TEQUISISTLÁN</t>
  </si>
  <si>
    <t>TEPANCO DE LÓPEZ</t>
  </si>
  <si>
    <t>XILITLA</t>
  </si>
  <si>
    <t>SAN JAVIER</t>
  </si>
  <si>
    <t>XICOHTZINCO</t>
  </si>
  <si>
    <t>COSAUTLÁN DE CARVAJAL</t>
  </si>
  <si>
    <t>PANABÁ</t>
  </si>
  <si>
    <t>VILLANUEVA</t>
  </si>
  <si>
    <t>LARRÁINZAR</t>
  </si>
  <si>
    <t>SAN FRANCISCO DE CONCHOS</t>
  </si>
  <si>
    <t>PILCAYA</t>
  </si>
  <si>
    <t>TASQUILLO</t>
  </si>
  <si>
    <t>MASCOTA</t>
  </si>
  <si>
    <t>MAGDALENA TLACOTEPEC</t>
  </si>
  <si>
    <t>TEOTLALCO</t>
  </si>
  <si>
    <t>SAN LUIS RÍO COLORADO</t>
  </si>
  <si>
    <t>YAUHQUEMEHCAN</t>
  </si>
  <si>
    <t>COSCOMATEPEC</t>
  </si>
  <si>
    <t>PETO</t>
  </si>
  <si>
    <t>LAS MARGARITAS</t>
  </si>
  <si>
    <t>SAN FRANCISCO DEL ORO</t>
  </si>
  <si>
    <t>PUNGARABATO</t>
  </si>
  <si>
    <t>TECOZAUTLA</t>
  </si>
  <si>
    <t>MAZAMITLA</t>
  </si>
  <si>
    <t>MÚGICA</t>
  </si>
  <si>
    <t>MAGDALENA YODOCONO DE PORFIRIO DÍAZ</t>
  </si>
  <si>
    <t>TEOPANTLÁN</t>
  </si>
  <si>
    <t>SAN MIGUEL DE HORCASITAS</t>
  </si>
  <si>
    <t>ZACATELCO</t>
  </si>
  <si>
    <t>COSOLEACAQUE</t>
  </si>
  <si>
    <t>LAS ROSAS</t>
  </si>
  <si>
    <t>SANTA BÁRBARA</t>
  </si>
  <si>
    <t>QUECHULTENANGO</t>
  </si>
  <si>
    <t>TENANGO DE DORIA</t>
  </si>
  <si>
    <t>MEXTICACÁN</t>
  </si>
  <si>
    <t>NAHUATZEN</t>
  </si>
  <si>
    <t>MAGDALENA ZAHUATLÁN</t>
  </si>
  <si>
    <t>TENAMPULCO</t>
  </si>
  <si>
    <t>SAN PEDRO DE LA CUEVA</t>
  </si>
  <si>
    <t>ZILTLALTÉPEC DE TRINIDAD SÁNCHEZ SANTOS</t>
  </si>
  <si>
    <t>COTAXTLA</t>
  </si>
  <si>
    <t>QUINTANA ROO</t>
  </si>
  <si>
    <t>MAPASTEPEC</t>
  </si>
  <si>
    <t>SANTA ISABEL</t>
  </si>
  <si>
    <t>SAN LUIS ACATLÁN</t>
  </si>
  <si>
    <t>TEPEAPULCO</t>
  </si>
  <si>
    <t>MEZQUITIC</t>
  </si>
  <si>
    <t>NOCUPÉTARO</t>
  </si>
  <si>
    <t>MARISCALA DE JUÁREZ</t>
  </si>
  <si>
    <t>TEHUITZINGO</t>
  </si>
  <si>
    <t>SANTA ANA</t>
  </si>
  <si>
    <t>COXQUIHUI</t>
  </si>
  <si>
    <t>RÍO LAGARTOS</t>
  </si>
  <si>
    <t>MARAVILLA TENEJAPA</t>
  </si>
  <si>
    <t>SATEVÓ</t>
  </si>
  <si>
    <t>SAN MARCOS</t>
  </si>
  <si>
    <t>TEPEHUACÁN DE GUERRERO</t>
  </si>
  <si>
    <t>MIXTLÁN</t>
  </si>
  <si>
    <t>NUEVO PARANGARICUTIRO</t>
  </si>
  <si>
    <t>MÁRTIRES DE TACUBAYA</t>
  </si>
  <si>
    <t>TEHUACÁN</t>
  </si>
  <si>
    <t>SANTA CRUZ</t>
  </si>
  <si>
    <t>COYUTLA</t>
  </si>
  <si>
    <t>SACALUM</t>
  </si>
  <si>
    <t>MARQUÉS DE COMILLAS</t>
  </si>
  <si>
    <t>SAUCILLO</t>
  </si>
  <si>
    <t>SAN MIGUEL TOTOLAPAN</t>
  </si>
  <si>
    <t>TEPEJI DEL RÍO DE OCAMPO</t>
  </si>
  <si>
    <t>OCOTLÁN</t>
  </si>
  <si>
    <t>NUEVO URECHO</t>
  </si>
  <si>
    <t>MATÍAS ROMERO AVENDAÑO</t>
  </si>
  <si>
    <t>TECOMATLÁN</t>
  </si>
  <si>
    <t>SÁRIC</t>
  </si>
  <si>
    <t>CUICHAPA</t>
  </si>
  <si>
    <t>SAMAHIL</t>
  </si>
  <si>
    <t>MAZAPA DE MADERO</t>
  </si>
  <si>
    <t>TEMÓSACHIC</t>
  </si>
  <si>
    <t>TEPETITLÁN</t>
  </si>
  <si>
    <t>OJUELOS DE JALISCO</t>
  </si>
  <si>
    <t>NUMARÁN</t>
  </si>
  <si>
    <t>MAZATLÁN VILLA DE FLORES</t>
  </si>
  <si>
    <t>TECAMACHALCO</t>
  </si>
  <si>
    <t>SOYOPA</t>
  </si>
  <si>
    <t>CUITLÁHUAC</t>
  </si>
  <si>
    <t>URIQUE</t>
  </si>
  <si>
    <t>SANTA CRUZ DEL RINCÓN</t>
  </si>
  <si>
    <t>TETEPANGO</t>
  </si>
  <si>
    <t>PIHUAMO</t>
  </si>
  <si>
    <t>MESONES HIDALGO</t>
  </si>
  <si>
    <t>TECALI DE HERRERA</t>
  </si>
  <si>
    <t>SUAQUI GRANDE</t>
  </si>
  <si>
    <t>EL HIGO</t>
  </si>
  <si>
    <t>SANAHCAT</t>
  </si>
  <si>
    <t>METAPA</t>
  </si>
  <si>
    <t>URUACHI</t>
  </si>
  <si>
    <t>TAXCO DE ALARCÓN</t>
  </si>
  <si>
    <t>TEZONTEPEC DE ALDAMA</t>
  </si>
  <si>
    <t>PONCITLÁN</t>
  </si>
  <si>
    <t>PAJACUARÁN</t>
  </si>
  <si>
    <t>MIAHUATLÁN DE PORFIRIO DÍAZ</t>
  </si>
  <si>
    <t>SOLTEPEC</t>
  </si>
  <si>
    <t>TEPACHE</t>
  </si>
  <si>
    <t>SANTA ELENA</t>
  </si>
  <si>
    <t>MEZCALAPA</t>
  </si>
  <si>
    <t>VALLE DE ZARAGOZA</t>
  </si>
  <si>
    <t>TECOANAPA</t>
  </si>
  <si>
    <t>TIANGUISTENGO</t>
  </si>
  <si>
    <t>PUERTO VALLARTA</t>
  </si>
  <si>
    <t>PANINDÍCUARO</t>
  </si>
  <si>
    <t>MIXISTLÁN DE LA REFORMA</t>
  </si>
  <si>
    <t>SANTO TOMÁS HUEYOTLIPAN</t>
  </si>
  <si>
    <t>TRINCHERAS</t>
  </si>
  <si>
    <t>ESPINAL</t>
  </si>
  <si>
    <t>SEYÉ</t>
  </si>
  <si>
    <t>MITONTIC</t>
  </si>
  <si>
    <t>TÉCPAN DE GALEANA</t>
  </si>
  <si>
    <t>TIZAYUCA</t>
  </si>
  <si>
    <t>QUITUPAN</t>
  </si>
  <si>
    <t>PARACHO</t>
  </si>
  <si>
    <t>MONJAS</t>
  </si>
  <si>
    <t>SANTIAGO MIAHUATLÁN</t>
  </si>
  <si>
    <t>TUBUTAMA</t>
  </si>
  <si>
    <t>FILOMENO MATA</t>
  </si>
  <si>
    <t>SINANCHÉ</t>
  </si>
  <si>
    <t>MONTECRISTO DE GUERRERO</t>
  </si>
  <si>
    <t>TELOLOAPAN</t>
  </si>
  <si>
    <t>TLAHUELILPAN</t>
  </si>
  <si>
    <t>SAN CRISTÓBAL DE LA BARRANCA</t>
  </si>
  <si>
    <t>PARÁCUARO</t>
  </si>
  <si>
    <t>NATIVIDAD</t>
  </si>
  <si>
    <t>SANTA ISABEL CHOLULA</t>
  </si>
  <si>
    <t>URES</t>
  </si>
  <si>
    <t>FORTÍN</t>
  </si>
  <si>
    <t>SOTUTA</t>
  </si>
  <si>
    <t>MOTOZINTLA</t>
  </si>
  <si>
    <t>TEPECOACUILCO DE TRUJANO</t>
  </si>
  <si>
    <t>TLAHUILTEPA</t>
  </si>
  <si>
    <t>SAN DIEGO DE ALEJANDRÍA</t>
  </si>
  <si>
    <t>PÁTZCUARO</t>
  </si>
  <si>
    <t>NAZARENO ETLA</t>
  </si>
  <si>
    <t>SANTA INÉS AHUATEMPAN</t>
  </si>
  <si>
    <t>GUTIÉRREZ ZAMORA</t>
  </si>
  <si>
    <t>SUCILÁ</t>
  </si>
  <si>
    <t>NICOLÁS RUÍZ</t>
  </si>
  <si>
    <t>TETIPAC</t>
  </si>
  <si>
    <t>TLANALAPA</t>
  </si>
  <si>
    <t>SAN GABRIEL</t>
  </si>
  <si>
    <t>PENJAMILLO</t>
  </si>
  <si>
    <t>NEJAPA DE MADERO</t>
  </si>
  <si>
    <t>SANTA CATARINA TLALTEMPAN</t>
  </si>
  <si>
    <t>VILLA PESQUEIRA</t>
  </si>
  <si>
    <t>HIDALGOTITLÁN</t>
  </si>
  <si>
    <t>SUDZAL</t>
  </si>
  <si>
    <t>OCOSINGO</t>
  </si>
  <si>
    <t>TIXTLA DE GUERRERO</t>
  </si>
  <si>
    <t>TLANCHINOL</t>
  </si>
  <si>
    <t>SAN IGNACIO CERRO GORDO</t>
  </si>
  <si>
    <t>PERIBÁN</t>
  </si>
  <si>
    <t>NUEVO ZOQUIÁPAM</t>
  </si>
  <si>
    <t>SAN SEBASTIÁN TLACOTEPEC</t>
  </si>
  <si>
    <t>YÉCORA</t>
  </si>
  <si>
    <t>HUATUSCO</t>
  </si>
  <si>
    <t>SUMA</t>
  </si>
  <si>
    <t>OCOTEPEC</t>
  </si>
  <si>
    <t>TLACOACHISTLAHUACA</t>
  </si>
  <si>
    <t>TLAXCOAPAN</t>
  </si>
  <si>
    <t>SAN JUAN DE LOS LAGOS</t>
  </si>
  <si>
    <t>PURÉPERO</t>
  </si>
  <si>
    <t>OAXACA DE JUÁREZ</t>
  </si>
  <si>
    <t>SAN SALVADOR HUIXCOLOTLA</t>
  </si>
  <si>
    <t>HUAYACOCOTLA</t>
  </si>
  <si>
    <t>TAHDZIÚ</t>
  </si>
  <si>
    <t>OCOZOCOAUTLA DE ESPINOSA</t>
  </si>
  <si>
    <t>TLACOAPA</t>
  </si>
  <si>
    <t>TOLCAYUCA</t>
  </si>
  <si>
    <t>SAN JUANITO DE ESCOBEDO</t>
  </si>
  <si>
    <t>PURUÁNDIRO</t>
  </si>
  <si>
    <t>OCOTLÁN DE MORELOS</t>
  </si>
  <si>
    <t>SAN SALVADOR EL VERDE</t>
  </si>
  <si>
    <t>HUEYAPAN DE OCAMPO</t>
  </si>
  <si>
    <t>TAHMEK</t>
  </si>
  <si>
    <t>OSTUACÁN</t>
  </si>
  <si>
    <t>TLALCHAPA</t>
  </si>
  <si>
    <t>TULA DE ALLENDE</t>
  </si>
  <si>
    <t>SAN JULIÁN</t>
  </si>
  <si>
    <t>QUERÉNDARO</t>
  </si>
  <si>
    <t>PINOTEPA DE DON LUIS</t>
  </si>
  <si>
    <t>SAN SALVADOR EL SECO</t>
  </si>
  <si>
    <t>HUILOAPAN DE CUAUHTÉMOC</t>
  </si>
  <si>
    <t>TEABO</t>
  </si>
  <si>
    <t>OSUMACINTA</t>
  </si>
  <si>
    <t>TLALIXTAQUILLA DE MALDONADO</t>
  </si>
  <si>
    <t>TULANCINGO DE BRAVO</t>
  </si>
  <si>
    <t>QUIROGA</t>
  </si>
  <si>
    <t>PLUMA HIDALGO</t>
  </si>
  <si>
    <t>SAN PEDRO YELOIXTLAHUACA</t>
  </si>
  <si>
    <t>IGNACIO DE LA LLAVE</t>
  </si>
  <si>
    <t>TECOH</t>
  </si>
  <si>
    <t>OXCHUC</t>
  </si>
  <si>
    <t>TLAPA DE COMONFORT</t>
  </si>
  <si>
    <t>VILLA DE TEZONTEPEC</t>
  </si>
  <si>
    <t>SAN MARTÍN DE BOLAÑOS</t>
  </si>
  <si>
    <t>SAHUAYO</t>
  </si>
  <si>
    <t>PUTLA VILLA DE GUERRERO</t>
  </si>
  <si>
    <t>SAN PEDRO CHOLULA</t>
  </si>
  <si>
    <t>ILAMATLÁN</t>
  </si>
  <si>
    <t>TEKAL DE VENEGAS</t>
  </si>
  <si>
    <t>PALENQUE</t>
  </si>
  <si>
    <t>TLAPEHUALA</t>
  </si>
  <si>
    <t>XOCHIATIPAN</t>
  </si>
  <si>
    <t>SAN MARTÍN HIDALGO</t>
  </si>
  <si>
    <t>SALVADOR ESCALANTE</t>
  </si>
  <si>
    <t>REFORMA DE PINEDA</t>
  </si>
  <si>
    <t>SAN PABLO ANICANO</t>
  </si>
  <si>
    <t>ISLA</t>
  </si>
  <si>
    <t>TEKANTÓ</t>
  </si>
  <si>
    <t>PANTELHÓ</t>
  </si>
  <si>
    <t>XALPATLÁHUAC</t>
  </si>
  <si>
    <t>XOCHICOATLÁN</t>
  </si>
  <si>
    <t>SAN MIGUEL EL ALTO</t>
  </si>
  <si>
    <t>SAN LUCAS</t>
  </si>
  <si>
    <t>REYES ETLA</t>
  </si>
  <si>
    <t>SAN NICOLÁS DE LOS RANCHOS</t>
  </si>
  <si>
    <t>IXCATEPEC</t>
  </si>
  <si>
    <t>TEKAX</t>
  </si>
  <si>
    <t>PANTEPEC</t>
  </si>
  <si>
    <t>XOCHIHUEHUETLÁN</t>
  </si>
  <si>
    <t>YAHUALICA</t>
  </si>
  <si>
    <t>SAN PEDRO TLAQUEPAQUE</t>
  </si>
  <si>
    <t>SANTA ANA MAYA</t>
  </si>
  <si>
    <t>ROJAS DE CUAUHTÉMOC</t>
  </si>
  <si>
    <t>SAN NICOLÁS BUENOS AIRES</t>
  </si>
  <si>
    <t>IXHUACÁN DE LOS REYES</t>
  </si>
  <si>
    <t>TEKIT</t>
  </si>
  <si>
    <t>PICHUCALCO</t>
  </si>
  <si>
    <t>XOCHISTLAHUACA</t>
  </si>
  <si>
    <t>ZACUALTIPÁN DE ÁNGELES</t>
  </si>
  <si>
    <t>SAN SEBASTIÁN DEL OESTE</t>
  </si>
  <si>
    <t>SENGUIO</t>
  </si>
  <si>
    <t>SALINA CRUZ</t>
  </si>
  <si>
    <t>SAN MIGUEL XOXTLA</t>
  </si>
  <si>
    <t>IXHUATLÁN DE MADERO</t>
  </si>
  <si>
    <t>TEKOM</t>
  </si>
  <si>
    <t>PIJIJIAPAN</t>
  </si>
  <si>
    <t>ZAPOTITLÁN TABLAS</t>
  </si>
  <si>
    <t>ZAPOTLÁN DE JUÁREZ</t>
  </si>
  <si>
    <t>SANTA MARÍA DE LOS ÁNGELES</t>
  </si>
  <si>
    <t>SUSUPUATO</t>
  </si>
  <si>
    <t>SAN AGUSTÍN AMATENGO</t>
  </si>
  <si>
    <t>SAN MIGUEL IXITLÁN</t>
  </si>
  <si>
    <t>IXHUATLÁN DEL CAFÉ</t>
  </si>
  <si>
    <t>TELCHAC PUEBLO</t>
  </si>
  <si>
    <t>PUEBLO NUEVO SOLISTAHUACÁN</t>
  </si>
  <si>
    <t>ZIHUATANEJO DE AZUETA</t>
  </si>
  <si>
    <t>ZEMPOALA</t>
  </si>
  <si>
    <t>TACÁMBARO</t>
  </si>
  <si>
    <t>SAN AGUSTÍN ATENANGO</t>
  </si>
  <si>
    <t>SAN MATÍAS TLALANCALECA</t>
  </si>
  <si>
    <t>IXHUATLÁN DEL SURESTE</t>
  </si>
  <si>
    <t>TELCHAC PUERTO</t>
  </si>
  <si>
    <t>ZIRÁNDARO</t>
  </si>
  <si>
    <t>ZIMAPÁN</t>
  </si>
  <si>
    <t>SAYULA</t>
  </si>
  <si>
    <t>TANCÍTARO</t>
  </si>
  <si>
    <t>SAN AGUSTÍN CHAYUCO</t>
  </si>
  <si>
    <t>SAN MARTÍN TOTOLTEPEC</t>
  </si>
  <si>
    <t>IXHUATLANCILLO</t>
  </si>
  <si>
    <t>TEMAX</t>
  </si>
  <si>
    <t>REFORMA</t>
  </si>
  <si>
    <t>ZITLALA</t>
  </si>
  <si>
    <t>TALA</t>
  </si>
  <si>
    <t>TANGAMANDAPIO</t>
  </si>
  <si>
    <t>SAN AGUSTÍN DE LAS JUNTAS</t>
  </si>
  <si>
    <t>SAN MARTÍN TEXMELUCAN</t>
  </si>
  <si>
    <t>IXMATLAHUACAN</t>
  </si>
  <si>
    <t>TEMOZÓN</t>
  </si>
  <si>
    <t>RINCÓN CHAMULA SAN PEDRO</t>
  </si>
  <si>
    <t>TALPA DE ALLENDE</t>
  </si>
  <si>
    <t>TANGANCÍCUARO</t>
  </si>
  <si>
    <t>SAN AGUSTÍN ETLA</t>
  </si>
  <si>
    <t>SAN JUAN ATZOMPA</t>
  </si>
  <si>
    <t>IXTACZOQUITLÁN</t>
  </si>
  <si>
    <t>TEPAKÁN</t>
  </si>
  <si>
    <t>SABANILLA</t>
  </si>
  <si>
    <t>TAMAZULA DE GORDIANO</t>
  </si>
  <si>
    <t>TANHUATO</t>
  </si>
  <si>
    <t>SAN AGUSTÍN LOXICHA</t>
  </si>
  <si>
    <t>SAN JUAN ATENCO</t>
  </si>
  <si>
    <t>JALACINGO</t>
  </si>
  <si>
    <t>TETIZ</t>
  </si>
  <si>
    <t>SALTO DE AGUA</t>
  </si>
  <si>
    <t>TAPALPA</t>
  </si>
  <si>
    <t>TARETAN</t>
  </si>
  <si>
    <t>SAN AGUSTÍN TLACOTEPEC</t>
  </si>
  <si>
    <t>SAN JOSÉ MIAHUATLÁN</t>
  </si>
  <si>
    <t>JALCOMULCO</t>
  </si>
  <si>
    <t>TEYA</t>
  </si>
  <si>
    <t>SAN ANDRÉS DURAZNAL</t>
  </si>
  <si>
    <t>TECALITLÁN</t>
  </si>
  <si>
    <t>TARÍMBARO</t>
  </si>
  <si>
    <t>SAN AGUSTÍN YATARENI</t>
  </si>
  <si>
    <t>SAN JOSÉ CHIAPA</t>
  </si>
  <si>
    <t>JÁLTIPAN</t>
  </si>
  <si>
    <t>TICUL</t>
  </si>
  <si>
    <t>SAN CRISTÓBAL DE LAS CASAS</t>
  </si>
  <si>
    <t>TECHALUTA DE MONTENEGRO</t>
  </si>
  <si>
    <t>TEPALCATEPEC</t>
  </si>
  <si>
    <t>SAN ANDRÉS CABECERA NUEVA</t>
  </si>
  <si>
    <t>SAN JERÓNIMO XAYACATLÁN</t>
  </si>
  <si>
    <t>JAMAPA</t>
  </si>
  <si>
    <t>TIMUCUY</t>
  </si>
  <si>
    <t>TECOLOTLÁN</t>
  </si>
  <si>
    <t>TINGAMBATO</t>
  </si>
  <si>
    <t>SAN ANDRÉS DINICUITI</t>
  </si>
  <si>
    <t>SAN JERÓNIMO TECUANIPAN</t>
  </si>
  <si>
    <t>JESÚS CARRANZA</t>
  </si>
  <si>
    <t>TINUM</t>
  </si>
  <si>
    <t>SAN JUAN CANCUC</t>
  </si>
  <si>
    <t>TENAMAXTLÁN</t>
  </si>
  <si>
    <t>TINGÜINDÍN</t>
  </si>
  <si>
    <t>SAN ANDRÉS HUAXPALTEPEC</t>
  </si>
  <si>
    <t>SAN GREGORIO ATZOMPA</t>
  </si>
  <si>
    <t>TIXCACALCUPUL</t>
  </si>
  <si>
    <t>TEOCALTICHE</t>
  </si>
  <si>
    <t>TIQUICHEO DE NICOLÁS ROMERO</t>
  </si>
  <si>
    <t>SAN ANDRÉS HUAYÁPAM</t>
  </si>
  <si>
    <t>SAN GABRIEL CHILAC</t>
  </si>
  <si>
    <t>JOSÉ AZUETA</t>
  </si>
  <si>
    <t>TIXKOKOB</t>
  </si>
  <si>
    <t>SANTIAGO EL PINAR</t>
  </si>
  <si>
    <t>TEOCUITATLÁN DE CORONA</t>
  </si>
  <si>
    <t>TLALPUJAHUA</t>
  </si>
  <si>
    <t>SAN ANDRÉS IXTLAHUACA</t>
  </si>
  <si>
    <t>SAN FELIPE TEPATLÁN</t>
  </si>
  <si>
    <t>JUAN RODRÍGUEZ CLARA</t>
  </si>
  <si>
    <t>TIXMÉHUAC</t>
  </si>
  <si>
    <t>SILTEPEC</t>
  </si>
  <si>
    <t>TEPATITLÁN DE MORELOS</t>
  </si>
  <si>
    <t>TLAZAZALCA</t>
  </si>
  <si>
    <t>SAN ANDRÉS LAGUNAS</t>
  </si>
  <si>
    <t>SAN FELIPE TEOTLALCINGO</t>
  </si>
  <si>
    <t>JUCHIQUE DE FERRER</t>
  </si>
  <si>
    <t>TIXPÉHUAL</t>
  </si>
  <si>
    <t>SIMOJOVEL</t>
  </si>
  <si>
    <t>TEQUILA</t>
  </si>
  <si>
    <t>TOCUMBO</t>
  </si>
  <si>
    <t>SAN ANDRÉS NUXIÑO</t>
  </si>
  <si>
    <t>SAN DIEGO LA MESA TOCHIMILTZINGO</t>
  </si>
  <si>
    <t>LA ANTIGUA</t>
  </si>
  <si>
    <t>TIZIMÍN</t>
  </si>
  <si>
    <t>SITALÁ</t>
  </si>
  <si>
    <t>TEUCHITLÁN</t>
  </si>
  <si>
    <t>TUMBISCATÍO</t>
  </si>
  <si>
    <t>SAN ANDRÉS PAXTLÁN</t>
  </si>
  <si>
    <t>SAN ANTONIO CAÑADA</t>
  </si>
  <si>
    <t>LA PERLA</t>
  </si>
  <si>
    <t>TUNKÁS</t>
  </si>
  <si>
    <t>SOCOLTENANGO</t>
  </si>
  <si>
    <t>TIZAPÁN EL ALTO</t>
  </si>
  <si>
    <t>TURICATO</t>
  </si>
  <si>
    <t>SAN ANDRÉS SINAXTLA</t>
  </si>
  <si>
    <t>SAN ANDRÉS CHOLULA</t>
  </si>
  <si>
    <t>LANDERO Y COSS</t>
  </si>
  <si>
    <t>TZUCACAB</t>
  </si>
  <si>
    <t>SOLOSUCHIAPA</t>
  </si>
  <si>
    <t>TLAJOMULCO DE ZÚÑIGA</t>
  </si>
  <si>
    <t>SAN ANDRÉS SOLAGA</t>
  </si>
  <si>
    <t>RAFAEL LARA GRAJALES</t>
  </si>
  <si>
    <t>LAS CHOAPAS</t>
  </si>
  <si>
    <t>UAYMA</t>
  </si>
  <si>
    <t>SOYALÓ</t>
  </si>
  <si>
    <t>TUZANTLA</t>
  </si>
  <si>
    <t>SAN ANDRÉS TEOTILÁLPAM</t>
  </si>
  <si>
    <t>QUIMIXTLÁN</t>
  </si>
  <si>
    <t>LAS MINAS</t>
  </si>
  <si>
    <t>UCÚ</t>
  </si>
  <si>
    <t>SUCHIAPA</t>
  </si>
  <si>
    <t>TOMATLÁN</t>
  </si>
  <si>
    <t>TZINTZUNTZAN</t>
  </si>
  <si>
    <t>SAN ANDRÉS TEPETLAPA</t>
  </si>
  <si>
    <t>QUECHOLAC</t>
  </si>
  <si>
    <t>LAS VIGAS DE RAMÍREZ</t>
  </si>
  <si>
    <t>UMÁN</t>
  </si>
  <si>
    <t>SUCHIATE</t>
  </si>
  <si>
    <t>TONALÁ</t>
  </si>
  <si>
    <t>TZITZIO</t>
  </si>
  <si>
    <t>SAN ANDRÉS YAÁ</t>
  </si>
  <si>
    <t>LERDO DE TEJADA</t>
  </si>
  <si>
    <t>VALLADOLID</t>
  </si>
  <si>
    <t>SUNUAPA</t>
  </si>
  <si>
    <t>TONAYA</t>
  </si>
  <si>
    <t>URUAPAN</t>
  </si>
  <si>
    <t>SAN ANDRÉS ZABACHE</t>
  </si>
  <si>
    <t>PIAXTLA</t>
  </si>
  <si>
    <t>XOCCHEL</t>
  </si>
  <si>
    <t>TAPACHULA</t>
  </si>
  <si>
    <t>TONILA</t>
  </si>
  <si>
    <t>SAN ANDRÉS ZAUTLA</t>
  </si>
  <si>
    <t>PETLALCINGO</t>
  </si>
  <si>
    <t>YAXCABÁ</t>
  </si>
  <si>
    <t>TAPALAPA</t>
  </si>
  <si>
    <t>TOTATICHE</t>
  </si>
  <si>
    <t>VILLAMAR</t>
  </si>
  <si>
    <t>SAN ANTONINO CASTILLO VELASCO</t>
  </si>
  <si>
    <t>MALTRATA</t>
  </si>
  <si>
    <t>YAXKUKUL</t>
  </si>
  <si>
    <t>TAPILULA</t>
  </si>
  <si>
    <t>TOTOTLÁN</t>
  </si>
  <si>
    <t>VISTA HERMOSA</t>
  </si>
  <si>
    <t>SAN ANTONINO EL ALTO</t>
  </si>
  <si>
    <t>PALMAR DE BRAVO</t>
  </si>
  <si>
    <t>MANLIO FABIO ALTAMIRANO</t>
  </si>
  <si>
    <t>YOBAÍN</t>
  </si>
  <si>
    <t>TECPATÁN</t>
  </si>
  <si>
    <t>TUXCACUESCO</t>
  </si>
  <si>
    <t>YURÉCUARO</t>
  </si>
  <si>
    <t>SAN ANTONINO MONTE VERDE</t>
  </si>
  <si>
    <t>PAHUATLÁN</t>
  </si>
  <si>
    <t>MARIANO ESCOBEDO</t>
  </si>
  <si>
    <t>TENEJAPA</t>
  </si>
  <si>
    <t>TUXCUECA</t>
  </si>
  <si>
    <t>ZACAPU</t>
  </si>
  <si>
    <t>SAN ANTONIO ACUTLA</t>
  </si>
  <si>
    <t>ORIENTAL</t>
  </si>
  <si>
    <t>MARTÍNEZ DE LA TORRE</t>
  </si>
  <si>
    <t>TEOPISCA</t>
  </si>
  <si>
    <t>ZAMORA</t>
  </si>
  <si>
    <t>SAN ANTONIO DE LA CAL</t>
  </si>
  <si>
    <t>OLINTLA</t>
  </si>
  <si>
    <t>MECATLÁN</t>
  </si>
  <si>
    <t>TILA</t>
  </si>
  <si>
    <t>UNIÓN DE SAN ANTONIO</t>
  </si>
  <si>
    <t>ZINÁPARO</t>
  </si>
  <si>
    <t>SAN ANTONIO HUITEPEC</t>
  </si>
  <si>
    <t>OCOYUCAN</t>
  </si>
  <si>
    <t>MECAYAPAN</t>
  </si>
  <si>
    <t>UNIÓN DE TULA</t>
  </si>
  <si>
    <t>ZINAPÉCUARO</t>
  </si>
  <si>
    <t>SAN ANTONIO NANAHUATÍPAM</t>
  </si>
  <si>
    <t>MEDELLÍN DE BRAVO</t>
  </si>
  <si>
    <t>TOTOLAPA</t>
  </si>
  <si>
    <t>VALLE DE GUADALUPE</t>
  </si>
  <si>
    <t>ZIRACUARETIRO</t>
  </si>
  <si>
    <t>SAN ANTONIO SINICAHUA</t>
  </si>
  <si>
    <t>NOPALUCAN</t>
  </si>
  <si>
    <t>MIAHUATLÁN</t>
  </si>
  <si>
    <t>TUMBALÁ</t>
  </si>
  <si>
    <t>VALLE DE JUÁREZ</t>
  </si>
  <si>
    <t>ZITÁCUARO</t>
  </si>
  <si>
    <t>SAN ANTONIO TEPETLAPA</t>
  </si>
  <si>
    <t>NICOLÁS BRAVO</t>
  </si>
  <si>
    <t>TUXTLA CHICO</t>
  </si>
  <si>
    <t>VILLA CORONA</t>
  </si>
  <si>
    <t>SAN BALTAZAR CHICHICÁPAM</t>
  </si>
  <si>
    <t>NEALTICAN</t>
  </si>
  <si>
    <t>MISANTLA</t>
  </si>
  <si>
    <t>TUXTLA GUTIÉRREZ</t>
  </si>
  <si>
    <t>SAN BALTAZAR LOXICHA</t>
  </si>
  <si>
    <t>NAUZONTLA</t>
  </si>
  <si>
    <t>MIXTLA DE ALTAMIRANO</t>
  </si>
  <si>
    <t>TUZANTÁN</t>
  </si>
  <si>
    <t>SAN BALTAZAR YATZACHI EL BAJO</t>
  </si>
  <si>
    <t>NAUPAN</t>
  </si>
  <si>
    <t>MOLOACÁN</t>
  </si>
  <si>
    <t>TZIMOL</t>
  </si>
  <si>
    <t>VILLA PURIFICACIÓN</t>
  </si>
  <si>
    <t>SAN BARTOLO COYOTEPEC</t>
  </si>
  <si>
    <t>MOLCAXAC</t>
  </si>
  <si>
    <t>NANCHITAL DE LÁZARO CÁRDENAS DEL RÍO</t>
  </si>
  <si>
    <t>UNIÓN JUÁREZ</t>
  </si>
  <si>
    <t>YAHUALICA DE GONZÁLEZ GALLO</t>
  </si>
  <si>
    <t>SAN BARTOLO SOYALTEPEC</t>
  </si>
  <si>
    <t>MIXTLA</t>
  </si>
  <si>
    <t>NAOLINCO</t>
  </si>
  <si>
    <t>ZACOALCO DE TORRES</t>
  </si>
  <si>
    <t>SAN BARTOLO YAUTEPEC</t>
  </si>
  <si>
    <t>MAZAPILTEPEC DE JUÁREZ</t>
  </si>
  <si>
    <t>NARANJAL</t>
  </si>
  <si>
    <t>VILLA COMALTITLÁN</t>
  </si>
  <si>
    <t>ZAPOPAN</t>
  </si>
  <si>
    <t>SAN BARTOLOMÉ AYAUTLA</t>
  </si>
  <si>
    <t>LOS REYES DE JUÁREZ</t>
  </si>
  <si>
    <t>NARANJOS AMATLÁN</t>
  </si>
  <si>
    <t>VILLA CORZO</t>
  </si>
  <si>
    <t>ZAPOTILTIC</t>
  </si>
  <si>
    <t>SAN BARTOLOMÉ LOXICHA</t>
  </si>
  <si>
    <t>LIBRES</t>
  </si>
  <si>
    <t>NAUTLA</t>
  </si>
  <si>
    <t>VILLAFLORES</t>
  </si>
  <si>
    <t>ZAPOTITLÁN DE VADILLO</t>
  </si>
  <si>
    <t>SAN BARTOLOMÉ QUIALANA</t>
  </si>
  <si>
    <t>LAFRAGUA</t>
  </si>
  <si>
    <t>YAJALÓN</t>
  </si>
  <si>
    <t>ZAPOTLÁN DEL REY</t>
  </si>
  <si>
    <t>SAN BARTOLOMÉ YUCUAÑE</t>
  </si>
  <si>
    <t>LA MAGDALENA TLATLAUQUITEPEC</t>
  </si>
  <si>
    <t>OLUTA</t>
  </si>
  <si>
    <t>ZINACANTÁN</t>
  </si>
  <si>
    <t>ZAPOTLÁN EL GRANDE</t>
  </si>
  <si>
    <t>SAN BARTOLOMÉ ZOOGOCHO</t>
  </si>
  <si>
    <t>JUAN N. MÉNDEZ</t>
  </si>
  <si>
    <t>OMEALCA</t>
  </si>
  <si>
    <t>ZAPOTLANEJO</t>
  </si>
  <si>
    <t>SAN BERNARDO MIXTEPEC</t>
  </si>
  <si>
    <t>JUAN GALINDO</t>
  </si>
  <si>
    <t>ORIZABA</t>
  </si>
  <si>
    <t>SAN CARLOS YAUTEPEC</t>
  </si>
  <si>
    <t>JUAN C. BONILLA</t>
  </si>
  <si>
    <t>OTATITLÁN</t>
  </si>
  <si>
    <t>SAN CRISTÓBAL AMATLÁN</t>
  </si>
  <si>
    <t>JOPALA</t>
  </si>
  <si>
    <t>OTEAPAN</t>
  </si>
  <si>
    <t>SAN CRISTÓBAL AMOLTEPEC</t>
  </si>
  <si>
    <t>JONOTLA</t>
  </si>
  <si>
    <t>OZULUAMA DE MASCAREÑAS</t>
  </si>
  <si>
    <t>SAN CRISTÓBAL LACHIRIOAG</t>
  </si>
  <si>
    <t>JOLALPAN</t>
  </si>
  <si>
    <t>PAJAPAN</t>
  </si>
  <si>
    <t>SAN CRISTÓBAL SUCHIXTLAHUACA</t>
  </si>
  <si>
    <t>JALPAN</t>
  </si>
  <si>
    <t>SAN DIONISIO DEL MAR</t>
  </si>
  <si>
    <t>IZÚCAR DE MATAMOROS</t>
  </si>
  <si>
    <t>PAPANTLA</t>
  </si>
  <si>
    <t>SAN DIONISIO OCOTEPEC</t>
  </si>
  <si>
    <t>IXTEPEC</t>
  </si>
  <si>
    <t>PASO DE OVEJAS</t>
  </si>
  <si>
    <t>SAN DIONISIO OCOTLÁN</t>
  </si>
  <si>
    <t>IXTACAMAXTITLÁN</t>
  </si>
  <si>
    <t>PASO DEL MACHO</t>
  </si>
  <si>
    <t>SAN ESTEBAN ATATLAHUCA</t>
  </si>
  <si>
    <t>IXCAQUIXTLA</t>
  </si>
  <si>
    <t>PEROTE</t>
  </si>
  <si>
    <t>SAN FELIPE JALAPA DE DÍAZ</t>
  </si>
  <si>
    <t>IXCAMILPA DE GUERRERO</t>
  </si>
  <si>
    <t>PLATÓN SÁNCHEZ</t>
  </si>
  <si>
    <t>SAN FELIPE TEJALÁPAM</t>
  </si>
  <si>
    <t>HUITZILTEPEC</t>
  </si>
  <si>
    <t>PLAYA VICENTE</t>
  </si>
  <si>
    <t>SAN FELIPE USILA</t>
  </si>
  <si>
    <t>HUITZILAN DE SERDÁN</t>
  </si>
  <si>
    <t>POZA RICA DE HIDALGO</t>
  </si>
  <si>
    <t>SAN FRANCISCO CAHUACUÁ</t>
  </si>
  <si>
    <t>HUEYTLALPAN</t>
  </si>
  <si>
    <t>PUEBLO VIEJO</t>
  </si>
  <si>
    <t>SAN FRANCISCO CAJONOS</t>
  </si>
  <si>
    <t>HUEYTAMALCO</t>
  </si>
  <si>
    <t>PUENTE NACIONAL</t>
  </si>
  <si>
    <t>SAN FRANCISCO CHAPULAPA</t>
  </si>
  <si>
    <t>RAFAEL DELGADO</t>
  </si>
  <si>
    <t>SAN FRANCISCO CHINDÚA</t>
  </si>
  <si>
    <t>HUEJOTZINGO</t>
  </si>
  <si>
    <t>RAFAEL LUCIO</t>
  </si>
  <si>
    <t>SAN FRANCISCO DEL MAR</t>
  </si>
  <si>
    <t>HUEHUETLÁN EL GRANDE</t>
  </si>
  <si>
    <t>RÍO BLANCO</t>
  </si>
  <si>
    <t>SAN FRANCISCO HUEHUETLÁN</t>
  </si>
  <si>
    <t>HUEHUETLÁN EL CHICO</t>
  </si>
  <si>
    <t>SALTABARRANCA</t>
  </si>
  <si>
    <t>SAN FRANCISCO IXHUATÁN</t>
  </si>
  <si>
    <t>SAN ANDRÉS TENEJAPAN</t>
  </si>
  <si>
    <t>SAN FRANCISCO JALTEPETONGO</t>
  </si>
  <si>
    <t>HUAUCHINANGO</t>
  </si>
  <si>
    <t>SAN ANDRÉS TUXTLA</t>
  </si>
  <si>
    <t>SAN FRANCISCO LACHIGOLÓ</t>
  </si>
  <si>
    <t>HUATLATLAUCA</t>
  </si>
  <si>
    <t>SAN JUAN EVANGELISTA</t>
  </si>
  <si>
    <t>SAN FRANCISCO LOGUECHE</t>
  </si>
  <si>
    <t>HUAQUECHULA</t>
  </si>
  <si>
    <t>SAN RAFAEL</t>
  </si>
  <si>
    <t>SAN FRANCISCO NUXAÑO</t>
  </si>
  <si>
    <t>HONEY</t>
  </si>
  <si>
    <t>SANTIAGO SOCHIAPAN</t>
  </si>
  <si>
    <t>SAN FRANCISCO OZOLOTEPEC</t>
  </si>
  <si>
    <t>HERMENEGILDO GALEANA</t>
  </si>
  <si>
    <t>SANTIAGO TUXTLA</t>
  </si>
  <si>
    <t>SAN FRANCISCO SOLA</t>
  </si>
  <si>
    <t>SAYULA DE ALEMÁN</t>
  </si>
  <si>
    <t>SAN FRANCISCO TELIXTLAHUACA</t>
  </si>
  <si>
    <t>SOCHIAPA</t>
  </si>
  <si>
    <t>SAN FRANCISCO TEOPAN</t>
  </si>
  <si>
    <t>GENERAL FELIPE ÁNGELES</t>
  </si>
  <si>
    <t>SOCONUSCO</t>
  </si>
  <si>
    <t>SAN FRANCISCO TLAPANCINGO</t>
  </si>
  <si>
    <t>FRANCISCO Z. MENA</t>
  </si>
  <si>
    <t>SOLEDAD ATZOMPA</t>
  </si>
  <si>
    <t>SAN GABRIEL MIXTEPEC</t>
  </si>
  <si>
    <t>ESPERANZA</t>
  </si>
  <si>
    <t>SOLEDAD DE DOBLADO</t>
  </si>
  <si>
    <t>SAN ILDEFONSO AMATLÁN</t>
  </si>
  <si>
    <t>EPATLÁN</t>
  </si>
  <si>
    <t>SOTEAPAN</t>
  </si>
  <si>
    <t>SAN ILDEFONSO SOLA</t>
  </si>
  <si>
    <t>TAMALÍN</t>
  </si>
  <si>
    <t>SAN ILDEFONSO VILLA ALTA</t>
  </si>
  <si>
    <t>DOMINGO ARENAS</t>
  </si>
  <si>
    <t>TAMIAHUA</t>
  </si>
  <si>
    <t>SAN JACINTO AMILPAS</t>
  </si>
  <si>
    <t>CUYOACO</t>
  </si>
  <si>
    <t>TAMPICO ALTO</t>
  </si>
  <si>
    <t>SAN JACINTO TLACOTEPEC</t>
  </si>
  <si>
    <t>CUETZALAN DEL PROGRESO</t>
  </si>
  <si>
    <t>TANCOCO</t>
  </si>
  <si>
    <t>SAN JERÓNIMO COATLÁN</t>
  </si>
  <si>
    <t>CUAYUCA DE ANDRADE</t>
  </si>
  <si>
    <t>TANTIMA</t>
  </si>
  <si>
    <t>SAN JERÓNIMO SILACAYOAPILLA</t>
  </si>
  <si>
    <t>CUAUTLANCINGO</t>
  </si>
  <si>
    <t>TANTOYUCA</t>
  </si>
  <si>
    <t>SAN JERÓNIMO SOSOLA</t>
  </si>
  <si>
    <t>CUAUTINCHÁN</t>
  </si>
  <si>
    <t>TATAHUICAPAN DE JUÁREZ</t>
  </si>
  <si>
    <t>SAN JERÓNIMO TAVICHE</t>
  </si>
  <si>
    <t>CUAUTEMPAN</t>
  </si>
  <si>
    <t>TATATILA</t>
  </si>
  <si>
    <t>SAN JERÓNIMO TECÓATL</t>
  </si>
  <si>
    <t>CUAPIAXTLA DE MADERO</t>
  </si>
  <si>
    <t>TECOLUTLA</t>
  </si>
  <si>
    <t>SAN JERÓNIMO TLACOCHAHUAYA</t>
  </si>
  <si>
    <t>TEHUIPANGO</t>
  </si>
  <si>
    <t>SAN JORGE NUCHITA</t>
  </si>
  <si>
    <t>COYOMEAPAN</t>
  </si>
  <si>
    <t>TEMPOAL</t>
  </si>
  <si>
    <t>SAN JOSÉ AYUQUILA</t>
  </si>
  <si>
    <t>TENAMPA</t>
  </si>
  <si>
    <t>SAN JOSÉ CHILTEPEC</t>
  </si>
  <si>
    <t>CORONANGO</t>
  </si>
  <si>
    <t>TENOCHTITLÁN</t>
  </si>
  <si>
    <t>SAN JOSÉ DEL PEÑASCO</t>
  </si>
  <si>
    <t>COHUECAN</t>
  </si>
  <si>
    <t>TEOCELO</t>
  </si>
  <si>
    <t>SAN JOSÉ DEL PROGRESO</t>
  </si>
  <si>
    <t>COHETZALA</t>
  </si>
  <si>
    <t>TEPATLAXCO</t>
  </si>
  <si>
    <t>SAN JOSÉ ESTANCIA GRANDE</t>
  </si>
  <si>
    <t>COATZINGO</t>
  </si>
  <si>
    <t>TEPETLÁN</t>
  </si>
  <si>
    <t>SAN JOSÉ INDEPENDENCIA</t>
  </si>
  <si>
    <t>SAN JOSÉ LACHIGUIRI</t>
  </si>
  <si>
    <t>CHINANTLA</t>
  </si>
  <si>
    <t>SAN JOSÉ TENANGO</t>
  </si>
  <si>
    <t>CHILCHOTLA</t>
  </si>
  <si>
    <t>TEXCATEPEC</t>
  </si>
  <si>
    <t>SAN JUAN ACHIUTLA</t>
  </si>
  <si>
    <t>CHILA DE LA SAL</t>
  </si>
  <si>
    <t>TEXHUACÁN</t>
  </si>
  <si>
    <t>SAN JUAN ATEPEC</t>
  </si>
  <si>
    <t>CHILA</t>
  </si>
  <si>
    <t>TEXISTEPEC</t>
  </si>
  <si>
    <t>SAN JUAN BAUTISTA ATATLAHUCA</t>
  </si>
  <si>
    <t>CHIGNAUTLA</t>
  </si>
  <si>
    <t>TEZONAPA</t>
  </si>
  <si>
    <t>SAN JUAN BAUTISTA COIXTLAHUACA</t>
  </si>
  <si>
    <t>CHIGNAHUAPAN</t>
  </si>
  <si>
    <t>SAN JUAN BAUTISTA CUICATLÁN</t>
  </si>
  <si>
    <t>CHIGMECATITLÁN</t>
  </si>
  <si>
    <t>TIHUATLÁN</t>
  </si>
  <si>
    <t>SAN JUAN BAUTISTA GUELACHE</t>
  </si>
  <si>
    <t>CHIETLA</t>
  </si>
  <si>
    <t>TLACHICHILCO</t>
  </si>
  <si>
    <t>SAN JUAN BAUTISTA JAYACATLÁN</t>
  </si>
  <si>
    <t>CHICONCUAUTLA</t>
  </si>
  <si>
    <t>TLACOJALPAN</t>
  </si>
  <si>
    <t>SAN JUAN BAUTISTA LO DE SOTO</t>
  </si>
  <si>
    <t>CHICHIQUILA</t>
  </si>
  <si>
    <t>TLACOLULAN</t>
  </si>
  <si>
    <t>SAN JUAN BAUTISTA SUCHITEPEC</t>
  </si>
  <si>
    <t>CHIAUTZINGO</t>
  </si>
  <si>
    <t>TLACOTALPAN</t>
  </si>
  <si>
    <t>SAN JUAN BAUTISTA TLACHICHILCO</t>
  </si>
  <si>
    <t>TLACOTEPEC DE MEJÍA</t>
  </si>
  <si>
    <t>SAN JUAN BAUTISTA TLACOATZINTEPEC</t>
  </si>
  <si>
    <t>CHAPULCO</t>
  </si>
  <si>
    <t>TLALIXCOYAN</t>
  </si>
  <si>
    <t>SAN JUAN BAUTISTA TUXTEPEC</t>
  </si>
  <si>
    <t>CHALCHICOMULA DE SESMA</t>
  </si>
  <si>
    <t>TLALNELHUAYOCAN</t>
  </si>
  <si>
    <t>SAN JUAN BAUTISTA VALLE NACIONAL</t>
  </si>
  <si>
    <t>CAXHUACAN</t>
  </si>
  <si>
    <t>TLALTETELA</t>
  </si>
  <si>
    <t>SAN JUAN CACAHUATEPEC</t>
  </si>
  <si>
    <t>CAÑADA MORELOS</t>
  </si>
  <si>
    <t>TLAPACOYAN</t>
  </si>
  <si>
    <t>SAN JUAN CHICOMEZÚCHIL</t>
  </si>
  <si>
    <t>CAMOCUAUTLA</t>
  </si>
  <si>
    <t>TLAQUILPA</t>
  </si>
  <si>
    <t>SAN JUAN CHILATECA</t>
  </si>
  <si>
    <t>CALTEPEC</t>
  </si>
  <si>
    <t>TLILAPAN</t>
  </si>
  <si>
    <t>SAN JUAN CIENEGUILLA</t>
  </si>
  <si>
    <t>CALPAN</t>
  </si>
  <si>
    <t>SAN JUAN COATZÓSPAM</t>
  </si>
  <si>
    <t>AYOTOXCO DE GUERRERO</t>
  </si>
  <si>
    <t>TONAYÁN</t>
  </si>
  <si>
    <t>SAN JUAN COLORADO</t>
  </si>
  <si>
    <t>AXUTLA</t>
  </si>
  <si>
    <t>TOTUTLA</t>
  </si>
  <si>
    <t>SAN JUAN COMALTEPEC</t>
  </si>
  <si>
    <t>ATZITZINTLA</t>
  </si>
  <si>
    <t>TRES VALLES</t>
  </si>
  <si>
    <t>SAN JUAN COTZOCÓN</t>
  </si>
  <si>
    <t>ATZITZIHUACÁN</t>
  </si>
  <si>
    <t>SAN JUAN DE LOS CUÉS</t>
  </si>
  <si>
    <t>ATZALA</t>
  </si>
  <si>
    <t>TUXTILLA</t>
  </si>
  <si>
    <t>SAN JUAN DEL ESTADO</t>
  </si>
  <si>
    <t>ATOYATEMPAN</t>
  </si>
  <si>
    <t>URSULO GALVÁN</t>
  </si>
  <si>
    <t>ATLIXCO</t>
  </si>
  <si>
    <t>UXPANAPA</t>
  </si>
  <si>
    <t>SAN JUAN DIUXI</t>
  </si>
  <si>
    <t>ATLEQUIZAYAN</t>
  </si>
  <si>
    <t>VEGA DE ALATORRE</t>
  </si>
  <si>
    <t>SAN JUAN EVANGELISTA ANALCO</t>
  </si>
  <si>
    <t>ATEXCAL</t>
  </si>
  <si>
    <t>SAN JUAN GUELAVÍA</t>
  </si>
  <si>
    <t>ATEMPAN</t>
  </si>
  <si>
    <t>VILLA ALDAMA</t>
  </si>
  <si>
    <t>SAN JUAN GUICHICOVI</t>
  </si>
  <si>
    <t>AQUIXTLA</t>
  </si>
  <si>
    <t>XALAPA</t>
  </si>
  <si>
    <t>SAN JUAN IHUALTEPEC</t>
  </si>
  <si>
    <t>AMOZOC</t>
  </si>
  <si>
    <t>XICO</t>
  </si>
  <si>
    <t>SAN JUAN JUQUILA MIXES</t>
  </si>
  <si>
    <t>AMIXTLÁN</t>
  </si>
  <si>
    <t>SAN JUAN JUQUILA VIJANOS</t>
  </si>
  <si>
    <t>ALTEPEXI</t>
  </si>
  <si>
    <t>YANGA</t>
  </si>
  <si>
    <t>SAN JUAN LACHAO</t>
  </si>
  <si>
    <t>ALJOJUCA</t>
  </si>
  <si>
    <t>YECUATLA</t>
  </si>
  <si>
    <t>SAN JUAN LACHIGALLA</t>
  </si>
  <si>
    <t>ALBINO ZERTUCHE</t>
  </si>
  <si>
    <t>SAN JUAN LAJARCIA</t>
  </si>
  <si>
    <t>AJALPAN</t>
  </si>
  <si>
    <t>SAN JUAN LALANA</t>
  </si>
  <si>
    <t>AHUEHUETITLA</t>
  </si>
  <si>
    <t>ZENTLA</t>
  </si>
  <si>
    <t>SAN JUAN MAZATLÁN</t>
  </si>
  <si>
    <t>AHUAZOTEPEC</t>
  </si>
  <si>
    <t>ZONGOLICA</t>
  </si>
  <si>
    <t>SAN JUAN MIXTEPEC -DTO. 08 -</t>
  </si>
  <si>
    <t>AHUATLÁN</t>
  </si>
  <si>
    <t>ZONTECOMATLÁN DE LÓPEZ Y FUENTES</t>
  </si>
  <si>
    <t>SAN JUAN MIXTEPEC -DTO. 26 -</t>
  </si>
  <si>
    <t>ZOZOCOLCO DE HIDALGO</t>
  </si>
  <si>
    <t>SAN JUAN ÑUMÍ</t>
  </si>
  <si>
    <t>ACTEOPAN</t>
  </si>
  <si>
    <t>SAN JUAN OZOLOTEPEC</t>
  </si>
  <si>
    <t>ACATZINGO</t>
  </si>
  <si>
    <t>SAN JUAN PETLAPA</t>
  </si>
  <si>
    <t>SAN JUAN QUIAHIJE</t>
  </si>
  <si>
    <t>ACATENO</t>
  </si>
  <si>
    <t>SAN JUAN QUIOTEPEC</t>
  </si>
  <si>
    <t>SAN JUAN SAYULTEPEC</t>
  </si>
  <si>
    <t>SAN JUAN TABAÁ</t>
  </si>
  <si>
    <t>SAN JUAN TAMAZOLA</t>
  </si>
  <si>
    <t>SAN JUAN TEITA</t>
  </si>
  <si>
    <t>SAN JUAN TEITIPAC</t>
  </si>
  <si>
    <t>SAN JUAN TEPEUXILA</t>
  </si>
  <si>
    <t>SAN JUAN TEPOSCOLULA</t>
  </si>
  <si>
    <t>SAN JUAN YAEÉ</t>
  </si>
  <si>
    <t>SAN JUAN YATZONA</t>
  </si>
  <si>
    <t>SAN JUAN YUCUITA</t>
  </si>
  <si>
    <t>SAN LORENZO</t>
  </si>
  <si>
    <t>SAN LORENZO ALBARRADAS</t>
  </si>
  <si>
    <t>SAN LORENZO CACAOTEPEC</t>
  </si>
  <si>
    <t>SAN LORENZO CUAUNECUILTITLA</t>
  </si>
  <si>
    <t>SAN LORENZO TEXMELÚCAN</t>
  </si>
  <si>
    <t>SAN LORENZO VICTORIA</t>
  </si>
  <si>
    <t>SAN LUCAS CAMOTLÁN</t>
  </si>
  <si>
    <t>SAN LUCAS OJITLÁN</t>
  </si>
  <si>
    <t>SAN LUCAS QUIAVINÍ</t>
  </si>
  <si>
    <t>SAN LUCAS ZOQUIÁPAM</t>
  </si>
  <si>
    <t>SAN LUIS AMATLÁN</t>
  </si>
  <si>
    <t>SAN MARCIAL OZOLOTEPEC</t>
  </si>
  <si>
    <t>SAN MARCOS ARTEAGA</t>
  </si>
  <si>
    <t>SAN MARTÍN DE LOS CANSECOS</t>
  </si>
  <si>
    <t>SAN MARTÍN HUAMELÚLPAM</t>
  </si>
  <si>
    <t>SAN MARTÍN ITUNYOSO</t>
  </si>
  <si>
    <t>SAN MARTÍN LACHILÁ</t>
  </si>
  <si>
    <t>SAN MARTÍN PERAS</t>
  </si>
  <si>
    <t>SAN MARTÍN TILCAJETE</t>
  </si>
  <si>
    <t>SAN MARTÍN TOXPALAN</t>
  </si>
  <si>
    <t>SAN MARTÍN ZACATEPEC</t>
  </si>
  <si>
    <t>SAN MATEO CAJONOS</t>
  </si>
  <si>
    <t>SAN MATEO DEL MAR</t>
  </si>
  <si>
    <t>SAN MATEO ETLATONGO</t>
  </si>
  <si>
    <t>SAN MATEO NEJÁPAM</t>
  </si>
  <si>
    <t>SAN MATEO PEÑASCO</t>
  </si>
  <si>
    <t>SAN MATEO PIÑAS</t>
  </si>
  <si>
    <t>SAN MATEO RÍO HONDO</t>
  </si>
  <si>
    <t>SAN MATEO SINDIHUI</t>
  </si>
  <si>
    <t>SAN MATEO TLAPILTEPEC</t>
  </si>
  <si>
    <t>SAN MATEO YOLOXOCHITLÁN</t>
  </si>
  <si>
    <t>SAN MATEO YUCUTINDOO</t>
  </si>
  <si>
    <t>SAN MELCHOR BETAZA</t>
  </si>
  <si>
    <t>SAN MIGUEL ACHIUTLA</t>
  </si>
  <si>
    <t>SAN MIGUEL AHUEHUETITLÁN</t>
  </si>
  <si>
    <t>SAN MIGUEL ALOÁPAM</t>
  </si>
  <si>
    <t>SAN MIGUEL AMATITLÁN</t>
  </si>
  <si>
    <t>SAN MIGUEL AMATLÁN</t>
  </si>
  <si>
    <t>SAN MIGUEL CHICAHUA</t>
  </si>
  <si>
    <t>SAN MIGUEL CHIMALAPA</t>
  </si>
  <si>
    <t>SAN MIGUEL COATLÁN</t>
  </si>
  <si>
    <t>SAN MIGUEL DEL PUERTO</t>
  </si>
  <si>
    <t>SAN MIGUEL DEL RÍO</t>
  </si>
  <si>
    <t>SAN MIGUEL EJUTLA</t>
  </si>
  <si>
    <t>SAN MIGUEL EL GRANDE</t>
  </si>
  <si>
    <t>SAN MIGUEL HUAUTLA</t>
  </si>
  <si>
    <t>SAN MIGUEL MIXTEPEC</t>
  </si>
  <si>
    <t>SAN MIGUEL PANIXTLAHUACA</t>
  </si>
  <si>
    <t>SAN MIGUEL PERAS</t>
  </si>
  <si>
    <t>SAN MIGUEL PIEDRAS</t>
  </si>
  <si>
    <t>SAN MIGUEL QUETZALTEPEC</t>
  </si>
  <si>
    <t>SAN MIGUEL SANTA FLOR</t>
  </si>
  <si>
    <t>SAN MIGUEL SOYALTEPEC</t>
  </si>
  <si>
    <t>SAN MIGUEL SUCHIXTEPEC</t>
  </si>
  <si>
    <t>SAN MIGUEL TECOMATLÁN</t>
  </si>
  <si>
    <t>SAN MIGUEL TENANGO</t>
  </si>
  <si>
    <t>SAN MIGUEL TEQUIXTEPEC</t>
  </si>
  <si>
    <t>SAN MIGUEL TILQUIÁPAM</t>
  </si>
  <si>
    <t>SAN MIGUEL TLACAMAMA</t>
  </si>
  <si>
    <t>SAN MIGUEL TLACOTEPEC</t>
  </si>
  <si>
    <t>SAN MIGUEL TULANCINGO</t>
  </si>
  <si>
    <t>SAN MIGUEL YOTAO</t>
  </si>
  <si>
    <t>SAN NICOLÁS HIDALGO</t>
  </si>
  <si>
    <t>SAN PABLO COATLÁN</t>
  </si>
  <si>
    <t>SAN PABLO CUATRO VENADOS</t>
  </si>
  <si>
    <t>SAN PABLO ETLA</t>
  </si>
  <si>
    <t>SAN PABLO HUITZO</t>
  </si>
  <si>
    <t>SAN PABLO HUIXTEPEC</t>
  </si>
  <si>
    <t>SAN PABLO MACUILTIANGUIS</t>
  </si>
  <si>
    <t>SAN PABLO TIJALTEPEC</t>
  </si>
  <si>
    <t>SAN PABLO VILLA DE MITLA</t>
  </si>
  <si>
    <t>SAN PABLO YAGANIZA</t>
  </si>
  <si>
    <t>SAN PEDRO AMUZGOS</t>
  </si>
  <si>
    <t>SAN PEDRO APÓSTOL</t>
  </si>
  <si>
    <t>SAN PEDRO ATOYAC</t>
  </si>
  <si>
    <t>SAN PEDRO CAJONOS</t>
  </si>
  <si>
    <t>SAN PEDRO COMITANCILLO</t>
  </si>
  <si>
    <t>SAN PEDRO COXCALTEPEC CÁNTAROS</t>
  </si>
  <si>
    <t>SAN PEDRO EL ALTO</t>
  </si>
  <si>
    <t>SAN PEDRO HUAMELULA</t>
  </si>
  <si>
    <t>SAN PEDRO HUILOTEPEC</t>
  </si>
  <si>
    <t>SAN PEDRO IXCATLÁN</t>
  </si>
  <si>
    <t>SAN PEDRO IXTLAHUACA</t>
  </si>
  <si>
    <t>SAN PEDRO JALTEPETONGO</t>
  </si>
  <si>
    <t>SAN PEDRO JICAYÁN</t>
  </si>
  <si>
    <t>SAN PEDRO JOCOTIPAC</t>
  </si>
  <si>
    <t>SAN PEDRO JUCHATENGO</t>
  </si>
  <si>
    <t>SAN PEDRO MÁRTIR</t>
  </si>
  <si>
    <t>SAN PEDRO MÁRTIR QUIECHAPA</t>
  </si>
  <si>
    <t>SAN PEDRO MÁRTIR YUCUXACO</t>
  </si>
  <si>
    <t>SAN PEDRO MIXTEPEC -DTO. 22 -</t>
  </si>
  <si>
    <t>SAN PEDRO MIXTEPEC -DTO. 26 -</t>
  </si>
  <si>
    <t>SAN PEDRO MOLINOS</t>
  </si>
  <si>
    <t>SAN PEDRO NOPALA</t>
  </si>
  <si>
    <t>SAN PEDRO OCOPETATILLO</t>
  </si>
  <si>
    <t>SAN PEDRO OCOTEPEC</t>
  </si>
  <si>
    <t>SAN PEDRO POCHUTLA</t>
  </si>
  <si>
    <t>SAN PEDRO QUIATONI</t>
  </si>
  <si>
    <t>SAN PEDRO SOCHIÁPAM</t>
  </si>
  <si>
    <t>SAN PEDRO TAPANATEPEC</t>
  </si>
  <si>
    <t>SAN PEDRO TAVICHE</t>
  </si>
  <si>
    <t>SAN PEDRO TEOZACOALCO</t>
  </si>
  <si>
    <t>SAN PEDRO TEUTILA</t>
  </si>
  <si>
    <t>SAN PEDRO TIDAÁ</t>
  </si>
  <si>
    <t>SAN PEDRO TOPILTEPEC</t>
  </si>
  <si>
    <t>SAN PEDRO TOTOLÁPAM</t>
  </si>
  <si>
    <t>SAN PEDRO Y SAN PABLO AYUTLA</t>
  </si>
  <si>
    <t>SAN PEDRO Y SAN PABLO TEPOSCOLULA</t>
  </si>
  <si>
    <t>SAN PEDRO Y SAN PABLO TEQUIXTEPEC</t>
  </si>
  <si>
    <t>SAN PEDRO YANERI</t>
  </si>
  <si>
    <t>SAN PEDRO YÓLOX</t>
  </si>
  <si>
    <t>SAN PEDRO YUCUNAMA</t>
  </si>
  <si>
    <t>SAN RAYMUNDO JALPAN</t>
  </si>
  <si>
    <t>SAN SEBASTIÁN ABASOLO</t>
  </si>
  <si>
    <t>SAN SEBASTIÁN COATLÁN</t>
  </si>
  <si>
    <t>SAN SEBASTIÁN IXCAPA</t>
  </si>
  <si>
    <t>SAN SEBASTIÁN NICANANDUTA</t>
  </si>
  <si>
    <t>SAN SEBASTIÁN RÍO HONDO</t>
  </si>
  <si>
    <t>SAN SEBASTIÁN TECOMAXTLAHUACA</t>
  </si>
  <si>
    <t>SAN SEBASTIÁN TEITIPAC</t>
  </si>
  <si>
    <t>SAN SEBASTIÁN TUTLA</t>
  </si>
  <si>
    <t>SAN SIMÓN ALMOLONGAS</t>
  </si>
  <si>
    <t>SAN SIMÓN ZAHUATLÁN</t>
  </si>
  <si>
    <t>SAN VICENTE COATLÁN</t>
  </si>
  <si>
    <t>SAN VICENTE LACHIXÍO</t>
  </si>
  <si>
    <t>SAN VICENTE NUÑÚ</t>
  </si>
  <si>
    <t>SANTA ANA ATEIXTLAHUACA</t>
  </si>
  <si>
    <t>SANTA ANA CUAUHTÉMOC</t>
  </si>
  <si>
    <t>SANTA ANA DEL VALLE</t>
  </si>
  <si>
    <t>SANTA ANA TAVELA</t>
  </si>
  <si>
    <t>SANTA ANA TLAPACOYAN</t>
  </si>
  <si>
    <t>SANTA ANA YARENI</t>
  </si>
  <si>
    <t>SANTA ANA ZEGACHE</t>
  </si>
  <si>
    <t>SANTA CATALINA QUIERÍ</t>
  </si>
  <si>
    <t>SANTA CATARINA CUIXTLA</t>
  </si>
  <si>
    <t>SANTA CATARINA IXTEPEJI</t>
  </si>
  <si>
    <t>SANTA CATARINA JUQUILA</t>
  </si>
  <si>
    <t>SANTA CATARINA LACHATAO</t>
  </si>
  <si>
    <t>SANTA CATARINA LOXICHA</t>
  </si>
  <si>
    <t>SANTA CATARINA MECHOACÁN</t>
  </si>
  <si>
    <t>SANTA CATARINA MINAS</t>
  </si>
  <si>
    <t>SANTA CATARINA QUIANÉ</t>
  </si>
  <si>
    <t>SANTA CATARINA QUIOQUITANI</t>
  </si>
  <si>
    <t>SANTA CATARINA TAYATA</t>
  </si>
  <si>
    <t>SANTA CATARINA TICUÁ</t>
  </si>
  <si>
    <t>SANTA CATARINA YOSONOTÚ</t>
  </si>
  <si>
    <t>SANTA CATARINA ZAPOQUILA</t>
  </si>
  <si>
    <t>SANTA CRUZ ACATEPEC</t>
  </si>
  <si>
    <t>SANTA CRUZ AMILPAS</t>
  </si>
  <si>
    <t>SANTA CRUZ DE BRAVO</t>
  </si>
  <si>
    <t>SANTA CRUZ ITUNDUJIA</t>
  </si>
  <si>
    <t>SANTA CRUZ MIXTEPEC</t>
  </si>
  <si>
    <t>SANTA CRUZ NUNDACO</t>
  </si>
  <si>
    <t>SANTA CRUZ PAPALUTLA</t>
  </si>
  <si>
    <t>SANTA CRUZ TACACHE DE MINA</t>
  </si>
  <si>
    <t>SANTA CRUZ TACAHUA</t>
  </si>
  <si>
    <t>SANTA CRUZ TAYATA</t>
  </si>
  <si>
    <t>SANTA CRUZ XITLA</t>
  </si>
  <si>
    <t>SANTA CRUZ XOXOCOTLÁN</t>
  </si>
  <si>
    <t>SANTA CRUZ ZENZONTEPEC</t>
  </si>
  <si>
    <t>SANTA GERTRUDIS</t>
  </si>
  <si>
    <t>SANTA INÉS DE ZARAGOZA</t>
  </si>
  <si>
    <t>SANTA INÉS DEL MONTE</t>
  </si>
  <si>
    <t>SANTA INÉS YATZECHE</t>
  </si>
  <si>
    <t>SANTA LUCÍA DEL CAMINO</t>
  </si>
  <si>
    <t>SANTA LUCÍA MIAHUATLÁN</t>
  </si>
  <si>
    <t>SANTA LUCÍA MONTEVERDE</t>
  </si>
  <si>
    <t>SANTA LUCÍA OCOTLÁN</t>
  </si>
  <si>
    <t>SANTA MAGDALENA JICOTLÁN</t>
  </si>
  <si>
    <t>SANTA MARÍA ALOTEPEC</t>
  </si>
  <si>
    <t>SANTA MARÍA APAZCO</t>
  </si>
  <si>
    <t>SANTA MARÍA ATZOMPA</t>
  </si>
  <si>
    <t>SANTA MARÍA CAMOTLÁN</t>
  </si>
  <si>
    <t>SANTA MARÍA CHACHOÁPAM</t>
  </si>
  <si>
    <t>SANTA MARÍA CHILCHOTLA</t>
  </si>
  <si>
    <t>SANTA MARÍA CHIMALAPA</t>
  </si>
  <si>
    <t>SANTA MARÍA COLOTEPEC</t>
  </si>
  <si>
    <t>SANTA MARÍA CORTIJO</t>
  </si>
  <si>
    <t>SANTA MARÍA COYOTEPEC</t>
  </si>
  <si>
    <t>SANTA MARÍA DEL ROSARIO</t>
  </si>
  <si>
    <t>SANTA MARÍA DEL TULE</t>
  </si>
  <si>
    <t>SANTA MARÍA ECATEPEC</t>
  </si>
  <si>
    <t>SANTA MARÍA GUELACÉ</t>
  </si>
  <si>
    <t>SANTA MARÍA GUIENAGATI</t>
  </si>
  <si>
    <t>SANTA MARÍA HUATULCO</t>
  </si>
  <si>
    <t>SANTA MARÍA HUAZOLOTITLÁN</t>
  </si>
  <si>
    <t>SANTA MARÍA IPALAPA</t>
  </si>
  <si>
    <t>SANTA MARÍA IXCATLÁN</t>
  </si>
  <si>
    <t>SANTA MARÍA JACATEPEC</t>
  </si>
  <si>
    <t>SANTA MARÍA JALAPA DEL MARQUÉS</t>
  </si>
  <si>
    <t>SANTA MARÍA JALTIANGUIS</t>
  </si>
  <si>
    <t>SANTA MARÍA LA ASUNCIÓN</t>
  </si>
  <si>
    <t>SANTA MARÍA LACHIXÍO</t>
  </si>
  <si>
    <t>SANTA MARÍA MIXTEQUILLA</t>
  </si>
  <si>
    <t>SANTA MARÍA NATIVITAS</t>
  </si>
  <si>
    <t>SANTA MARÍA NDUAYACO</t>
  </si>
  <si>
    <t>SANTA MARÍA OZOLOTEPEC</t>
  </si>
  <si>
    <t>SANTA MARÍA PÁPALO</t>
  </si>
  <si>
    <t>SANTA MARÍA PEÑOLES</t>
  </si>
  <si>
    <t>SANTA MARÍA PETAPA</t>
  </si>
  <si>
    <t>SANTA MARÍA QUIEGOLANI</t>
  </si>
  <si>
    <t>SANTA MARÍA SOLA</t>
  </si>
  <si>
    <t>SANTA MARÍA TATALTEPEC</t>
  </si>
  <si>
    <t>SANTA MARÍA TECOMAVACA</t>
  </si>
  <si>
    <t>SANTA MARÍA TEMAXCALAPA</t>
  </si>
  <si>
    <t>SANTA MARÍA TEMAXCALTEPEC</t>
  </si>
  <si>
    <t>SANTA MARÍA TEOPOXCO</t>
  </si>
  <si>
    <t>SANTA MARÍA TEPANTLALI</t>
  </si>
  <si>
    <t>SANTA MARÍA TEXCATITLÁN</t>
  </si>
  <si>
    <t>SANTA MARÍA TLAHUITOLTEPEC</t>
  </si>
  <si>
    <t>SANTA MARÍA TLALIXTAC</t>
  </si>
  <si>
    <t>SANTA MARÍA TONAMECA</t>
  </si>
  <si>
    <t>SANTA MARÍA TOTOLAPILLA</t>
  </si>
  <si>
    <t>SANTA MARÍA XADANI</t>
  </si>
  <si>
    <t>SANTA MARÍA YALINA</t>
  </si>
  <si>
    <t>SANTA MARÍA YAVESÍA</t>
  </si>
  <si>
    <t>SANTA MARÍA YOLOTEPEC</t>
  </si>
  <si>
    <t>SANTA MARÍA YOSOYÚA</t>
  </si>
  <si>
    <t>SANTA MARÍA YUCUHITI</t>
  </si>
  <si>
    <t>SANTA MARÍA ZACATEPEC</t>
  </si>
  <si>
    <t>SANTA MARÍA ZANIZA</t>
  </si>
  <si>
    <t>SANTA MARÍA ZOQUITLÁN</t>
  </si>
  <si>
    <t>SANTIAGO AMOLTEPEC</t>
  </si>
  <si>
    <t>SANTIAGO APOALA</t>
  </si>
  <si>
    <t>SANTIAGO APÓSTOL</t>
  </si>
  <si>
    <t>SANTIAGO ASTATA</t>
  </si>
  <si>
    <t>SANTIAGO ATITLÁN</t>
  </si>
  <si>
    <t>SANTIAGO AYUQUILILLA</t>
  </si>
  <si>
    <t>SANTIAGO CACALOXTEPEC</t>
  </si>
  <si>
    <t>SANTIAGO CAMOTLÁN</t>
  </si>
  <si>
    <t>SANTIAGO CHOÁPAM</t>
  </si>
  <si>
    <t>SANTIAGO COMALTEPEC</t>
  </si>
  <si>
    <t>SANTIAGO DEL RÍO</t>
  </si>
  <si>
    <t>SANTIAGO HUAJOLOTITLÁN</t>
  </si>
  <si>
    <t>SANTIAGO HUAUCLILLA</t>
  </si>
  <si>
    <t>SANTIAGO IHUITLÁN PLUMAS</t>
  </si>
  <si>
    <t>SANTIAGO IXCUINTEPEC</t>
  </si>
  <si>
    <t>SANTIAGO IXTAYUTLA</t>
  </si>
  <si>
    <t>SANTIAGO JAMILTEPEC</t>
  </si>
  <si>
    <t>SANTIAGO JOCOTEPEC</t>
  </si>
  <si>
    <t>SANTIAGO JUXTLAHUACA</t>
  </si>
  <si>
    <t>SANTIAGO LACHIGUIRI</t>
  </si>
  <si>
    <t>SANTIAGO LALOPA</t>
  </si>
  <si>
    <t>SANTIAGO LAOLLAGA</t>
  </si>
  <si>
    <t>SANTIAGO LAXOPA</t>
  </si>
  <si>
    <t>SANTIAGO LLANO GRANDE</t>
  </si>
  <si>
    <t>SANTIAGO MATATLÁN</t>
  </si>
  <si>
    <t>SANTIAGO MILTEPEC</t>
  </si>
  <si>
    <t>SANTIAGO MINAS</t>
  </si>
  <si>
    <t>SANTIAGO NACALTEPEC</t>
  </si>
  <si>
    <t>SANTIAGO NEJAPILLA</t>
  </si>
  <si>
    <t>SANTIAGO NILTEPEC</t>
  </si>
  <si>
    <t>SANTIAGO NUNDICHE</t>
  </si>
  <si>
    <t>SANTIAGO NUYOÓ</t>
  </si>
  <si>
    <t>SANTIAGO PINOTEPA NACIONAL</t>
  </si>
  <si>
    <t>SANTIAGO SUCHILQUITONGO</t>
  </si>
  <si>
    <t>SANTIAGO TAMAZOLA</t>
  </si>
  <si>
    <t>SANTIAGO TAPEXTLA</t>
  </si>
  <si>
    <t>SANTIAGO TENANGO</t>
  </si>
  <si>
    <t>SANTIAGO TEPETLAPA</t>
  </si>
  <si>
    <t>SANTIAGO TETEPEC</t>
  </si>
  <si>
    <t>SANTIAGO TEXCALCINGO</t>
  </si>
  <si>
    <t>SANTIAGO TEXTITLÁN</t>
  </si>
  <si>
    <t>SANTIAGO TILANTONGO</t>
  </si>
  <si>
    <t>SANTIAGO TILLO</t>
  </si>
  <si>
    <t>SANTIAGO TLAZOYALTEPEC</t>
  </si>
  <si>
    <t>SANTIAGO XANICA</t>
  </si>
  <si>
    <t>SANTIAGO XIACUÍ</t>
  </si>
  <si>
    <t>SANTIAGO YAITEPEC</t>
  </si>
  <si>
    <t>SANTIAGO YAVEO</t>
  </si>
  <si>
    <t>SANTIAGO YOLOMÉCATL</t>
  </si>
  <si>
    <t>SANTIAGO YOSONDÚA</t>
  </si>
  <si>
    <t>SANTIAGO YUCUYACHI</t>
  </si>
  <si>
    <t>SANTIAGO ZACATEPEC</t>
  </si>
  <si>
    <t>SANTIAGO ZOOCHILA</t>
  </si>
  <si>
    <t>SANTO DOMINGO ALBARRADAS</t>
  </si>
  <si>
    <t>SANTO DOMINGO ARMENTA</t>
  </si>
  <si>
    <t>SANTO DOMINGO CHIHUITÁN</t>
  </si>
  <si>
    <t>SANTO DOMINGO DE MORELOS</t>
  </si>
  <si>
    <t>SANTO DOMINGO INGENIO</t>
  </si>
  <si>
    <t>SANTO DOMINGO IXCATLÁN</t>
  </si>
  <si>
    <t>SANTO DOMINGO NUXAÁ</t>
  </si>
  <si>
    <t>SANTO DOMINGO OZOLOTEPEC</t>
  </si>
  <si>
    <t>SANTO DOMINGO PETAPA</t>
  </si>
  <si>
    <t>SANTO DOMINGO ROAYAGA</t>
  </si>
  <si>
    <t>SANTO DOMINGO TEHUANTEPEC</t>
  </si>
  <si>
    <t>SANTO DOMINGO TEOJOMULCO</t>
  </si>
  <si>
    <t>SANTO DOMINGO TEPUXTEPEC</t>
  </si>
  <si>
    <t>SANTO DOMINGO TLATAYÁPAM</t>
  </si>
  <si>
    <t>SANTO DOMINGO TOMALTEPEC</t>
  </si>
  <si>
    <t>SANTO DOMINGO TONALÁ</t>
  </si>
  <si>
    <t>SANTO DOMINGO TONALTEPEC</t>
  </si>
  <si>
    <t>SANTO DOMINGO XAGACÍA</t>
  </si>
  <si>
    <t>SANTO DOMINGO YANHUITLÁN</t>
  </si>
  <si>
    <t>SANTO DOMINGO YODOHINO</t>
  </si>
  <si>
    <t>SANTO DOMINGO ZANATEPEC</t>
  </si>
  <si>
    <t>SANTO TOMÁS JALIEZA</t>
  </si>
  <si>
    <t>SANTO TOMÁS MAZALTEPEC</t>
  </si>
  <si>
    <t>SANTO TOMÁS OCOTEPEC</t>
  </si>
  <si>
    <t>SANTO TOMÁS TAMAZULAPAN</t>
  </si>
  <si>
    <t>SANTOS REYES NOPALA</t>
  </si>
  <si>
    <t>SANTOS REYES PÁPALO</t>
  </si>
  <si>
    <t>SANTOS REYES TEPEJILLO</t>
  </si>
  <si>
    <t>SANTOS REYES YUCUNÁ</t>
  </si>
  <si>
    <t>SILACAYOÁPAM</t>
  </si>
  <si>
    <t>SITIO DE XITLAPEHUA</t>
  </si>
  <si>
    <t>SOLEDAD ETLA</t>
  </si>
  <si>
    <t>TAMAZULÁPAM DEL ESPÍRITU SANTO</t>
  </si>
  <si>
    <t>TANETZE DE ZARAGOZA</t>
  </si>
  <si>
    <t>TANICHE</t>
  </si>
  <si>
    <t>TATALTEPEC DE VALDÉS</t>
  </si>
  <si>
    <t>TEOCOCUILCO DE MARCOS PÉREZ</t>
  </si>
  <si>
    <t>TEOTITLÁN DE FLORES MAGÓN</t>
  </si>
  <si>
    <t>TEOTITLÁN DEL VALLE</t>
  </si>
  <si>
    <t>TEOTONGO</t>
  </si>
  <si>
    <t>TEPELMEME VILLA DE MORELOS</t>
  </si>
  <si>
    <t>TEZOATLÁN DE SEGURA Y LUNA</t>
  </si>
  <si>
    <t>TLACOLULA DE MATAMOROS</t>
  </si>
  <si>
    <t>TLACOTEPEC PLUMAS</t>
  </si>
  <si>
    <t>TLALIXTAC DE CABRERA</t>
  </si>
  <si>
    <t>TOTONTEPEC VILLA DE MORELOS</t>
  </si>
  <si>
    <t>TRINIDAD ZAACHILA</t>
  </si>
  <si>
    <t>UNIÓN HIDALGO</t>
  </si>
  <si>
    <t>VALERIO TRUJANO</t>
  </si>
  <si>
    <t>VILLA DE CHILAPA DE DÍAZ</t>
  </si>
  <si>
    <t>VILLA DE ETLA</t>
  </si>
  <si>
    <t>VILLA DE SANTIAGO CHAZUMBA</t>
  </si>
  <si>
    <t>VILLA DE TAMAZULÁPAM DEL PROGRESO</t>
  </si>
  <si>
    <t>VILLA DE TUTUTEPEC</t>
  </si>
  <si>
    <t>VILLA DE ZAACHILA</t>
  </si>
  <si>
    <t>VILLA DÍAZ ORDAZ</t>
  </si>
  <si>
    <t>VILLA HIDALGO YALÁLAG</t>
  </si>
  <si>
    <t>VILLA SOLA DE VEGA</t>
  </si>
  <si>
    <t>VILLA TALEA DE CASTRO</t>
  </si>
  <si>
    <t>VILLA TEJÚPAM DE LA UNIÓN</t>
  </si>
  <si>
    <t>YAXE</t>
  </si>
  <si>
    <t>YOGANA</t>
  </si>
  <si>
    <t>YUTANDUCHI DE GUERRERO</t>
  </si>
  <si>
    <t>ZAPOTITLÁN LAGUNAS</t>
  </si>
  <si>
    <t>ZAPOTITLÁN PALMAS</t>
  </si>
  <si>
    <t>ZIMATLÁN DE ÁLVAREZ</t>
  </si>
  <si>
    <t>Concatenar Nombre de Archivo</t>
  </si>
  <si>
    <t xml:space="preserve">                       Monto de Crédito Solicitado</t>
  </si>
  <si>
    <t>INCREMENTO AL LTV DE FINANCIAMIENTO</t>
  </si>
  <si>
    <t xml:space="preserve">                       Calle y Número</t>
  </si>
  <si>
    <t xml:space="preserve">                       Colonia</t>
  </si>
  <si>
    <t xml:space="preserve">                       C.P.</t>
  </si>
  <si>
    <t>HIPOTECA CON OTRO BANCO</t>
  </si>
  <si>
    <t>TIPO DE CLIENTE</t>
  </si>
  <si>
    <t>CIUDAD_DE_MÉXICO</t>
  </si>
  <si>
    <t>PF_Y_PFAE_O_PROF</t>
  </si>
  <si>
    <t>NÓMINA HSBC</t>
  </si>
  <si>
    <t>Versión</t>
  </si>
  <si>
    <t>Fecha</t>
  </si>
  <si>
    <t>Modificación</t>
  </si>
  <si>
    <t>Responsable de la Modificación</t>
  </si>
  <si>
    <t>V1</t>
  </si>
  <si>
    <t>Nelson Silva Gallegos</t>
  </si>
  <si>
    <t>E VISOR</t>
  </si>
  <si>
    <t xml:space="preserve">                       Sustento Ingreso 1</t>
  </si>
  <si>
    <t xml:space="preserve">                       Sustento Ingreso 2</t>
  </si>
  <si>
    <t xml:space="preserve">                       Sustento Ingreso 3</t>
  </si>
  <si>
    <t xml:space="preserve">                       Sustento Ingreso 4</t>
  </si>
  <si>
    <t>DECLARACIÓN DE IMPUESTOS</t>
  </si>
  <si>
    <t>RECIBO DE NÓMINA</t>
  </si>
  <si>
    <t>COMPROBANTE DE INGRESOS</t>
  </si>
  <si>
    <t>ESTADO DE CUENTA</t>
  </si>
  <si>
    <t>CONSTANCIA DE SITUACION FISCAL</t>
  </si>
  <si>
    <t>REPORTE DE BURO EN USA</t>
  </si>
  <si>
    <t>PERSONA MORAL</t>
  </si>
  <si>
    <t>DB431 SCORE RECHAZADO</t>
  </si>
  <si>
    <t>DS001 SCORE RECHAZADO</t>
  </si>
  <si>
    <t>Estado de la Republica donde radica el cliente</t>
  </si>
  <si>
    <t xml:space="preserve">                      Valor aproximado de la vivienda</t>
  </si>
  <si>
    <t>Justificación ampliada de la excepción (¿Qué negocios adicionales podemos sumar a la institución?, ¿Cuál es su experiencia crediticia?, ¿situaciones particulares del cliente?, etc)</t>
  </si>
  <si>
    <r>
      <t xml:space="preserve">6. Apendix              </t>
    </r>
    <r>
      <rPr>
        <b/>
        <sz val="14"/>
        <color theme="0"/>
        <rFont val="Arial"/>
        <family val="2"/>
      </rPr>
      <t>(OPCIONAL)</t>
    </r>
  </si>
  <si>
    <t>PARA PODER CONTINUAR LA SUMA DE VALIDACIÓN DEBE SER IGUAL A 27:</t>
  </si>
  <si>
    <t>EMPLEADO HSBC</t>
  </si>
  <si>
    <t>CLIENTE ESPECIAL AXA</t>
  </si>
  <si>
    <t>ECONOMIA AMERICANA</t>
  </si>
  <si>
    <t>ADQUISICIÓN_DE_VIVIENDA</t>
  </si>
  <si>
    <t>APOYO_INFONAVIT</t>
  </si>
  <si>
    <t>LIQUIDEZ_TOPUP</t>
  </si>
  <si>
    <t>PAGO_DE_HIPOTECAS</t>
  </si>
  <si>
    <t>PAGO_HIPOTECA_MAS_LÍQUIDEZ</t>
  </si>
  <si>
    <t>CI_MAS_CB</t>
  </si>
  <si>
    <t>CONSTRUCCIÓN_MAS_TERRENO</t>
  </si>
  <si>
    <t>Estado de la Garantía (en caso de existir o que el producto lo requiera)</t>
  </si>
  <si>
    <t>Se crea el Formado de Excepciones
Se restringen las Solicitudes de Excepción para los siguientes Estados:
- Las excepciones de los estado de Chiapas, Quintana Roo, Veracruz, Tabasco y Tamaulipas deben ser gestionadas por el Comite.
- No es posible generar excepciones Sheets("UserForm").Range("E23").Selectara e Estado de Nayarit.
La excepción por DB431 SCORE RECHAZADO se restringe para que sea solicitado por el comité.
La combinación de excepción por DS001 SCORE RECHAZADO y INCREMENTO AL LTV DE FINANCIAMIENTO se restringe para que sea solicitado por el comité.</t>
  </si>
  <si>
    <t xml:space="preserve">                     Formato de Excepción v2</t>
  </si>
  <si>
    <t>V2</t>
  </si>
  <si>
    <t>OTRA</t>
  </si>
  <si>
    <t>1.- Habilitar la Macros</t>
  </si>
  <si>
    <t>Windows</t>
  </si>
  <si>
    <t>a) Abrir el programa de excel</t>
  </si>
  <si>
    <t>b) Seleccionar "Archivo" en la cinta de opciones</t>
  </si>
  <si>
    <t>c) Seleccionar "Opciones"</t>
  </si>
  <si>
    <t>d) Seleccionar "Centro de Confianza"</t>
  </si>
  <si>
    <t>f) Seleccionar "Configuración de macros</t>
  </si>
  <si>
    <t xml:space="preserve">   Seleccionar el check "Confiar en el acceso al modelo de objetos de proyectos de VBA".</t>
  </si>
  <si>
    <t>2.- Para Soporte Técnico relacionada con el funcionamiento o errores del Formato contactar a:</t>
  </si>
  <si>
    <t>nelson.silva@hsbc.com.mx y/o aida.lozano@hsbc.com.mx</t>
  </si>
  <si>
    <t>3.- Para Soporte relacionado con el llenado del Formato de Excepción contactar a Underwriting Services:</t>
  </si>
  <si>
    <t>liliana.escobedo@noexternalmail.hsbc.com y/o eric.buenrostro@hsbc.com.mx</t>
  </si>
  <si>
    <t>Para que se generen correctamente los Formato de Excepción en PDF debes habilitar las macros:</t>
  </si>
  <si>
    <t>e) Seleccionar "Configuración del Centro de Confianza"</t>
  </si>
  <si>
    <t xml:space="preserve">   Habilitar todas las macros de VBA (no recomendado; se puede ejecutar un código potencialmente peligroso.</t>
  </si>
  <si>
    <t xml:space="preserve"> - Se elimina el borrado de información al abrir el Formato.
  - Se elimina los botones ActiveX por Formatos de forma para que sea compatible con equipos MAC
  - Se elimina el guardado automático del Formato PDF en la carpeta "C" / "Formatos de Excepción para que
    se realice el guardado de forma manual en la carpeta que el usuario elija.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</si>
</sst>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$&quot;#,##0.00"/>
  </numFmts>
  <fonts count="2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11"/>
      <name val="Arial"/>
      <family val="2"/>
    </font>
    <font>
      <u/>
      <sz val="11"/>
      <color theme="10"/>
      <name val="Calibri"/>
      <family val="2"/>
      <scheme val="minor"/>
    </font>
    <font>
      <b/>
      <sz val="12"/>
      <color theme="1"/>
      <name val="Arial"/>
      <family val="2"/>
    </font>
    <font>
      <sz val="11"/>
      <color theme="0"/>
      <name val="Arial"/>
      <family val="2"/>
    </font>
    <font>
      <b/>
      <sz val="48"/>
      <color theme="0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sz val="10"/>
      <color theme="1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10"/>
      <color rgb="FF002060"/>
      <name val="Arial"/>
      <family val="2"/>
    </font>
    <font>
      <sz val="10"/>
      <color theme="8" tint="-0.499984740745262"/>
      <name val="Arial"/>
      <family val="2"/>
    </font>
    <font>
      <b/>
      <sz val="10"/>
      <color theme="0" tint="-4.9989318521683403E-2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0"/>
      <name val="Arial"/>
      <family val="2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4" fillId="0" borderId="0" applyNumberFormat="0" applyFill="0" applyBorder="0" applyAlignment="0" applyProtection="0"/>
  </cellStyleXfs>
  <cellXfs count="74">
    <xf numFmtId="0" fontId="0" fillId="0" borderId="0" xfId="0"/>
    <xf numFmtId="0" fontId="5" fillId="0" borderId="0" xfId="0" applyFont="1"/>
    <xf numFmtId="0" fontId="6" fillId="0" borderId="0" xfId="0" applyFont="1" applyFill="1" applyAlignment="1">
      <alignment vertical="center"/>
    </xf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vertical="center"/>
    </xf>
    <xf numFmtId="0" fontId="8" fillId="0" borderId="0" xfId="0" applyFont="1" applyFill="1" applyAlignment="1">
      <alignment horizontal="center" vertical="center"/>
    </xf>
    <xf numFmtId="0" fontId="9" fillId="0" borderId="0" xfId="0" applyFont="1" applyFill="1" applyAlignment="1">
      <alignment vertical="center"/>
    </xf>
    <xf numFmtId="0" fontId="8" fillId="0" borderId="0" xfId="0" applyFont="1" applyFill="1" applyAlignment="1">
      <alignment vertical="center"/>
    </xf>
    <xf numFmtId="0" fontId="11" fillId="0" borderId="0" xfId="0" applyFont="1" applyFill="1" applyAlignment="1">
      <alignment horizontal="left" vertical="center"/>
    </xf>
    <xf numFmtId="0" fontId="6" fillId="0" borderId="0" xfId="0" applyFont="1" applyFill="1" applyAlignment="1">
      <alignment horizontal="justify" vertical="center" wrapText="1"/>
    </xf>
    <xf numFmtId="0" fontId="12" fillId="0" borderId="0" xfId="0" applyFont="1" applyFill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vertical="center"/>
    </xf>
    <xf numFmtId="0" fontId="13" fillId="0" borderId="0" xfId="0" applyFont="1" applyFill="1" applyAlignment="1">
      <alignment vertical="center"/>
    </xf>
    <xf numFmtId="0" fontId="14" fillId="0" borderId="0" xfId="0" applyFont="1" applyFill="1" applyAlignment="1">
      <alignment vertical="center"/>
    </xf>
    <xf numFmtId="0" fontId="14" fillId="0" borderId="0" xfId="0" applyFont="1" applyFill="1" applyAlignment="1">
      <alignment horizontal="center" vertical="center"/>
    </xf>
    <xf numFmtId="0" fontId="15" fillId="0" borderId="0" xfId="0" applyFont="1" applyFill="1" applyAlignment="1">
      <alignment vertical="center"/>
    </xf>
    <xf numFmtId="0" fontId="15" fillId="0" borderId="0" xfId="0" applyFont="1" applyFill="1" applyAlignment="1">
      <alignment horizontal="center" vertical="center"/>
    </xf>
    <xf numFmtId="0" fontId="16" fillId="0" borderId="0" xfId="0" applyFont="1" applyFill="1" applyAlignment="1">
      <alignment horizontal="right"/>
    </xf>
    <xf numFmtId="0" fontId="16" fillId="0" borderId="0" xfId="0" applyFont="1" applyFill="1" applyAlignment="1">
      <alignment horizontal="left" vertical="center"/>
    </xf>
    <xf numFmtId="0" fontId="16" fillId="0" borderId="0" xfId="0" applyFont="1" applyFill="1" applyAlignment="1">
      <alignment vertical="center"/>
    </xf>
    <xf numFmtId="0" fontId="17" fillId="0" borderId="0" xfId="0" applyFont="1" applyFill="1" applyAlignment="1">
      <alignment horizontal="left" vertical="center"/>
    </xf>
    <xf numFmtId="0" fontId="17" fillId="0" borderId="0" xfId="0" applyFont="1" applyFill="1" applyAlignment="1">
      <alignment horizontal="left" vertical="center" wrapText="1"/>
    </xf>
    <xf numFmtId="0" fontId="16" fillId="0" borderId="0" xfId="0" applyFont="1" applyFill="1" applyAlignment="1">
      <alignment horizontal="left" vertical="center" wrapText="1"/>
    </xf>
    <xf numFmtId="0" fontId="9" fillId="0" borderId="0" xfId="0" applyFont="1" applyFill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/>
    </xf>
    <xf numFmtId="0" fontId="0" fillId="0" borderId="0" xfId="0" applyFont="1" applyFill="1" applyBorder="1"/>
    <xf numFmtId="0" fontId="0" fillId="4" borderId="2" xfId="0" applyFont="1" applyFill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Font="1" applyFill="1" applyBorder="1"/>
    <xf numFmtId="0" fontId="0" fillId="0" borderId="2" xfId="0" applyFont="1" applyFill="1" applyBorder="1"/>
    <xf numFmtId="0" fontId="19" fillId="0" borderId="0" xfId="0" applyFont="1" applyFill="1" applyBorder="1"/>
    <xf numFmtId="0" fontId="3" fillId="0" borderId="0" xfId="0" applyFont="1" applyFill="1" applyAlignment="1">
      <alignment vertical="center"/>
    </xf>
    <xf numFmtId="0" fontId="3" fillId="0" borderId="0" xfId="0" applyFont="1" applyFill="1" applyAlignment="1">
      <alignment horizontal="justify" vertical="center" wrapText="1"/>
    </xf>
    <xf numFmtId="0" fontId="0" fillId="0" borderId="0" xfId="0" applyAlignment="1">
      <alignment horizontal="center" vertical="center"/>
    </xf>
    <xf numFmtId="0" fontId="15" fillId="0" borderId="0" xfId="0" applyFont="1" applyFill="1" applyAlignment="1" applyProtection="1">
      <alignment horizontal="center" vertical="center"/>
      <protection locked="0"/>
    </xf>
    <xf numFmtId="0" fontId="13" fillId="0" borderId="0" xfId="0" applyFont="1" applyFill="1" applyAlignment="1" applyProtection="1">
      <alignment horizontal="justify" vertical="center" wrapText="1"/>
      <protection locked="0"/>
    </xf>
    <xf numFmtId="0" fontId="15" fillId="0" borderId="0" xfId="0" applyFont="1" applyFill="1" applyAlignment="1" applyProtection="1">
      <alignment horizontal="justify" vertical="center" wrapText="1"/>
      <protection locked="0"/>
    </xf>
    <xf numFmtId="0" fontId="14" fillId="0" borderId="0" xfId="0" applyFont="1" applyFill="1" applyAlignment="1" applyProtection="1">
      <alignment horizontal="center" vertical="center" wrapText="1"/>
      <protection locked="0"/>
    </xf>
    <xf numFmtId="164" fontId="15" fillId="0" borderId="0" xfId="0" applyNumberFormat="1" applyFont="1" applyFill="1" applyAlignment="1" applyProtection="1">
      <alignment horizontal="center" vertical="center"/>
      <protection locked="0"/>
    </xf>
    <xf numFmtId="10" fontId="15" fillId="0" borderId="0" xfId="0" applyNumberFormat="1" applyFont="1" applyFill="1" applyAlignment="1" applyProtection="1">
      <alignment horizontal="center" vertical="center"/>
      <protection locked="0"/>
    </xf>
    <xf numFmtId="0" fontId="15" fillId="0" borderId="0" xfId="0" applyFont="1" applyFill="1" applyAlignment="1" applyProtection="1">
      <alignment horizontal="center" vertical="center" wrapText="1"/>
      <protection locked="0"/>
    </xf>
    <xf numFmtId="164" fontId="15" fillId="0" borderId="0" xfId="0" applyNumberFormat="1" applyFont="1" applyFill="1" applyAlignment="1" applyProtection="1">
      <alignment horizontal="center" vertical="center" wrapText="1"/>
      <protection locked="0"/>
    </xf>
    <xf numFmtId="0" fontId="0" fillId="0" borderId="3" xfId="0" applyFont="1" applyFill="1" applyBorder="1"/>
    <xf numFmtId="0" fontId="20" fillId="0" borderId="0" xfId="0" applyFont="1"/>
    <xf numFmtId="0" fontId="21" fillId="0" borderId="0" xfId="0" applyFont="1"/>
    <xf numFmtId="0" fontId="6" fillId="0" borderId="0" xfId="0" applyFont="1" applyFill="1" applyAlignment="1" applyProtection="1">
      <alignment vertical="center"/>
    </xf>
    <xf numFmtId="0" fontId="0" fillId="0" borderId="0" xfId="0" applyAlignment="1">
      <alignment vertical="center"/>
    </xf>
    <xf numFmtId="0" fontId="1" fillId="2" borderId="0" xfId="0" applyFont="1" applyFill="1" applyAlignment="1">
      <alignment horizontal="center" vertical="center"/>
    </xf>
    <xf numFmtId="0" fontId="0" fillId="0" borderId="4" xfId="0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/>
    </xf>
    <xf numFmtId="0" fontId="0" fillId="0" borderId="4" xfId="0" applyBorder="1" applyAlignment="1">
      <alignment vertical="center" wrapText="1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13" fillId="5" borderId="0" xfId="0" applyFont="1" applyFill="1" applyAlignment="1" applyProtection="1">
      <alignment horizontal="center" vertical="center" wrapText="1"/>
      <protection locked="0"/>
    </xf>
    <xf numFmtId="0" fontId="16" fillId="0" borderId="0" xfId="0" applyFont="1" applyFill="1" applyAlignment="1" applyProtection="1">
      <alignment horizontal="right" vertical="center"/>
      <protection hidden="1"/>
    </xf>
    <xf numFmtId="0" fontId="16" fillId="0" borderId="0" xfId="0" applyFont="1" applyFill="1" applyAlignment="1" applyProtection="1">
      <alignment horizontal="right"/>
      <protection hidden="1"/>
    </xf>
    <xf numFmtId="0" fontId="9" fillId="0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0" fontId="16" fillId="0" borderId="0" xfId="0" applyFont="1" applyFill="1" applyAlignment="1">
      <alignment vertical="center" wrapText="1"/>
    </xf>
    <xf numFmtId="0" fontId="4" fillId="5" borderId="0" xfId="2" applyFill="1" applyAlignment="1" applyProtection="1">
      <alignment vertical="center" wrapText="1"/>
      <protection locked="0"/>
    </xf>
    <xf numFmtId="164" fontId="14" fillId="0" borderId="0" xfId="0" applyNumberFormat="1" applyFont="1" applyFill="1" applyAlignment="1" applyProtection="1">
      <alignment horizontal="center" vertical="center" wrapText="1"/>
      <protection locked="0"/>
    </xf>
    <xf numFmtId="0" fontId="15" fillId="0" borderId="0" xfId="0" applyFont="1" applyFill="1" applyAlignment="1" applyProtection="1">
      <alignment vertical="center" wrapText="1"/>
      <protection locked="0"/>
    </xf>
    <xf numFmtId="0" fontId="24" fillId="5" borderId="0" xfId="2" applyFont="1" applyFill="1" applyAlignment="1" applyProtection="1">
      <alignment vertical="center" wrapText="1"/>
      <protection locked="0"/>
    </xf>
    <xf numFmtId="0" fontId="10" fillId="0" borderId="0" xfId="0" applyFont="1" applyFill="1" applyAlignment="1" applyProtection="1">
      <alignment horizontal="center" vertical="center" wrapText="1"/>
      <protection locked="0"/>
    </xf>
    <xf numFmtId="0" fontId="22" fillId="0" borderId="0" xfId="0" applyFont="1"/>
    <xf numFmtId="0" fontId="0" fillId="0" borderId="4" xfId="0" quotePrefix="1" applyBorder="1" applyAlignment="1">
      <alignment vertical="center" wrapText="1"/>
    </xf>
    <xf numFmtId="0" fontId="14" fillId="2" borderId="0" xfId="0" applyFont="1" applyFill="1" applyAlignment="1">
      <alignment horizontal="center" vertical="center"/>
    </xf>
    <xf numFmtId="0" fontId="18" fillId="2" borderId="0" xfId="0" applyFont="1" applyFill="1" applyAlignment="1">
      <alignment horizontal="center" vertical="center"/>
    </xf>
  </cellXfs>
  <cellStyles count="3">
    <cellStyle name="Hipervínculo" xfId="2" builtinId="8"/>
    <cellStyle name="Normal" xfId="0" builtinId="0"/>
    <cellStyle name="Normal 2" xfId="1"/>
  </cellStyles>
  <dxfs count="138"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alignment horizont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color theme="1"/>
      </font>
      <fill>
        <patternFill patternType="solid">
          <fgColor auto="1"/>
          <bgColor theme="0" tint="-0.14996795556505021"/>
        </patternFill>
      </fill>
    </dxf>
    <dxf>
      <font>
        <b val="0"/>
        <i val="0"/>
        <color theme="1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 val="0"/>
        <i val="0"/>
        <color theme="1"/>
      </font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0" tint="-0.14996795556505021"/>
        </pattern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ont>
        <b val="0"/>
        <i val="0"/>
        <color theme="1"/>
      </font>
      <fill>
        <patternFill>
          <bgColor theme="0" tint="-0.14996795556505021"/>
        </pattern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ont>
        <b val="0"/>
        <i val="0"/>
        <color theme="1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 val="0"/>
        <i val="0"/>
        <color theme="1"/>
      </font>
      <fill>
        <patternFill>
          <bgColor theme="0" tint="-0.14996795556505021"/>
        </pattern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ont>
        <b val="0"/>
        <i val="0"/>
        <color theme="1"/>
      </font>
      <fill>
        <patternFill>
          <bgColor theme="0" tint="-0.14996795556505021"/>
        </patternFill>
      </fill>
    </dxf>
    <dxf>
      <font>
        <b val="0"/>
        <i val="0"/>
        <color theme="1"/>
      </font>
      <fill>
        <patternFill>
          <bgColor theme="0" tint="-0.14996795556505021"/>
        </pattern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ont>
        <color theme="1"/>
      </font>
      <fill>
        <patternFill>
          <bgColor theme="0" tint="-0.14996795556505021"/>
        </patternFill>
      </fill>
    </dxf>
    <dxf>
      <font>
        <b val="0"/>
        <i val="0"/>
        <color theme="1"/>
      </font>
      <fill>
        <patternFill>
          <bgColor theme="0" tint="-0.14996795556505021"/>
        </patternFill>
      </fill>
    </dxf>
    <dxf>
      <fill>
        <patternFill patternType="solid">
          <fgColor auto="1"/>
          <bgColor theme="0" tint="-0.14996795556505021"/>
        </patternFill>
      </fill>
    </dxf>
    <dxf>
      <font>
        <b val="0"/>
        <i val="0"/>
        <color auto="1"/>
      </font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ont>
        <color theme="1"/>
      </font>
      <fill>
        <patternFill>
          <bgColor theme="0" tint="-0.14996795556505021"/>
        </pattern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ont>
        <b val="0"/>
        <i val="0"/>
        <color theme="1"/>
      </font>
      <fill>
        <patternFill>
          <bgColor theme="0" tint="-0.14996795556505021"/>
        </pattern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ont>
        <b val="0"/>
        <i val="0"/>
        <color theme="1"/>
      </font>
      <fill>
        <patternFill>
          <bgColor theme="0" tint="-0.14996795556505021"/>
        </pattern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ont>
        <b val="0"/>
        <i val="0"/>
        <color theme="1"/>
      </font>
      <fill>
        <patternFill>
          <bgColor theme="0" tint="-0.14996795556505021"/>
        </pattern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ont>
        <b val="0"/>
        <i val="0"/>
        <color theme="1"/>
      </font>
      <fill>
        <patternFill>
          <bgColor theme="0" tint="-0.14996795556505021"/>
        </pattern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ont>
        <b val="0"/>
        <i val="0"/>
        <color theme="1"/>
      </font>
      <fill>
        <patternFill>
          <bgColor theme="0" tint="-0.14996795556505021"/>
        </pattern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ont>
        <b val="0"/>
        <i val="0"/>
        <color theme="1"/>
      </font>
      <fill>
        <patternFill>
          <bgColor theme="0" tint="-0.14996795556505021"/>
        </patternFill>
      </fill>
    </dxf>
    <dxf>
      <font>
        <b val="0"/>
        <i val="0"/>
        <color theme="1"/>
      </font>
      <fill>
        <patternFill>
          <bgColor theme="0" tint="-0.14996795556505021"/>
        </patternFill>
      </fill>
    </dxf>
    <dxf>
      <font>
        <b val="0"/>
        <i val="0"/>
        <color theme="1"/>
      </font>
      <fill>
        <patternFill>
          <bgColor theme="0" tint="-0.14996795556505021"/>
        </patternFill>
      </fill>
    </dxf>
    <dxf>
      <font>
        <b val="0"/>
        <i val="0"/>
        <color theme="1"/>
      </font>
      <fill>
        <patternFill>
          <bgColor theme="0" tint="-0.14996795556505021"/>
        </pattern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ont>
        <b val="0"/>
        <i val="0"/>
        <color theme="1"/>
      </font>
      <fill>
        <patternFill>
          <bgColor theme="0" tint="-0.14996795556505021"/>
        </pattern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ont>
        <b val="0"/>
        <i val="0"/>
        <color theme="1"/>
      </font>
      <fill>
        <patternFill>
          <bgColor theme="0" tint="-0.14996795556505021"/>
        </pattern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ont>
        <b val="0"/>
        <i val="0"/>
        <color theme="1"/>
      </font>
      <fill>
        <patternFill>
          <bgColor theme="0" tint="-0.14996795556505021"/>
        </pattern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ont>
        <b val="0"/>
        <i val="0"/>
        <color theme="1"/>
      </font>
      <fill>
        <patternFill>
          <bgColor theme="0" tint="-0.14996795556505021"/>
        </pattern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ont>
        <b val="0"/>
        <i val="0"/>
        <color theme="1"/>
      </font>
      <fill>
        <patternFill>
          <bgColor theme="0" tint="-0.14996795556505021"/>
        </patternFill>
      </fill>
    </dxf>
    <dxf>
      <font>
        <b val="0"/>
        <i val="0"/>
        <color theme="1"/>
      </font>
      <fill>
        <patternFill>
          <bgColor theme="0" tint="-0.14996795556505021"/>
        </patternFill>
      </fill>
    </dxf>
    <dxf>
      <font>
        <b val="0"/>
        <i val="0"/>
        <color theme="1"/>
      </font>
      <fill>
        <patternFill>
          <bgColor theme="0" tint="-0.14996795556505021"/>
        </pattern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ont>
        <b val="0"/>
        <i val="0"/>
        <color theme="1"/>
      </font>
      <fill>
        <patternFill>
          <bgColor theme="0" tint="-0.14996795556505021"/>
        </patternFill>
      </fill>
    </dxf>
    <dxf>
      <font>
        <color theme="1"/>
      </font>
    </dxf>
    <dxf>
      <font>
        <color theme="1"/>
      </font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ont>
        <b val="0"/>
        <i val="0"/>
        <color theme="1"/>
      </font>
      <fill>
        <patternFill>
          <bgColor theme="0" tint="-0.14996795556505021"/>
        </patternFill>
      </fill>
    </dxf>
    <dxf>
      <font>
        <b val="0"/>
        <i val="0"/>
        <color theme="1"/>
      </font>
      <fill>
        <patternFill>
          <bgColor theme="0" tint="-0.14996795556505021"/>
        </patternFill>
      </fill>
    </dxf>
    <dxf>
      <font>
        <b val="0"/>
        <i val="0"/>
        <color theme="1"/>
      </font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185458</xdr:colOff>
      <xdr:row>1</xdr:row>
      <xdr:rowOff>658346</xdr:rowOff>
    </xdr:from>
    <xdr:to>
      <xdr:col>1</xdr:col>
      <xdr:colOff>1938058</xdr:colOff>
      <xdr:row>3</xdr:row>
      <xdr:rowOff>31377</xdr:rowOff>
    </xdr:to>
    <xdr:pic>
      <xdr:nvPicPr>
        <xdr:cNvPr id="2" name="Imagen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5458" y="839321"/>
          <a:ext cx="1990725" cy="7922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1947523</xdr:colOff>
      <xdr:row>65</xdr:row>
      <xdr:rowOff>17008</xdr:rowOff>
    </xdr:from>
    <xdr:ext cx="1675379" cy="612321"/>
    <xdr:sp macro="[0]!GenerarFormmatoPDF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19688" y="14874307"/>
          <a:ext cx="1675379" cy="612321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noAutofit/>
        </a:bodyPr>
        <a:lstStyle/>
        <a:p>
          <a:pPr algn="l"/>
          <a:r>
            <a:rPr lang="es-MX" sz="12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Generar Formato</a:t>
          </a:r>
          <a:endParaRPr lang="es-MX" sz="12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twoCellAnchor>
    <xdr:from>
      <xdr:col>4</xdr:col>
      <xdr:colOff>3775983</xdr:colOff>
      <xdr:row>0</xdr:row>
      <xdr:rowOff>136068</xdr:rowOff>
    </xdr:from>
    <xdr:to>
      <xdr:col>4</xdr:col>
      <xdr:colOff>5706496</xdr:colOff>
      <xdr:row>0</xdr:row>
      <xdr:rowOff>858948</xdr:rowOff>
    </xdr:to>
    <xdr:sp macro="[0]!Borrar_Datos" textlink="">
      <xdr:nvSpPr>
        <xdr:cNvPr id="4" name="Rectángulo 3">
          <a:extLst>
            <a:ext uri="{FF2B5EF4-FFF2-40B4-BE49-F238E27FC236}">
              <a16:creationId xmlns:a16="http://schemas.microsoft.com/office/drawing/2014/main" id="{A7F8EAEA-5AEA-909F-7209-5026F198DC53}"/>
            </a:ext>
          </a:extLst>
        </xdr:cNvPr>
        <xdr:cNvSpPr/>
      </xdr:nvSpPr>
      <xdr:spPr>
        <a:xfrm>
          <a:off x="6948148" y="136068"/>
          <a:ext cx="1930513" cy="72288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2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Borrar Datos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472109</xdr:colOff>
      <xdr:row>3</xdr:row>
      <xdr:rowOff>107675</xdr:rowOff>
    </xdr:from>
    <xdr:to>
      <xdr:col>11</xdr:col>
      <xdr:colOff>705157</xdr:colOff>
      <xdr:row>9</xdr:row>
      <xdr:rowOff>174199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663D986A-D8E0-7F14-D01D-5B06F06079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68109" y="753718"/>
          <a:ext cx="2519048" cy="1209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115961</xdr:colOff>
      <xdr:row>3</xdr:row>
      <xdr:rowOff>115959</xdr:rowOff>
    </xdr:from>
    <xdr:to>
      <xdr:col>13</xdr:col>
      <xdr:colOff>182752</xdr:colOff>
      <xdr:row>20</xdr:row>
      <xdr:rowOff>159280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B7FB486E-8416-51E4-FD7B-99B74466F2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59961" y="762002"/>
          <a:ext cx="828791" cy="32818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405851</xdr:colOff>
      <xdr:row>3</xdr:row>
      <xdr:rowOff>66261</xdr:rowOff>
    </xdr:from>
    <xdr:to>
      <xdr:col>18</xdr:col>
      <xdr:colOff>610137</xdr:colOff>
      <xdr:row>20</xdr:row>
      <xdr:rowOff>70618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5A0E96C6-03CD-736A-9487-A588EC7671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11851" y="712304"/>
          <a:ext cx="4014286" cy="32428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728872</xdr:colOff>
      <xdr:row>2</xdr:row>
      <xdr:rowOff>256763</xdr:rowOff>
    </xdr:from>
    <xdr:to>
      <xdr:col>24</xdr:col>
      <xdr:colOff>180682</xdr:colOff>
      <xdr:row>20</xdr:row>
      <xdr:rowOff>44567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1AF05A10-A4E8-6783-8C5E-723E38D3FB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44872" y="637763"/>
          <a:ext cx="4023810" cy="329134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314742</xdr:colOff>
      <xdr:row>2</xdr:row>
      <xdr:rowOff>231914</xdr:rowOff>
    </xdr:from>
    <xdr:to>
      <xdr:col>29</xdr:col>
      <xdr:colOff>501037</xdr:colOff>
      <xdr:row>20</xdr:row>
      <xdr:rowOff>10192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F11092AF-A8CD-464A-C853-0900E524C5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602742" y="612914"/>
          <a:ext cx="3996295" cy="32818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Nelson SILVA" id="{E87CAB3A-CFE0-4360-AD6F-13190727A97E}" userId="S::nelson.silva@hsbc.com.mx::438da3fa-c447-40ea-9630-d43be09c5499" providerId="AD"/>
</personList>
</file>

<file path=xl/tables/table1.xml><?xml version="1.0" encoding="utf-8"?>
<table xmlns="http://schemas.openxmlformats.org/spreadsheetml/2006/main" id="2" name="NUM_DE_EXCEPCIONES" displayName="NUM_DE_EXCEPCIONES" ref="A1:A3" totalsRowShown="0" headerRowDxfId="68" dataDxfId="67" tableBorderDxfId="66">
  <autoFilter ref="A1:A3"/>
  <tableColumns count="1">
    <tableColumn id="1" name="Excepciones Requeridas" dataDxfId="6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CATALOGO_EXCEPCIONES" displayName="CATALOGO_EXCEPCIONES" ref="E1:E28" totalsRowShown="0" headerRowDxfId="64" dataDxfId="63" tableBorderDxfId="62">
  <autoFilter ref="E1:E28"/>
  <sortState ref="E2:E27">
    <sortCondition ref="E2:E27"/>
  </sortState>
  <tableColumns count="1">
    <tableColumn id="1" name="CATALOGO DE EXCEPCIONES" dataDxfId="6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abla5" displayName="Tabla5" ref="G1:G12" totalsRowShown="0" headerRowDxfId="60" dataDxfId="59" tableBorderDxfId="58">
  <autoFilter ref="G1:G12"/>
  <tableColumns count="1">
    <tableColumn id="1" name="PRODUCTO" dataDxfId="5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Tabla6" displayName="Tabla6" ref="T1:T5" totalsRowShown="0">
  <autoFilter ref="T1:T5"/>
  <tableColumns count="1">
    <tableColumn id="1" name="TIPO DE PERSONA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7" name="Tabla7" displayName="Tabla7" ref="U1:U5" totalsRowShown="0">
  <autoFilter ref="U1:U5"/>
  <tableColumns count="1">
    <tableColumn id="1" name="PF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8" name="Tabla8" displayName="Tabla8" ref="V1:V2" totalsRowShown="0">
  <autoFilter ref="V1:V2"/>
  <tableColumns count="1">
    <tableColumn id="1" name="PFA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9" name="Tabla9" displayName="Tabla9" ref="W1:W2" totalsRowShown="0">
  <autoFilter ref="W1:W2"/>
  <tableColumns count="1">
    <tableColumn id="1" name="PROF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3" name="Tabla3" displayName="Tabla3" ref="AD1:AD33" totalsRowShown="0" headerRowDxfId="56" dataDxfId="55">
  <autoFilter ref="AD1:AD33"/>
  <tableColumns count="1">
    <tableColumn id="1" name="ESTADOS" dataDxfId="5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0" name="Tabla10" displayName="Tabla10" ref="AF1:AF12" totalsRowShown="0">
  <autoFilter ref="AF1:AF12"/>
  <tableColumns count="1">
    <tableColumn id="1" name="AGUASCALIENTES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1" name="Tabla11" displayName="Tabla11" ref="AG1:AG8" totalsRowShown="0">
  <autoFilter ref="AG1:AG8"/>
  <tableColumns count="1">
    <tableColumn id="1" name="BAJA_CALIFORNIA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2" name="Tabla12" displayName="Tabla12" ref="AH1:AH6" totalsRowShown="0">
  <autoFilter ref="AH1:AH6"/>
  <tableColumns count="1">
    <tableColumn id="1" name="BAJA_CALIFORNIA_SUR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3" name="Tabla13" displayName="Tabla13" ref="AI1:AI14" totalsRowShown="0">
  <autoFilter ref="AI1:AI14"/>
  <tableColumns count="1">
    <tableColumn id="1" name="CAMPECH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4" name="Tabla14" displayName="Tabla14" ref="AJ1:AJ39" totalsRowShown="0">
  <autoFilter ref="AJ1:AJ39"/>
  <tableColumns count="1">
    <tableColumn id="1" name="COAHUILA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5" name="Tabla15" displayName="Tabla15" ref="AK1:AK11" totalsRowShown="0">
  <autoFilter ref="AK1:AK11"/>
  <tableColumns count="1">
    <tableColumn id="1" name="COLIMA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6" name="Tabla16" displayName="Tabla16" ref="AL1:AL125" totalsRowShown="0">
  <autoFilter ref="AL1:AL125"/>
  <tableColumns count="1">
    <tableColumn id="1" name="CHIAP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7" name="Tabla17" displayName="Tabla17" ref="AM1:AM68" totalsRowShown="0">
  <autoFilter ref="AM1:AM68"/>
  <tableColumns count="1">
    <tableColumn id="1" name="CHIHUAHUA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9" name="Tabla19" displayName="Tabla19" ref="AN1:AN17" totalsRowShown="0">
  <autoFilter ref="AN1:AN17"/>
  <tableColumns count="1">
    <tableColumn id="1" name="CIUDAD_DE_MÉXICO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20" name="Tabla20" displayName="Tabla20" ref="AO1:AO40" totalsRowShown="0">
  <autoFilter ref="AO1:AO40"/>
  <tableColumns count="1">
    <tableColumn id="1" name="DURANGO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1" name="Tabla21" displayName="Tabla21" ref="AP1:AP47" totalsRowShown="0">
  <autoFilter ref="AP1:AP47"/>
  <tableColumns count="1">
    <tableColumn id="1" name="GUANAJUATO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22" name="Tabla22" displayName="Tabla22" ref="AQ1:AQ86" totalsRowShown="0">
  <autoFilter ref="AQ1:AQ86"/>
  <tableColumns count="1">
    <tableColumn id="1" name="GERRERO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3" name="Tabla23" displayName="Tabla23" ref="AR1:AR85" totalsRowShown="0">
  <autoFilter ref="AR1:AR85"/>
  <tableColumns count="1">
    <tableColumn id="1" name="HIDALGO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24" name="Tabla24" displayName="Tabla24" ref="AS1:AS126" totalsRowShown="0">
  <autoFilter ref="AS1:AS126"/>
  <tableColumns count="1">
    <tableColumn id="1" name="JALISCO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25" name="Tabla25" displayName="Tabla25" ref="AT1:AT126" totalsRowShown="0">
  <autoFilter ref="AT1:AT126"/>
  <tableColumns count="1">
    <tableColumn id="1" name="ESTADO_DE_MEXICO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26" name="Tabla26" displayName="Tabla26" ref="AU1:AU114" totalsRowShown="0">
  <autoFilter ref="AU1:AU114"/>
  <tableColumns count="1">
    <tableColumn id="1" name="MICHOACÁN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27" name="Tabla27" displayName="Tabla27" ref="AV1:AV37" totalsRowShown="0">
  <autoFilter ref="AV1:AV37"/>
  <tableColumns count="1">
    <tableColumn id="1" name="MORELOS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28" name="Tabla28" displayName="Tabla28" ref="AW1:AW21" totalsRowShown="0">
  <autoFilter ref="AW1:AW21"/>
  <tableColumns count="1">
    <tableColumn id="1" name="NAYARIT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29" name="Tabla29" displayName="Tabla29" ref="AX1:AX52" totalsRowShown="0">
  <autoFilter ref="AX1:AX52"/>
  <tableColumns count="1">
    <tableColumn id="1" name="NUEVO_LEÓN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id="30" name="Tabla30" displayName="Tabla30" ref="AY1:AY571" totalsRowShown="0">
  <autoFilter ref="AY1:AY571"/>
  <tableColumns count="1">
    <tableColumn id="1" name="OAXACA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id="31" name="Tabla31" displayName="Tabla31" ref="AZ1:AZ218" totalsRowShown="0">
  <autoFilter ref="AZ1:AZ218"/>
  <tableColumns count="1">
    <tableColumn id="1" name="PUEBLA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id="32" name="Tabla32" displayName="Tabla32" ref="BA1:BA19" totalsRowShown="0">
  <autoFilter ref="BA1:BA19"/>
  <tableColumns count="1">
    <tableColumn id="1" name="QUERÉTARO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id="33" name="Tabla33" displayName="Tabla33" ref="BB1:BB12" totalsRowShown="0">
  <autoFilter ref="BB1:BB12"/>
  <tableColumns count="1">
    <tableColumn id="1" name="QUINTANA_ROO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id="34" name="Tabla34" displayName="Tabla34" ref="BC1:BC59" totalsRowShown="0">
  <autoFilter ref="BC1:BC59"/>
  <tableColumns count="1">
    <tableColumn id="1" name="SAN_LUIS_POTOSI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id="35" name="Tabla35" displayName="Tabla35" ref="BD1:BD19" totalsRowShown="0">
  <autoFilter ref="BD1:BD19"/>
  <tableColumns count="1">
    <tableColumn id="1" name="SINALOA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id="36" name="Tabla36" displayName="Tabla36" ref="BE1:BE73" totalsRowShown="0">
  <autoFilter ref="BE1:BE73"/>
  <tableColumns count="1">
    <tableColumn id="1" name="SONORA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id="37" name="Tabla37" displayName="Tabla37" ref="BF1:BF18" totalsRowShown="0">
  <autoFilter ref="BF1:BF18"/>
  <tableColumns count="1">
    <tableColumn id="1" name="TABASCO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id="38" name="Tabla38" displayName="Tabla38" ref="BG1:BG44" totalsRowShown="0">
  <autoFilter ref="BG1:BG44"/>
  <tableColumns count="1">
    <tableColumn id="1" name="TAMAULIPAS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id="39" name="Tabla39" displayName="Tabla39" ref="BH1:BH61" totalsRowShown="0">
  <autoFilter ref="BH1:BH61"/>
  <tableColumns count="1">
    <tableColumn id="1" name="TLAXCALA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id="40" name="Tabla40" displayName="Tabla40" ref="BI1:BI213" totalsRowShown="0">
  <autoFilter ref="BI1:BI213"/>
  <tableColumns count="1">
    <tableColumn id="1" name="VERACRUZ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id="41" name="Tabla41" displayName="Tabla41" ref="BJ1:BJ107" totalsRowShown="0">
  <autoFilter ref="BJ1:BJ107"/>
  <tableColumns count="1">
    <tableColumn id="1" name="YUCATÁN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id="42" name="Tabla42" displayName="Tabla42" ref="BK1:BK59" totalsRowShown="0">
  <autoFilter ref="BK1:BK59"/>
  <tableColumns count="1">
    <tableColumn id="1" name="ZACATECAS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id="43" name="Tabla43" displayName="Tabla43" ref="Z1:Z22" totalsRowShown="0" headerRowDxfId="53" dataDxfId="52" tableBorderDxfId="51">
  <autoFilter ref="Z1:Z22"/>
  <tableColumns count="1">
    <tableColumn id="1" name="PLAZO" dataDxfId="50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id="45" name="Tabla45" displayName="Tabla45" ref="X1:X7" totalsRowShown="0" headerRowDxfId="49" dataDxfId="48" tableBorderDxfId="47">
  <autoFilter ref="X1:X7"/>
  <tableColumns count="1">
    <tableColumn id="1" name="PF_Y_PFAE_O_PROF" dataDxfId="46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id="46" name="Tabla46" displayName="Tabla46" ref="AB1:AB17" totalsRowShown="0" headerRowDxfId="45" dataDxfId="44" tableBorderDxfId="43">
  <autoFilter ref="AB1:AB17"/>
  <sortState ref="AB2:AB17">
    <sortCondition ref="AB2:AB17"/>
  </sortState>
  <tableColumns count="1">
    <tableColumn id="1" name="TIPO DE CLIENTE" dataDxfId="42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id="18" name="Tabla18" displayName="Tabla18" ref="C1:C8" totalsRowShown="0" headerRowDxfId="41" dataDxfId="40">
  <autoFilter ref="C1:C8"/>
  <sortState ref="C2:C8">
    <sortCondition ref="C2:C8"/>
  </sortState>
  <tableColumns count="1">
    <tableColumn id="1" name="COMPROBANTE DE INGRESOS" dataDxfId="39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id="44" name="Tabla44" displayName="Tabla44" ref="H1:H12" totalsRowShown="0" headerRowDxfId="38" dataDxfId="37">
  <autoFilter ref="H1:H12"/>
  <tableColumns count="1">
    <tableColumn id="1" name="ADQUISICIÓN_DE_VIVIENDA" dataDxfId="36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id="47" name="Tabla47" displayName="Tabla47" ref="I1:I9" totalsRowShown="0" headerRowDxfId="35" dataDxfId="34">
  <autoFilter ref="I1:I9"/>
  <tableColumns count="1">
    <tableColumn id="1" name="APOYO_INFONAVIT" dataDxfId="33"/>
  </tableColumns>
  <tableStyleInfo name="TableStyleMedium2" showFirstColumn="0" showLastColumn="0" showRowStripes="1" showColumnStripes="0"/>
</table>
</file>

<file path=xl/tables/table47.xml><?xml version="1.0" encoding="utf-8"?>
<table xmlns="http://schemas.openxmlformats.org/spreadsheetml/2006/main" id="48" name="Tabla48" displayName="Tabla48" ref="J1:J6" totalsRowShown="0" headerRowDxfId="32" dataDxfId="31">
  <autoFilter ref="J1:J6"/>
  <tableColumns count="1">
    <tableColumn id="1" name="CI_MAS_CB" dataDxfId="30"/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id="49" name="Tabla49" displayName="Tabla49" ref="K1:K14" totalsRowShown="0" headerRowDxfId="29" dataDxfId="28">
  <autoFilter ref="K1:K14"/>
  <tableColumns count="1">
    <tableColumn id="1" name="COFINANCIAMIENTO" dataDxfId="27"/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id="50" name="Tabla50" displayName="Tabla50" ref="L1:L4" totalsRowShown="0" headerRowDxfId="26" dataDxfId="25">
  <autoFilter ref="L1:L4"/>
  <tableColumns count="1">
    <tableColumn id="1" name="CONSTRUCCIÓN" dataDxfId="24"/>
  </tableColumns>
  <tableStyleInfo name="TableStyleMedium2" showFirstColumn="0" showLastColumn="0" showRowStripes="1" showColumnStripes="0"/>
</table>
</file>

<file path=xl/tables/table50.xml><?xml version="1.0" encoding="utf-8"?>
<table xmlns="http://schemas.openxmlformats.org/spreadsheetml/2006/main" id="51" name="Tabla51" displayName="Tabla51" ref="M1:M4" totalsRowShown="0" headerRowDxfId="23" dataDxfId="22">
  <autoFilter ref="M1:M4"/>
  <tableColumns count="1">
    <tableColumn id="1" name="CONSTRUCCIÓN_MAS_TERRENO" dataDxfId="21"/>
  </tableColumns>
  <tableStyleInfo name="TableStyleMedium2" showFirstColumn="0" showLastColumn="0" showRowStripes="1" showColumnStripes="0"/>
</table>
</file>

<file path=xl/tables/table51.xml><?xml version="1.0" encoding="utf-8"?>
<table xmlns="http://schemas.openxmlformats.org/spreadsheetml/2006/main" id="52" name="Tabla52" displayName="Tabla52" ref="N1:N5" totalsRowShown="0" headerRowDxfId="20" dataDxfId="19">
  <autoFilter ref="N1:N5"/>
  <tableColumns count="1">
    <tableColumn id="1" name="LIQUIDEZ" dataDxfId="18"/>
  </tableColumns>
  <tableStyleInfo name="TableStyleMedium2" showFirstColumn="0" showLastColumn="0" showRowStripes="1" showColumnStripes="0"/>
</table>
</file>

<file path=xl/tables/table52.xml><?xml version="1.0" encoding="utf-8"?>
<table xmlns="http://schemas.openxmlformats.org/spreadsheetml/2006/main" id="53" name="Tabla53" displayName="Tabla53" ref="O1:O4" totalsRowShown="0" headerRowDxfId="17" dataDxfId="16">
  <autoFilter ref="O1:O4"/>
  <tableColumns count="1">
    <tableColumn id="1" name="LIQUIDEZ_TOPUP" dataDxfId="15"/>
  </tableColumns>
  <tableStyleInfo name="TableStyleMedium2" showFirstColumn="0" showLastColumn="0" showRowStripes="1" showColumnStripes="0"/>
</table>
</file>

<file path=xl/tables/table53.xml><?xml version="1.0" encoding="utf-8"?>
<table xmlns="http://schemas.openxmlformats.org/spreadsheetml/2006/main" id="54" name="Tabla54" displayName="Tabla54" ref="P1:P9" totalsRowShown="0" headerRowDxfId="14" dataDxfId="13">
  <autoFilter ref="P1:P9"/>
  <tableColumns count="1">
    <tableColumn id="1" name="PAGO_DE_HIPOTECAS" dataDxfId="12"/>
  </tableColumns>
  <tableStyleInfo name="TableStyleMedium2" showFirstColumn="0" showLastColumn="0" showRowStripes="1" showColumnStripes="0"/>
</table>
</file>

<file path=xl/tables/table54.xml><?xml version="1.0" encoding="utf-8"?>
<table xmlns="http://schemas.openxmlformats.org/spreadsheetml/2006/main" id="55" name="Tabla55" displayName="Tabla55" ref="Q1:Q6" totalsRowShown="0" headerRowDxfId="11" dataDxfId="10">
  <autoFilter ref="Q1:Q6"/>
  <tableColumns count="1">
    <tableColumn id="1" name="PAGO_HIPOTECA_MAS_LÍQUIDEZ" dataDxfId="9"/>
  </tableColumns>
  <tableStyleInfo name="TableStyleMedium2" showFirstColumn="0" showLastColumn="0" showRowStripes="1" showColumnStripes="0"/>
</table>
</file>

<file path=xl/tables/table55.xml><?xml version="1.0" encoding="utf-8"?>
<table xmlns="http://schemas.openxmlformats.org/spreadsheetml/2006/main" id="56" name="Tabla56" displayName="Tabla56" ref="R1:R5" totalsRowShown="0" headerRowDxfId="8" dataDxfId="7">
  <autoFilter ref="R1:R5"/>
  <tableColumns count="1">
    <tableColumn id="1" name="REMODELACION" dataDxfId="6"/>
  </tableColumns>
  <tableStyleInfo name="TableStyleMedium2" showFirstColumn="0" showLastColumn="0" showRowStripes="1" showColumnStripes="0"/>
</table>
</file>

<file path=xl/tables/table56.xml><?xml version="1.0" encoding="utf-8"?>
<table xmlns="http://schemas.openxmlformats.org/spreadsheetml/2006/main" id="1" name="Tabla1" displayName="Tabla1" ref="A1:D3" totalsRowShown="0" headerRowDxfId="5" dataDxfId="4">
  <autoFilter ref="A1:D3"/>
  <tableColumns count="4">
    <tableColumn id="1" name="Versión" dataDxfId="3"/>
    <tableColumn id="2" name="Fecha" dataDxfId="2"/>
    <tableColumn id="3" name="Modificación" dataDxfId="1"/>
    <tableColumn id="4" name="Responsable de la Modificación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2" dT="2023-11-14T02:38:42.80" personId="{E87CAB3A-CFE0-4360-AD6F-13190727A97E}" id="{3D4DAAD5-31D2-4360-9FDC-1B97FE782B73}">
    <text xml:space="preserve">Selecciona el Número de Excepciones solicitadas, recuerda que no es posible solicitar más de 3 motivos de excepción por folio o cliente. </text>
  </threadedComment>
  <threadedComment ref="B22" dT="2023-11-14T02:45:19.22" personId="{E87CAB3A-CFE0-4360-AD6F-13190727A97E}" id="{CCDCD853-F1DE-4C40-91C9-D7B87AA0A2C0}">
    <text>Capturar Valor del Proyecto de Obra para Créditos de Construcción para los demás Destinos Capturar el Valor Avalúo.</text>
  </threadedComment>
  <threadedComment ref="B28" dT="2023-11-14T02:35:47.18" personId="{E87CAB3A-CFE0-4360-AD6F-13190727A97E}" id="{039A8CC9-C703-4B19-B531-A620A1DB0E43}">
    <text>Indicar para que será ocupado el monto del crédito de Liquidez</text>
  </threadedComment>
  <threadedComment ref="B54" dT="2023-11-11T00:35:48.01" personId="{E87CAB3A-CFE0-4360-AD6F-13190727A97E}" id="{0A46D1A7-4EF0-4766-AE85-61B47E95764D}">
    <text>Indicar Tipos Productos con HSBC como TDC, Personal, Autos etc, mencionar la Antigüedad de cada Producto.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12.xml"/><Relationship Id="rId18" Type="http://schemas.openxmlformats.org/officeDocument/2006/relationships/table" Target="../tables/table17.xml"/><Relationship Id="rId26" Type="http://schemas.openxmlformats.org/officeDocument/2006/relationships/table" Target="../tables/table25.xml"/><Relationship Id="rId39" Type="http://schemas.openxmlformats.org/officeDocument/2006/relationships/table" Target="../tables/table38.xml"/><Relationship Id="rId21" Type="http://schemas.openxmlformats.org/officeDocument/2006/relationships/table" Target="../tables/table20.xml"/><Relationship Id="rId34" Type="http://schemas.openxmlformats.org/officeDocument/2006/relationships/table" Target="../tables/table33.xml"/><Relationship Id="rId42" Type="http://schemas.openxmlformats.org/officeDocument/2006/relationships/table" Target="../tables/table41.xml"/><Relationship Id="rId47" Type="http://schemas.openxmlformats.org/officeDocument/2006/relationships/table" Target="../tables/table46.xml"/><Relationship Id="rId50" Type="http://schemas.openxmlformats.org/officeDocument/2006/relationships/table" Target="../tables/table49.xml"/><Relationship Id="rId55" Type="http://schemas.openxmlformats.org/officeDocument/2006/relationships/table" Target="../tables/table54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6" Type="http://schemas.openxmlformats.org/officeDocument/2006/relationships/table" Target="../tables/table15.xml"/><Relationship Id="rId29" Type="http://schemas.openxmlformats.org/officeDocument/2006/relationships/table" Target="../tables/table28.xml"/><Relationship Id="rId11" Type="http://schemas.openxmlformats.org/officeDocument/2006/relationships/table" Target="../tables/table10.xml"/><Relationship Id="rId24" Type="http://schemas.openxmlformats.org/officeDocument/2006/relationships/table" Target="../tables/table23.xml"/><Relationship Id="rId32" Type="http://schemas.openxmlformats.org/officeDocument/2006/relationships/table" Target="../tables/table31.xml"/><Relationship Id="rId37" Type="http://schemas.openxmlformats.org/officeDocument/2006/relationships/table" Target="../tables/table36.xml"/><Relationship Id="rId40" Type="http://schemas.openxmlformats.org/officeDocument/2006/relationships/table" Target="../tables/table39.xml"/><Relationship Id="rId45" Type="http://schemas.openxmlformats.org/officeDocument/2006/relationships/table" Target="../tables/table44.xml"/><Relationship Id="rId53" Type="http://schemas.openxmlformats.org/officeDocument/2006/relationships/table" Target="../tables/table52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19" Type="http://schemas.openxmlformats.org/officeDocument/2006/relationships/table" Target="../tables/table18.xml"/><Relationship Id="rId31" Type="http://schemas.openxmlformats.org/officeDocument/2006/relationships/table" Target="../tables/table30.xml"/><Relationship Id="rId44" Type="http://schemas.openxmlformats.org/officeDocument/2006/relationships/table" Target="../tables/table43.xml"/><Relationship Id="rId52" Type="http://schemas.openxmlformats.org/officeDocument/2006/relationships/table" Target="../tables/table51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Relationship Id="rId22" Type="http://schemas.openxmlformats.org/officeDocument/2006/relationships/table" Target="../tables/table21.xml"/><Relationship Id="rId27" Type="http://schemas.openxmlformats.org/officeDocument/2006/relationships/table" Target="../tables/table26.xml"/><Relationship Id="rId30" Type="http://schemas.openxmlformats.org/officeDocument/2006/relationships/table" Target="../tables/table29.xml"/><Relationship Id="rId35" Type="http://schemas.openxmlformats.org/officeDocument/2006/relationships/table" Target="../tables/table34.xml"/><Relationship Id="rId43" Type="http://schemas.openxmlformats.org/officeDocument/2006/relationships/table" Target="../tables/table42.xml"/><Relationship Id="rId48" Type="http://schemas.openxmlformats.org/officeDocument/2006/relationships/table" Target="../tables/table47.xml"/><Relationship Id="rId56" Type="http://schemas.openxmlformats.org/officeDocument/2006/relationships/table" Target="../tables/table55.xml"/><Relationship Id="rId8" Type="http://schemas.openxmlformats.org/officeDocument/2006/relationships/table" Target="../tables/table7.xml"/><Relationship Id="rId51" Type="http://schemas.openxmlformats.org/officeDocument/2006/relationships/table" Target="../tables/table50.xml"/><Relationship Id="rId3" Type="http://schemas.openxmlformats.org/officeDocument/2006/relationships/table" Target="../tables/table2.xml"/><Relationship Id="rId12" Type="http://schemas.openxmlformats.org/officeDocument/2006/relationships/table" Target="../tables/table11.xml"/><Relationship Id="rId17" Type="http://schemas.openxmlformats.org/officeDocument/2006/relationships/table" Target="../tables/table16.xml"/><Relationship Id="rId25" Type="http://schemas.openxmlformats.org/officeDocument/2006/relationships/table" Target="../tables/table24.xml"/><Relationship Id="rId33" Type="http://schemas.openxmlformats.org/officeDocument/2006/relationships/table" Target="../tables/table32.xml"/><Relationship Id="rId38" Type="http://schemas.openxmlformats.org/officeDocument/2006/relationships/table" Target="../tables/table37.xml"/><Relationship Id="rId46" Type="http://schemas.openxmlformats.org/officeDocument/2006/relationships/table" Target="../tables/table45.xml"/><Relationship Id="rId20" Type="http://schemas.openxmlformats.org/officeDocument/2006/relationships/table" Target="../tables/table19.xml"/><Relationship Id="rId41" Type="http://schemas.openxmlformats.org/officeDocument/2006/relationships/table" Target="../tables/table40.xml"/><Relationship Id="rId54" Type="http://schemas.openxmlformats.org/officeDocument/2006/relationships/table" Target="../tables/table5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5.xml"/><Relationship Id="rId15" Type="http://schemas.openxmlformats.org/officeDocument/2006/relationships/table" Target="../tables/table14.xml"/><Relationship Id="rId23" Type="http://schemas.openxmlformats.org/officeDocument/2006/relationships/table" Target="../tables/table22.xml"/><Relationship Id="rId28" Type="http://schemas.openxmlformats.org/officeDocument/2006/relationships/table" Target="../tables/table27.xml"/><Relationship Id="rId36" Type="http://schemas.openxmlformats.org/officeDocument/2006/relationships/table" Target="../tables/table35.xml"/><Relationship Id="rId49" Type="http://schemas.openxmlformats.org/officeDocument/2006/relationships/table" Target="../tables/table48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6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B1:H483"/>
  <sheetViews>
    <sheetView showGridLines="0" tabSelected="1" topLeftCell="A47" zoomScale="85" zoomScaleNormal="85" workbookViewId="0">
      <selection activeCell="E52" sqref="E52"/>
    </sheetView>
  </sheetViews>
  <sheetFormatPr baseColWidth="10" defaultColWidth="11.453125" defaultRowHeight="14" x14ac:dyDescent="0.35"/>
  <cols>
    <col min="1" max="1" width="3.54296875" style="2" customWidth="1"/>
    <col min="2" max="2" width="36.81640625" style="2" customWidth="1"/>
    <col min="3" max="4" width="3.54296875" style="3" customWidth="1"/>
    <col min="5" max="5" width="86" style="2" customWidth="1"/>
    <col min="6" max="7" width="11.453125" style="2" customWidth="1"/>
    <col min="8" max="16384" width="11.453125" style="2"/>
  </cols>
  <sheetData>
    <row r="1" spans="2:8" ht="75.75" customHeight="1" x14ac:dyDescent="0.35"/>
    <row r="3" spans="2:8" ht="60.5" x14ac:dyDescent="0.35">
      <c r="B3" s="4"/>
      <c r="C3" s="4"/>
      <c r="D3" s="5"/>
      <c r="E3" s="6"/>
    </row>
    <row r="4" spans="2:8" ht="15.75" customHeight="1" x14ac:dyDescent="0.35">
      <c r="B4" s="1" t="s">
        <v>2481</v>
      </c>
      <c r="C4" s="1"/>
      <c r="D4" s="5"/>
      <c r="E4" s="62"/>
    </row>
    <row r="5" spans="2:8" ht="12.75" customHeight="1" x14ac:dyDescent="0.35">
      <c r="B5" s="4"/>
      <c r="C5" s="4"/>
      <c r="D5" s="5"/>
      <c r="E5" s="7"/>
    </row>
    <row r="6" spans="2:8" ht="12.75" customHeight="1" x14ac:dyDescent="0.35">
      <c r="B6" s="12" t="s">
        <v>2464</v>
      </c>
      <c r="C6" s="4"/>
      <c r="D6" s="5"/>
      <c r="E6" s="39"/>
    </row>
    <row r="7" spans="2:8" ht="12.75" customHeight="1" x14ac:dyDescent="0.35">
      <c r="B7" s="12" t="s">
        <v>58</v>
      </c>
      <c r="C7" s="14"/>
      <c r="D7" s="15"/>
      <c r="E7" s="39"/>
    </row>
    <row r="8" spans="2:8" ht="12.75" customHeight="1" x14ac:dyDescent="0.35">
      <c r="B8" s="12" t="s">
        <v>60</v>
      </c>
      <c r="C8" s="17"/>
      <c r="D8" s="17"/>
      <c r="E8" s="39"/>
    </row>
    <row r="9" spans="2:8" ht="12.75" customHeight="1" x14ac:dyDescent="0.35">
      <c r="B9" s="4"/>
      <c r="C9" s="4"/>
      <c r="D9" s="5"/>
      <c r="E9" s="7"/>
    </row>
    <row r="10" spans="2:8" ht="15.75" customHeight="1" x14ac:dyDescent="0.35">
      <c r="B10" s="72" t="s">
        <v>59</v>
      </c>
      <c r="C10" s="72"/>
      <c r="D10" s="72"/>
      <c r="E10" s="72"/>
    </row>
    <row r="11" spans="2:8" ht="12.75" customHeight="1" x14ac:dyDescent="0.35">
      <c r="B11" s="4"/>
      <c r="C11" s="4"/>
      <c r="D11" s="5"/>
      <c r="E11" s="7"/>
    </row>
    <row r="12" spans="2:8" ht="15" customHeight="1" x14ac:dyDescent="0.35">
      <c r="B12" s="12" t="s">
        <v>0</v>
      </c>
      <c r="C12" s="15"/>
      <c r="D12" s="17"/>
      <c r="E12" s="39">
        <v>1</v>
      </c>
    </row>
    <row r="13" spans="2:8" x14ac:dyDescent="0.35">
      <c r="B13" s="60" t="str">
        <f>IF(OR(E12="",E12=0),"",IF(OR(E12=2,E12=3),"¿Motivo de  1ra Excepción?","¿Motivo de Excepción?"))</f>
        <v>¿Motivo de Excepción?</v>
      </c>
      <c r="C13" s="17"/>
      <c r="D13" s="17"/>
      <c r="E13" s="40"/>
    </row>
    <row r="14" spans="2:8" x14ac:dyDescent="0.25">
      <c r="B14" s="61" t="str">
        <f>IF(OR(E12="",E12=0,E12=1),"",IF(OR(E12=2,E12=3),"¿Motivo de 2da Excepción?"))</f>
        <v/>
      </c>
      <c r="C14" s="17"/>
      <c r="D14" s="17"/>
      <c r="E14" s="41"/>
    </row>
    <row r="15" spans="2:8" x14ac:dyDescent="0.25">
      <c r="B15" s="18"/>
      <c r="C15" s="17"/>
      <c r="D15" s="17"/>
      <c r="E15" s="41"/>
      <c r="H15" s="7"/>
    </row>
    <row r="16" spans="2:8" ht="15" customHeight="1" x14ac:dyDescent="0.35">
      <c r="B16" s="12" t="s">
        <v>24</v>
      </c>
      <c r="C16" s="17"/>
      <c r="D16" s="17"/>
      <c r="E16" s="16"/>
    </row>
    <row r="17" spans="2:5" ht="15" customHeight="1" x14ac:dyDescent="0.35">
      <c r="B17" s="19" t="s">
        <v>61</v>
      </c>
      <c r="C17" s="17"/>
      <c r="D17" s="17"/>
      <c r="E17" s="42"/>
    </row>
    <row r="18" spans="2:5" ht="15" customHeight="1" x14ac:dyDescent="0.35">
      <c r="B18" s="19" t="s">
        <v>2434</v>
      </c>
      <c r="C18" s="17"/>
      <c r="D18" s="17"/>
      <c r="E18" s="43"/>
    </row>
    <row r="19" spans="2:5" ht="15" customHeight="1" x14ac:dyDescent="0.35">
      <c r="B19" s="19" t="s">
        <v>62</v>
      </c>
      <c r="C19" s="17"/>
      <c r="D19" s="17"/>
      <c r="E19" s="44"/>
    </row>
    <row r="20" spans="2:5" ht="15" customHeight="1" x14ac:dyDescent="0.35">
      <c r="B20" s="19" t="s">
        <v>63</v>
      </c>
      <c r="C20" s="17"/>
      <c r="D20" s="17"/>
      <c r="E20" s="42"/>
    </row>
    <row r="21" spans="2:5" ht="15" customHeight="1" x14ac:dyDescent="0.35">
      <c r="B21" s="12" t="s">
        <v>2479</v>
      </c>
      <c r="C21" s="17"/>
      <c r="D21" s="17"/>
      <c r="E21" s="16"/>
    </row>
    <row r="22" spans="2:5" ht="15" customHeight="1" x14ac:dyDescent="0.35">
      <c r="B22" s="20" t="s">
        <v>2465</v>
      </c>
      <c r="C22" s="17"/>
      <c r="D22" s="17"/>
      <c r="E22" s="66"/>
    </row>
    <row r="23" spans="2:5" ht="15" customHeight="1" x14ac:dyDescent="0.35">
      <c r="B23" s="20" t="s">
        <v>64</v>
      </c>
      <c r="C23" s="17"/>
      <c r="D23" s="17"/>
      <c r="E23" s="59"/>
    </row>
    <row r="24" spans="2:5" ht="15" customHeight="1" x14ac:dyDescent="0.35">
      <c r="B24" s="20" t="s">
        <v>65</v>
      </c>
      <c r="C24" s="17"/>
      <c r="D24" s="17"/>
      <c r="E24" s="59"/>
    </row>
    <row r="25" spans="2:5" x14ac:dyDescent="0.35">
      <c r="B25" s="20" t="s">
        <v>2436</v>
      </c>
      <c r="C25" s="17"/>
      <c r="D25" s="17"/>
      <c r="E25" s="59"/>
    </row>
    <row r="26" spans="2:5" x14ac:dyDescent="0.35">
      <c r="B26" s="20" t="s">
        <v>2437</v>
      </c>
      <c r="C26" s="17"/>
      <c r="D26" s="17"/>
      <c r="E26" s="59"/>
    </row>
    <row r="27" spans="2:5" ht="15" customHeight="1" x14ac:dyDescent="0.35">
      <c r="B27" s="20" t="s">
        <v>2438</v>
      </c>
      <c r="C27" s="17"/>
      <c r="D27" s="17"/>
      <c r="E27" s="59"/>
    </row>
    <row r="28" spans="2:5" x14ac:dyDescent="0.35">
      <c r="B28" s="60" t="str">
        <f>IF(OR(E17="LIQUIDEZ",E17="LIQUIDEZ_TOPUP",E17="PAGO_HIPOTECA_MAS_LÍQUIDEZ"),"Destino   de    la    Liquidez","")</f>
        <v/>
      </c>
      <c r="C28" s="17"/>
      <c r="D28" s="17"/>
      <c r="E28" s="41"/>
    </row>
    <row r="29" spans="2:5" ht="15" customHeight="1" x14ac:dyDescent="0.35">
      <c r="B29" s="12"/>
      <c r="C29" s="17"/>
      <c r="D29" s="17"/>
      <c r="E29" s="16"/>
    </row>
    <row r="30" spans="2:5" ht="15" customHeight="1" x14ac:dyDescent="0.35">
      <c r="B30" s="72" t="s">
        <v>31</v>
      </c>
      <c r="C30" s="72"/>
      <c r="D30" s="72"/>
      <c r="E30" s="72"/>
    </row>
    <row r="31" spans="2:5" ht="15" customHeight="1" x14ac:dyDescent="0.35">
      <c r="B31" s="13"/>
      <c r="C31" s="17"/>
      <c r="D31" s="17"/>
      <c r="E31" s="16"/>
    </row>
    <row r="32" spans="2:5" ht="15" customHeight="1" x14ac:dyDescent="0.35">
      <c r="B32" s="21" t="s">
        <v>66</v>
      </c>
      <c r="C32" s="17"/>
      <c r="D32" s="17"/>
      <c r="E32" s="42"/>
    </row>
    <row r="33" spans="2:5" ht="15" customHeight="1" x14ac:dyDescent="0.35">
      <c r="B33" s="21" t="s">
        <v>67</v>
      </c>
      <c r="C33" s="17"/>
      <c r="D33" s="17"/>
      <c r="E33" s="42"/>
    </row>
    <row r="34" spans="2:5" ht="15" customHeight="1" x14ac:dyDescent="0.35">
      <c r="B34" s="21" t="s">
        <v>68</v>
      </c>
      <c r="C34" s="17"/>
      <c r="D34" s="17"/>
      <c r="E34" s="42"/>
    </row>
    <row r="35" spans="2:5" x14ac:dyDescent="0.35">
      <c r="B35" s="21" t="s">
        <v>69</v>
      </c>
      <c r="C35" s="17"/>
      <c r="D35" s="17"/>
      <c r="E35" s="39"/>
    </row>
    <row r="36" spans="2:5" ht="25" x14ac:dyDescent="0.35">
      <c r="B36" s="22" t="s">
        <v>70</v>
      </c>
      <c r="C36" s="17"/>
      <c r="D36" s="17"/>
      <c r="E36" s="68"/>
    </row>
    <row r="37" spans="2:5" ht="15" customHeight="1" x14ac:dyDescent="0.35">
      <c r="B37" s="13"/>
      <c r="C37" s="17"/>
      <c r="D37" s="17"/>
      <c r="E37" s="16"/>
    </row>
    <row r="38" spans="2:5" ht="15" customHeight="1" x14ac:dyDescent="0.35">
      <c r="B38" s="72" t="s">
        <v>33</v>
      </c>
      <c r="C38" s="72"/>
      <c r="D38" s="72"/>
      <c r="E38" s="72"/>
    </row>
    <row r="39" spans="2:5" ht="15" customHeight="1" x14ac:dyDescent="0.35">
      <c r="B39" s="12"/>
      <c r="C39" s="17"/>
      <c r="D39" s="17"/>
      <c r="E39" s="16"/>
    </row>
    <row r="40" spans="2:5" ht="15" customHeight="1" x14ac:dyDescent="0.35">
      <c r="B40" s="19" t="s">
        <v>71</v>
      </c>
      <c r="C40" s="17"/>
      <c r="D40" s="17"/>
      <c r="E40" s="46"/>
    </row>
    <row r="41" spans="2:5" x14ac:dyDescent="0.35">
      <c r="B41" s="23" t="s">
        <v>2451</v>
      </c>
      <c r="C41" s="17"/>
      <c r="D41" s="17"/>
      <c r="E41" s="42"/>
    </row>
    <row r="42" spans="2:5" x14ac:dyDescent="0.35">
      <c r="B42" s="23" t="s">
        <v>2452</v>
      </c>
      <c r="C42" s="17"/>
      <c r="D42" s="17"/>
      <c r="E42" s="42"/>
    </row>
    <row r="43" spans="2:5" x14ac:dyDescent="0.35">
      <c r="B43" s="23" t="s">
        <v>2453</v>
      </c>
      <c r="C43" s="17"/>
      <c r="D43" s="17"/>
      <c r="E43" s="42"/>
    </row>
    <row r="44" spans="2:5" x14ac:dyDescent="0.35">
      <c r="B44" s="23" t="s">
        <v>2454</v>
      </c>
      <c r="C44" s="17"/>
      <c r="D44" s="17"/>
      <c r="E44" s="42"/>
    </row>
    <row r="45" spans="2:5" ht="15" customHeight="1" x14ac:dyDescent="0.35">
      <c r="B45" s="12"/>
      <c r="C45" s="17"/>
      <c r="D45" s="17"/>
      <c r="E45" s="16"/>
    </row>
    <row r="46" spans="2:5" ht="15" customHeight="1" x14ac:dyDescent="0.35">
      <c r="B46" s="73" t="s">
        <v>34</v>
      </c>
      <c r="C46" s="73"/>
      <c r="D46" s="73"/>
      <c r="E46" s="73"/>
    </row>
    <row r="47" spans="2:5" ht="15" customHeight="1" x14ac:dyDescent="0.35">
      <c r="B47" s="63"/>
      <c r="C47" s="63"/>
      <c r="D47" s="63"/>
      <c r="E47" s="63"/>
    </row>
    <row r="48" spans="2:5" ht="99.75" customHeight="1" x14ac:dyDescent="0.35">
      <c r="B48" s="64" t="s">
        <v>2466</v>
      </c>
      <c r="C48" s="17"/>
      <c r="D48" s="17"/>
      <c r="E48" s="67"/>
    </row>
    <row r="49" spans="2:5" ht="16.5" customHeight="1" x14ac:dyDescent="0.35">
      <c r="B49" s="64"/>
      <c r="C49" s="17"/>
      <c r="D49" s="17"/>
      <c r="E49" s="16"/>
    </row>
    <row r="50" spans="2:5" ht="15" customHeight="1" x14ac:dyDescent="0.35">
      <c r="B50" s="72" t="s">
        <v>35</v>
      </c>
      <c r="C50" s="72"/>
      <c r="D50" s="72"/>
      <c r="E50" s="72"/>
    </row>
    <row r="51" spans="2:5" ht="15" customHeight="1" x14ac:dyDescent="0.35">
      <c r="B51" s="12"/>
      <c r="C51" s="17"/>
      <c r="D51" s="17"/>
      <c r="E51" s="16"/>
    </row>
    <row r="52" spans="2:5" ht="15" customHeight="1" x14ac:dyDescent="0.35">
      <c r="B52" s="19" t="s">
        <v>72</v>
      </c>
      <c r="C52" s="17"/>
      <c r="D52" s="17"/>
      <c r="E52" s="42"/>
    </row>
    <row r="53" spans="2:5" ht="15" customHeight="1" x14ac:dyDescent="0.35">
      <c r="B53" s="19" t="s">
        <v>73</v>
      </c>
      <c r="C53" s="17"/>
      <c r="D53" s="17"/>
      <c r="E53" s="69"/>
    </row>
    <row r="54" spans="2:5" x14ac:dyDescent="0.35">
      <c r="B54" s="23" t="s">
        <v>74</v>
      </c>
      <c r="C54" s="17"/>
      <c r="D54" s="17"/>
      <c r="E54" s="45" t="s">
        <v>2483</v>
      </c>
    </row>
    <row r="55" spans="2:5" ht="15" customHeight="1" x14ac:dyDescent="0.35">
      <c r="B55" s="19" t="s">
        <v>75</v>
      </c>
      <c r="C55" s="17"/>
      <c r="D55" s="17"/>
      <c r="E55" s="42">
        <v>1</v>
      </c>
    </row>
    <row r="56" spans="2:5" ht="15" customHeight="1" x14ac:dyDescent="0.35">
      <c r="B56" s="13"/>
      <c r="C56" s="17"/>
      <c r="D56" s="17"/>
      <c r="E56" s="16"/>
    </row>
    <row r="57" spans="2:5" ht="15" customHeight="1" x14ac:dyDescent="0.35">
      <c r="B57" s="72" t="s">
        <v>2467</v>
      </c>
      <c r="C57" s="72"/>
      <c r="D57" s="72"/>
      <c r="E57" s="72"/>
    </row>
    <row r="58" spans="2:5" ht="15" customHeight="1" x14ac:dyDescent="0.35">
      <c r="B58" s="13"/>
      <c r="C58" s="17"/>
      <c r="D58" s="17"/>
      <c r="E58" s="16"/>
    </row>
    <row r="59" spans="2:5" ht="14.5" x14ac:dyDescent="0.35">
      <c r="B59" s="13" t="s">
        <v>48</v>
      </c>
      <c r="C59" s="17"/>
      <c r="D59" s="17"/>
      <c r="E59" s="65"/>
    </row>
    <row r="60" spans="2:5" ht="14.5" x14ac:dyDescent="0.35">
      <c r="B60" s="13" t="s">
        <v>47</v>
      </c>
      <c r="C60" s="17"/>
      <c r="D60" s="17"/>
      <c r="E60" s="65"/>
    </row>
    <row r="61" spans="2:5" ht="14.5" x14ac:dyDescent="0.35">
      <c r="B61" s="13" t="s">
        <v>46</v>
      </c>
      <c r="C61" s="17"/>
      <c r="D61" s="17"/>
      <c r="E61" s="65"/>
    </row>
    <row r="62" spans="2:5" ht="14.5" x14ac:dyDescent="0.35">
      <c r="B62" s="13" t="s">
        <v>49</v>
      </c>
      <c r="C62" s="17"/>
      <c r="D62" s="17"/>
      <c r="E62" s="65"/>
    </row>
    <row r="63" spans="2:5" ht="14.5" x14ac:dyDescent="0.35">
      <c r="B63" s="13" t="s">
        <v>50</v>
      </c>
      <c r="C63" s="17"/>
      <c r="D63" s="17"/>
      <c r="E63" s="65"/>
    </row>
    <row r="64" spans="2:5" ht="15" customHeight="1" x14ac:dyDescent="0.35"/>
    <row r="65" spans="2:5" ht="15" customHeight="1" x14ac:dyDescent="0.35"/>
    <row r="66" spans="2:5" ht="15" customHeight="1" x14ac:dyDescent="0.35">
      <c r="E66" s="9"/>
    </row>
    <row r="67" spans="2:5" ht="15" customHeight="1" x14ac:dyDescent="0.35">
      <c r="E67" s="50"/>
    </row>
    <row r="68" spans="2:5" ht="15" customHeight="1" x14ac:dyDescent="0.35"/>
    <row r="69" spans="2:5" ht="15" customHeight="1" x14ac:dyDescent="0.35"/>
    <row r="70" spans="2:5" ht="15" hidden="1" customHeight="1" x14ac:dyDescent="0.35"/>
    <row r="71" spans="2:5" ht="15" hidden="1" customHeight="1" x14ac:dyDescent="0.35"/>
    <row r="72" spans="2:5" ht="15" hidden="1" customHeight="1" x14ac:dyDescent="0.35"/>
    <row r="73" spans="2:5" ht="15" hidden="1" customHeight="1" x14ac:dyDescent="0.35"/>
    <row r="74" spans="2:5" ht="15" hidden="1" customHeight="1" x14ac:dyDescent="0.35"/>
    <row r="75" spans="2:5" ht="15" hidden="1" customHeight="1" x14ac:dyDescent="0.35">
      <c r="B75" s="36" t="s">
        <v>2433</v>
      </c>
      <c r="E75" s="36" t="str">
        <f>TRIM(CONCATENATE(E7," ",E8))</f>
        <v/>
      </c>
    </row>
    <row r="76" spans="2:5" ht="15" hidden="1" customHeight="1" x14ac:dyDescent="0.35">
      <c r="C76" s="24"/>
    </row>
    <row r="77" spans="2:5" ht="42" hidden="1" x14ac:dyDescent="0.35">
      <c r="B77" s="37" t="s">
        <v>2468</v>
      </c>
      <c r="C77" s="24"/>
      <c r="E77" s="11"/>
    </row>
    <row r="78" spans="2:5" ht="15" hidden="1" customHeight="1" x14ac:dyDescent="0.35">
      <c r="B78" s="10" t="s">
        <v>306</v>
      </c>
      <c r="C78" s="24">
        <f>SUM(B79:B105)</f>
        <v>9</v>
      </c>
      <c r="E78" s="11"/>
    </row>
    <row r="79" spans="2:5" ht="15" hidden="1" customHeight="1" x14ac:dyDescent="0.35">
      <c r="B79" s="8">
        <f>IF(E6&lt;&gt;"",1,0)</f>
        <v>0</v>
      </c>
      <c r="C79" s="11"/>
      <c r="E79" s="11"/>
    </row>
    <row r="80" spans="2:5" ht="15" hidden="1" customHeight="1" x14ac:dyDescent="0.35">
      <c r="B80" s="8">
        <f>IF(E7&lt;&gt;"",1,0)</f>
        <v>0</v>
      </c>
      <c r="C80" s="11"/>
      <c r="E80" s="11"/>
    </row>
    <row r="81" spans="2:5" ht="15" hidden="1" customHeight="1" x14ac:dyDescent="0.35">
      <c r="B81" s="8">
        <f>IF(E12&lt;&gt;"",1,0)</f>
        <v>1</v>
      </c>
      <c r="C81" s="11"/>
      <c r="D81" s="11"/>
      <c r="E81" s="11"/>
    </row>
    <row r="82" spans="2:5" ht="15" hidden="1" customHeight="1" x14ac:dyDescent="0.35">
      <c r="B82" s="8">
        <f>IF(E13&lt;&gt;"",1,0)</f>
        <v>0</v>
      </c>
      <c r="C82" s="11"/>
      <c r="D82" s="11"/>
    </row>
    <row r="83" spans="2:5" ht="15" hidden="1" customHeight="1" x14ac:dyDescent="0.35">
      <c r="B83" s="8">
        <f>IF(AND(E12=1,E14=""),1,IF(AND(E12=2,E14&lt;&gt;""),1,0))</f>
        <v>1</v>
      </c>
      <c r="C83" s="11"/>
      <c r="D83" s="11"/>
    </row>
    <row r="84" spans="2:5" ht="15" hidden="1" customHeight="1" x14ac:dyDescent="0.35">
      <c r="B84" s="8">
        <f>IF(E17&lt;&gt;"",1,0)</f>
        <v>0</v>
      </c>
      <c r="C84" s="11"/>
      <c r="D84" s="11"/>
    </row>
    <row r="85" spans="2:5" ht="15" hidden="1" customHeight="1" x14ac:dyDescent="0.35">
      <c r="B85" s="8">
        <f>IF(E18&lt;&gt;"",1,0)</f>
        <v>0</v>
      </c>
      <c r="C85" s="11"/>
      <c r="D85" s="11"/>
    </row>
    <row r="86" spans="2:5" ht="15" hidden="1" customHeight="1" x14ac:dyDescent="0.35">
      <c r="B86" s="8">
        <f>IF(E19&lt;&gt;"",1,0)</f>
        <v>0</v>
      </c>
      <c r="C86" s="11"/>
      <c r="D86" s="11"/>
    </row>
    <row r="87" spans="2:5" ht="15" hidden="1" customHeight="1" x14ac:dyDescent="0.35">
      <c r="B87" s="8">
        <f>IF(E20&lt;&gt;"",1,0)</f>
        <v>0</v>
      </c>
      <c r="C87" s="11"/>
      <c r="D87" s="11"/>
    </row>
    <row r="88" spans="2:5" ht="15" hidden="1" customHeight="1" x14ac:dyDescent="0.35">
      <c r="B88" s="8">
        <f>IF(E22&lt;&gt;"",1,0)</f>
        <v>0</v>
      </c>
      <c r="C88" s="11"/>
      <c r="D88" s="11"/>
    </row>
    <row r="89" spans="2:5" ht="15" hidden="1" customHeight="1" x14ac:dyDescent="0.35">
      <c r="B89" s="8">
        <f>IF(E23&lt;&gt;"",1,0)</f>
        <v>0</v>
      </c>
      <c r="C89" s="11"/>
      <c r="D89" s="11"/>
    </row>
    <row r="90" spans="2:5" ht="15" hidden="1" customHeight="1" x14ac:dyDescent="0.35">
      <c r="B90" s="8">
        <f>IF(AND(OR(E17="CONSTRUCCIÓN + TERRENO",E17="LIQUIDEZ",E17="LIQUIDEZ TOPUP",E17="PAGO DE HIPOTECAS",E17="PAGO HIPOTECA MAS LÍQUIDEZ",E17="REMODELACION"),E24=""),0,1)</f>
        <v>1</v>
      </c>
      <c r="C90" s="11"/>
      <c r="D90" s="11"/>
    </row>
    <row r="91" spans="2:5" ht="15" hidden="1" customHeight="1" x14ac:dyDescent="0.35">
      <c r="B91" s="8">
        <f>IF(AND(OR(E17="CONSTRUCCIÓN + TERRENO",E17="LIQUIDEZ",E17="LIQUIDEZ TOPUP",E17="PAGO DE HIPOTECAS",E17="PAGO HIPOTECA MAS LÍQUIDEZ",E17="REMODELACION"),E25=""),0,1)</f>
        <v>1</v>
      </c>
      <c r="C91" s="11"/>
      <c r="D91" s="11"/>
    </row>
    <row r="92" spans="2:5" ht="15" hidden="1" customHeight="1" x14ac:dyDescent="0.35">
      <c r="B92" s="8">
        <f>IF(AND(OR(E17="CONSTRUCCIÓN + TERRENO",E17="LIQUIDEZ",E17="LIQUIDEZ TOPUP",E17="PAGO DE HIPOTECAS",E17="PAGO HIPOTECA MAS LÍQUIDEZ",E17="REMODELACION"),E26=""),0,1)</f>
        <v>1</v>
      </c>
      <c r="C92" s="11"/>
      <c r="D92" s="11"/>
    </row>
    <row r="93" spans="2:5" ht="15" hidden="1" customHeight="1" x14ac:dyDescent="0.35">
      <c r="B93" s="8">
        <f>IF(AND(OR(E17="CONSTRUCCIÓN + TERRENO",E17="LIQUIDEZ",E17="LIQUIDEZ TOPUP",E17="PAGO DE HIPOTECAS",E17="PAGO HIPOTECA MAS LÍQUIDEZ",E17="REMODELACION"),E27=""),0,1)</f>
        <v>1</v>
      </c>
      <c r="C93" s="11"/>
      <c r="D93" s="11"/>
    </row>
    <row r="94" spans="2:5" ht="15" hidden="1" customHeight="1" x14ac:dyDescent="0.35">
      <c r="B94" s="8">
        <f>IF(AND(OR(E17="LIQUIDEZ",E17="LIQUIDEZ TOPUP",E17="PAGO DE HIPOTECAS",E17="PAGO HIPOTECA MAS LÍQUIDEZ"),E28&lt;&gt;""),1,IF(AND(OR(E17="LIQUIDEZ",E17="LIQUIDEZ TOPUP",E17="PAGO DE HIPOTECAS",E17="PAGO HIPOTECA MAS LÍQUIDEZ"),E28=""),0,1))</f>
        <v>1</v>
      </c>
      <c r="C94" s="11"/>
      <c r="D94" s="11"/>
    </row>
    <row r="95" spans="2:5" ht="15" hidden="1" customHeight="1" x14ac:dyDescent="0.35">
      <c r="B95" s="8">
        <f>IF(E32&lt;&gt;"",1,0)</f>
        <v>0</v>
      </c>
      <c r="C95" s="11"/>
      <c r="D95" s="11"/>
    </row>
    <row r="96" spans="2:5" ht="15" hidden="1" customHeight="1" x14ac:dyDescent="0.35">
      <c r="B96" s="8">
        <f>IF(E33&lt;&gt;"",1,0)</f>
        <v>0</v>
      </c>
      <c r="C96" s="11"/>
      <c r="D96" s="11"/>
    </row>
    <row r="97" spans="2:4" ht="15" hidden="1" customHeight="1" x14ac:dyDescent="0.35">
      <c r="B97" s="8">
        <f>IF(E34&lt;&gt;"",1,0)</f>
        <v>0</v>
      </c>
      <c r="C97" s="11"/>
      <c r="D97" s="11"/>
    </row>
    <row r="98" spans="2:4" ht="15" hidden="1" customHeight="1" x14ac:dyDescent="0.35">
      <c r="B98" s="8">
        <f>IF(E35&lt;&gt;"",1,0)</f>
        <v>0</v>
      </c>
      <c r="C98" s="11"/>
      <c r="D98" s="11"/>
    </row>
    <row r="99" spans="2:4" ht="15" hidden="1" customHeight="1" x14ac:dyDescent="0.35">
      <c r="B99" s="8">
        <f>IF(E40&lt;&gt;"",1,0)</f>
        <v>0</v>
      </c>
      <c r="C99" s="11"/>
      <c r="D99" s="11"/>
    </row>
    <row r="100" spans="2:4" ht="15" hidden="1" customHeight="1" x14ac:dyDescent="0.35">
      <c r="B100" s="8">
        <f>IF(E41&lt;&gt;"",1,0)</f>
        <v>0</v>
      </c>
      <c r="C100" s="11"/>
      <c r="D100" s="11"/>
    </row>
    <row r="101" spans="2:4" ht="15" hidden="1" customHeight="1" x14ac:dyDescent="0.35">
      <c r="B101" s="8">
        <f>IF(E48&lt;&gt;"",1,0)</f>
        <v>0</v>
      </c>
      <c r="C101" s="11"/>
      <c r="D101" s="11"/>
    </row>
    <row r="102" spans="2:4" ht="15" hidden="1" customHeight="1" x14ac:dyDescent="0.35">
      <c r="B102" s="8">
        <f>IF(E52&lt;&gt;"",1,0)</f>
        <v>0</v>
      </c>
      <c r="C102" s="11"/>
      <c r="D102" s="11"/>
    </row>
    <row r="103" spans="2:4" ht="15" hidden="1" customHeight="1" x14ac:dyDescent="0.35">
      <c r="B103" s="8">
        <f>IF(E53&lt;&gt;"",1,0)</f>
        <v>0</v>
      </c>
      <c r="C103" s="11"/>
      <c r="D103" s="11"/>
    </row>
    <row r="104" spans="2:4" ht="15" hidden="1" customHeight="1" x14ac:dyDescent="0.35">
      <c r="B104" s="8">
        <f>IF(E54&lt;&gt;"",1,0)</f>
        <v>1</v>
      </c>
      <c r="C104" s="11"/>
      <c r="D104" s="11"/>
    </row>
    <row r="105" spans="2:4" ht="15" hidden="1" customHeight="1" x14ac:dyDescent="0.35">
      <c r="B105" s="8">
        <f>IF(E55&lt;&gt;"",1,0)</f>
        <v>1</v>
      </c>
      <c r="C105" s="11"/>
      <c r="D105" s="11"/>
    </row>
    <row r="106" spans="2:4" ht="15" hidden="1" customHeight="1" x14ac:dyDescent="0.35">
      <c r="C106" s="11"/>
      <c r="D106" s="11"/>
    </row>
    <row r="107" spans="2:4" ht="15" hidden="1" customHeight="1" x14ac:dyDescent="0.35">
      <c r="C107" s="11"/>
      <c r="D107" s="11"/>
    </row>
    <row r="108" spans="2:4" ht="15" hidden="1" customHeight="1" x14ac:dyDescent="0.35">
      <c r="C108" s="11"/>
      <c r="D108" s="11"/>
    </row>
    <row r="109" spans="2:4" hidden="1" x14ac:dyDescent="0.35"/>
    <row r="110" spans="2:4" hidden="1" x14ac:dyDescent="0.35"/>
    <row r="111" spans="2:4" hidden="1" x14ac:dyDescent="0.35"/>
    <row r="112" spans="2:4" hidden="1" x14ac:dyDescent="0.35"/>
    <row r="113" hidden="1" x14ac:dyDescent="0.35"/>
    <row r="114" hidden="1" x14ac:dyDescent="0.35"/>
    <row r="115" hidden="1" x14ac:dyDescent="0.35"/>
    <row r="116" hidden="1" x14ac:dyDescent="0.35"/>
    <row r="117" hidden="1" x14ac:dyDescent="0.35"/>
    <row r="118" hidden="1" x14ac:dyDescent="0.35"/>
    <row r="119" hidden="1" x14ac:dyDescent="0.35"/>
    <row r="120" hidden="1" x14ac:dyDescent="0.35"/>
    <row r="121" hidden="1" x14ac:dyDescent="0.35"/>
    <row r="122" hidden="1" x14ac:dyDescent="0.35"/>
    <row r="123" hidden="1" x14ac:dyDescent="0.35"/>
    <row r="124" hidden="1" x14ac:dyDescent="0.35"/>
    <row r="125" hidden="1" x14ac:dyDescent="0.35"/>
    <row r="126" hidden="1" x14ac:dyDescent="0.35"/>
    <row r="127" hidden="1" x14ac:dyDescent="0.35"/>
    <row r="128" hidden="1" x14ac:dyDescent="0.35"/>
    <row r="129" hidden="1" x14ac:dyDescent="0.35"/>
    <row r="130" hidden="1" x14ac:dyDescent="0.35"/>
    <row r="131" hidden="1" x14ac:dyDescent="0.35"/>
    <row r="132" hidden="1" x14ac:dyDescent="0.35"/>
    <row r="133" hidden="1" x14ac:dyDescent="0.35"/>
    <row r="134" hidden="1" x14ac:dyDescent="0.35"/>
    <row r="135" hidden="1" x14ac:dyDescent="0.35"/>
    <row r="136" hidden="1" x14ac:dyDescent="0.35"/>
    <row r="137" hidden="1" x14ac:dyDescent="0.35"/>
    <row r="138" hidden="1" x14ac:dyDescent="0.35"/>
    <row r="139" hidden="1" x14ac:dyDescent="0.35"/>
    <row r="140" hidden="1" x14ac:dyDescent="0.35"/>
    <row r="141" hidden="1" x14ac:dyDescent="0.35"/>
    <row r="142" hidden="1" x14ac:dyDescent="0.35"/>
    <row r="143" hidden="1" x14ac:dyDescent="0.35"/>
    <row r="144" hidden="1" x14ac:dyDescent="0.35"/>
    <row r="145" hidden="1" x14ac:dyDescent="0.35"/>
    <row r="146" hidden="1" x14ac:dyDescent="0.35"/>
    <row r="147" hidden="1" x14ac:dyDescent="0.35"/>
    <row r="148" hidden="1" x14ac:dyDescent="0.35"/>
    <row r="149" hidden="1" x14ac:dyDescent="0.35"/>
    <row r="150" hidden="1" x14ac:dyDescent="0.35"/>
    <row r="151" hidden="1" x14ac:dyDescent="0.35"/>
    <row r="152" hidden="1" x14ac:dyDescent="0.35"/>
    <row r="153" hidden="1" x14ac:dyDescent="0.35"/>
    <row r="154" hidden="1" x14ac:dyDescent="0.35"/>
    <row r="155" hidden="1" x14ac:dyDescent="0.35"/>
    <row r="156" hidden="1" x14ac:dyDescent="0.35"/>
    <row r="157" hidden="1" x14ac:dyDescent="0.35"/>
    <row r="158" hidden="1" x14ac:dyDescent="0.35"/>
    <row r="159" hidden="1" x14ac:dyDescent="0.35"/>
    <row r="160" hidden="1" x14ac:dyDescent="0.35"/>
    <row r="161" hidden="1" x14ac:dyDescent="0.35"/>
    <row r="162" hidden="1" x14ac:dyDescent="0.35"/>
    <row r="163" hidden="1" x14ac:dyDescent="0.35"/>
    <row r="164" hidden="1" x14ac:dyDescent="0.35"/>
    <row r="165" hidden="1" x14ac:dyDescent="0.35"/>
    <row r="166" hidden="1" x14ac:dyDescent="0.35"/>
    <row r="167" hidden="1" x14ac:dyDescent="0.35"/>
    <row r="168" hidden="1" x14ac:dyDescent="0.35"/>
    <row r="169" hidden="1" x14ac:dyDescent="0.35"/>
    <row r="170" hidden="1" x14ac:dyDescent="0.35"/>
    <row r="171" hidden="1" x14ac:dyDescent="0.35"/>
    <row r="172" hidden="1" x14ac:dyDescent="0.35"/>
    <row r="173" hidden="1" x14ac:dyDescent="0.35"/>
    <row r="174" hidden="1" x14ac:dyDescent="0.35"/>
    <row r="175" hidden="1" x14ac:dyDescent="0.35"/>
    <row r="176" hidden="1" x14ac:dyDescent="0.35"/>
    <row r="177" hidden="1" x14ac:dyDescent="0.35"/>
    <row r="178" hidden="1" x14ac:dyDescent="0.35"/>
    <row r="179" hidden="1" x14ac:dyDescent="0.35"/>
    <row r="180" hidden="1" x14ac:dyDescent="0.35"/>
    <row r="181" hidden="1" x14ac:dyDescent="0.35"/>
    <row r="182" hidden="1" x14ac:dyDescent="0.35"/>
    <row r="183" hidden="1" x14ac:dyDescent="0.35"/>
    <row r="184" hidden="1" x14ac:dyDescent="0.35"/>
    <row r="185" hidden="1" x14ac:dyDescent="0.35"/>
    <row r="186" hidden="1" x14ac:dyDescent="0.35"/>
    <row r="187" hidden="1" x14ac:dyDescent="0.35"/>
    <row r="188" hidden="1" x14ac:dyDescent="0.35"/>
    <row r="189" hidden="1" x14ac:dyDescent="0.35"/>
    <row r="190" hidden="1" x14ac:dyDescent="0.35"/>
    <row r="191" hidden="1" x14ac:dyDescent="0.35"/>
    <row r="192" hidden="1" x14ac:dyDescent="0.35"/>
    <row r="193" hidden="1" x14ac:dyDescent="0.35"/>
    <row r="194" hidden="1" x14ac:dyDescent="0.35"/>
    <row r="195" hidden="1" x14ac:dyDescent="0.35"/>
    <row r="196" hidden="1" x14ac:dyDescent="0.35"/>
    <row r="197" hidden="1" x14ac:dyDescent="0.35"/>
    <row r="198" hidden="1" x14ac:dyDescent="0.35"/>
    <row r="199" hidden="1" x14ac:dyDescent="0.35"/>
    <row r="200" hidden="1" x14ac:dyDescent="0.35"/>
    <row r="201" hidden="1" x14ac:dyDescent="0.35"/>
    <row r="202" hidden="1" x14ac:dyDescent="0.35"/>
    <row r="203" hidden="1" x14ac:dyDescent="0.35"/>
    <row r="204" hidden="1" x14ac:dyDescent="0.35"/>
    <row r="205" hidden="1" x14ac:dyDescent="0.35"/>
    <row r="206" hidden="1" x14ac:dyDescent="0.35"/>
    <row r="207" hidden="1" x14ac:dyDescent="0.35"/>
    <row r="208" hidden="1" x14ac:dyDescent="0.35"/>
    <row r="209" hidden="1" x14ac:dyDescent="0.35"/>
    <row r="210" hidden="1" x14ac:dyDescent="0.35"/>
    <row r="211" hidden="1" x14ac:dyDescent="0.35"/>
    <row r="212" hidden="1" x14ac:dyDescent="0.35"/>
    <row r="213" hidden="1" x14ac:dyDescent="0.35"/>
    <row r="214" hidden="1" x14ac:dyDescent="0.35"/>
    <row r="215" hidden="1" x14ac:dyDescent="0.35"/>
    <row r="216" hidden="1" x14ac:dyDescent="0.35"/>
    <row r="217" hidden="1" x14ac:dyDescent="0.35"/>
    <row r="218" hidden="1" x14ac:dyDescent="0.35"/>
    <row r="219" hidden="1" x14ac:dyDescent="0.35"/>
    <row r="220" hidden="1" x14ac:dyDescent="0.35"/>
    <row r="221" hidden="1" x14ac:dyDescent="0.35"/>
    <row r="222" hidden="1" x14ac:dyDescent="0.35"/>
    <row r="223" hidden="1" x14ac:dyDescent="0.35"/>
    <row r="224" hidden="1" x14ac:dyDescent="0.35"/>
    <row r="225" hidden="1" x14ac:dyDescent="0.35"/>
    <row r="226" hidden="1" x14ac:dyDescent="0.35"/>
    <row r="227" hidden="1" x14ac:dyDescent="0.35"/>
    <row r="228" hidden="1" x14ac:dyDescent="0.35"/>
    <row r="229" hidden="1" x14ac:dyDescent="0.35"/>
    <row r="230" hidden="1" x14ac:dyDescent="0.35"/>
    <row r="231" hidden="1" x14ac:dyDescent="0.35"/>
    <row r="232" hidden="1" x14ac:dyDescent="0.35"/>
    <row r="233" hidden="1" x14ac:dyDescent="0.35"/>
    <row r="234" hidden="1" x14ac:dyDescent="0.35"/>
    <row r="235" hidden="1" x14ac:dyDescent="0.35"/>
    <row r="236" hidden="1" x14ac:dyDescent="0.35"/>
    <row r="237" hidden="1" x14ac:dyDescent="0.35"/>
    <row r="238" hidden="1" x14ac:dyDescent="0.35"/>
    <row r="239" hidden="1" x14ac:dyDescent="0.35"/>
    <row r="240" hidden="1" x14ac:dyDescent="0.35"/>
    <row r="241" hidden="1" x14ac:dyDescent="0.35"/>
    <row r="242" hidden="1" x14ac:dyDescent="0.35"/>
    <row r="243" hidden="1" x14ac:dyDescent="0.35"/>
    <row r="244" hidden="1" x14ac:dyDescent="0.35"/>
    <row r="245" hidden="1" x14ac:dyDescent="0.35"/>
    <row r="246" hidden="1" x14ac:dyDescent="0.35"/>
    <row r="247" hidden="1" x14ac:dyDescent="0.35"/>
    <row r="248" hidden="1" x14ac:dyDescent="0.35"/>
    <row r="249" hidden="1" x14ac:dyDescent="0.35"/>
    <row r="250" hidden="1" x14ac:dyDescent="0.35"/>
    <row r="251" hidden="1" x14ac:dyDescent="0.35"/>
    <row r="252" hidden="1" x14ac:dyDescent="0.35"/>
    <row r="253" hidden="1" x14ac:dyDescent="0.35"/>
    <row r="254" hidden="1" x14ac:dyDescent="0.35"/>
    <row r="255" hidden="1" x14ac:dyDescent="0.35"/>
    <row r="256" hidden="1" x14ac:dyDescent="0.35"/>
    <row r="257" hidden="1" x14ac:dyDescent="0.35"/>
    <row r="258" hidden="1" x14ac:dyDescent="0.35"/>
    <row r="259" hidden="1" x14ac:dyDescent="0.35"/>
    <row r="260" hidden="1" x14ac:dyDescent="0.35"/>
    <row r="261" hidden="1" x14ac:dyDescent="0.35"/>
    <row r="262" hidden="1" x14ac:dyDescent="0.35"/>
    <row r="263" hidden="1" x14ac:dyDescent="0.35"/>
    <row r="264" hidden="1" x14ac:dyDescent="0.35"/>
    <row r="265" hidden="1" x14ac:dyDescent="0.35"/>
    <row r="266" hidden="1" x14ac:dyDescent="0.35"/>
    <row r="267" hidden="1" x14ac:dyDescent="0.35"/>
    <row r="268" hidden="1" x14ac:dyDescent="0.35"/>
    <row r="269" hidden="1" x14ac:dyDescent="0.35"/>
    <row r="270" hidden="1" x14ac:dyDescent="0.35"/>
    <row r="271" hidden="1" x14ac:dyDescent="0.35"/>
    <row r="272" hidden="1" x14ac:dyDescent="0.35"/>
    <row r="273" hidden="1" x14ac:dyDescent="0.35"/>
    <row r="274" hidden="1" x14ac:dyDescent="0.35"/>
    <row r="275" hidden="1" x14ac:dyDescent="0.35"/>
    <row r="276" hidden="1" x14ac:dyDescent="0.35"/>
    <row r="277" hidden="1" x14ac:dyDescent="0.35"/>
    <row r="278" hidden="1" x14ac:dyDescent="0.35"/>
    <row r="279" hidden="1" x14ac:dyDescent="0.35"/>
    <row r="280" hidden="1" x14ac:dyDescent="0.35"/>
    <row r="281" hidden="1" x14ac:dyDescent="0.35"/>
    <row r="282" hidden="1" x14ac:dyDescent="0.35"/>
    <row r="283" hidden="1" x14ac:dyDescent="0.35"/>
    <row r="284" hidden="1" x14ac:dyDescent="0.35"/>
    <row r="285" hidden="1" x14ac:dyDescent="0.35"/>
    <row r="286" hidden="1" x14ac:dyDescent="0.35"/>
    <row r="287" hidden="1" x14ac:dyDescent="0.35"/>
    <row r="288" hidden="1" x14ac:dyDescent="0.35"/>
    <row r="289" hidden="1" x14ac:dyDescent="0.35"/>
    <row r="290" hidden="1" x14ac:dyDescent="0.35"/>
    <row r="291" hidden="1" x14ac:dyDescent="0.35"/>
    <row r="292" hidden="1" x14ac:dyDescent="0.35"/>
    <row r="293" hidden="1" x14ac:dyDescent="0.35"/>
    <row r="294" hidden="1" x14ac:dyDescent="0.35"/>
    <row r="295" hidden="1" x14ac:dyDescent="0.35"/>
    <row r="296" hidden="1" x14ac:dyDescent="0.35"/>
    <row r="297" hidden="1" x14ac:dyDescent="0.35"/>
    <row r="298" hidden="1" x14ac:dyDescent="0.35"/>
    <row r="299" hidden="1" x14ac:dyDescent="0.35"/>
    <row r="300" hidden="1" x14ac:dyDescent="0.35"/>
    <row r="301" hidden="1" x14ac:dyDescent="0.35"/>
    <row r="302" hidden="1" x14ac:dyDescent="0.35"/>
    <row r="303" hidden="1" x14ac:dyDescent="0.35"/>
    <row r="304" hidden="1" x14ac:dyDescent="0.35"/>
    <row r="305" hidden="1" x14ac:dyDescent="0.35"/>
    <row r="306" hidden="1" x14ac:dyDescent="0.35"/>
    <row r="307" hidden="1" x14ac:dyDescent="0.35"/>
    <row r="308" hidden="1" x14ac:dyDescent="0.35"/>
    <row r="309" hidden="1" x14ac:dyDescent="0.35"/>
    <row r="310" hidden="1" x14ac:dyDescent="0.35"/>
    <row r="311" hidden="1" x14ac:dyDescent="0.35"/>
    <row r="312" hidden="1" x14ac:dyDescent="0.35"/>
    <row r="313" hidden="1" x14ac:dyDescent="0.35"/>
    <row r="314" hidden="1" x14ac:dyDescent="0.35"/>
    <row r="315" hidden="1" x14ac:dyDescent="0.35"/>
    <row r="316" hidden="1" x14ac:dyDescent="0.35"/>
    <row r="317" hidden="1" x14ac:dyDescent="0.35"/>
    <row r="318" hidden="1" x14ac:dyDescent="0.35"/>
    <row r="319" hidden="1" x14ac:dyDescent="0.35"/>
    <row r="320" hidden="1" x14ac:dyDescent="0.35"/>
    <row r="321" hidden="1" x14ac:dyDescent="0.35"/>
    <row r="322" hidden="1" x14ac:dyDescent="0.35"/>
    <row r="323" hidden="1" x14ac:dyDescent="0.35"/>
    <row r="324" hidden="1" x14ac:dyDescent="0.35"/>
    <row r="325" hidden="1" x14ac:dyDescent="0.35"/>
    <row r="326" hidden="1" x14ac:dyDescent="0.35"/>
    <row r="327" hidden="1" x14ac:dyDescent="0.35"/>
    <row r="328" hidden="1" x14ac:dyDescent="0.35"/>
    <row r="329" hidden="1" x14ac:dyDescent="0.35"/>
    <row r="330" hidden="1" x14ac:dyDescent="0.35"/>
    <row r="331" hidden="1" x14ac:dyDescent="0.35"/>
    <row r="332" hidden="1" x14ac:dyDescent="0.35"/>
    <row r="333" hidden="1" x14ac:dyDescent="0.35"/>
    <row r="334" hidden="1" x14ac:dyDescent="0.35"/>
    <row r="335" hidden="1" x14ac:dyDescent="0.35"/>
    <row r="336" hidden="1" x14ac:dyDescent="0.35"/>
    <row r="337" hidden="1" x14ac:dyDescent="0.35"/>
    <row r="338" hidden="1" x14ac:dyDescent="0.35"/>
    <row r="339" hidden="1" x14ac:dyDescent="0.35"/>
    <row r="340" hidden="1" x14ac:dyDescent="0.35"/>
    <row r="341" hidden="1" x14ac:dyDescent="0.35"/>
    <row r="342" hidden="1" x14ac:dyDescent="0.35"/>
    <row r="343" hidden="1" x14ac:dyDescent="0.35"/>
    <row r="344" hidden="1" x14ac:dyDescent="0.35"/>
    <row r="345" hidden="1" x14ac:dyDescent="0.35"/>
    <row r="346" hidden="1" x14ac:dyDescent="0.35"/>
    <row r="347" hidden="1" x14ac:dyDescent="0.35"/>
    <row r="348" hidden="1" x14ac:dyDescent="0.35"/>
    <row r="349" hidden="1" x14ac:dyDescent="0.35"/>
    <row r="350" hidden="1" x14ac:dyDescent="0.35"/>
    <row r="351" hidden="1" x14ac:dyDescent="0.35"/>
    <row r="352" hidden="1" x14ac:dyDescent="0.35"/>
    <row r="353" hidden="1" x14ac:dyDescent="0.35"/>
    <row r="354" hidden="1" x14ac:dyDescent="0.35"/>
    <row r="355" hidden="1" x14ac:dyDescent="0.35"/>
    <row r="356" hidden="1" x14ac:dyDescent="0.35"/>
    <row r="357" hidden="1" x14ac:dyDescent="0.35"/>
    <row r="358" hidden="1" x14ac:dyDescent="0.35"/>
    <row r="359" hidden="1" x14ac:dyDescent="0.35"/>
    <row r="360" hidden="1" x14ac:dyDescent="0.35"/>
    <row r="361" hidden="1" x14ac:dyDescent="0.35"/>
    <row r="362" hidden="1" x14ac:dyDescent="0.35"/>
    <row r="363" hidden="1" x14ac:dyDescent="0.35"/>
    <row r="364" hidden="1" x14ac:dyDescent="0.35"/>
    <row r="365" hidden="1" x14ac:dyDescent="0.35"/>
    <row r="366" hidden="1" x14ac:dyDescent="0.35"/>
    <row r="367" hidden="1" x14ac:dyDescent="0.35"/>
    <row r="368" hidden="1" x14ac:dyDescent="0.35"/>
    <row r="369" hidden="1" x14ac:dyDescent="0.35"/>
    <row r="370" hidden="1" x14ac:dyDescent="0.35"/>
    <row r="371" hidden="1" x14ac:dyDescent="0.35"/>
    <row r="372" hidden="1" x14ac:dyDescent="0.35"/>
    <row r="373" hidden="1" x14ac:dyDescent="0.35"/>
    <row r="374" hidden="1" x14ac:dyDescent="0.35"/>
    <row r="375" hidden="1" x14ac:dyDescent="0.35"/>
    <row r="376" hidden="1" x14ac:dyDescent="0.35"/>
    <row r="377" hidden="1" x14ac:dyDescent="0.35"/>
    <row r="378" hidden="1" x14ac:dyDescent="0.35"/>
    <row r="379" hidden="1" x14ac:dyDescent="0.35"/>
    <row r="380" hidden="1" x14ac:dyDescent="0.35"/>
    <row r="381" hidden="1" x14ac:dyDescent="0.35"/>
    <row r="382" hidden="1" x14ac:dyDescent="0.35"/>
    <row r="383" hidden="1" x14ac:dyDescent="0.35"/>
    <row r="384" hidden="1" x14ac:dyDescent="0.35"/>
    <row r="385" hidden="1" x14ac:dyDescent="0.35"/>
    <row r="386" hidden="1" x14ac:dyDescent="0.35"/>
    <row r="387" hidden="1" x14ac:dyDescent="0.35"/>
    <row r="388" hidden="1" x14ac:dyDescent="0.35"/>
    <row r="389" hidden="1" x14ac:dyDescent="0.35"/>
    <row r="390" hidden="1" x14ac:dyDescent="0.35"/>
    <row r="391" hidden="1" x14ac:dyDescent="0.35"/>
    <row r="392" hidden="1" x14ac:dyDescent="0.35"/>
    <row r="393" hidden="1" x14ac:dyDescent="0.35"/>
    <row r="394" hidden="1" x14ac:dyDescent="0.35"/>
    <row r="395" hidden="1" x14ac:dyDescent="0.35"/>
    <row r="396" hidden="1" x14ac:dyDescent="0.35"/>
    <row r="397" hidden="1" x14ac:dyDescent="0.35"/>
    <row r="398" hidden="1" x14ac:dyDescent="0.35"/>
    <row r="399" hidden="1" x14ac:dyDescent="0.35"/>
    <row r="400" hidden="1" x14ac:dyDescent="0.35"/>
    <row r="401" hidden="1" x14ac:dyDescent="0.35"/>
    <row r="402" hidden="1" x14ac:dyDescent="0.35"/>
    <row r="403" hidden="1" x14ac:dyDescent="0.35"/>
    <row r="404" hidden="1" x14ac:dyDescent="0.35"/>
    <row r="405" hidden="1" x14ac:dyDescent="0.35"/>
    <row r="406" hidden="1" x14ac:dyDescent="0.35"/>
    <row r="407" hidden="1" x14ac:dyDescent="0.35"/>
    <row r="408" hidden="1" x14ac:dyDescent="0.35"/>
    <row r="409" hidden="1" x14ac:dyDescent="0.35"/>
    <row r="410" hidden="1" x14ac:dyDescent="0.35"/>
    <row r="411" hidden="1" x14ac:dyDescent="0.35"/>
    <row r="412" hidden="1" x14ac:dyDescent="0.35"/>
    <row r="413" hidden="1" x14ac:dyDescent="0.35"/>
    <row r="414" hidden="1" x14ac:dyDescent="0.35"/>
    <row r="415" hidden="1" x14ac:dyDescent="0.35"/>
    <row r="416" hidden="1" x14ac:dyDescent="0.35"/>
    <row r="417" hidden="1" x14ac:dyDescent="0.35"/>
    <row r="418" hidden="1" x14ac:dyDescent="0.35"/>
    <row r="419" hidden="1" x14ac:dyDescent="0.35"/>
    <row r="420" hidden="1" x14ac:dyDescent="0.35"/>
    <row r="421" hidden="1" x14ac:dyDescent="0.35"/>
    <row r="422" hidden="1" x14ac:dyDescent="0.35"/>
    <row r="423" hidden="1" x14ac:dyDescent="0.35"/>
    <row r="424" hidden="1" x14ac:dyDescent="0.35"/>
    <row r="425" hidden="1" x14ac:dyDescent="0.35"/>
    <row r="426" hidden="1" x14ac:dyDescent="0.35"/>
    <row r="427" hidden="1" x14ac:dyDescent="0.35"/>
    <row r="428" hidden="1" x14ac:dyDescent="0.35"/>
    <row r="429" hidden="1" x14ac:dyDescent="0.35"/>
    <row r="430" hidden="1" x14ac:dyDescent="0.35"/>
    <row r="431" hidden="1" x14ac:dyDescent="0.35"/>
    <row r="432" hidden="1" x14ac:dyDescent="0.35"/>
    <row r="433" hidden="1" x14ac:dyDescent="0.35"/>
    <row r="434" hidden="1" x14ac:dyDescent="0.35"/>
    <row r="435" hidden="1" x14ac:dyDescent="0.35"/>
    <row r="436" hidden="1" x14ac:dyDescent="0.35"/>
    <row r="437" hidden="1" x14ac:dyDescent="0.35"/>
    <row r="438" hidden="1" x14ac:dyDescent="0.35"/>
    <row r="439" hidden="1" x14ac:dyDescent="0.35"/>
    <row r="440" hidden="1" x14ac:dyDescent="0.35"/>
    <row r="441" hidden="1" x14ac:dyDescent="0.35"/>
    <row r="442" hidden="1" x14ac:dyDescent="0.35"/>
    <row r="443" hidden="1" x14ac:dyDescent="0.35"/>
    <row r="444" hidden="1" x14ac:dyDescent="0.35"/>
    <row r="445" hidden="1" x14ac:dyDescent="0.35"/>
    <row r="446" hidden="1" x14ac:dyDescent="0.35"/>
    <row r="447" hidden="1" x14ac:dyDescent="0.35"/>
    <row r="448" hidden="1" x14ac:dyDescent="0.35"/>
    <row r="449" hidden="1" x14ac:dyDescent="0.35"/>
    <row r="450" hidden="1" x14ac:dyDescent="0.35"/>
    <row r="451" hidden="1" x14ac:dyDescent="0.35"/>
    <row r="452" hidden="1" x14ac:dyDescent="0.35"/>
    <row r="453" hidden="1" x14ac:dyDescent="0.35"/>
    <row r="454" hidden="1" x14ac:dyDescent="0.35"/>
    <row r="455" hidden="1" x14ac:dyDescent="0.35"/>
    <row r="456" hidden="1" x14ac:dyDescent="0.35"/>
    <row r="457" hidden="1" x14ac:dyDescent="0.35"/>
    <row r="458" hidden="1" x14ac:dyDescent="0.35"/>
    <row r="459" hidden="1" x14ac:dyDescent="0.35"/>
    <row r="460" hidden="1" x14ac:dyDescent="0.35"/>
    <row r="461" hidden="1" x14ac:dyDescent="0.35"/>
    <row r="462" hidden="1" x14ac:dyDescent="0.35"/>
    <row r="463" hidden="1" x14ac:dyDescent="0.35"/>
    <row r="464" hidden="1" x14ac:dyDescent="0.35"/>
    <row r="465" hidden="1" x14ac:dyDescent="0.35"/>
    <row r="466" hidden="1" x14ac:dyDescent="0.35"/>
    <row r="467" hidden="1" x14ac:dyDescent="0.35"/>
    <row r="468" hidden="1" x14ac:dyDescent="0.35"/>
    <row r="469" hidden="1" x14ac:dyDescent="0.35"/>
    <row r="470" hidden="1" x14ac:dyDescent="0.35"/>
    <row r="471" hidden="1" x14ac:dyDescent="0.35"/>
    <row r="472" hidden="1" x14ac:dyDescent="0.35"/>
    <row r="473" hidden="1" x14ac:dyDescent="0.35"/>
    <row r="474" hidden="1" x14ac:dyDescent="0.35"/>
    <row r="475" hidden="1" x14ac:dyDescent="0.35"/>
    <row r="476" hidden="1" x14ac:dyDescent="0.35"/>
    <row r="477" hidden="1" x14ac:dyDescent="0.35"/>
    <row r="478" hidden="1" x14ac:dyDescent="0.35"/>
    <row r="479" hidden="1" x14ac:dyDescent="0.35"/>
    <row r="480" hidden="1" x14ac:dyDescent="0.35"/>
    <row r="481" hidden="1" x14ac:dyDescent="0.35"/>
    <row r="482" hidden="1" x14ac:dyDescent="0.35"/>
    <row r="483" hidden="1" x14ac:dyDescent="0.35"/>
  </sheetData>
  <sheetProtection algorithmName="SHA-512" hashValue="ss2UfvJsYZFvmEk5tQ4lU7kyE5bduc1PTXX3f6CwPhqhd8XnfZ6onj2f+DPTvaSB281WWRpl5Ji6ueNYobrueA==" saltValue="yUgFlP1gOPOUbD0gcMustg==" spinCount="100000" sheet="1" objects="1" scenarios="1"/>
  <mergeCells count="6">
    <mergeCell ref="B57:E57"/>
    <mergeCell ref="B10:E10"/>
    <mergeCell ref="B30:E30"/>
    <mergeCell ref="B38:E38"/>
    <mergeCell ref="B46:E46"/>
    <mergeCell ref="B50:E50"/>
  </mergeCells>
  <conditionalFormatting sqref="E13">
    <cfRule type="expression" dxfId="137" priority="113">
      <formula>IF(E12=1,E13&lt;&gt;"")</formula>
    </cfRule>
    <cfRule type="expression" dxfId="136" priority="114">
      <formula>IF(E12=2,E13&lt;&gt;"")</formula>
    </cfRule>
    <cfRule type="expression" dxfId="135" priority="119">
      <formula>IF(E12=3,E13&lt;&gt;"")</formula>
    </cfRule>
    <cfRule type="expression" dxfId="134" priority="120">
      <formula>IF(E12=2,E13="")</formula>
    </cfRule>
    <cfRule type="expression" dxfId="133" priority="123">
      <formula>IF(E12=3,E13="")</formula>
    </cfRule>
    <cfRule type="expression" dxfId="132" priority="138">
      <formula>IF(E12=1,$E$13="")</formula>
    </cfRule>
  </conditionalFormatting>
  <conditionalFormatting sqref="B13">
    <cfRule type="expression" dxfId="131" priority="127">
      <formula>E12=""</formula>
    </cfRule>
  </conditionalFormatting>
  <conditionalFormatting sqref="E12">
    <cfRule type="expression" dxfId="130" priority="122">
      <formula>E12&lt;&gt;""</formula>
    </cfRule>
    <cfRule type="expression" dxfId="129" priority="125">
      <formula>E12=""</formula>
    </cfRule>
  </conditionalFormatting>
  <conditionalFormatting sqref="E28">
    <cfRule type="expression" dxfId="128" priority="93">
      <formula>IF(E17="LIQUIDEZ",E28&lt;&gt;"")</formula>
    </cfRule>
    <cfRule type="expression" dxfId="127" priority="94">
      <formula>IF(E17="LIQUIDEZ_TOPUP",E28&lt;&gt;"")</formula>
    </cfRule>
    <cfRule type="expression" dxfId="126" priority="95">
      <formula>IF(E17="PAGO_HIPOTECA_MAS_LÍQUIDEZ",E28&lt;&gt;"")</formula>
    </cfRule>
    <cfRule type="expression" dxfId="125" priority="96">
      <formula>IF(E17="LIQUIDEZ",E28="")</formula>
    </cfRule>
    <cfRule type="expression" dxfId="124" priority="97">
      <formula>IF(E17="LIQUIDEZ_TOPUP",E28="")</formula>
    </cfRule>
    <cfRule type="expression" dxfId="123" priority="98">
      <formula>IF(E17="PAGO_HIPOTECA_MAS_LÍQUIDEZ",E28="")</formula>
    </cfRule>
  </conditionalFormatting>
  <conditionalFormatting sqref="E35">
    <cfRule type="expression" dxfId="122" priority="83">
      <formula>E35&lt;&gt;""</formula>
    </cfRule>
    <cfRule type="expression" dxfId="121" priority="84">
      <formula>E35=""</formula>
    </cfRule>
  </conditionalFormatting>
  <conditionalFormatting sqref="E40">
    <cfRule type="expression" dxfId="120" priority="79">
      <formula>E40&lt;&gt;""</formula>
    </cfRule>
    <cfRule type="expression" dxfId="119" priority="80">
      <formula>E40=""</formula>
    </cfRule>
  </conditionalFormatting>
  <conditionalFormatting sqref="E54">
    <cfRule type="expression" dxfId="118" priority="69">
      <formula>E54&lt;&gt;""</formula>
    </cfRule>
    <cfRule type="expression" dxfId="117" priority="70">
      <formula>E54=""</formula>
    </cfRule>
  </conditionalFormatting>
  <conditionalFormatting sqref="E55">
    <cfRule type="expression" dxfId="116" priority="67">
      <formula>E55&lt;&gt;""</formula>
    </cfRule>
    <cfRule type="expression" dxfId="115" priority="68">
      <formula>E55=""</formula>
    </cfRule>
  </conditionalFormatting>
  <conditionalFormatting sqref="E14">
    <cfRule type="expression" dxfId="114" priority="31">
      <formula>IF(E12=3,E14="")</formula>
    </cfRule>
    <cfRule type="expression" dxfId="113" priority="143">
      <formula>IF(E12=2,E14="")</formula>
    </cfRule>
    <cfRule type="expression" dxfId="112" priority="144">
      <formula>IF(E12=2,E14&lt;&gt;"")</formula>
    </cfRule>
    <cfRule type="expression" dxfId="111" priority="145">
      <formula>IF(E12=3,E13&lt;&gt;"")</formula>
    </cfRule>
    <cfRule type="expression" dxfId="110" priority="146">
      <formula>IF(E12=3,E14&lt;&gt;"")</formula>
    </cfRule>
  </conditionalFormatting>
  <conditionalFormatting sqref="E52:E53">
    <cfRule type="expression" dxfId="109" priority="46">
      <formula>E52&lt;&gt;""</formula>
    </cfRule>
    <cfRule type="expression" dxfId="108" priority="47">
      <formula>E52=""</formula>
    </cfRule>
  </conditionalFormatting>
  <conditionalFormatting sqref="E34">
    <cfRule type="expression" dxfId="107" priority="42">
      <formula>E34&lt;&gt;""</formula>
    </cfRule>
    <cfRule type="expression" dxfId="106" priority="43">
      <formula>E34=""</formula>
    </cfRule>
  </conditionalFormatting>
  <conditionalFormatting sqref="E33">
    <cfRule type="expression" dxfId="105" priority="40">
      <formula>E33&lt;&gt;""</formula>
    </cfRule>
    <cfRule type="expression" dxfId="104" priority="41">
      <formula>E33=""</formula>
    </cfRule>
  </conditionalFormatting>
  <conditionalFormatting sqref="E32">
    <cfRule type="expression" dxfId="103" priority="38">
      <formula>E32&lt;&gt;""</formula>
    </cfRule>
    <cfRule type="expression" dxfId="102" priority="39">
      <formula>E32=""</formula>
    </cfRule>
  </conditionalFormatting>
  <conditionalFormatting sqref="E20">
    <cfRule type="expression" dxfId="101" priority="34">
      <formula>E20&lt;&gt;""</formula>
    </cfRule>
    <cfRule type="expression" dxfId="100" priority="35">
      <formula>E20=""</formula>
    </cfRule>
  </conditionalFormatting>
  <conditionalFormatting sqref="E17">
    <cfRule type="expression" dxfId="99" priority="32">
      <formula>E17&lt;&gt;""</formula>
    </cfRule>
    <cfRule type="expression" dxfId="98" priority="33">
      <formula>E17=""</formula>
    </cfRule>
  </conditionalFormatting>
  <conditionalFormatting sqref="E6:E7">
    <cfRule type="expression" dxfId="97" priority="48">
      <formula>E6&lt;&gt;""</formula>
    </cfRule>
    <cfRule type="expression" dxfId="96" priority="49">
      <formula>E6=""</formula>
    </cfRule>
  </conditionalFormatting>
  <conditionalFormatting sqref="E8">
    <cfRule type="expression" dxfId="95" priority="27">
      <formula>E8=""</formula>
    </cfRule>
    <cfRule type="expression" dxfId="94" priority="28">
      <formula>E8&lt;&gt;""</formula>
    </cfRule>
  </conditionalFormatting>
  <conditionalFormatting sqref="E18">
    <cfRule type="expression" dxfId="93" priority="50">
      <formula>E18&lt;&gt;""</formula>
    </cfRule>
    <cfRule type="expression" dxfId="92" priority="51">
      <formula>E18=""</formula>
    </cfRule>
  </conditionalFormatting>
  <conditionalFormatting sqref="E19">
    <cfRule type="expression" dxfId="91" priority="25">
      <formula>E19=""</formula>
    </cfRule>
    <cfRule type="expression" dxfId="90" priority="26">
      <formula>E19&lt;&gt;""</formula>
    </cfRule>
  </conditionalFormatting>
  <conditionalFormatting sqref="E41">
    <cfRule type="expression" dxfId="89" priority="44">
      <formula>E41&lt;&gt;""</formula>
    </cfRule>
    <cfRule type="expression" dxfId="88" priority="45">
      <formula>E41=""</formula>
    </cfRule>
  </conditionalFormatting>
  <conditionalFormatting sqref="E42:E44">
    <cfRule type="expression" dxfId="87" priority="3">
      <formula>$E$42&lt;&gt;""</formula>
    </cfRule>
    <cfRule type="expression" dxfId="86" priority="4">
      <formula>$E$42=""</formula>
    </cfRule>
  </conditionalFormatting>
  <conditionalFormatting sqref="E48">
    <cfRule type="expression" dxfId="85" priority="107">
      <formula>E48&lt;&gt;""</formula>
    </cfRule>
    <cfRule type="expression" dxfId="84" priority="130">
      <formula>E48=""</formula>
    </cfRule>
  </conditionalFormatting>
  <conditionalFormatting sqref="E22">
    <cfRule type="expression" dxfId="83" priority="36">
      <formula>E22&lt;&gt;""</formula>
    </cfRule>
    <cfRule type="expression" dxfId="82" priority="37">
      <formula>E22=""</formula>
    </cfRule>
  </conditionalFormatting>
  <conditionalFormatting sqref="E23">
    <cfRule type="expression" dxfId="81" priority="1">
      <formula>E23&lt;&gt;""</formula>
    </cfRule>
    <cfRule type="expression" dxfId="80" priority="2">
      <formula>E23=""</formula>
    </cfRule>
  </conditionalFormatting>
  <conditionalFormatting sqref="E24:E27">
    <cfRule type="expression" dxfId="79" priority="16">
      <formula>IF($E$17="REMODELACION",E24="")</formula>
    </cfRule>
    <cfRule type="expression" dxfId="78" priority="17">
      <formula>IF($E$17="PAGO_HIPOTECA_MAS_LÍQUIDEZ",E24="")</formula>
    </cfRule>
    <cfRule type="expression" dxfId="77" priority="18">
      <formula>IF($E$17="PAGO_DE_HIPOTECAS",E24="")</formula>
    </cfRule>
    <cfRule type="expression" dxfId="76" priority="19">
      <formula>IF($E$17="LIQUIDEZ_TOPUP",E24="")</formula>
    </cfRule>
    <cfRule type="expression" dxfId="75" priority="20">
      <formula>IF($E$17="LIQUIDEZ",E24="")</formula>
    </cfRule>
    <cfRule type="expression" dxfId="74" priority="21">
      <formula>IF($E$17="CONSTRUCCIÓN + TERRENO",E24="")</formula>
    </cfRule>
    <cfRule type="expression" dxfId="73" priority="22">
      <formula>IF($E$17="FPT",$E$25="")</formula>
    </cfRule>
    <cfRule type="expression" dxfId="72" priority="23">
      <formula>IF($E$17="COFINANCIAMIENTO",$E$25="")</formula>
    </cfRule>
    <cfRule type="expression" dxfId="71" priority="24">
      <formula>IF($E$17="CI_MAS_CB",$E$25="")</formula>
    </cfRule>
    <cfRule type="expression" dxfId="70" priority="106">
      <formula>IF($E$17="APOYO_INFONAVIT",$E$25="")</formula>
    </cfRule>
    <cfRule type="expression" dxfId="69" priority="129">
      <formula>IF($E$17="ADQUISICIÓN_DE_VIVIENDA",$E$25="")</formula>
    </cfRule>
  </conditionalFormatting>
  <dataValidations count="17">
    <dataValidation type="list" allowBlank="1" showInputMessage="1" showErrorMessage="1" errorTitle="Valor Ingresado Incorrecto" error="Selecciona un Tipo de Persona de la Lista Desplegable" sqref="E32">
      <formula1>TIPODEPERSONA</formula1>
    </dataValidation>
    <dataValidation type="list" allowBlank="1" showInputMessage="1" showErrorMessage="1" errorTitle="Valor Ingresado Incorrecto" error="Selecciona una Ocupación de la Lista Desplegable" sqref="E33">
      <formula1>INDIRECT(E32)</formula1>
    </dataValidation>
    <dataValidation type="list" allowBlank="1" showInputMessage="1" showErrorMessage="1" errorTitle="Valor Ingresado Incorrecto" error="Selecciona una Actividad/Giro de la Lista Desplegable" sqref="E34">
      <formula1>"COMERCIO,INDUSTRIA,SERVICIOS,AGROPECUARIO,CONSTRUCCIÓN"</formula1>
    </dataValidation>
    <dataValidation type="list" allowBlank="1" showInputMessage="1" showErrorMessage="1" errorTitle="Valor Ingresado Incorrecto" error="Selecciona una opción de la Lista Desplegable" sqref="E52">
      <formula1>"ETB,NTB"</formula1>
    </dataValidation>
    <dataValidation type="list" allowBlank="1" showInputMessage="1" showErrorMessage="1" errorTitle="Valor Ingresado Incorrecto" error="Selecciona una opción de la Lista Desplegable" sqref="E55">
      <formula1>"1,2,3,4,5,6,7"</formula1>
    </dataValidation>
    <dataValidation type="list" allowBlank="1" showInputMessage="1" showErrorMessage="1" errorTitle="Valor Ingresado Incorrecto" error="Selecciona el Número de Excepciones Solicitadas de la Lista Desplegable" sqref="E12">
      <formula1>NUMDEEXCEPCIONES</formula1>
    </dataValidation>
    <dataValidation type="list" allowBlank="1" showInputMessage="1" showErrorMessage="1" errorTitle="Valor Ingresado Incorrecto" error="Selecciona un Producto de la Lista Desplegable" sqref="E17">
      <formula1>PRODUCTO</formula1>
    </dataValidation>
    <dataValidation type="list" allowBlank="1" showInputMessage="1" showErrorMessage="1" errorTitle="Valor Ingresado Incorrecto" error="Selecciona una excepción de la Lista Desplegable" sqref="E13:E14">
      <formula1>CATALOGOEXCEPCIONES</formula1>
    </dataValidation>
    <dataValidation type="list" allowBlank="1" showInputMessage="1" showErrorMessage="1" errorTitle="Valor Ingresado Incorrecto" error="Selecciona un Estado de la Lista Desplegable" sqref="E6 E23">
      <formula1>ESTADOS</formula1>
    </dataValidation>
    <dataValidation type="list" allowBlank="1" showInputMessage="1" showErrorMessage="1" errorTitle="Valor Incorrecto" error="Selecciona el Plazo en años de la Lista Desplegable" sqref="E20">
      <formula1>PLAZOS</formula1>
    </dataValidation>
    <dataValidation type="decimal" operator="greaterThan" allowBlank="1" showInputMessage="1" showErrorMessage="1" errorTitle="Valor Ingresado Incorrecto" error="El valor debe ser Numérico" sqref="E40 E18">
      <formula1>0</formula1>
    </dataValidation>
    <dataValidation type="list" allowBlank="1" showInputMessage="1" showErrorMessage="1" errorTitle="Valor Ingresado Incorrecto" error="Selecciona una opción de la Lista Desplegable" sqref="E53">
      <formula1>INDIRECT(E17)</formula1>
    </dataValidation>
    <dataValidation type="list" allowBlank="1" showInputMessage="1" showErrorMessage="1" errorTitle="Valor Ingresado Incorrecto" error="Selecciona una opción de la Lista Desplegable" sqref="E41:E44">
      <formula1>COMPROBANTEDEINGRESOS</formula1>
    </dataValidation>
    <dataValidation type="decimal" allowBlank="1" showInputMessage="1" showErrorMessage="1" errorTitle="LTV Incorrecto" error="El valor debe ser Numérico entre 0 y 100 %" sqref="E19">
      <formula1>0</formula1>
      <formula2>1</formula2>
    </dataValidation>
    <dataValidation type="list" allowBlank="1" showInputMessage="1" showErrorMessage="1" errorTitle="Valor Ingresado Incorrecto" error="Selecciona un Municipio o Ciudad de la Lista Desplegable" sqref="E24">
      <formula1>INDIRECT(E23)</formula1>
    </dataValidation>
    <dataValidation type="whole" operator="greaterThan" allowBlank="1" showInputMessage="1" showErrorMessage="1" errorTitle="Valor Ingresado Incorrecto" error="El valor debe ser Numérico." sqref="E27">
      <formula1>0</formula1>
    </dataValidation>
    <dataValidation type="whole" allowBlank="1" showInputMessage="1" showErrorMessage="1" errorTitle="Valor Ingresado Incorrecto" error="El valor debe ser Numérico" sqref="E8">
      <formula1>0</formula1>
      <formula2>9999999999</formula2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scale="78" orientation="portrait" r:id="rId1"/>
  <headerFooter>
    <oddFooter>&amp;C&amp;"Calibri"&amp;11&amp;K000000Página &amp;P_x000D_&amp;1#&amp;"Calibri"&amp;10&amp;K000000INTERNAL</oddFooter>
  </headerFooter>
  <rowBreaks count="1" manualBreakCount="1">
    <brk id="45" min="1" max="4" man="1"/>
  </rowBreak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pageSetUpPr autoPageBreaks="0"/>
  </sheetPr>
  <dimension ref="A3:B45"/>
  <sheetViews>
    <sheetView showGridLines="0" zoomScale="115" zoomScaleNormal="115" workbookViewId="0"/>
  </sheetViews>
  <sheetFormatPr baseColWidth="10" defaultRowHeight="14.5" x14ac:dyDescent="0.35"/>
  <sheetData>
    <row r="3" spans="1:2" ht="21" x14ac:dyDescent="0.5">
      <c r="B3" s="48" t="s">
        <v>2496</v>
      </c>
    </row>
    <row r="5" spans="1:2" x14ac:dyDescent="0.35">
      <c r="B5" s="49" t="s">
        <v>2484</v>
      </c>
    </row>
    <row r="6" spans="1:2" x14ac:dyDescent="0.35">
      <c r="B6" s="49"/>
    </row>
    <row r="7" spans="1:2" x14ac:dyDescent="0.35">
      <c r="A7" s="49"/>
      <c r="B7" s="49" t="s">
        <v>2485</v>
      </c>
    </row>
    <row r="8" spans="1:2" x14ac:dyDescent="0.35">
      <c r="A8" s="49"/>
      <c r="B8" s="49" t="s">
        <v>2486</v>
      </c>
    </row>
    <row r="9" spans="1:2" x14ac:dyDescent="0.35">
      <c r="A9" s="49"/>
      <c r="B9" s="49" t="s">
        <v>2487</v>
      </c>
    </row>
    <row r="10" spans="1:2" x14ac:dyDescent="0.35">
      <c r="A10" s="49"/>
      <c r="B10" s="49" t="s">
        <v>2488</v>
      </c>
    </row>
    <row r="11" spans="1:2" x14ac:dyDescent="0.35">
      <c r="A11" s="49"/>
      <c r="B11" s="49" t="s">
        <v>2489</v>
      </c>
    </row>
    <row r="12" spans="1:2" x14ac:dyDescent="0.35">
      <c r="A12" s="49"/>
      <c r="B12" s="49" t="s">
        <v>2497</v>
      </c>
    </row>
    <row r="13" spans="1:2" x14ac:dyDescent="0.35">
      <c r="A13" s="49"/>
      <c r="B13" s="49" t="s">
        <v>2490</v>
      </c>
    </row>
    <row r="14" spans="1:2" x14ac:dyDescent="0.35">
      <c r="A14" s="49"/>
      <c r="B14" s="49" t="s">
        <v>2498</v>
      </c>
    </row>
    <row r="15" spans="1:2" x14ac:dyDescent="0.35">
      <c r="A15" s="49"/>
      <c r="B15" s="49" t="s">
        <v>2491</v>
      </c>
    </row>
    <row r="16" spans="1:2" x14ac:dyDescent="0.35">
      <c r="A16" s="49"/>
      <c r="B16" s="49"/>
    </row>
    <row r="17" spans="1:2" x14ac:dyDescent="0.35">
      <c r="A17" s="49"/>
      <c r="B17" s="49" t="s">
        <v>2492</v>
      </c>
    </row>
    <row r="18" spans="1:2" x14ac:dyDescent="0.35">
      <c r="A18" s="49"/>
      <c r="B18" s="70" t="s">
        <v>2493</v>
      </c>
    </row>
    <row r="19" spans="1:2" x14ac:dyDescent="0.35">
      <c r="A19" s="49"/>
    </row>
    <row r="20" spans="1:2" x14ac:dyDescent="0.35">
      <c r="A20" s="49"/>
      <c r="B20" s="49" t="s">
        <v>2494</v>
      </c>
    </row>
    <row r="21" spans="1:2" x14ac:dyDescent="0.35">
      <c r="A21" s="49"/>
      <c r="B21" s="70" t="s">
        <v>2495</v>
      </c>
    </row>
    <row r="22" spans="1:2" x14ac:dyDescent="0.35">
      <c r="A22" s="49"/>
      <c r="B22" s="49"/>
    </row>
    <row r="23" spans="1:2" x14ac:dyDescent="0.35">
      <c r="A23" s="49"/>
      <c r="B23" s="49"/>
    </row>
    <row r="24" spans="1:2" x14ac:dyDescent="0.35">
      <c r="A24" s="49"/>
      <c r="B24" s="49"/>
    </row>
    <row r="25" spans="1:2" x14ac:dyDescent="0.35">
      <c r="A25" s="49"/>
      <c r="B25" s="49"/>
    </row>
    <row r="26" spans="1:2" x14ac:dyDescent="0.35">
      <c r="A26" s="49"/>
      <c r="B26" s="49"/>
    </row>
    <row r="27" spans="1:2" x14ac:dyDescent="0.35">
      <c r="A27" s="49"/>
      <c r="B27" s="49"/>
    </row>
    <row r="28" spans="1:2" x14ac:dyDescent="0.35">
      <c r="A28" s="49"/>
      <c r="B28" s="49"/>
    </row>
    <row r="29" spans="1:2" x14ac:dyDescent="0.35">
      <c r="A29" s="49"/>
      <c r="B29" s="49"/>
    </row>
    <row r="30" spans="1:2" x14ac:dyDescent="0.35">
      <c r="A30" s="49"/>
      <c r="B30" s="49"/>
    </row>
    <row r="31" spans="1:2" x14ac:dyDescent="0.35">
      <c r="A31" s="49"/>
      <c r="B31" s="49"/>
    </row>
    <row r="32" spans="1:2" x14ac:dyDescent="0.35">
      <c r="A32" s="49"/>
      <c r="B32" s="49"/>
    </row>
    <row r="33" spans="1:2" x14ac:dyDescent="0.35">
      <c r="A33" s="49"/>
      <c r="B33" s="49"/>
    </row>
    <row r="34" spans="1:2" x14ac:dyDescent="0.35">
      <c r="A34" s="49"/>
      <c r="B34" s="49"/>
    </row>
    <row r="35" spans="1:2" x14ac:dyDescent="0.35">
      <c r="A35" s="49"/>
      <c r="B35" s="49"/>
    </row>
    <row r="36" spans="1:2" x14ac:dyDescent="0.35">
      <c r="A36" s="49"/>
      <c r="B36" s="49"/>
    </row>
    <row r="37" spans="1:2" x14ac:dyDescent="0.35">
      <c r="A37" s="49"/>
      <c r="B37" s="49"/>
    </row>
    <row r="38" spans="1:2" x14ac:dyDescent="0.35">
      <c r="A38" s="49"/>
      <c r="B38" s="49"/>
    </row>
    <row r="39" spans="1:2" x14ac:dyDescent="0.35">
      <c r="A39" s="49"/>
      <c r="B39" s="49"/>
    </row>
    <row r="40" spans="1:2" x14ac:dyDescent="0.35">
      <c r="A40" s="49"/>
      <c r="B40" s="49"/>
    </row>
    <row r="41" spans="1:2" x14ac:dyDescent="0.35">
      <c r="A41" s="49"/>
      <c r="B41" s="49"/>
    </row>
    <row r="42" spans="1:2" x14ac:dyDescent="0.35">
      <c r="A42" s="49"/>
      <c r="B42" s="49"/>
    </row>
    <row r="43" spans="1:2" x14ac:dyDescent="0.35">
      <c r="A43" s="49"/>
      <c r="B43" s="49"/>
    </row>
    <row r="44" spans="1:2" x14ac:dyDescent="0.35">
      <c r="A44" s="49"/>
      <c r="B44" s="49"/>
    </row>
    <row r="45" spans="1:2" x14ac:dyDescent="0.35">
      <c r="A45" s="49"/>
      <c r="B45" s="49"/>
    </row>
  </sheetData>
  <sheetProtection algorithmName="SHA-512" hashValue="66oS2qU0l4OYCh0OXwkRsC9A+mfzJU85kTM0WM5jzjlX01f1SY+El7oOkMQbXEKfnM/S0pfABH5Dl2F2WtGVgQ==" saltValue="zSASLsFKdT2/cU89+h6v5g==" spinCount="100000" sheet="1" objects="1" scenarios="1"/>
  <pageMargins left="0.7" right="0.7" top="0.75" bottom="0.75" header="0.3" footer="0.3"/>
  <pageSetup orientation="portrait" r:id="rId1"/>
  <headerFooter>
    <oddFooter>&amp;C&amp;1#&amp;"Calibri"&amp;10&amp;K000000INTERNAL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K571"/>
  <sheetViews>
    <sheetView showGridLines="0" topLeftCell="H1" zoomScaleNormal="100" workbookViewId="0">
      <selection activeCell="L1" sqref="L1"/>
    </sheetView>
  </sheetViews>
  <sheetFormatPr baseColWidth="10" defaultRowHeight="14.5" x14ac:dyDescent="0.35"/>
  <cols>
    <col min="1" max="1" width="24.453125" style="32" customWidth="1"/>
    <col min="2" max="2" width="8.7265625" style="32" customWidth="1"/>
    <col min="3" max="3" width="32.453125" style="32" bestFit="1" customWidth="1"/>
    <col min="4" max="4" width="3.7265625" customWidth="1"/>
    <col min="5" max="5" width="97.1796875" bestFit="1" customWidth="1"/>
    <col min="6" max="6" width="3.7265625" customWidth="1"/>
    <col min="7" max="7" width="28.7265625" bestFit="1" customWidth="1"/>
    <col min="8" max="16" width="28.7265625" customWidth="1"/>
    <col min="17" max="17" width="30.81640625" customWidth="1"/>
    <col min="18" max="18" width="28.7265625" customWidth="1"/>
    <col min="19" max="19" width="14.81640625" bestFit="1" customWidth="1"/>
    <col min="20" max="26" width="18.81640625" customWidth="1"/>
    <col min="27" max="27" width="14.81640625" customWidth="1"/>
    <col min="28" max="28" width="50.81640625" bestFit="1" customWidth="1"/>
    <col min="30" max="30" width="21.81640625" bestFit="1" customWidth="1"/>
    <col min="32" max="32" width="18.81640625" customWidth="1"/>
    <col min="33" max="33" width="19.26953125" customWidth="1"/>
    <col min="34" max="34" width="23.81640625" customWidth="1"/>
    <col min="35" max="35" width="13" customWidth="1"/>
    <col min="36" max="36" width="12.453125" customWidth="1"/>
    <col min="39" max="39" width="14.1796875" customWidth="1"/>
    <col min="40" max="40" width="19.7265625" customWidth="1"/>
    <col min="41" max="41" width="12.54296875" customWidth="1"/>
    <col min="42" max="42" width="15.81640625" customWidth="1"/>
    <col min="46" max="46" width="21.54296875" customWidth="1"/>
    <col min="47" max="47" width="14.54296875" customWidth="1"/>
    <col min="48" max="48" width="11.81640625" customWidth="1"/>
    <col min="50" max="50" width="15.453125" customWidth="1"/>
    <col min="51" max="51" width="40.26953125" bestFit="1" customWidth="1"/>
    <col min="53" max="53" width="14" customWidth="1"/>
    <col min="54" max="54" width="18" customWidth="1"/>
    <col min="55" max="55" width="19.26953125" customWidth="1"/>
    <col min="59" max="59" width="14.81640625" customWidth="1"/>
    <col min="60" max="60" width="12" customWidth="1"/>
    <col min="61" max="61" width="12.54296875" customWidth="1"/>
    <col min="62" max="62" width="11.81640625" customWidth="1"/>
    <col min="63" max="63" width="13.26953125" customWidth="1"/>
  </cols>
  <sheetData>
    <row r="1" spans="1:63" x14ac:dyDescent="0.35">
      <c r="A1" s="31" t="s">
        <v>76</v>
      </c>
      <c r="B1" s="56"/>
      <c r="C1" s="57" t="s">
        <v>2457</v>
      </c>
      <c r="D1" s="25"/>
      <c r="E1" s="27" t="s">
        <v>297</v>
      </c>
      <c r="F1" s="27"/>
      <c r="G1" s="35" t="s">
        <v>30</v>
      </c>
      <c r="H1" s="35" t="s">
        <v>2472</v>
      </c>
      <c r="I1" s="35" t="s">
        <v>2473</v>
      </c>
      <c r="J1" s="35" t="s">
        <v>2477</v>
      </c>
      <c r="K1" s="35" t="s">
        <v>25</v>
      </c>
      <c r="L1" s="35" t="s">
        <v>27</v>
      </c>
      <c r="M1" s="35" t="s">
        <v>2478</v>
      </c>
      <c r="N1" s="35" t="s">
        <v>26</v>
      </c>
      <c r="O1" s="35" t="s">
        <v>2474</v>
      </c>
      <c r="P1" s="35" t="s">
        <v>2475</v>
      </c>
      <c r="Q1" s="35" t="s">
        <v>2476</v>
      </c>
      <c r="R1" s="35" t="s">
        <v>28</v>
      </c>
      <c r="T1" t="s">
        <v>298</v>
      </c>
      <c r="U1" t="s">
        <v>32</v>
      </c>
      <c r="V1" t="s">
        <v>299</v>
      </c>
      <c r="W1" t="s">
        <v>300</v>
      </c>
      <c r="X1" s="28" t="s">
        <v>2442</v>
      </c>
      <c r="Z1" s="31" t="s">
        <v>307</v>
      </c>
      <c r="AB1" s="35" t="s">
        <v>2440</v>
      </c>
      <c r="AD1" s="38" t="s">
        <v>103</v>
      </c>
      <c r="AF1" t="s">
        <v>77</v>
      </c>
      <c r="AG1" t="s">
        <v>78</v>
      </c>
      <c r="AH1" t="s">
        <v>79</v>
      </c>
      <c r="AI1" t="s">
        <v>80</v>
      </c>
      <c r="AJ1" t="s">
        <v>52</v>
      </c>
      <c r="AK1" t="s">
        <v>81</v>
      </c>
      <c r="AL1" t="s">
        <v>82</v>
      </c>
      <c r="AM1" t="s">
        <v>83</v>
      </c>
      <c r="AN1" t="s">
        <v>2441</v>
      </c>
      <c r="AO1" t="s">
        <v>84</v>
      </c>
      <c r="AP1" t="s">
        <v>85</v>
      </c>
      <c r="AQ1" t="s">
        <v>86</v>
      </c>
      <c r="AR1" t="s">
        <v>87</v>
      </c>
      <c r="AS1" t="s">
        <v>88</v>
      </c>
      <c r="AT1" t="s">
        <v>53</v>
      </c>
      <c r="AU1" t="s">
        <v>54</v>
      </c>
      <c r="AV1" t="s">
        <v>89</v>
      </c>
      <c r="AW1" t="s">
        <v>90</v>
      </c>
      <c r="AX1" t="s">
        <v>91</v>
      </c>
      <c r="AY1" t="s">
        <v>92</v>
      </c>
      <c r="AZ1" t="s">
        <v>93</v>
      </c>
      <c r="BA1" t="s">
        <v>94</v>
      </c>
      <c r="BB1" t="s">
        <v>95</v>
      </c>
      <c r="BC1" t="s">
        <v>55</v>
      </c>
      <c r="BD1" t="s">
        <v>96</v>
      </c>
      <c r="BE1" t="s">
        <v>97</v>
      </c>
      <c r="BF1" t="s">
        <v>98</v>
      </c>
      <c r="BG1" t="s">
        <v>99</v>
      </c>
      <c r="BH1" t="s">
        <v>100</v>
      </c>
      <c r="BI1" t="s">
        <v>56</v>
      </c>
      <c r="BJ1" t="s">
        <v>101</v>
      </c>
      <c r="BK1" t="s">
        <v>102</v>
      </c>
    </row>
    <row r="2" spans="1:63" x14ac:dyDescent="0.35">
      <c r="A2" s="29">
        <v>1</v>
      </c>
      <c r="B2" s="26"/>
      <c r="C2" s="58" t="s">
        <v>2459</v>
      </c>
      <c r="D2" s="26"/>
      <c r="E2" s="33" t="s">
        <v>23</v>
      </c>
      <c r="F2" s="28"/>
      <c r="G2" s="34" t="s">
        <v>2472</v>
      </c>
      <c r="H2" s="28" t="s">
        <v>2470</v>
      </c>
      <c r="I2" s="28" t="s">
        <v>2470</v>
      </c>
      <c r="J2" s="28" t="s">
        <v>2471</v>
      </c>
      <c r="K2" s="28" t="s">
        <v>2470</v>
      </c>
      <c r="L2" s="28" t="s">
        <v>40</v>
      </c>
      <c r="M2" s="28" t="s">
        <v>2471</v>
      </c>
      <c r="N2" s="28" t="s">
        <v>2470</v>
      </c>
      <c r="O2" s="28" t="s">
        <v>40</v>
      </c>
      <c r="P2" s="28" t="s">
        <v>2470</v>
      </c>
      <c r="Q2" s="28" t="s">
        <v>2470</v>
      </c>
      <c r="R2" s="28" t="s">
        <v>2470</v>
      </c>
      <c r="T2" t="s">
        <v>32</v>
      </c>
      <c r="U2" t="s">
        <v>57</v>
      </c>
      <c r="V2" t="s">
        <v>301</v>
      </c>
      <c r="W2" t="s">
        <v>302</v>
      </c>
      <c r="X2" s="34" t="s">
        <v>57</v>
      </c>
      <c r="Z2" s="29">
        <v>25</v>
      </c>
      <c r="AB2" s="34" t="s">
        <v>2470</v>
      </c>
      <c r="AD2" s="38" t="s">
        <v>77</v>
      </c>
      <c r="AF2" t="s">
        <v>77</v>
      </c>
      <c r="AG2" t="s">
        <v>238</v>
      </c>
      <c r="AH2" t="s">
        <v>245</v>
      </c>
      <c r="AI2" t="s">
        <v>260</v>
      </c>
      <c r="AJ2" t="s">
        <v>261</v>
      </c>
      <c r="AK2" t="s">
        <v>308</v>
      </c>
      <c r="AL2" t="s">
        <v>309</v>
      </c>
      <c r="AM2" t="s">
        <v>310</v>
      </c>
      <c r="AN2" t="s">
        <v>311</v>
      </c>
      <c r="AO2" t="s">
        <v>312</v>
      </c>
      <c r="AP2" t="s">
        <v>261</v>
      </c>
      <c r="AQ2" t="s">
        <v>313</v>
      </c>
      <c r="AR2" t="s">
        <v>314</v>
      </c>
      <c r="AS2" t="s">
        <v>315</v>
      </c>
      <c r="AT2" t="s">
        <v>104</v>
      </c>
      <c r="AU2" t="s">
        <v>316</v>
      </c>
      <c r="AV2" t="s">
        <v>317</v>
      </c>
      <c r="AW2" t="s">
        <v>318</v>
      </c>
      <c r="AX2" t="s">
        <v>261</v>
      </c>
      <c r="AY2" t="s">
        <v>319</v>
      </c>
      <c r="AZ2" t="s">
        <v>320</v>
      </c>
      <c r="BA2" t="s">
        <v>321</v>
      </c>
      <c r="BB2" t="s">
        <v>322</v>
      </c>
      <c r="BC2" t="s">
        <v>323</v>
      </c>
      <c r="BD2" t="s">
        <v>324</v>
      </c>
      <c r="BE2" t="s">
        <v>325</v>
      </c>
      <c r="BF2" t="s">
        <v>326</v>
      </c>
      <c r="BG2" t="s">
        <v>261</v>
      </c>
      <c r="BH2" t="s">
        <v>327</v>
      </c>
      <c r="BI2" t="s">
        <v>328</v>
      </c>
      <c r="BJ2" t="s">
        <v>329</v>
      </c>
      <c r="BK2" t="s">
        <v>330</v>
      </c>
    </row>
    <row r="3" spans="1:63" x14ac:dyDescent="0.35">
      <c r="A3" s="30">
        <v>2</v>
      </c>
      <c r="B3" s="26"/>
      <c r="C3" s="57" t="s">
        <v>2455</v>
      </c>
      <c r="D3" s="26"/>
      <c r="E3" s="33" t="s">
        <v>22</v>
      </c>
      <c r="F3" s="28"/>
      <c r="G3" s="34" t="s">
        <v>2473</v>
      </c>
      <c r="H3" s="28" t="s">
        <v>2471</v>
      </c>
      <c r="I3" s="28" t="s">
        <v>2471</v>
      </c>
      <c r="J3" s="28" t="s">
        <v>39</v>
      </c>
      <c r="K3" s="28" t="s">
        <v>2471</v>
      </c>
      <c r="L3" s="28" t="s">
        <v>43</v>
      </c>
      <c r="M3" s="28" t="s">
        <v>40</v>
      </c>
      <c r="N3" s="28" t="s">
        <v>40</v>
      </c>
      <c r="O3" s="28" t="s">
        <v>43</v>
      </c>
      <c r="P3" s="28" t="s">
        <v>2471</v>
      </c>
      <c r="Q3" s="28" t="s">
        <v>38</v>
      </c>
      <c r="R3" s="28" t="s">
        <v>2471</v>
      </c>
      <c r="T3" t="s">
        <v>299</v>
      </c>
      <c r="U3" t="s">
        <v>303</v>
      </c>
      <c r="X3" s="34" t="s">
        <v>303</v>
      </c>
      <c r="Z3" s="30">
        <v>24</v>
      </c>
      <c r="AB3" s="34" t="s">
        <v>2471</v>
      </c>
      <c r="AD3" s="38" t="s">
        <v>78</v>
      </c>
      <c r="AF3" t="s">
        <v>228</v>
      </c>
      <c r="AG3" t="s">
        <v>239</v>
      </c>
      <c r="AH3" t="s">
        <v>155</v>
      </c>
      <c r="AI3" t="s">
        <v>259</v>
      </c>
      <c r="AJ3" t="s">
        <v>262</v>
      </c>
      <c r="AK3" t="s">
        <v>81</v>
      </c>
      <c r="AL3" t="s">
        <v>331</v>
      </c>
      <c r="AM3" t="s">
        <v>332</v>
      </c>
      <c r="AN3" t="s">
        <v>333</v>
      </c>
      <c r="AO3" t="s">
        <v>334</v>
      </c>
      <c r="AP3" t="s">
        <v>335</v>
      </c>
      <c r="AQ3" t="s">
        <v>336</v>
      </c>
      <c r="AR3" t="s">
        <v>337</v>
      </c>
      <c r="AS3" t="s">
        <v>338</v>
      </c>
      <c r="AT3" t="s">
        <v>105</v>
      </c>
      <c r="AU3" t="s">
        <v>339</v>
      </c>
      <c r="AV3" t="s">
        <v>340</v>
      </c>
      <c r="AW3" t="s">
        <v>341</v>
      </c>
      <c r="AX3" t="s">
        <v>342</v>
      </c>
      <c r="AY3" t="s">
        <v>343</v>
      </c>
      <c r="AZ3" t="s">
        <v>344</v>
      </c>
      <c r="BA3" t="s">
        <v>345</v>
      </c>
      <c r="BB3" t="s">
        <v>346</v>
      </c>
      <c r="BC3" t="s">
        <v>347</v>
      </c>
      <c r="BD3" t="s">
        <v>348</v>
      </c>
      <c r="BE3" t="s">
        <v>349</v>
      </c>
      <c r="BF3" t="s">
        <v>350</v>
      </c>
      <c r="BG3" t="s">
        <v>332</v>
      </c>
      <c r="BH3" t="s">
        <v>351</v>
      </c>
      <c r="BI3" t="s">
        <v>314</v>
      </c>
      <c r="BJ3" t="s">
        <v>352</v>
      </c>
      <c r="BK3" t="s">
        <v>353</v>
      </c>
    </row>
    <row r="4" spans="1:63" x14ac:dyDescent="0.35">
      <c r="B4" s="26"/>
      <c r="C4" s="58" t="s">
        <v>2450</v>
      </c>
      <c r="D4" s="26"/>
      <c r="E4" s="33" t="s">
        <v>2462</v>
      </c>
      <c r="F4" s="28"/>
      <c r="G4" s="34" t="s">
        <v>2477</v>
      </c>
      <c r="H4" s="28" t="s">
        <v>29</v>
      </c>
      <c r="I4" s="28" t="s">
        <v>29</v>
      </c>
      <c r="J4" s="28" t="s">
        <v>40</v>
      </c>
      <c r="K4" s="28" t="s">
        <v>36</v>
      </c>
      <c r="L4" s="28" t="s">
        <v>2471</v>
      </c>
      <c r="M4" s="28" t="s">
        <v>43</v>
      </c>
      <c r="N4" s="28" t="s">
        <v>43</v>
      </c>
      <c r="O4" s="28" t="s">
        <v>45</v>
      </c>
      <c r="P4" s="28" t="s">
        <v>2443</v>
      </c>
      <c r="Q4" s="28" t="s">
        <v>2439</v>
      </c>
      <c r="R4" s="28" t="s">
        <v>40</v>
      </c>
      <c r="T4" t="s">
        <v>300</v>
      </c>
      <c r="U4" t="s">
        <v>304</v>
      </c>
      <c r="X4" s="34" t="s">
        <v>304</v>
      </c>
      <c r="Z4" s="29">
        <v>23</v>
      </c>
      <c r="AB4" s="34" t="s">
        <v>36</v>
      </c>
      <c r="AD4" s="38" t="s">
        <v>79</v>
      </c>
      <c r="AF4" t="s">
        <v>229</v>
      </c>
      <c r="AG4" t="s">
        <v>240</v>
      </c>
      <c r="AH4" t="s">
        <v>246</v>
      </c>
      <c r="AI4" t="s">
        <v>258</v>
      </c>
      <c r="AJ4" t="s">
        <v>263</v>
      </c>
      <c r="AK4" t="s">
        <v>354</v>
      </c>
      <c r="AL4" t="s">
        <v>355</v>
      </c>
      <c r="AM4" t="s">
        <v>263</v>
      </c>
      <c r="AN4" t="s">
        <v>346</v>
      </c>
      <c r="AO4" t="s">
        <v>356</v>
      </c>
      <c r="AP4" t="s">
        <v>357</v>
      </c>
      <c r="AQ4" t="s">
        <v>358</v>
      </c>
      <c r="AR4" t="s">
        <v>359</v>
      </c>
      <c r="AS4" t="s">
        <v>360</v>
      </c>
      <c r="AT4" t="s">
        <v>106</v>
      </c>
      <c r="AU4" t="s">
        <v>311</v>
      </c>
      <c r="AV4" t="s">
        <v>361</v>
      </c>
      <c r="AW4" t="s">
        <v>362</v>
      </c>
      <c r="AX4" t="s">
        <v>263</v>
      </c>
      <c r="AY4" t="s">
        <v>363</v>
      </c>
      <c r="AZ4" t="s">
        <v>364</v>
      </c>
      <c r="BA4" t="s">
        <v>365</v>
      </c>
      <c r="BB4" t="s">
        <v>366</v>
      </c>
      <c r="BC4" t="s">
        <v>367</v>
      </c>
      <c r="BD4" t="s">
        <v>368</v>
      </c>
      <c r="BE4" t="s">
        <v>369</v>
      </c>
      <c r="BF4" t="s">
        <v>370</v>
      </c>
      <c r="BG4" t="s">
        <v>371</v>
      </c>
      <c r="BH4" t="s">
        <v>372</v>
      </c>
      <c r="BI4" t="s">
        <v>373</v>
      </c>
      <c r="BJ4" t="s">
        <v>374</v>
      </c>
      <c r="BK4" t="s">
        <v>375</v>
      </c>
    </row>
    <row r="5" spans="1:63" x14ac:dyDescent="0.35">
      <c r="C5" s="57" t="s">
        <v>2458</v>
      </c>
      <c r="E5" s="33" t="s">
        <v>2463</v>
      </c>
      <c r="F5" s="28"/>
      <c r="G5" s="34" t="s">
        <v>25</v>
      </c>
      <c r="H5" s="28" t="s">
        <v>39</v>
      </c>
      <c r="I5" s="28" t="s">
        <v>39</v>
      </c>
      <c r="J5" s="28" t="s">
        <v>43</v>
      </c>
      <c r="K5" s="28" t="s">
        <v>2469</v>
      </c>
      <c r="L5" s="28"/>
      <c r="M5" s="28"/>
      <c r="N5" s="28" t="s">
        <v>45</v>
      </c>
      <c r="O5" s="28"/>
      <c r="P5" s="28" t="s">
        <v>40</v>
      </c>
      <c r="Q5" s="28" t="s">
        <v>40</v>
      </c>
      <c r="R5" s="28" t="s">
        <v>43</v>
      </c>
      <c r="T5" t="s">
        <v>2442</v>
      </c>
      <c r="U5" t="s">
        <v>305</v>
      </c>
      <c r="X5" s="34" t="s">
        <v>305</v>
      </c>
      <c r="Z5" s="30">
        <v>22</v>
      </c>
      <c r="AB5" s="34" t="s">
        <v>2469</v>
      </c>
      <c r="AD5" s="38" t="s">
        <v>80</v>
      </c>
      <c r="AF5" t="s">
        <v>230</v>
      </c>
      <c r="AG5" t="s">
        <v>241</v>
      </c>
      <c r="AH5" t="s">
        <v>247</v>
      </c>
      <c r="AI5" t="s">
        <v>257</v>
      </c>
      <c r="AJ5" t="s">
        <v>264</v>
      </c>
      <c r="AK5" t="s">
        <v>376</v>
      </c>
      <c r="AL5" t="s">
        <v>332</v>
      </c>
      <c r="AM5" t="s">
        <v>377</v>
      </c>
      <c r="AN5" t="s">
        <v>378</v>
      </c>
      <c r="AO5" t="s">
        <v>379</v>
      </c>
      <c r="AP5" t="s">
        <v>380</v>
      </c>
      <c r="AQ5" t="s">
        <v>381</v>
      </c>
      <c r="AR5" t="s">
        <v>382</v>
      </c>
      <c r="AS5" t="s">
        <v>383</v>
      </c>
      <c r="AT5" t="s">
        <v>107</v>
      </c>
      <c r="AU5" t="s">
        <v>384</v>
      </c>
      <c r="AV5" t="s">
        <v>385</v>
      </c>
      <c r="AW5" t="s">
        <v>386</v>
      </c>
      <c r="AX5" t="s">
        <v>387</v>
      </c>
      <c r="AY5" t="s">
        <v>388</v>
      </c>
      <c r="AZ5" t="s">
        <v>389</v>
      </c>
      <c r="BA5" t="s">
        <v>390</v>
      </c>
      <c r="BB5" t="s">
        <v>391</v>
      </c>
      <c r="BC5" t="s">
        <v>392</v>
      </c>
      <c r="BD5" t="s">
        <v>393</v>
      </c>
      <c r="BE5" t="s">
        <v>394</v>
      </c>
      <c r="BF5" t="s">
        <v>395</v>
      </c>
      <c r="BG5" t="s">
        <v>396</v>
      </c>
      <c r="BH5" t="s">
        <v>397</v>
      </c>
      <c r="BI5" t="s">
        <v>359</v>
      </c>
      <c r="BJ5" t="s">
        <v>398</v>
      </c>
      <c r="BK5" t="s">
        <v>346</v>
      </c>
    </row>
    <row r="6" spans="1:63" x14ac:dyDescent="0.35">
      <c r="C6" s="58" t="s">
        <v>2461</v>
      </c>
      <c r="E6" s="33" t="s">
        <v>21</v>
      </c>
      <c r="F6" s="28"/>
      <c r="G6" s="34" t="s">
        <v>27</v>
      </c>
      <c r="H6" s="28" t="s">
        <v>2443</v>
      </c>
      <c r="I6" s="28" t="s">
        <v>2443</v>
      </c>
      <c r="J6" s="28" t="s">
        <v>45</v>
      </c>
      <c r="K6" s="28" t="s">
        <v>37</v>
      </c>
      <c r="L6" s="28"/>
      <c r="M6" s="28"/>
      <c r="N6" s="28"/>
      <c r="O6" s="28"/>
      <c r="P6" s="28" t="s">
        <v>43</v>
      </c>
      <c r="Q6" s="28" t="s">
        <v>45</v>
      </c>
      <c r="R6" s="28"/>
      <c r="X6" s="34" t="s">
        <v>301</v>
      </c>
      <c r="Z6" s="29">
        <v>21</v>
      </c>
      <c r="AB6" s="34" t="s">
        <v>37</v>
      </c>
      <c r="AD6" s="38" t="s">
        <v>52</v>
      </c>
      <c r="AF6" t="s">
        <v>231</v>
      </c>
      <c r="AG6" t="s">
        <v>242</v>
      </c>
      <c r="AH6" t="s">
        <v>248</v>
      </c>
      <c r="AI6" t="s">
        <v>256</v>
      </c>
      <c r="AJ6" t="s">
        <v>265</v>
      </c>
      <c r="AK6" t="s">
        <v>399</v>
      </c>
      <c r="AL6" t="s">
        <v>400</v>
      </c>
      <c r="AM6" t="s">
        <v>401</v>
      </c>
      <c r="AN6" t="s">
        <v>402</v>
      </c>
      <c r="AO6" t="s">
        <v>84</v>
      </c>
      <c r="AP6" t="s">
        <v>403</v>
      </c>
      <c r="AQ6" t="s">
        <v>404</v>
      </c>
      <c r="AR6" t="s">
        <v>405</v>
      </c>
      <c r="AS6" t="s">
        <v>406</v>
      </c>
      <c r="AT6" t="s">
        <v>108</v>
      </c>
      <c r="AU6" t="s">
        <v>407</v>
      </c>
      <c r="AV6" t="s">
        <v>408</v>
      </c>
      <c r="AW6" t="s">
        <v>409</v>
      </c>
      <c r="AX6" t="s">
        <v>410</v>
      </c>
      <c r="AY6" t="s">
        <v>411</v>
      </c>
      <c r="AZ6" t="s">
        <v>412</v>
      </c>
      <c r="BA6" t="s">
        <v>413</v>
      </c>
      <c r="BB6" t="s">
        <v>414</v>
      </c>
      <c r="BC6" t="s">
        <v>415</v>
      </c>
      <c r="BD6" t="s">
        <v>416</v>
      </c>
      <c r="BE6" t="s">
        <v>417</v>
      </c>
      <c r="BF6" t="s">
        <v>418</v>
      </c>
      <c r="BG6" t="s">
        <v>419</v>
      </c>
      <c r="BH6" t="s">
        <v>420</v>
      </c>
      <c r="BI6" t="s">
        <v>421</v>
      </c>
      <c r="BJ6" t="s">
        <v>422</v>
      </c>
      <c r="BK6" t="s">
        <v>423</v>
      </c>
    </row>
    <row r="7" spans="1:63" x14ac:dyDescent="0.35">
      <c r="C7" s="57" t="s">
        <v>2456</v>
      </c>
      <c r="E7" s="33" t="s">
        <v>20</v>
      </c>
      <c r="F7" s="28"/>
      <c r="G7" s="34" t="s">
        <v>2478</v>
      </c>
      <c r="H7" s="28" t="s">
        <v>40</v>
      </c>
      <c r="I7" s="28" t="s">
        <v>40</v>
      </c>
      <c r="J7" s="28"/>
      <c r="K7" s="28" t="s">
        <v>29</v>
      </c>
      <c r="L7" s="28"/>
      <c r="M7" s="28"/>
      <c r="N7" s="28"/>
      <c r="O7" s="28"/>
      <c r="P7" s="28" t="s">
        <v>45</v>
      </c>
      <c r="Q7" s="28"/>
      <c r="R7" s="28"/>
      <c r="X7" s="34" t="s">
        <v>302</v>
      </c>
      <c r="Z7" s="30">
        <v>20</v>
      </c>
      <c r="AB7" s="34" t="s">
        <v>38</v>
      </c>
      <c r="AD7" s="38" t="s">
        <v>81</v>
      </c>
      <c r="AF7" t="s">
        <v>232</v>
      </c>
      <c r="AG7" t="s">
        <v>243</v>
      </c>
      <c r="AI7" t="s">
        <v>255</v>
      </c>
      <c r="AJ7" t="s">
        <v>266</v>
      </c>
      <c r="AK7" t="s">
        <v>424</v>
      </c>
      <c r="AL7" t="s">
        <v>425</v>
      </c>
      <c r="AM7" t="s">
        <v>426</v>
      </c>
      <c r="AN7" t="s">
        <v>399</v>
      </c>
      <c r="AO7" t="s">
        <v>139</v>
      </c>
      <c r="AP7" t="s">
        <v>427</v>
      </c>
      <c r="AQ7" t="s">
        <v>428</v>
      </c>
      <c r="AR7" t="s">
        <v>429</v>
      </c>
      <c r="AS7" t="s">
        <v>430</v>
      </c>
      <c r="AT7" t="s">
        <v>109</v>
      </c>
      <c r="AU7" t="s">
        <v>431</v>
      </c>
      <c r="AV7" t="s">
        <v>432</v>
      </c>
      <c r="AW7" t="s">
        <v>433</v>
      </c>
      <c r="AX7" t="s">
        <v>434</v>
      </c>
      <c r="AY7" t="s">
        <v>435</v>
      </c>
      <c r="AZ7" t="s">
        <v>436</v>
      </c>
      <c r="BA7" t="s">
        <v>437</v>
      </c>
      <c r="BB7" t="s">
        <v>438</v>
      </c>
      <c r="BC7" t="s">
        <v>350</v>
      </c>
      <c r="BD7" t="s">
        <v>439</v>
      </c>
      <c r="BE7" t="s">
        <v>440</v>
      </c>
      <c r="BF7" t="s">
        <v>441</v>
      </c>
      <c r="BG7" t="s">
        <v>442</v>
      </c>
      <c r="BH7" t="s">
        <v>443</v>
      </c>
      <c r="BI7" t="s">
        <v>444</v>
      </c>
      <c r="BJ7" t="s">
        <v>445</v>
      </c>
      <c r="BK7" t="s">
        <v>446</v>
      </c>
    </row>
    <row r="8" spans="1:63" x14ac:dyDescent="0.35">
      <c r="C8" s="58" t="s">
        <v>2460</v>
      </c>
      <c r="E8" s="33" t="s">
        <v>19</v>
      </c>
      <c r="F8" s="28"/>
      <c r="G8" s="34" t="s">
        <v>26</v>
      </c>
      <c r="H8" s="28" t="s">
        <v>43</v>
      </c>
      <c r="I8" s="28" t="s">
        <v>43</v>
      </c>
      <c r="J8" s="28"/>
      <c r="K8" s="28" t="s">
        <v>39</v>
      </c>
      <c r="L8" s="28"/>
      <c r="M8" s="28"/>
      <c r="N8" s="28"/>
      <c r="O8" s="28"/>
      <c r="P8" s="28" t="s">
        <v>36</v>
      </c>
      <c r="Q8" s="28"/>
      <c r="R8" s="28"/>
      <c r="Z8" s="29">
        <v>19</v>
      </c>
      <c r="AB8" s="34" t="s">
        <v>2439</v>
      </c>
      <c r="AD8" s="38" t="s">
        <v>82</v>
      </c>
      <c r="AF8" t="s">
        <v>233</v>
      </c>
      <c r="AG8" t="s">
        <v>244</v>
      </c>
      <c r="AI8" t="s">
        <v>254</v>
      </c>
      <c r="AJ8" t="s">
        <v>267</v>
      </c>
      <c r="AK8" t="s">
        <v>447</v>
      </c>
      <c r="AL8" t="s">
        <v>448</v>
      </c>
      <c r="AM8" t="s">
        <v>449</v>
      </c>
      <c r="AN8" t="s">
        <v>450</v>
      </c>
      <c r="AO8" t="s">
        <v>451</v>
      </c>
      <c r="AP8" t="s">
        <v>452</v>
      </c>
      <c r="AQ8" t="s">
        <v>453</v>
      </c>
      <c r="AR8" t="s">
        <v>454</v>
      </c>
      <c r="AS8" t="s">
        <v>455</v>
      </c>
      <c r="AT8" t="s">
        <v>110</v>
      </c>
      <c r="AU8" t="s">
        <v>456</v>
      </c>
      <c r="AV8" t="s">
        <v>457</v>
      </c>
      <c r="AW8" t="s">
        <v>458</v>
      </c>
      <c r="AX8" t="s">
        <v>442</v>
      </c>
      <c r="AY8" t="s">
        <v>459</v>
      </c>
      <c r="AZ8" t="s">
        <v>296</v>
      </c>
      <c r="BA8" t="s">
        <v>460</v>
      </c>
      <c r="BB8" t="s">
        <v>461</v>
      </c>
      <c r="BC8" t="s">
        <v>462</v>
      </c>
      <c r="BD8" t="s">
        <v>463</v>
      </c>
      <c r="BE8" t="s">
        <v>464</v>
      </c>
      <c r="BF8" t="s">
        <v>465</v>
      </c>
      <c r="BG8" t="s">
        <v>466</v>
      </c>
      <c r="BH8" t="s">
        <v>346</v>
      </c>
      <c r="BI8" t="s">
        <v>467</v>
      </c>
      <c r="BJ8" t="s">
        <v>468</v>
      </c>
      <c r="BK8" t="s">
        <v>469</v>
      </c>
    </row>
    <row r="9" spans="1:63" x14ac:dyDescent="0.35">
      <c r="E9" s="33" t="s">
        <v>18</v>
      </c>
      <c r="F9" s="28"/>
      <c r="G9" s="34" t="s">
        <v>2474</v>
      </c>
      <c r="H9" s="28" t="s">
        <v>45</v>
      </c>
      <c r="I9" s="28" t="s">
        <v>45</v>
      </c>
      <c r="J9" s="28"/>
      <c r="K9" s="28" t="s">
        <v>2443</v>
      </c>
      <c r="L9" s="28"/>
      <c r="M9" s="28"/>
      <c r="N9" s="28"/>
      <c r="O9" s="28"/>
      <c r="P9" s="28" t="s">
        <v>2469</v>
      </c>
      <c r="Q9" s="28"/>
      <c r="R9" s="28"/>
      <c r="Z9" s="30">
        <v>18</v>
      </c>
      <c r="AB9" s="34" t="s">
        <v>29</v>
      </c>
      <c r="AD9" s="38" t="s">
        <v>83</v>
      </c>
      <c r="AF9" t="s">
        <v>234</v>
      </c>
      <c r="AI9" t="s">
        <v>253</v>
      </c>
      <c r="AJ9" t="s">
        <v>268</v>
      </c>
      <c r="AK9" t="s">
        <v>470</v>
      </c>
      <c r="AL9" t="s">
        <v>471</v>
      </c>
      <c r="AM9" t="s">
        <v>472</v>
      </c>
      <c r="AN9" t="s">
        <v>473</v>
      </c>
      <c r="AO9" t="s">
        <v>474</v>
      </c>
      <c r="AP9" t="s">
        <v>475</v>
      </c>
      <c r="AQ9" t="s">
        <v>476</v>
      </c>
      <c r="AR9" t="s">
        <v>477</v>
      </c>
      <c r="AS9" t="s">
        <v>478</v>
      </c>
      <c r="AT9" t="s">
        <v>111</v>
      </c>
      <c r="AU9" t="s">
        <v>479</v>
      </c>
      <c r="AV9" t="s">
        <v>480</v>
      </c>
      <c r="AW9" t="s">
        <v>481</v>
      </c>
      <c r="AX9" t="s">
        <v>482</v>
      </c>
      <c r="AY9" t="s">
        <v>483</v>
      </c>
      <c r="AZ9" t="s">
        <v>484</v>
      </c>
      <c r="BA9" t="s">
        <v>485</v>
      </c>
      <c r="BB9" t="s">
        <v>486</v>
      </c>
      <c r="BC9" t="s">
        <v>487</v>
      </c>
      <c r="BD9" t="s">
        <v>488</v>
      </c>
      <c r="BE9" t="s">
        <v>489</v>
      </c>
      <c r="BF9" t="s">
        <v>490</v>
      </c>
      <c r="BG9" t="s">
        <v>491</v>
      </c>
      <c r="BH9" t="s">
        <v>492</v>
      </c>
      <c r="BI9" t="s">
        <v>493</v>
      </c>
      <c r="BJ9" t="s">
        <v>494</v>
      </c>
      <c r="BK9" t="s">
        <v>495</v>
      </c>
    </row>
    <row r="10" spans="1:63" x14ac:dyDescent="0.35">
      <c r="E10" s="33" t="s">
        <v>17</v>
      </c>
      <c r="F10" s="28"/>
      <c r="G10" s="34" t="s">
        <v>2475</v>
      </c>
      <c r="H10" s="28" t="s">
        <v>37</v>
      </c>
      <c r="I10" s="28"/>
      <c r="J10" s="28"/>
      <c r="K10" s="28" t="s">
        <v>40</v>
      </c>
      <c r="L10" s="28"/>
      <c r="M10" s="28"/>
      <c r="N10" s="28"/>
      <c r="O10" s="28"/>
      <c r="P10" s="28"/>
      <c r="Q10" s="28"/>
      <c r="R10" s="28"/>
      <c r="Z10" s="29">
        <v>17</v>
      </c>
      <c r="AB10" s="34" t="s">
        <v>39</v>
      </c>
      <c r="AD10" s="38" t="s">
        <v>2441</v>
      </c>
      <c r="AF10" t="s">
        <v>235</v>
      </c>
      <c r="AI10" t="s">
        <v>252</v>
      </c>
      <c r="AJ10" t="s">
        <v>269</v>
      </c>
      <c r="AK10" t="s">
        <v>496</v>
      </c>
      <c r="AL10" t="s">
        <v>497</v>
      </c>
      <c r="AM10" t="s">
        <v>498</v>
      </c>
      <c r="AN10" t="s">
        <v>499</v>
      </c>
      <c r="AO10" t="s">
        <v>500</v>
      </c>
      <c r="AP10" t="s">
        <v>501</v>
      </c>
      <c r="AQ10" t="s">
        <v>502</v>
      </c>
      <c r="AR10" t="s">
        <v>503</v>
      </c>
      <c r="AS10" t="s">
        <v>504</v>
      </c>
      <c r="AT10" t="s">
        <v>112</v>
      </c>
      <c r="AU10" t="s">
        <v>505</v>
      </c>
      <c r="AV10" t="s">
        <v>465</v>
      </c>
      <c r="AW10" t="s">
        <v>506</v>
      </c>
      <c r="AX10" t="s">
        <v>507</v>
      </c>
      <c r="AY10" t="s">
        <v>508</v>
      </c>
      <c r="AZ10" t="s">
        <v>509</v>
      </c>
      <c r="BA10" t="s">
        <v>510</v>
      </c>
      <c r="BB10" t="s">
        <v>511</v>
      </c>
      <c r="BC10" t="s">
        <v>512</v>
      </c>
      <c r="BD10" t="s">
        <v>513</v>
      </c>
      <c r="BE10" t="s">
        <v>514</v>
      </c>
      <c r="BF10" t="s">
        <v>515</v>
      </c>
      <c r="BG10" t="s">
        <v>516</v>
      </c>
      <c r="BH10" t="s">
        <v>517</v>
      </c>
      <c r="BI10" t="s">
        <v>518</v>
      </c>
      <c r="BJ10" t="s">
        <v>519</v>
      </c>
      <c r="BK10" t="s">
        <v>399</v>
      </c>
    </row>
    <row r="11" spans="1:63" x14ac:dyDescent="0.35">
      <c r="E11" s="33" t="s">
        <v>16</v>
      </c>
      <c r="F11" s="28"/>
      <c r="G11" s="34" t="s">
        <v>2476</v>
      </c>
      <c r="H11" s="28" t="s">
        <v>36</v>
      </c>
      <c r="I11" s="28"/>
      <c r="J11" s="28"/>
      <c r="K11" s="28" t="s">
        <v>42</v>
      </c>
      <c r="L11" s="28"/>
      <c r="M11" s="28"/>
      <c r="N11" s="28"/>
      <c r="O11" s="28"/>
      <c r="P11" s="28"/>
      <c r="Q11" s="28"/>
      <c r="R11" s="28"/>
      <c r="Z11" s="30">
        <v>16</v>
      </c>
      <c r="AB11" s="34" t="s">
        <v>2443</v>
      </c>
      <c r="AD11" s="38" t="s">
        <v>84</v>
      </c>
      <c r="AF11" t="s">
        <v>236</v>
      </c>
      <c r="AI11" t="s">
        <v>251</v>
      </c>
      <c r="AJ11" t="s">
        <v>270</v>
      </c>
      <c r="AK11" t="s">
        <v>520</v>
      </c>
      <c r="AL11" t="s">
        <v>521</v>
      </c>
      <c r="AM11" t="s">
        <v>522</v>
      </c>
      <c r="AN11" t="s">
        <v>523</v>
      </c>
      <c r="AO11" t="s">
        <v>524</v>
      </c>
      <c r="AP11" t="s">
        <v>525</v>
      </c>
      <c r="AQ11" t="s">
        <v>526</v>
      </c>
      <c r="AR11" t="s">
        <v>527</v>
      </c>
      <c r="AS11" t="s">
        <v>528</v>
      </c>
      <c r="AT11" t="s">
        <v>113</v>
      </c>
      <c r="AU11" t="s">
        <v>264</v>
      </c>
      <c r="AV11" t="s">
        <v>529</v>
      </c>
      <c r="AW11" t="s">
        <v>530</v>
      </c>
      <c r="AX11" t="s">
        <v>531</v>
      </c>
      <c r="AY11" t="s">
        <v>532</v>
      </c>
      <c r="AZ11" t="s">
        <v>533</v>
      </c>
      <c r="BA11" t="s">
        <v>534</v>
      </c>
      <c r="BB11" t="s">
        <v>535</v>
      </c>
      <c r="BC11" t="s">
        <v>536</v>
      </c>
      <c r="BD11" t="s">
        <v>537</v>
      </c>
      <c r="BE11" t="s">
        <v>538</v>
      </c>
      <c r="BF11" t="s">
        <v>539</v>
      </c>
      <c r="BG11" t="s">
        <v>540</v>
      </c>
      <c r="BH11" t="s">
        <v>541</v>
      </c>
      <c r="BI11" t="s">
        <v>542</v>
      </c>
      <c r="BJ11" t="s">
        <v>543</v>
      </c>
      <c r="BK11" t="s">
        <v>544</v>
      </c>
    </row>
    <row r="12" spans="1:63" x14ac:dyDescent="0.35">
      <c r="E12" s="33" t="s">
        <v>2435</v>
      </c>
      <c r="F12" s="28"/>
      <c r="G12" s="34" t="s">
        <v>28</v>
      </c>
      <c r="H12" s="28" t="s">
        <v>2469</v>
      </c>
      <c r="J12" s="28"/>
      <c r="K12" s="28" t="s">
        <v>43</v>
      </c>
      <c r="L12" s="28"/>
      <c r="M12" s="28"/>
      <c r="N12" s="28"/>
      <c r="O12" s="28"/>
      <c r="P12" s="28"/>
      <c r="Q12" s="28"/>
      <c r="R12" s="28"/>
      <c r="Z12" s="29">
        <v>15</v>
      </c>
      <c r="AB12" s="34" t="s">
        <v>40</v>
      </c>
      <c r="AD12" s="38" t="s">
        <v>85</v>
      </c>
      <c r="AF12" t="s">
        <v>237</v>
      </c>
      <c r="AI12" t="s">
        <v>80</v>
      </c>
      <c r="AJ12" t="s">
        <v>271</v>
      </c>
      <c r="AL12" t="s">
        <v>545</v>
      </c>
      <c r="AM12" t="s">
        <v>466</v>
      </c>
      <c r="AN12" t="s">
        <v>546</v>
      </c>
      <c r="AO12" t="s">
        <v>87</v>
      </c>
      <c r="AP12" t="s">
        <v>547</v>
      </c>
      <c r="AQ12" t="s">
        <v>548</v>
      </c>
      <c r="AR12" t="s">
        <v>549</v>
      </c>
      <c r="AS12" t="s">
        <v>550</v>
      </c>
      <c r="AT12" t="s">
        <v>114</v>
      </c>
      <c r="AU12" t="s">
        <v>551</v>
      </c>
      <c r="AV12" t="s">
        <v>552</v>
      </c>
      <c r="AW12" t="s">
        <v>553</v>
      </c>
      <c r="AX12" t="s">
        <v>554</v>
      </c>
      <c r="AY12" t="s">
        <v>555</v>
      </c>
      <c r="AZ12" t="s">
        <v>556</v>
      </c>
      <c r="BA12" t="s">
        <v>557</v>
      </c>
      <c r="BB12" t="s">
        <v>558</v>
      </c>
      <c r="BC12" t="s">
        <v>559</v>
      </c>
      <c r="BD12" t="s">
        <v>560</v>
      </c>
      <c r="BE12" t="s">
        <v>561</v>
      </c>
      <c r="BF12" t="s">
        <v>562</v>
      </c>
      <c r="BG12" t="s">
        <v>563</v>
      </c>
      <c r="BH12" t="s">
        <v>564</v>
      </c>
      <c r="BI12" t="s">
        <v>565</v>
      </c>
      <c r="BJ12" t="s">
        <v>566</v>
      </c>
      <c r="BK12" t="s">
        <v>567</v>
      </c>
    </row>
    <row r="13" spans="1:63" x14ac:dyDescent="0.35">
      <c r="E13" s="33" t="s">
        <v>15</v>
      </c>
      <c r="F13" s="28"/>
      <c r="H13" s="28"/>
      <c r="J13" s="28"/>
      <c r="K13" s="28" t="s">
        <v>44</v>
      </c>
      <c r="L13" s="28"/>
      <c r="M13" s="28"/>
      <c r="N13" s="28"/>
      <c r="O13" s="28"/>
      <c r="P13" s="28"/>
      <c r="Q13" s="28"/>
      <c r="R13" s="28"/>
      <c r="Z13" s="30">
        <v>14</v>
      </c>
      <c r="AB13" s="34" t="s">
        <v>41</v>
      </c>
      <c r="AD13" s="38" t="s">
        <v>86</v>
      </c>
      <c r="AI13" t="s">
        <v>250</v>
      </c>
      <c r="AJ13" t="s">
        <v>272</v>
      </c>
      <c r="AL13" t="s">
        <v>568</v>
      </c>
      <c r="AM13" t="s">
        <v>569</v>
      </c>
      <c r="AN13" t="s">
        <v>570</v>
      </c>
      <c r="AO13" t="s">
        <v>571</v>
      </c>
      <c r="AP13" t="s">
        <v>572</v>
      </c>
      <c r="AQ13" t="s">
        <v>573</v>
      </c>
      <c r="AR13" t="s">
        <v>574</v>
      </c>
      <c r="AS13" t="s">
        <v>575</v>
      </c>
      <c r="AT13" t="s">
        <v>115</v>
      </c>
      <c r="AU13" t="s">
        <v>576</v>
      </c>
      <c r="AV13" t="s">
        <v>577</v>
      </c>
      <c r="AW13" t="s">
        <v>578</v>
      </c>
      <c r="AX13" t="s">
        <v>579</v>
      </c>
      <c r="AY13" t="s">
        <v>580</v>
      </c>
      <c r="AZ13" t="s">
        <v>581</v>
      </c>
      <c r="BA13" t="s">
        <v>582</v>
      </c>
      <c r="BC13" t="s">
        <v>583</v>
      </c>
      <c r="BD13" t="s">
        <v>584</v>
      </c>
      <c r="BE13" t="s">
        <v>585</v>
      </c>
      <c r="BF13" t="s">
        <v>586</v>
      </c>
      <c r="BG13" t="s">
        <v>587</v>
      </c>
      <c r="BH13" t="s">
        <v>588</v>
      </c>
      <c r="BI13" t="s">
        <v>589</v>
      </c>
      <c r="BJ13" t="s">
        <v>590</v>
      </c>
      <c r="BK13" t="s">
        <v>591</v>
      </c>
    </row>
    <row r="14" spans="1:63" x14ac:dyDescent="0.35">
      <c r="E14" s="33" t="s">
        <v>14</v>
      </c>
      <c r="F14" s="28"/>
      <c r="K14" t="s">
        <v>45</v>
      </c>
      <c r="Z14" s="29">
        <v>13</v>
      </c>
      <c r="AB14" s="47" t="s">
        <v>42</v>
      </c>
      <c r="AD14" s="38" t="s">
        <v>87</v>
      </c>
      <c r="AI14" t="s">
        <v>249</v>
      </c>
      <c r="AJ14" t="s">
        <v>87</v>
      </c>
      <c r="AL14" t="s">
        <v>592</v>
      </c>
      <c r="AM14" t="s">
        <v>593</v>
      </c>
      <c r="AN14" t="s">
        <v>594</v>
      </c>
      <c r="AO14" t="s">
        <v>595</v>
      </c>
      <c r="AP14" t="s">
        <v>85</v>
      </c>
      <c r="AQ14" t="s">
        <v>596</v>
      </c>
      <c r="AR14" t="s">
        <v>597</v>
      </c>
      <c r="AS14" t="s">
        <v>598</v>
      </c>
      <c r="AT14" t="s">
        <v>116</v>
      </c>
      <c r="AU14" t="s">
        <v>599</v>
      </c>
      <c r="AV14" t="s">
        <v>600</v>
      </c>
      <c r="AW14" t="s">
        <v>601</v>
      </c>
      <c r="AX14" t="s">
        <v>602</v>
      </c>
      <c r="AY14" t="s">
        <v>603</v>
      </c>
      <c r="AZ14" t="s">
        <v>604</v>
      </c>
      <c r="BA14" t="s">
        <v>605</v>
      </c>
      <c r="BC14" t="s">
        <v>606</v>
      </c>
      <c r="BD14" t="s">
        <v>607</v>
      </c>
      <c r="BE14" t="s">
        <v>608</v>
      </c>
      <c r="BF14" t="s">
        <v>609</v>
      </c>
      <c r="BG14" t="s">
        <v>610</v>
      </c>
      <c r="BH14" t="s">
        <v>611</v>
      </c>
      <c r="BI14" t="s">
        <v>612</v>
      </c>
      <c r="BJ14" t="s">
        <v>613</v>
      </c>
      <c r="BK14" t="s">
        <v>614</v>
      </c>
    </row>
    <row r="15" spans="1:63" x14ac:dyDescent="0.35">
      <c r="E15" s="33" t="s">
        <v>51</v>
      </c>
      <c r="F15" s="28"/>
      <c r="Z15" s="30">
        <v>12</v>
      </c>
      <c r="AB15" s="28" t="s">
        <v>43</v>
      </c>
      <c r="AD15" s="38" t="s">
        <v>88</v>
      </c>
      <c r="AJ15" t="s">
        <v>273</v>
      </c>
      <c r="AL15" t="s">
        <v>615</v>
      </c>
      <c r="AM15" t="s">
        <v>83</v>
      </c>
      <c r="AN15" t="s">
        <v>616</v>
      </c>
      <c r="AO15" t="s">
        <v>617</v>
      </c>
      <c r="AP15" t="s">
        <v>618</v>
      </c>
      <c r="AQ15" t="s">
        <v>619</v>
      </c>
      <c r="AR15" t="s">
        <v>620</v>
      </c>
      <c r="AS15" t="s">
        <v>621</v>
      </c>
      <c r="AT15" t="s">
        <v>117</v>
      </c>
      <c r="AU15" t="s">
        <v>622</v>
      </c>
      <c r="AV15" t="s">
        <v>623</v>
      </c>
      <c r="AW15" t="s">
        <v>624</v>
      </c>
      <c r="AX15" t="s">
        <v>625</v>
      </c>
      <c r="AY15" t="s">
        <v>626</v>
      </c>
      <c r="AZ15" t="s">
        <v>627</v>
      </c>
      <c r="BA15" t="s">
        <v>94</v>
      </c>
      <c r="BC15" t="s">
        <v>628</v>
      </c>
      <c r="BD15" t="s">
        <v>629</v>
      </c>
      <c r="BE15" t="s">
        <v>630</v>
      </c>
      <c r="BF15" t="s">
        <v>631</v>
      </c>
      <c r="BG15" t="s">
        <v>632</v>
      </c>
      <c r="BH15" t="s">
        <v>465</v>
      </c>
      <c r="BI15" t="s">
        <v>633</v>
      </c>
      <c r="BJ15" t="s">
        <v>634</v>
      </c>
      <c r="BK15" t="s">
        <v>635</v>
      </c>
    </row>
    <row r="16" spans="1:63" x14ac:dyDescent="0.35">
      <c r="E16" s="33" t="s">
        <v>13</v>
      </c>
      <c r="F16" s="28"/>
      <c r="Z16" s="29">
        <v>11</v>
      </c>
      <c r="AB16" s="34" t="s">
        <v>44</v>
      </c>
      <c r="AD16" s="38" t="s">
        <v>53</v>
      </c>
      <c r="AJ16" t="s">
        <v>274</v>
      </c>
      <c r="AL16" t="s">
        <v>636</v>
      </c>
      <c r="AM16" t="s">
        <v>637</v>
      </c>
      <c r="AN16" t="s">
        <v>638</v>
      </c>
      <c r="AO16" t="s">
        <v>639</v>
      </c>
      <c r="AP16" t="s">
        <v>640</v>
      </c>
      <c r="AQ16" t="s">
        <v>346</v>
      </c>
      <c r="AR16" t="s">
        <v>641</v>
      </c>
      <c r="AS16" t="s">
        <v>642</v>
      </c>
      <c r="AT16" t="s">
        <v>118</v>
      </c>
      <c r="AU16" t="s">
        <v>643</v>
      </c>
      <c r="AV16" t="s">
        <v>644</v>
      </c>
      <c r="AW16" t="s">
        <v>645</v>
      </c>
      <c r="AX16" t="s">
        <v>646</v>
      </c>
      <c r="AY16" t="s">
        <v>647</v>
      </c>
      <c r="AZ16" t="s">
        <v>648</v>
      </c>
      <c r="BA16" t="s">
        <v>649</v>
      </c>
      <c r="BC16" t="s">
        <v>650</v>
      </c>
      <c r="BD16" t="s">
        <v>651</v>
      </c>
      <c r="BE16" t="s">
        <v>652</v>
      </c>
      <c r="BF16" t="s">
        <v>653</v>
      </c>
      <c r="BG16" t="s">
        <v>272</v>
      </c>
      <c r="BH16" t="s">
        <v>654</v>
      </c>
      <c r="BI16" t="s">
        <v>655</v>
      </c>
      <c r="BJ16" t="s">
        <v>656</v>
      </c>
      <c r="BK16" t="s">
        <v>657</v>
      </c>
    </row>
    <row r="17" spans="5:63" x14ac:dyDescent="0.35">
      <c r="E17" s="33" t="s">
        <v>12</v>
      </c>
      <c r="F17" s="28"/>
      <c r="Z17" s="30">
        <v>10</v>
      </c>
      <c r="AB17" s="34" t="s">
        <v>45</v>
      </c>
      <c r="AD17" s="38" t="s">
        <v>54</v>
      </c>
      <c r="AJ17" t="s">
        <v>275</v>
      </c>
      <c r="AL17" t="s">
        <v>658</v>
      </c>
      <c r="AM17" t="s">
        <v>659</v>
      </c>
      <c r="AN17" t="s">
        <v>660</v>
      </c>
      <c r="AO17" t="s">
        <v>661</v>
      </c>
      <c r="AP17" t="s">
        <v>662</v>
      </c>
      <c r="AQ17" t="s">
        <v>663</v>
      </c>
      <c r="AR17" t="s">
        <v>664</v>
      </c>
      <c r="AS17" t="s">
        <v>665</v>
      </c>
      <c r="AT17" t="s">
        <v>119</v>
      </c>
      <c r="AU17" t="s">
        <v>666</v>
      </c>
      <c r="AV17" t="s">
        <v>667</v>
      </c>
      <c r="AW17" t="s">
        <v>668</v>
      </c>
      <c r="AX17" t="s">
        <v>669</v>
      </c>
      <c r="AY17" t="s">
        <v>670</v>
      </c>
      <c r="AZ17" t="s">
        <v>671</v>
      </c>
      <c r="BA17" t="s">
        <v>672</v>
      </c>
      <c r="BC17" t="s">
        <v>673</v>
      </c>
      <c r="BD17" t="s">
        <v>674</v>
      </c>
      <c r="BE17" t="s">
        <v>346</v>
      </c>
      <c r="BF17" t="s">
        <v>675</v>
      </c>
      <c r="BG17" t="s">
        <v>676</v>
      </c>
      <c r="BH17" t="s">
        <v>677</v>
      </c>
      <c r="BI17" t="s">
        <v>678</v>
      </c>
      <c r="BJ17" t="s">
        <v>679</v>
      </c>
      <c r="BK17" t="s">
        <v>680</v>
      </c>
    </row>
    <row r="18" spans="5:63" x14ac:dyDescent="0.35">
      <c r="E18" s="33" t="s">
        <v>11</v>
      </c>
      <c r="F18" s="28"/>
      <c r="Z18" s="29">
        <v>9</v>
      </c>
      <c r="AD18" s="38" t="s">
        <v>89</v>
      </c>
      <c r="AJ18" t="s">
        <v>276</v>
      </c>
      <c r="AL18" t="s">
        <v>681</v>
      </c>
      <c r="AM18" t="s">
        <v>682</v>
      </c>
      <c r="AO18" t="s">
        <v>683</v>
      </c>
      <c r="AP18" t="s">
        <v>684</v>
      </c>
      <c r="AQ18" t="s">
        <v>685</v>
      </c>
      <c r="AR18" t="s">
        <v>686</v>
      </c>
      <c r="AS18" t="s">
        <v>687</v>
      </c>
      <c r="AT18" t="s">
        <v>120</v>
      </c>
      <c r="AU18" t="s">
        <v>688</v>
      </c>
      <c r="AV18" t="s">
        <v>689</v>
      </c>
      <c r="AW18" t="s">
        <v>690</v>
      </c>
      <c r="AX18" t="s">
        <v>691</v>
      </c>
      <c r="AY18" t="s">
        <v>692</v>
      </c>
      <c r="AZ18" t="s">
        <v>693</v>
      </c>
      <c r="BA18" t="s">
        <v>694</v>
      </c>
      <c r="BC18" t="s">
        <v>695</v>
      </c>
      <c r="BD18" t="s">
        <v>696</v>
      </c>
      <c r="BE18" t="s">
        <v>697</v>
      </c>
      <c r="BF18" t="s">
        <v>698</v>
      </c>
      <c r="BG18" t="s">
        <v>87</v>
      </c>
      <c r="BH18" t="s">
        <v>699</v>
      </c>
      <c r="BI18" t="s">
        <v>479</v>
      </c>
      <c r="BJ18" t="s">
        <v>700</v>
      </c>
      <c r="BK18" t="s">
        <v>701</v>
      </c>
    </row>
    <row r="19" spans="5:63" x14ac:dyDescent="0.35">
      <c r="E19" s="33" t="s">
        <v>10</v>
      </c>
      <c r="F19" s="28"/>
      <c r="Z19" s="30">
        <v>8</v>
      </c>
      <c r="AD19" s="38" t="s">
        <v>90</v>
      </c>
      <c r="AJ19" t="s">
        <v>277</v>
      </c>
      <c r="AL19" t="s">
        <v>702</v>
      </c>
      <c r="AM19" t="s">
        <v>399</v>
      </c>
      <c r="AO19" t="s">
        <v>703</v>
      </c>
      <c r="AP19" t="s">
        <v>704</v>
      </c>
      <c r="AQ19" t="s">
        <v>705</v>
      </c>
      <c r="AR19" t="s">
        <v>706</v>
      </c>
      <c r="AS19" t="s">
        <v>707</v>
      </c>
      <c r="AT19" t="s">
        <v>121</v>
      </c>
      <c r="AU19" t="s">
        <v>708</v>
      </c>
      <c r="AV19" t="s">
        <v>709</v>
      </c>
      <c r="AW19" t="s">
        <v>710</v>
      </c>
      <c r="AX19" t="s">
        <v>711</v>
      </c>
      <c r="AY19" t="s">
        <v>712</v>
      </c>
      <c r="AZ19" t="s">
        <v>713</v>
      </c>
      <c r="BA19" t="s">
        <v>714</v>
      </c>
      <c r="BC19" t="s">
        <v>715</v>
      </c>
      <c r="BD19" t="s">
        <v>96</v>
      </c>
      <c r="BE19" t="s">
        <v>716</v>
      </c>
      <c r="BG19" t="s">
        <v>717</v>
      </c>
      <c r="BH19" t="s">
        <v>718</v>
      </c>
      <c r="BI19" t="s">
        <v>719</v>
      </c>
      <c r="BJ19" t="s">
        <v>720</v>
      </c>
      <c r="BK19" t="s">
        <v>721</v>
      </c>
    </row>
    <row r="20" spans="5:63" x14ac:dyDescent="0.35">
      <c r="E20" s="33" t="s">
        <v>8</v>
      </c>
      <c r="F20" s="28"/>
      <c r="Z20" s="29">
        <v>7</v>
      </c>
      <c r="AD20" s="38" t="s">
        <v>91</v>
      </c>
      <c r="AJ20" t="s">
        <v>89</v>
      </c>
      <c r="AL20" t="s">
        <v>722</v>
      </c>
      <c r="AM20" t="s">
        <v>723</v>
      </c>
      <c r="AO20" t="s">
        <v>281</v>
      </c>
      <c r="AP20" t="s">
        <v>724</v>
      </c>
      <c r="AQ20" t="s">
        <v>725</v>
      </c>
      <c r="AR20" t="s">
        <v>726</v>
      </c>
      <c r="AS20" t="s">
        <v>727</v>
      </c>
      <c r="AT20" t="s">
        <v>122</v>
      </c>
      <c r="AU20" t="s">
        <v>728</v>
      </c>
      <c r="AV20" t="s">
        <v>729</v>
      </c>
      <c r="AW20" t="s">
        <v>730</v>
      </c>
      <c r="AX20" t="s">
        <v>731</v>
      </c>
      <c r="AY20" t="s">
        <v>732</v>
      </c>
      <c r="AZ20" t="s">
        <v>733</v>
      </c>
      <c r="BC20" t="s">
        <v>734</v>
      </c>
      <c r="BE20" t="s">
        <v>735</v>
      </c>
      <c r="BG20" t="s">
        <v>273</v>
      </c>
      <c r="BH20" t="s">
        <v>736</v>
      </c>
      <c r="BI20" t="s">
        <v>737</v>
      </c>
      <c r="BJ20" t="s">
        <v>738</v>
      </c>
      <c r="BK20" t="s">
        <v>739</v>
      </c>
    </row>
    <row r="21" spans="5:63" x14ac:dyDescent="0.35">
      <c r="E21" s="33" t="s">
        <v>7</v>
      </c>
      <c r="F21" s="28"/>
      <c r="Z21" s="30">
        <v>6</v>
      </c>
      <c r="AD21" s="38" t="s">
        <v>92</v>
      </c>
      <c r="AJ21" t="s">
        <v>278</v>
      </c>
      <c r="AL21" t="s">
        <v>740</v>
      </c>
      <c r="AM21" t="s">
        <v>741</v>
      </c>
      <c r="AO21" t="s">
        <v>742</v>
      </c>
      <c r="AP21" t="s">
        <v>743</v>
      </c>
      <c r="AQ21" t="s">
        <v>744</v>
      </c>
      <c r="AR21" t="s">
        <v>745</v>
      </c>
      <c r="AS21" t="s">
        <v>746</v>
      </c>
      <c r="AT21" t="s">
        <v>123</v>
      </c>
      <c r="AU21" t="s">
        <v>747</v>
      </c>
      <c r="AV21" t="s">
        <v>748</v>
      </c>
      <c r="AW21" t="s">
        <v>749</v>
      </c>
      <c r="AX21" t="s">
        <v>750</v>
      </c>
      <c r="AY21" t="s">
        <v>751</v>
      </c>
      <c r="AZ21" t="s">
        <v>752</v>
      </c>
      <c r="BC21" t="s">
        <v>753</v>
      </c>
      <c r="BE21" t="s">
        <v>754</v>
      </c>
      <c r="BG21" t="s">
        <v>755</v>
      </c>
      <c r="BH21" t="s">
        <v>756</v>
      </c>
      <c r="BI21" t="s">
        <v>575</v>
      </c>
      <c r="BJ21" t="s">
        <v>757</v>
      </c>
      <c r="BK21" t="s">
        <v>758</v>
      </c>
    </row>
    <row r="22" spans="5:63" x14ac:dyDescent="0.35">
      <c r="E22" s="33" t="s">
        <v>6</v>
      </c>
      <c r="F22" s="28"/>
      <c r="Z22" s="29">
        <v>5</v>
      </c>
      <c r="AD22" s="38" t="s">
        <v>93</v>
      </c>
      <c r="AJ22" t="s">
        <v>279</v>
      </c>
      <c r="AL22" t="s">
        <v>759</v>
      </c>
      <c r="AM22" t="s">
        <v>760</v>
      </c>
      <c r="AO22" t="s">
        <v>761</v>
      </c>
      <c r="AP22" t="s">
        <v>281</v>
      </c>
      <c r="AQ22" t="s">
        <v>762</v>
      </c>
      <c r="AR22" t="s">
        <v>465</v>
      </c>
      <c r="AS22" t="s">
        <v>763</v>
      </c>
      <c r="AT22" t="s">
        <v>124</v>
      </c>
      <c r="AU22" t="s">
        <v>764</v>
      </c>
      <c r="AV22" t="s">
        <v>765</v>
      </c>
      <c r="AX22" t="s">
        <v>766</v>
      </c>
      <c r="AY22" t="s">
        <v>767</v>
      </c>
      <c r="AZ22" t="s">
        <v>768</v>
      </c>
      <c r="BC22" t="s">
        <v>769</v>
      </c>
      <c r="BE22" t="s">
        <v>770</v>
      </c>
      <c r="BG22" t="s">
        <v>771</v>
      </c>
      <c r="BH22" t="s">
        <v>461</v>
      </c>
      <c r="BI22" t="s">
        <v>772</v>
      </c>
      <c r="BJ22" t="s">
        <v>773</v>
      </c>
      <c r="BK22" t="s">
        <v>774</v>
      </c>
    </row>
    <row r="23" spans="5:63" x14ac:dyDescent="0.35">
      <c r="E23" s="33" t="s">
        <v>5</v>
      </c>
      <c r="F23" s="28"/>
      <c r="AD23" s="38" t="s">
        <v>94</v>
      </c>
      <c r="AJ23" t="s">
        <v>280</v>
      </c>
      <c r="AL23" t="s">
        <v>775</v>
      </c>
      <c r="AM23" t="s">
        <v>776</v>
      </c>
      <c r="AO23" t="s">
        <v>777</v>
      </c>
      <c r="AP23" t="s">
        <v>778</v>
      </c>
      <c r="AQ23" t="s">
        <v>779</v>
      </c>
      <c r="AR23" t="s">
        <v>780</v>
      </c>
      <c r="AS23" t="s">
        <v>781</v>
      </c>
      <c r="AT23" t="s">
        <v>125</v>
      </c>
      <c r="AU23" t="s">
        <v>782</v>
      </c>
      <c r="AV23" t="s">
        <v>783</v>
      </c>
      <c r="AX23" t="s">
        <v>784</v>
      </c>
      <c r="AY23" t="s">
        <v>785</v>
      </c>
      <c r="AZ23" t="s">
        <v>786</v>
      </c>
      <c r="BC23" t="s">
        <v>787</v>
      </c>
      <c r="BE23" t="s">
        <v>788</v>
      </c>
      <c r="BG23" t="s">
        <v>276</v>
      </c>
      <c r="BH23" t="s">
        <v>789</v>
      </c>
      <c r="BI23" t="s">
        <v>790</v>
      </c>
      <c r="BJ23" t="s">
        <v>791</v>
      </c>
      <c r="BK23" t="s">
        <v>792</v>
      </c>
    </row>
    <row r="24" spans="5:63" x14ac:dyDescent="0.35">
      <c r="E24" s="33" t="s">
        <v>4</v>
      </c>
      <c r="F24" s="28"/>
      <c r="AD24" s="38" t="s">
        <v>95</v>
      </c>
      <c r="AJ24" t="s">
        <v>281</v>
      </c>
      <c r="AL24" t="s">
        <v>793</v>
      </c>
      <c r="AM24" t="s">
        <v>669</v>
      </c>
      <c r="AO24" t="s">
        <v>794</v>
      </c>
      <c r="AP24" t="s">
        <v>795</v>
      </c>
      <c r="AQ24" t="s">
        <v>796</v>
      </c>
      <c r="AR24" t="s">
        <v>269</v>
      </c>
      <c r="AS24" t="s">
        <v>797</v>
      </c>
      <c r="AT24" t="s">
        <v>126</v>
      </c>
      <c r="AU24" t="s">
        <v>798</v>
      </c>
      <c r="AV24" t="s">
        <v>799</v>
      </c>
      <c r="AX24" t="s">
        <v>800</v>
      </c>
      <c r="AY24" t="s">
        <v>801</v>
      </c>
      <c r="AZ24" t="s">
        <v>802</v>
      </c>
      <c r="BC24" t="s">
        <v>803</v>
      </c>
      <c r="BE24" t="s">
        <v>804</v>
      </c>
      <c r="BG24" t="s">
        <v>805</v>
      </c>
      <c r="BH24" t="s">
        <v>806</v>
      </c>
      <c r="BI24" t="s">
        <v>807</v>
      </c>
      <c r="BJ24" t="s">
        <v>808</v>
      </c>
      <c r="BK24" t="s">
        <v>809</v>
      </c>
    </row>
    <row r="25" spans="5:63" x14ac:dyDescent="0.35">
      <c r="E25" s="33" t="s">
        <v>3</v>
      </c>
      <c r="F25" s="28"/>
      <c r="AD25" s="38" t="s">
        <v>55</v>
      </c>
      <c r="AJ25" t="s">
        <v>282</v>
      </c>
      <c r="AL25" t="s">
        <v>810</v>
      </c>
      <c r="AM25" t="s">
        <v>587</v>
      </c>
      <c r="AO25" t="s">
        <v>795</v>
      </c>
      <c r="AP25" t="s">
        <v>811</v>
      </c>
      <c r="AQ25" t="s">
        <v>812</v>
      </c>
      <c r="AR25" t="s">
        <v>813</v>
      </c>
      <c r="AS25" t="s">
        <v>762</v>
      </c>
      <c r="AT25" t="s">
        <v>127</v>
      </c>
      <c r="AU25" t="s">
        <v>814</v>
      </c>
      <c r="AV25" t="s">
        <v>815</v>
      </c>
      <c r="AX25" t="s">
        <v>701</v>
      </c>
      <c r="AY25" t="s">
        <v>816</v>
      </c>
      <c r="AZ25" t="s">
        <v>638</v>
      </c>
      <c r="BC25" t="s">
        <v>817</v>
      </c>
      <c r="BE25" t="s">
        <v>818</v>
      </c>
      <c r="BG25" t="s">
        <v>819</v>
      </c>
      <c r="BH25" t="s">
        <v>820</v>
      </c>
      <c r="BI25" t="s">
        <v>821</v>
      </c>
      <c r="BJ25" t="s">
        <v>822</v>
      </c>
      <c r="BK25" t="s">
        <v>246</v>
      </c>
    </row>
    <row r="26" spans="5:63" x14ac:dyDescent="0.35">
      <c r="E26" s="33" t="s">
        <v>2</v>
      </c>
      <c r="F26" s="28"/>
      <c r="AD26" s="38" t="s">
        <v>96</v>
      </c>
      <c r="AJ26" t="s">
        <v>283</v>
      </c>
      <c r="AL26" t="s">
        <v>823</v>
      </c>
      <c r="AM26" t="s">
        <v>824</v>
      </c>
      <c r="AO26" t="s">
        <v>825</v>
      </c>
      <c r="AP26" t="s">
        <v>826</v>
      </c>
      <c r="AQ26" t="s">
        <v>827</v>
      </c>
      <c r="AR26" t="s">
        <v>828</v>
      </c>
      <c r="AS26" t="s">
        <v>829</v>
      </c>
      <c r="AT26" t="s">
        <v>128</v>
      </c>
      <c r="AU26" t="s">
        <v>830</v>
      </c>
      <c r="AV26" t="s">
        <v>831</v>
      </c>
      <c r="AX26" t="s">
        <v>87</v>
      </c>
      <c r="AY26" t="s">
        <v>832</v>
      </c>
      <c r="AZ26" t="s">
        <v>833</v>
      </c>
      <c r="BC26" t="s">
        <v>175</v>
      </c>
      <c r="BE26" t="s">
        <v>834</v>
      </c>
      <c r="BG26" t="s">
        <v>835</v>
      </c>
      <c r="BH26" t="s">
        <v>836</v>
      </c>
      <c r="BI26" t="s">
        <v>346</v>
      </c>
      <c r="BJ26" t="s">
        <v>837</v>
      </c>
      <c r="BK26" t="s">
        <v>838</v>
      </c>
    </row>
    <row r="27" spans="5:63" x14ac:dyDescent="0.35">
      <c r="E27" s="33" t="s">
        <v>1</v>
      </c>
      <c r="F27" s="28"/>
      <c r="AD27" s="38" t="s">
        <v>97</v>
      </c>
      <c r="AJ27" t="s">
        <v>284</v>
      </c>
      <c r="AL27" t="s">
        <v>839</v>
      </c>
      <c r="AM27" t="s">
        <v>840</v>
      </c>
      <c r="AO27" t="s">
        <v>841</v>
      </c>
      <c r="AP27" t="s">
        <v>842</v>
      </c>
      <c r="AQ27" t="s">
        <v>843</v>
      </c>
      <c r="AR27" t="s">
        <v>844</v>
      </c>
      <c r="AS27" t="s">
        <v>845</v>
      </c>
      <c r="AT27" t="s">
        <v>129</v>
      </c>
      <c r="AU27" t="s">
        <v>846</v>
      </c>
      <c r="AV27" t="s">
        <v>847</v>
      </c>
      <c r="AX27" t="s">
        <v>848</v>
      </c>
      <c r="AY27" t="s">
        <v>849</v>
      </c>
      <c r="AZ27" t="s">
        <v>850</v>
      </c>
      <c r="BC27" t="s">
        <v>851</v>
      </c>
      <c r="BE27" t="s">
        <v>852</v>
      </c>
      <c r="BG27" t="s">
        <v>853</v>
      </c>
      <c r="BH27" t="s">
        <v>854</v>
      </c>
      <c r="BI27" t="s">
        <v>855</v>
      </c>
      <c r="BJ27" t="s">
        <v>856</v>
      </c>
      <c r="BK27" t="s">
        <v>857</v>
      </c>
    </row>
    <row r="28" spans="5:63" x14ac:dyDescent="0.35">
      <c r="E28" s="33" t="s">
        <v>9</v>
      </c>
      <c r="F28" s="28"/>
      <c r="AD28" s="38" t="s">
        <v>98</v>
      </c>
      <c r="AJ28" t="s">
        <v>285</v>
      </c>
      <c r="AL28" t="s">
        <v>858</v>
      </c>
      <c r="AM28" t="s">
        <v>701</v>
      </c>
      <c r="AO28" t="s">
        <v>859</v>
      </c>
      <c r="AP28" t="s">
        <v>860</v>
      </c>
      <c r="AQ28" t="s">
        <v>861</v>
      </c>
      <c r="AR28" t="s">
        <v>862</v>
      </c>
      <c r="AS28" t="s">
        <v>863</v>
      </c>
      <c r="AT28" t="s">
        <v>130</v>
      </c>
      <c r="AU28" t="s">
        <v>864</v>
      </c>
      <c r="AV28" t="s">
        <v>865</v>
      </c>
      <c r="AX28" t="s">
        <v>866</v>
      </c>
      <c r="AY28" t="s">
        <v>867</v>
      </c>
      <c r="AZ28" t="s">
        <v>868</v>
      </c>
      <c r="BC28" t="s">
        <v>869</v>
      </c>
      <c r="BE28" t="s">
        <v>870</v>
      </c>
      <c r="BG28" t="s">
        <v>871</v>
      </c>
      <c r="BH28" t="s">
        <v>872</v>
      </c>
      <c r="BI28" t="s">
        <v>873</v>
      </c>
      <c r="BJ28" t="s">
        <v>874</v>
      </c>
      <c r="BK28" t="s">
        <v>159</v>
      </c>
    </row>
    <row r="29" spans="5:63" x14ac:dyDescent="0.35">
      <c r="F29" s="28"/>
      <c r="AD29" s="38" t="s">
        <v>99</v>
      </c>
      <c r="AJ29" t="s">
        <v>286</v>
      </c>
      <c r="AL29" t="s">
        <v>875</v>
      </c>
      <c r="AM29" t="s">
        <v>876</v>
      </c>
      <c r="AO29" t="s">
        <v>877</v>
      </c>
      <c r="AP29" t="s">
        <v>878</v>
      </c>
      <c r="AQ29" t="s">
        <v>879</v>
      </c>
      <c r="AR29" t="s">
        <v>880</v>
      </c>
      <c r="AS29" t="s">
        <v>457</v>
      </c>
      <c r="AT29" t="s">
        <v>131</v>
      </c>
      <c r="AU29" t="s">
        <v>881</v>
      </c>
      <c r="AV29" t="s">
        <v>882</v>
      </c>
      <c r="AX29" t="s">
        <v>883</v>
      </c>
      <c r="AY29" t="s">
        <v>884</v>
      </c>
      <c r="AZ29" t="s">
        <v>885</v>
      </c>
      <c r="BC29" t="s">
        <v>886</v>
      </c>
      <c r="BE29" t="s">
        <v>887</v>
      </c>
      <c r="BG29" t="s">
        <v>888</v>
      </c>
      <c r="BH29" t="s">
        <v>889</v>
      </c>
      <c r="BI29" t="s">
        <v>890</v>
      </c>
      <c r="BJ29" t="s">
        <v>891</v>
      </c>
      <c r="BK29" t="s">
        <v>892</v>
      </c>
    </row>
    <row r="30" spans="5:63" x14ac:dyDescent="0.35">
      <c r="F30" s="28"/>
      <c r="AD30" s="38" t="s">
        <v>100</v>
      </c>
      <c r="AJ30" t="s">
        <v>287</v>
      </c>
      <c r="AL30" t="s">
        <v>893</v>
      </c>
      <c r="AM30" t="s">
        <v>894</v>
      </c>
      <c r="AO30" t="s">
        <v>672</v>
      </c>
      <c r="AP30" t="s">
        <v>241</v>
      </c>
      <c r="AQ30" t="s">
        <v>895</v>
      </c>
      <c r="AR30" t="s">
        <v>896</v>
      </c>
      <c r="AS30" t="s">
        <v>897</v>
      </c>
      <c r="AT30" t="s">
        <v>132</v>
      </c>
      <c r="AU30" t="s">
        <v>898</v>
      </c>
      <c r="AV30" t="s">
        <v>899</v>
      </c>
      <c r="AX30" t="s">
        <v>274</v>
      </c>
      <c r="AY30" t="s">
        <v>900</v>
      </c>
      <c r="AZ30" t="s">
        <v>901</v>
      </c>
      <c r="BC30" t="s">
        <v>902</v>
      </c>
      <c r="BE30" t="s">
        <v>903</v>
      </c>
      <c r="BG30" t="s">
        <v>281</v>
      </c>
      <c r="BH30" t="s">
        <v>904</v>
      </c>
      <c r="BI30" t="s">
        <v>905</v>
      </c>
      <c r="BJ30" t="s">
        <v>906</v>
      </c>
      <c r="BK30" t="s">
        <v>907</v>
      </c>
    </row>
    <row r="31" spans="5:63" x14ac:dyDescent="0.35">
      <c r="F31" s="28"/>
      <c r="AD31" s="38" t="s">
        <v>56</v>
      </c>
      <c r="AJ31" t="s">
        <v>288</v>
      </c>
      <c r="AL31" t="s">
        <v>908</v>
      </c>
      <c r="AM31" t="s">
        <v>272</v>
      </c>
      <c r="AO31" t="s">
        <v>909</v>
      </c>
      <c r="AP31" t="s">
        <v>910</v>
      </c>
      <c r="AQ31" t="s">
        <v>911</v>
      </c>
      <c r="AR31" t="s">
        <v>912</v>
      </c>
      <c r="AS31" t="s">
        <v>913</v>
      </c>
      <c r="AT31" t="s">
        <v>133</v>
      </c>
      <c r="AU31" t="s">
        <v>914</v>
      </c>
      <c r="AV31" t="s">
        <v>915</v>
      </c>
      <c r="AX31" t="s">
        <v>916</v>
      </c>
      <c r="AY31" t="s">
        <v>917</v>
      </c>
      <c r="AZ31" t="s">
        <v>918</v>
      </c>
      <c r="BC31" t="s">
        <v>919</v>
      </c>
      <c r="BE31" t="s">
        <v>920</v>
      </c>
      <c r="BG31" t="s">
        <v>921</v>
      </c>
      <c r="BH31" t="s">
        <v>922</v>
      </c>
      <c r="BI31" t="s">
        <v>923</v>
      </c>
      <c r="BJ31" t="s">
        <v>924</v>
      </c>
      <c r="BK31" t="s">
        <v>925</v>
      </c>
    </row>
    <row r="32" spans="5:63" x14ac:dyDescent="0.35">
      <c r="F32" s="28"/>
      <c r="AD32" s="38" t="s">
        <v>101</v>
      </c>
      <c r="AJ32" t="s">
        <v>289</v>
      </c>
      <c r="AL32" t="s">
        <v>926</v>
      </c>
      <c r="AM32" t="s">
        <v>927</v>
      </c>
      <c r="AO32" t="s">
        <v>928</v>
      </c>
      <c r="AP32" t="s">
        <v>929</v>
      </c>
      <c r="AQ32" t="s">
        <v>930</v>
      </c>
      <c r="AR32" t="s">
        <v>931</v>
      </c>
      <c r="AS32" t="s">
        <v>932</v>
      </c>
      <c r="AT32" t="s">
        <v>134</v>
      </c>
      <c r="AU32" t="s">
        <v>933</v>
      </c>
      <c r="AV32" t="s">
        <v>934</v>
      </c>
      <c r="AX32" t="s">
        <v>935</v>
      </c>
      <c r="AY32" t="s">
        <v>936</v>
      </c>
      <c r="AZ32" t="s">
        <v>937</v>
      </c>
      <c r="BC32" t="s">
        <v>938</v>
      </c>
      <c r="BE32" t="s">
        <v>939</v>
      </c>
      <c r="BG32" t="s">
        <v>940</v>
      </c>
      <c r="BH32" t="s">
        <v>941</v>
      </c>
      <c r="BI32" t="s">
        <v>942</v>
      </c>
      <c r="BJ32" t="s">
        <v>943</v>
      </c>
      <c r="BK32" t="s">
        <v>944</v>
      </c>
    </row>
    <row r="33" spans="6:63" x14ac:dyDescent="0.35">
      <c r="F33" s="28"/>
      <c r="AD33" s="38" t="s">
        <v>102</v>
      </c>
      <c r="AJ33" t="s">
        <v>290</v>
      </c>
      <c r="AL33" t="s">
        <v>945</v>
      </c>
      <c r="AM33" t="s">
        <v>946</v>
      </c>
      <c r="AO33" t="s">
        <v>947</v>
      </c>
      <c r="AP33" t="s">
        <v>948</v>
      </c>
      <c r="AQ33" t="s">
        <v>949</v>
      </c>
      <c r="AR33" t="s">
        <v>950</v>
      </c>
      <c r="AS33" t="s">
        <v>726</v>
      </c>
      <c r="AT33" t="s">
        <v>135</v>
      </c>
      <c r="AU33" t="s">
        <v>951</v>
      </c>
      <c r="AV33" t="s">
        <v>952</v>
      </c>
      <c r="AX33" t="s">
        <v>953</v>
      </c>
      <c r="AY33" t="s">
        <v>954</v>
      </c>
      <c r="AZ33" t="s">
        <v>955</v>
      </c>
      <c r="BC33" t="s">
        <v>956</v>
      </c>
      <c r="BE33" t="s">
        <v>957</v>
      </c>
      <c r="BG33" t="s">
        <v>958</v>
      </c>
      <c r="BH33" t="s">
        <v>959</v>
      </c>
      <c r="BI33" t="s">
        <v>960</v>
      </c>
      <c r="BJ33" t="s">
        <v>961</v>
      </c>
      <c r="BK33" t="s">
        <v>89</v>
      </c>
    </row>
    <row r="34" spans="6:63" x14ac:dyDescent="0.35">
      <c r="F34" s="28"/>
      <c r="AJ34" t="s">
        <v>291</v>
      </c>
      <c r="AL34" t="s">
        <v>962</v>
      </c>
      <c r="AM34" t="s">
        <v>963</v>
      </c>
      <c r="AO34" t="s">
        <v>964</v>
      </c>
      <c r="AP34" t="s">
        <v>965</v>
      </c>
      <c r="AQ34" t="s">
        <v>966</v>
      </c>
      <c r="AR34" t="s">
        <v>967</v>
      </c>
      <c r="AS34" t="s">
        <v>968</v>
      </c>
      <c r="AT34" t="s">
        <v>136</v>
      </c>
      <c r="AU34" t="s">
        <v>969</v>
      </c>
      <c r="AV34" t="s">
        <v>970</v>
      </c>
      <c r="AX34" t="s">
        <v>971</v>
      </c>
      <c r="AY34" t="s">
        <v>972</v>
      </c>
      <c r="AZ34" t="s">
        <v>973</v>
      </c>
      <c r="BC34" t="s">
        <v>974</v>
      </c>
      <c r="BE34" t="s">
        <v>975</v>
      </c>
      <c r="BG34" t="s">
        <v>976</v>
      </c>
      <c r="BH34" t="s">
        <v>977</v>
      </c>
      <c r="BI34" t="s">
        <v>978</v>
      </c>
      <c r="BJ34" t="s">
        <v>979</v>
      </c>
      <c r="BK34" t="s">
        <v>980</v>
      </c>
    </row>
    <row r="35" spans="6:63" x14ac:dyDescent="0.35">
      <c r="F35" s="28"/>
      <c r="AJ35" t="s">
        <v>292</v>
      </c>
      <c r="AL35" t="s">
        <v>981</v>
      </c>
      <c r="AM35" t="s">
        <v>982</v>
      </c>
      <c r="AO35" t="s">
        <v>983</v>
      </c>
      <c r="AP35" t="s">
        <v>984</v>
      </c>
      <c r="AQ35" t="s">
        <v>985</v>
      </c>
      <c r="AR35" t="s">
        <v>986</v>
      </c>
      <c r="AS35" t="s">
        <v>987</v>
      </c>
      <c r="AT35" t="s">
        <v>137</v>
      </c>
      <c r="AU35" t="s">
        <v>988</v>
      </c>
      <c r="AV35" t="s">
        <v>989</v>
      </c>
      <c r="AX35" t="s">
        <v>990</v>
      </c>
      <c r="AY35" t="s">
        <v>991</v>
      </c>
      <c r="AZ35" t="s">
        <v>992</v>
      </c>
      <c r="BC35" t="s">
        <v>984</v>
      </c>
      <c r="BE35" t="s">
        <v>993</v>
      </c>
      <c r="BG35" t="s">
        <v>994</v>
      </c>
      <c r="BH35" t="s">
        <v>995</v>
      </c>
      <c r="BI35" t="s">
        <v>996</v>
      </c>
      <c r="BJ35" t="s">
        <v>997</v>
      </c>
      <c r="BK35" t="s">
        <v>998</v>
      </c>
    </row>
    <row r="36" spans="6:63" x14ac:dyDescent="0.35">
      <c r="F36" s="28"/>
      <c r="AJ36" t="s">
        <v>293</v>
      </c>
      <c r="AL36" t="s">
        <v>999</v>
      </c>
      <c r="AM36" t="s">
        <v>273</v>
      </c>
      <c r="AO36" t="s">
        <v>1000</v>
      </c>
      <c r="AP36" t="s">
        <v>1001</v>
      </c>
      <c r="AQ36" t="s">
        <v>1002</v>
      </c>
      <c r="AR36" t="s">
        <v>1003</v>
      </c>
      <c r="AS36" t="s">
        <v>1004</v>
      </c>
      <c r="AT36" t="s">
        <v>138</v>
      </c>
      <c r="AU36" t="s">
        <v>87</v>
      </c>
      <c r="AV36" t="s">
        <v>1005</v>
      </c>
      <c r="AX36" t="s">
        <v>1006</v>
      </c>
      <c r="AY36" t="s">
        <v>1007</v>
      </c>
      <c r="AZ36" t="s">
        <v>1008</v>
      </c>
      <c r="BC36" t="s">
        <v>1009</v>
      </c>
      <c r="BE36" t="s">
        <v>1010</v>
      </c>
      <c r="BG36" t="s">
        <v>1011</v>
      </c>
      <c r="BH36" t="s">
        <v>1012</v>
      </c>
      <c r="BI36" t="s">
        <v>1013</v>
      </c>
      <c r="BJ36" t="s">
        <v>1014</v>
      </c>
      <c r="BK36" t="s">
        <v>1015</v>
      </c>
    </row>
    <row r="37" spans="6:63" x14ac:dyDescent="0.35">
      <c r="F37" s="28"/>
      <c r="AJ37" t="s">
        <v>294</v>
      </c>
      <c r="AL37" t="s">
        <v>465</v>
      </c>
      <c r="AM37" t="s">
        <v>274</v>
      </c>
      <c r="AO37" t="s">
        <v>1016</v>
      </c>
      <c r="AP37" t="s">
        <v>1017</v>
      </c>
      <c r="AQ37" t="s">
        <v>1018</v>
      </c>
      <c r="AR37" t="s">
        <v>160</v>
      </c>
      <c r="AS37" t="s">
        <v>1019</v>
      </c>
      <c r="AT37" t="s">
        <v>139</v>
      </c>
      <c r="AU37" t="s">
        <v>1020</v>
      </c>
      <c r="AV37" t="s">
        <v>1021</v>
      </c>
      <c r="AX37" t="s">
        <v>159</v>
      </c>
      <c r="AY37" t="s">
        <v>1022</v>
      </c>
      <c r="AZ37" t="s">
        <v>1023</v>
      </c>
      <c r="BC37" t="s">
        <v>1024</v>
      </c>
      <c r="BE37" t="s">
        <v>1025</v>
      </c>
      <c r="BG37" t="s">
        <v>1026</v>
      </c>
      <c r="BH37" t="s">
        <v>1027</v>
      </c>
      <c r="BI37" t="s">
        <v>1028</v>
      </c>
      <c r="BJ37" t="s">
        <v>1029</v>
      </c>
      <c r="BK37" t="s">
        <v>1030</v>
      </c>
    </row>
    <row r="38" spans="6:63" x14ac:dyDescent="0.35">
      <c r="F38" s="28"/>
      <c r="AJ38" t="s">
        <v>295</v>
      </c>
      <c r="AL38" t="s">
        <v>1031</v>
      </c>
      <c r="AM38" t="s">
        <v>1032</v>
      </c>
      <c r="AO38" t="s">
        <v>1033</v>
      </c>
      <c r="AP38" t="s">
        <v>1034</v>
      </c>
      <c r="AQ38" t="s">
        <v>1035</v>
      </c>
      <c r="AR38" t="s">
        <v>1036</v>
      </c>
      <c r="AS38" t="s">
        <v>1037</v>
      </c>
      <c r="AT38" t="s">
        <v>140</v>
      </c>
      <c r="AU38" t="s">
        <v>1038</v>
      </c>
      <c r="AX38" t="s">
        <v>1039</v>
      </c>
      <c r="AY38" t="s">
        <v>1040</v>
      </c>
      <c r="AZ38" t="s">
        <v>1041</v>
      </c>
      <c r="BC38" t="s">
        <v>1042</v>
      </c>
      <c r="BE38" t="s">
        <v>1043</v>
      </c>
      <c r="BG38" t="s">
        <v>1044</v>
      </c>
      <c r="BH38" t="s">
        <v>1045</v>
      </c>
      <c r="BI38" t="s">
        <v>1046</v>
      </c>
      <c r="BJ38" t="s">
        <v>1047</v>
      </c>
      <c r="BK38" t="s">
        <v>1048</v>
      </c>
    </row>
    <row r="39" spans="6:63" x14ac:dyDescent="0.35">
      <c r="AJ39" t="s">
        <v>296</v>
      </c>
      <c r="AL39" t="s">
        <v>1049</v>
      </c>
      <c r="AM39" t="s">
        <v>1050</v>
      </c>
      <c r="AO39" t="s">
        <v>1051</v>
      </c>
      <c r="AP39" t="s">
        <v>1052</v>
      </c>
      <c r="AQ39" t="s">
        <v>1053</v>
      </c>
      <c r="AR39" t="s">
        <v>1054</v>
      </c>
      <c r="AS39" t="s">
        <v>587</v>
      </c>
      <c r="AT39" t="s">
        <v>141</v>
      </c>
      <c r="AU39" t="s">
        <v>1055</v>
      </c>
      <c r="AX39" t="s">
        <v>1056</v>
      </c>
      <c r="AY39" t="s">
        <v>1057</v>
      </c>
      <c r="AZ39" t="s">
        <v>1058</v>
      </c>
      <c r="BC39" t="s">
        <v>1059</v>
      </c>
      <c r="BE39" t="s">
        <v>1060</v>
      </c>
      <c r="BG39" t="s">
        <v>1061</v>
      </c>
      <c r="BH39" t="s">
        <v>1062</v>
      </c>
      <c r="BI39" t="s">
        <v>1063</v>
      </c>
      <c r="BJ39" t="s">
        <v>1064</v>
      </c>
      <c r="BK39" t="s">
        <v>1065</v>
      </c>
    </row>
    <row r="40" spans="6:63" x14ac:dyDescent="0.35">
      <c r="AL40" t="s">
        <v>1066</v>
      </c>
      <c r="AM40" t="s">
        <v>1067</v>
      </c>
      <c r="AO40" t="s">
        <v>802</v>
      </c>
      <c r="AP40" t="s">
        <v>1068</v>
      </c>
      <c r="AQ40" t="s">
        <v>1069</v>
      </c>
      <c r="AR40" t="s">
        <v>1070</v>
      </c>
      <c r="AS40" t="s">
        <v>1071</v>
      </c>
      <c r="AT40" t="s">
        <v>142</v>
      </c>
      <c r="AU40" t="s">
        <v>1072</v>
      </c>
      <c r="AX40" t="s">
        <v>1073</v>
      </c>
      <c r="AY40" t="s">
        <v>1074</v>
      </c>
      <c r="AZ40" t="s">
        <v>1075</v>
      </c>
      <c r="BC40" t="s">
        <v>1076</v>
      </c>
      <c r="BE40" t="s">
        <v>1077</v>
      </c>
      <c r="BG40" t="s">
        <v>1078</v>
      </c>
      <c r="BH40" t="s">
        <v>1079</v>
      </c>
      <c r="BI40" t="s">
        <v>1080</v>
      </c>
      <c r="BJ40" t="s">
        <v>1081</v>
      </c>
      <c r="BK40" t="s">
        <v>1082</v>
      </c>
    </row>
    <row r="41" spans="6:63" x14ac:dyDescent="0.35">
      <c r="AL41" t="s">
        <v>1083</v>
      </c>
      <c r="AM41" t="s">
        <v>1084</v>
      </c>
      <c r="AP41" t="s">
        <v>1085</v>
      </c>
      <c r="AQ41" t="s">
        <v>1086</v>
      </c>
      <c r="AR41" t="s">
        <v>1087</v>
      </c>
      <c r="AS41" t="s">
        <v>1088</v>
      </c>
      <c r="AT41" t="s">
        <v>143</v>
      </c>
      <c r="AU41" t="s">
        <v>1089</v>
      </c>
      <c r="AX41" t="s">
        <v>1090</v>
      </c>
      <c r="AY41" t="s">
        <v>1091</v>
      </c>
      <c r="AZ41" t="s">
        <v>1092</v>
      </c>
      <c r="BC41" t="s">
        <v>1093</v>
      </c>
      <c r="BE41" t="s">
        <v>817</v>
      </c>
      <c r="BG41" t="s">
        <v>1094</v>
      </c>
      <c r="BH41" t="s">
        <v>1095</v>
      </c>
      <c r="BI41" t="s">
        <v>1096</v>
      </c>
      <c r="BJ41" t="s">
        <v>1097</v>
      </c>
      <c r="BK41" t="s">
        <v>1098</v>
      </c>
    </row>
    <row r="42" spans="6:63" x14ac:dyDescent="0.35">
      <c r="AL42" t="s">
        <v>1099</v>
      </c>
      <c r="AM42" t="s">
        <v>1100</v>
      </c>
      <c r="AP42" t="s">
        <v>1101</v>
      </c>
      <c r="AQ42" t="s">
        <v>1102</v>
      </c>
      <c r="AR42" t="s">
        <v>1103</v>
      </c>
      <c r="AS42" t="s">
        <v>1104</v>
      </c>
      <c r="AT42" t="s">
        <v>144</v>
      </c>
      <c r="AU42" t="s">
        <v>1105</v>
      </c>
      <c r="AX42" t="s">
        <v>1106</v>
      </c>
      <c r="AY42" t="s">
        <v>1107</v>
      </c>
      <c r="AZ42" t="s">
        <v>1108</v>
      </c>
      <c r="BC42" t="s">
        <v>1109</v>
      </c>
      <c r="BE42" t="s">
        <v>1110</v>
      </c>
      <c r="BG42" t="s">
        <v>1111</v>
      </c>
      <c r="BH42" t="s">
        <v>1112</v>
      </c>
      <c r="BI42" t="s">
        <v>1113</v>
      </c>
      <c r="BJ42" t="s">
        <v>1114</v>
      </c>
      <c r="BK42" t="s">
        <v>1115</v>
      </c>
    </row>
    <row r="43" spans="6:63" x14ac:dyDescent="0.35">
      <c r="AL43" t="s">
        <v>1116</v>
      </c>
      <c r="AM43" t="s">
        <v>1117</v>
      </c>
      <c r="AP43" t="s">
        <v>1118</v>
      </c>
      <c r="AQ43" t="s">
        <v>1119</v>
      </c>
      <c r="AR43" t="s">
        <v>1120</v>
      </c>
      <c r="AS43" t="s">
        <v>1121</v>
      </c>
      <c r="AT43" t="s">
        <v>145</v>
      </c>
      <c r="AU43" t="s">
        <v>1122</v>
      </c>
      <c r="AX43" t="s">
        <v>1123</v>
      </c>
      <c r="AY43" t="s">
        <v>1124</v>
      </c>
      <c r="AZ43" t="s">
        <v>1125</v>
      </c>
      <c r="BC43" t="s">
        <v>1126</v>
      </c>
      <c r="BE43" t="s">
        <v>1127</v>
      </c>
      <c r="BG43" t="s">
        <v>1128</v>
      </c>
      <c r="BH43" t="s">
        <v>1129</v>
      </c>
      <c r="BI43" t="s">
        <v>1130</v>
      </c>
      <c r="BJ43" t="s">
        <v>1131</v>
      </c>
      <c r="BK43" t="s">
        <v>1132</v>
      </c>
    </row>
    <row r="44" spans="6:63" x14ac:dyDescent="0.35">
      <c r="AL44" t="s">
        <v>1133</v>
      </c>
      <c r="AM44" t="s">
        <v>1134</v>
      </c>
      <c r="AP44" t="s">
        <v>1111</v>
      </c>
      <c r="AQ44" t="s">
        <v>1135</v>
      </c>
      <c r="AR44" t="s">
        <v>1136</v>
      </c>
      <c r="AS44" t="s">
        <v>1137</v>
      </c>
      <c r="AT44" t="s">
        <v>146</v>
      </c>
      <c r="AU44" t="s">
        <v>1138</v>
      </c>
      <c r="AX44" t="s">
        <v>1139</v>
      </c>
      <c r="AY44" t="s">
        <v>1140</v>
      </c>
      <c r="AZ44" t="s">
        <v>1141</v>
      </c>
      <c r="BC44" t="s">
        <v>1142</v>
      </c>
      <c r="BE44" t="s">
        <v>1143</v>
      </c>
      <c r="BG44" t="s">
        <v>1144</v>
      </c>
      <c r="BH44" t="s">
        <v>192</v>
      </c>
      <c r="BI44" t="s">
        <v>1145</v>
      </c>
      <c r="BJ44" t="s">
        <v>1146</v>
      </c>
      <c r="BK44" t="s">
        <v>1147</v>
      </c>
    </row>
    <row r="45" spans="6:63" x14ac:dyDescent="0.35">
      <c r="AL45" t="s">
        <v>1148</v>
      </c>
      <c r="AM45" t="s">
        <v>276</v>
      </c>
      <c r="AP45" t="s">
        <v>1128</v>
      </c>
      <c r="AQ45" t="s">
        <v>1149</v>
      </c>
      <c r="AR45" t="s">
        <v>1150</v>
      </c>
      <c r="AS45" t="s">
        <v>1151</v>
      </c>
      <c r="AT45" t="s">
        <v>147</v>
      </c>
      <c r="AU45" t="s">
        <v>273</v>
      </c>
      <c r="AX45" t="s">
        <v>1152</v>
      </c>
      <c r="AY45" t="s">
        <v>1153</v>
      </c>
      <c r="AZ45" t="s">
        <v>1154</v>
      </c>
      <c r="BC45" t="s">
        <v>1155</v>
      </c>
      <c r="BE45" t="s">
        <v>1156</v>
      </c>
      <c r="BH45" t="s">
        <v>1157</v>
      </c>
      <c r="BI45" t="s">
        <v>1158</v>
      </c>
      <c r="BJ45" t="s">
        <v>1159</v>
      </c>
      <c r="BK45" t="s">
        <v>98</v>
      </c>
    </row>
    <row r="46" spans="6:63" x14ac:dyDescent="0.35">
      <c r="AL46" t="s">
        <v>1160</v>
      </c>
      <c r="AM46" t="s">
        <v>1161</v>
      </c>
      <c r="AP46" t="s">
        <v>1162</v>
      </c>
      <c r="AQ46" t="s">
        <v>1163</v>
      </c>
      <c r="AR46" t="s">
        <v>1164</v>
      </c>
      <c r="AS46" t="s">
        <v>1165</v>
      </c>
      <c r="AT46" t="s">
        <v>148</v>
      </c>
      <c r="AU46" t="s">
        <v>1166</v>
      </c>
      <c r="AX46" t="s">
        <v>1167</v>
      </c>
      <c r="AY46" t="s">
        <v>1168</v>
      </c>
      <c r="AZ46" t="s">
        <v>1169</v>
      </c>
      <c r="BC46" t="s">
        <v>1170</v>
      </c>
      <c r="BE46" t="s">
        <v>1171</v>
      </c>
      <c r="BH46" t="s">
        <v>1172</v>
      </c>
      <c r="BI46" t="s">
        <v>1173</v>
      </c>
      <c r="BJ46" t="s">
        <v>1174</v>
      </c>
      <c r="BK46" t="s">
        <v>1175</v>
      </c>
    </row>
    <row r="47" spans="6:63" x14ac:dyDescent="0.35">
      <c r="AL47" t="s">
        <v>1176</v>
      </c>
      <c r="AM47" t="s">
        <v>89</v>
      </c>
      <c r="AP47" t="s">
        <v>1177</v>
      </c>
      <c r="AQ47" t="s">
        <v>1178</v>
      </c>
      <c r="AR47" t="s">
        <v>1179</v>
      </c>
      <c r="AS47" t="s">
        <v>1180</v>
      </c>
      <c r="AT47" t="s">
        <v>149</v>
      </c>
      <c r="AU47" t="s">
        <v>1181</v>
      </c>
      <c r="AX47" t="s">
        <v>1182</v>
      </c>
      <c r="AY47" t="s">
        <v>1183</v>
      </c>
      <c r="AZ47" t="s">
        <v>1184</v>
      </c>
      <c r="BC47" t="s">
        <v>1185</v>
      </c>
      <c r="BE47" t="s">
        <v>1186</v>
      </c>
      <c r="BH47" t="s">
        <v>1187</v>
      </c>
      <c r="BI47" t="s">
        <v>1188</v>
      </c>
      <c r="BJ47" t="s">
        <v>1189</v>
      </c>
      <c r="BK47" t="s">
        <v>1190</v>
      </c>
    </row>
    <row r="48" spans="6:63" x14ac:dyDescent="0.35">
      <c r="AL48" t="s">
        <v>1191</v>
      </c>
      <c r="AM48" t="s">
        <v>1192</v>
      </c>
      <c r="AQ48" t="s">
        <v>1193</v>
      </c>
      <c r="AR48" t="s">
        <v>1194</v>
      </c>
      <c r="AS48" t="s">
        <v>1195</v>
      </c>
      <c r="AT48" t="s">
        <v>150</v>
      </c>
      <c r="AU48" t="s">
        <v>274</v>
      </c>
      <c r="AX48" t="s">
        <v>1196</v>
      </c>
      <c r="AY48" t="s">
        <v>1197</v>
      </c>
      <c r="AZ48" t="s">
        <v>1198</v>
      </c>
      <c r="BC48" t="s">
        <v>1199</v>
      </c>
      <c r="BE48" t="s">
        <v>1200</v>
      </c>
      <c r="BH48" t="s">
        <v>1201</v>
      </c>
      <c r="BI48" t="s">
        <v>1202</v>
      </c>
      <c r="BJ48" t="s">
        <v>1203</v>
      </c>
      <c r="BK48" t="s">
        <v>1204</v>
      </c>
    </row>
    <row r="49" spans="38:63" x14ac:dyDescent="0.35">
      <c r="AL49" t="s">
        <v>1205</v>
      </c>
      <c r="AM49" t="s">
        <v>1206</v>
      </c>
      <c r="AQ49" t="s">
        <v>1207</v>
      </c>
      <c r="AR49" t="s">
        <v>1208</v>
      </c>
      <c r="AS49" t="s">
        <v>232</v>
      </c>
      <c r="AT49" t="s">
        <v>151</v>
      </c>
      <c r="AU49" t="s">
        <v>1209</v>
      </c>
      <c r="AX49" t="s">
        <v>984</v>
      </c>
      <c r="AY49" t="s">
        <v>1210</v>
      </c>
      <c r="AZ49" t="s">
        <v>1211</v>
      </c>
      <c r="BC49" t="s">
        <v>1212</v>
      </c>
      <c r="BE49" t="s">
        <v>1213</v>
      </c>
      <c r="BH49" t="s">
        <v>1214</v>
      </c>
      <c r="BI49" t="s">
        <v>1215</v>
      </c>
      <c r="BJ49" t="s">
        <v>1216</v>
      </c>
      <c r="BK49" t="s">
        <v>1217</v>
      </c>
    </row>
    <row r="50" spans="38:63" x14ac:dyDescent="0.35">
      <c r="AL50" t="s">
        <v>1218</v>
      </c>
      <c r="AM50" t="s">
        <v>1219</v>
      </c>
      <c r="AQ50" t="s">
        <v>1220</v>
      </c>
      <c r="AR50" t="s">
        <v>1221</v>
      </c>
      <c r="AS50" t="s">
        <v>1222</v>
      </c>
      <c r="AT50" t="s">
        <v>152</v>
      </c>
      <c r="AU50" t="s">
        <v>1223</v>
      </c>
      <c r="AX50" t="s">
        <v>1224</v>
      </c>
      <c r="AY50" t="s">
        <v>1225</v>
      </c>
      <c r="AZ50" t="s">
        <v>1226</v>
      </c>
      <c r="BC50" t="s">
        <v>1227</v>
      </c>
      <c r="BE50" t="s">
        <v>1228</v>
      </c>
      <c r="BH50" t="s">
        <v>1229</v>
      </c>
      <c r="BI50" t="s">
        <v>1230</v>
      </c>
      <c r="BJ50" t="s">
        <v>1231</v>
      </c>
      <c r="BK50" t="s">
        <v>1232</v>
      </c>
    </row>
    <row r="51" spans="38:63" x14ac:dyDescent="0.35">
      <c r="AL51" t="s">
        <v>1233</v>
      </c>
      <c r="AM51" t="s">
        <v>1234</v>
      </c>
      <c r="AQ51" t="s">
        <v>1235</v>
      </c>
      <c r="AR51" t="s">
        <v>1236</v>
      </c>
      <c r="AS51" t="s">
        <v>1237</v>
      </c>
      <c r="AT51" t="s">
        <v>153</v>
      </c>
      <c r="AU51" t="s">
        <v>1238</v>
      </c>
      <c r="AX51" t="s">
        <v>1239</v>
      </c>
      <c r="AY51" t="s">
        <v>1240</v>
      </c>
      <c r="AZ51" t="s">
        <v>1241</v>
      </c>
      <c r="BC51" t="s">
        <v>1242</v>
      </c>
      <c r="BE51" t="s">
        <v>1243</v>
      </c>
      <c r="BH51" t="s">
        <v>100</v>
      </c>
      <c r="BI51" t="s">
        <v>1244</v>
      </c>
      <c r="BJ51" t="s">
        <v>1245</v>
      </c>
      <c r="BK51" t="s">
        <v>1246</v>
      </c>
    </row>
    <row r="52" spans="38:63" x14ac:dyDescent="0.35">
      <c r="AL52" t="s">
        <v>1247</v>
      </c>
      <c r="AM52" t="s">
        <v>281</v>
      </c>
      <c r="AQ52" t="s">
        <v>1248</v>
      </c>
      <c r="AR52" t="s">
        <v>1249</v>
      </c>
      <c r="AS52" t="s">
        <v>1250</v>
      </c>
      <c r="AT52" t="s">
        <v>154</v>
      </c>
      <c r="AU52" t="s">
        <v>753</v>
      </c>
      <c r="AX52" t="s">
        <v>1251</v>
      </c>
      <c r="AY52" t="s">
        <v>1252</v>
      </c>
      <c r="AZ52" t="s">
        <v>1253</v>
      </c>
      <c r="BC52" t="s">
        <v>1254</v>
      </c>
      <c r="BE52" t="s">
        <v>1255</v>
      </c>
      <c r="BH52" t="s">
        <v>937</v>
      </c>
      <c r="BI52" t="s">
        <v>1256</v>
      </c>
      <c r="BJ52" t="s">
        <v>1257</v>
      </c>
      <c r="BK52" t="s">
        <v>1258</v>
      </c>
    </row>
    <row r="53" spans="38:63" x14ac:dyDescent="0.35">
      <c r="AL53" t="s">
        <v>274</v>
      </c>
      <c r="AM53" t="s">
        <v>1259</v>
      </c>
      <c r="AQ53" t="s">
        <v>1260</v>
      </c>
      <c r="AR53" t="s">
        <v>1261</v>
      </c>
      <c r="AS53" t="s">
        <v>1262</v>
      </c>
      <c r="AT53" t="s">
        <v>155</v>
      </c>
      <c r="AU53" t="s">
        <v>461</v>
      </c>
      <c r="AY53" t="s">
        <v>1263</v>
      </c>
      <c r="AZ53" t="s">
        <v>1264</v>
      </c>
      <c r="BC53" t="s">
        <v>1265</v>
      </c>
      <c r="BE53" t="s">
        <v>175</v>
      </c>
      <c r="BH53" t="s">
        <v>1266</v>
      </c>
      <c r="BI53" t="s">
        <v>1267</v>
      </c>
      <c r="BJ53" t="s">
        <v>1268</v>
      </c>
      <c r="BK53" t="s">
        <v>1269</v>
      </c>
    </row>
    <row r="54" spans="38:63" x14ac:dyDescent="0.35">
      <c r="AL54" t="s">
        <v>1270</v>
      </c>
      <c r="AM54" t="s">
        <v>1271</v>
      </c>
      <c r="AQ54" t="s">
        <v>1272</v>
      </c>
      <c r="AR54" t="s">
        <v>1273</v>
      </c>
      <c r="AS54" t="s">
        <v>1274</v>
      </c>
      <c r="AT54" t="s">
        <v>156</v>
      </c>
      <c r="AU54" t="s">
        <v>1275</v>
      </c>
      <c r="AY54" t="s">
        <v>1276</v>
      </c>
      <c r="AZ54" t="s">
        <v>1277</v>
      </c>
      <c r="BC54" t="s">
        <v>1278</v>
      </c>
      <c r="BE54" t="s">
        <v>651</v>
      </c>
      <c r="BH54" t="s">
        <v>1279</v>
      </c>
      <c r="BI54" t="s">
        <v>1280</v>
      </c>
      <c r="BJ54" t="s">
        <v>1281</v>
      </c>
      <c r="BK54" t="s">
        <v>1282</v>
      </c>
    </row>
    <row r="55" spans="38:63" x14ac:dyDescent="0.35">
      <c r="AL55" t="s">
        <v>1283</v>
      </c>
      <c r="AM55" t="s">
        <v>1284</v>
      </c>
      <c r="AQ55" t="s">
        <v>1285</v>
      </c>
      <c r="AR55" t="s">
        <v>1286</v>
      </c>
      <c r="AS55" t="s">
        <v>1287</v>
      </c>
      <c r="AT55" t="s">
        <v>157</v>
      </c>
      <c r="AU55" t="s">
        <v>1288</v>
      </c>
      <c r="AY55" t="s">
        <v>1289</v>
      </c>
      <c r="AZ55" t="s">
        <v>1290</v>
      </c>
      <c r="BC55" t="s">
        <v>1291</v>
      </c>
      <c r="BE55" t="s">
        <v>1292</v>
      </c>
      <c r="BH55" t="s">
        <v>1293</v>
      </c>
      <c r="BI55" t="s">
        <v>1294</v>
      </c>
      <c r="BJ55" t="s">
        <v>1295</v>
      </c>
      <c r="BK55" t="s">
        <v>1296</v>
      </c>
    </row>
    <row r="56" spans="38:63" x14ac:dyDescent="0.35">
      <c r="AL56" t="s">
        <v>1297</v>
      </c>
      <c r="AM56" t="s">
        <v>1298</v>
      </c>
      <c r="AQ56" t="s">
        <v>1299</v>
      </c>
      <c r="AR56" t="s">
        <v>1300</v>
      </c>
      <c r="AS56" t="s">
        <v>1301</v>
      </c>
      <c r="AT56" t="s">
        <v>158</v>
      </c>
      <c r="AU56" t="s">
        <v>1302</v>
      </c>
      <c r="AY56" t="s">
        <v>1303</v>
      </c>
      <c r="AZ56" t="s">
        <v>1304</v>
      </c>
      <c r="BC56" t="s">
        <v>1305</v>
      </c>
      <c r="BE56" t="s">
        <v>1306</v>
      </c>
      <c r="BH56" t="s">
        <v>1307</v>
      </c>
      <c r="BI56" t="s">
        <v>1308</v>
      </c>
      <c r="BJ56" t="s">
        <v>1309</v>
      </c>
      <c r="BK56" t="s">
        <v>1310</v>
      </c>
    </row>
    <row r="57" spans="38:63" x14ac:dyDescent="0.35">
      <c r="AL57" t="s">
        <v>1311</v>
      </c>
      <c r="AM57" t="s">
        <v>651</v>
      </c>
      <c r="AQ57" t="s">
        <v>1312</v>
      </c>
      <c r="AR57" t="s">
        <v>1313</v>
      </c>
      <c r="AS57" t="s">
        <v>1314</v>
      </c>
      <c r="AT57" t="s">
        <v>159</v>
      </c>
      <c r="AU57" t="s">
        <v>1315</v>
      </c>
      <c r="AY57" t="s">
        <v>1316</v>
      </c>
      <c r="AZ57" t="s">
        <v>1317</v>
      </c>
      <c r="BC57" t="s">
        <v>1318</v>
      </c>
      <c r="BE57" t="s">
        <v>1319</v>
      </c>
      <c r="BH57" t="s">
        <v>1320</v>
      </c>
      <c r="BI57" t="s">
        <v>1321</v>
      </c>
      <c r="BJ57" t="s">
        <v>1322</v>
      </c>
      <c r="BK57" t="s">
        <v>1305</v>
      </c>
    </row>
    <row r="58" spans="38:63" x14ac:dyDescent="0.35">
      <c r="AL58" t="s">
        <v>1323</v>
      </c>
      <c r="AM58" t="s">
        <v>1324</v>
      </c>
      <c r="AQ58" t="s">
        <v>1325</v>
      </c>
      <c r="AR58" t="s">
        <v>1326</v>
      </c>
      <c r="AS58" t="s">
        <v>1060</v>
      </c>
      <c r="AT58" t="s">
        <v>160</v>
      </c>
      <c r="AU58" t="s">
        <v>1327</v>
      </c>
      <c r="AY58" t="s">
        <v>1328</v>
      </c>
      <c r="AZ58" t="s">
        <v>1329</v>
      </c>
      <c r="BC58" t="s">
        <v>1330</v>
      </c>
      <c r="BE58" t="s">
        <v>1331</v>
      </c>
      <c r="BH58" t="s">
        <v>1332</v>
      </c>
      <c r="BI58" t="s">
        <v>1333</v>
      </c>
      <c r="BJ58" t="s">
        <v>1334</v>
      </c>
      <c r="BK58" t="s">
        <v>1335</v>
      </c>
    </row>
    <row r="59" spans="38:63" x14ac:dyDescent="0.35">
      <c r="AL59" t="s">
        <v>1336</v>
      </c>
      <c r="AM59" t="s">
        <v>1337</v>
      </c>
      <c r="AQ59" t="s">
        <v>1338</v>
      </c>
      <c r="AR59" t="s">
        <v>1339</v>
      </c>
      <c r="AS59" t="s">
        <v>1340</v>
      </c>
      <c r="AT59" t="s">
        <v>161</v>
      </c>
      <c r="AU59" t="s">
        <v>89</v>
      </c>
      <c r="AY59" t="s">
        <v>1341</v>
      </c>
      <c r="AZ59" t="s">
        <v>1342</v>
      </c>
      <c r="BC59" t="s">
        <v>296</v>
      </c>
      <c r="BE59" t="s">
        <v>1343</v>
      </c>
      <c r="BH59" t="s">
        <v>1344</v>
      </c>
      <c r="BI59" t="s">
        <v>1345</v>
      </c>
      <c r="BJ59" t="s">
        <v>1346</v>
      </c>
      <c r="BK59" t="s">
        <v>102</v>
      </c>
    </row>
    <row r="60" spans="38:63" x14ac:dyDescent="0.35">
      <c r="AL60" t="s">
        <v>1347</v>
      </c>
      <c r="AM60" t="s">
        <v>1348</v>
      </c>
      <c r="AQ60" t="s">
        <v>1349</v>
      </c>
      <c r="AR60" t="s">
        <v>1350</v>
      </c>
      <c r="AS60" t="s">
        <v>1351</v>
      </c>
      <c r="AT60" t="s">
        <v>89</v>
      </c>
      <c r="AU60" t="s">
        <v>1352</v>
      </c>
      <c r="AY60" t="s">
        <v>1353</v>
      </c>
      <c r="AZ60" t="s">
        <v>1354</v>
      </c>
      <c r="BE60" t="s">
        <v>1355</v>
      </c>
      <c r="BH60" t="s">
        <v>1356</v>
      </c>
      <c r="BI60" t="s">
        <v>1357</v>
      </c>
      <c r="BJ60" t="s">
        <v>284</v>
      </c>
    </row>
    <row r="61" spans="38:63" x14ac:dyDescent="0.35">
      <c r="AL61" t="s">
        <v>1358</v>
      </c>
      <c r="AM61" t="s">
        <v>1359</v>
      </c>
      <c r="AQ61" t="s">
        <v>1360</v>
      </c>
      <c r="AR61" t="s">
        <v>1361</v>
      </c>
      <c r="AS61" t="s">
        <v>1362</v>
      </c>
      <c r="AT61" t="s">
        <v>162</v>
      </c>
      <c r="AU61" t="s">
        <v>1363</v>
      </c>
      <c r="AY61" t="s">
        <v>1364</v>
      </c>
      <c r="AZ61" t="s">
        <v>1365</v>
      </c>
      <c r="BE61" t="s">
        <v>1366</v>
      </c>
      <c r="BH61" t="s">
        <v>1367</v>
      </c>
      <c r="BI61" t="s">
        <v>1368</v>
      </c>
      <c r="BJ61" t="s">
        <v>1369</v>
      </c>
    </row>
    <row r="62" spans="38:63" x14ac:dyDescent="0.35">
      <c r="AL62" t="s">
        <v>1370</v>
      </c>
      <c r="AM62" t="s">
        <v>1371</v>
      </c>
      <c r="AQ62" t="s">
        <v>1372</v>
      </c>
      <c r="AR62" t="s">
        <v>1373</v>
      </c>
      <c r="AS62" t="s">
        <v>1374</v>
      </c>
      <c r="AT62" t="s">
        <v>163</v>
      </c>
      <c r="AU62" t="s">
        <v>1375</v>
      </c>
      <c r="AY62" t="s">
        <v>1376</v>
      </c>
      <c r="AZ62" t="s">
        <v>1377</v>
      </c>
      <c r="BE62" t="s">
        <v>1378</v>
      </c>
      <c r="BI62" t="s">
        <v>1379</v>
      </c>
      <c r="BJ62" t="s">
        <v>1380</v>
      </c>
    </row>
    <row r="63" spans="38:63" x14ac:dyDescent="0.35">
      <c r="AL63" t="s">
        <v>1381</v>
      </c>
      <c r="AM63" t="s">
        <v>1382</v>
      </c>
      <c r="AQ63" t="s">
        <v>1383</v>
      </c>
      <c r="AR63" t="s">
        <v>1384</v>
      </c>
      <c r="AS63" t="s">
        <v>1385</v>
      </c>
      <c r="AT63" t="s">
        <v>164</v>
      </c>
      <c r="AU63" t="s">
        <v>1386</v>
      </c>
      <c r="AY63" t="s">
        <v>1387</v>
      </c>
      <c r="AZ63" t="s">
        <v>1388</v>
      </c>
      <c r="BE63" t="s">
        <v>1389</v>
      </c>
      <c r="BI63" t="s">
        <v>1390</v>
      </c>
      <c r="BJ63" t="s">
        <v>1391</v>
      </c>
    </row>
    <row r="64" spans="38:63" x14ac:dyDescent="0.35">
      <c r="AL64" t="s">
        <v>1392</v>
      </c>
      <c r="AM64" t="s">
        <v>1393</v>
      </c>
      <c r="AQ64" t="s">
        <v>1394</v>
      </c>
      <c r="AR64" t="s">
        <v>1395</v>
      </c>
      <c r="AS64" t="s">
        <v>1396</v>
      </c>
      <c r="AT64" t="s">
        <v>165</v>
      </c>
      <c r="AU64" t="s">
        <v>1397</v>
      </c>
      <c r="AY64" t="s">
        <v>1398</v>
      </c>
      <c r="AZ64" t="s">
        <v>1399</v>
      </c>
      <c r="BE64" t="s">
        <v>1400</v>
      </c>
      <c r="BI64" t="s">
        <v>1401</v>
      </c>
      <c r="BJ64" t="s">
        <v>1402</v>
      </c>
    </row>
    <row r="65" spans="38:62" x14ac:dyDescent="0.35">
      <c r="AL65" t="s">
        <v>1403</v>
      </c>
      <c r="AM65" t="s">
        <v>1404</v>
      </c>
      <c r="AQ65" t="s">
        <v>1026</v>
      </c>
      <c r="AR65" t="s">
        <v>1405</v>
      </c>
      <c r="AS65" t="s">
        <v>1406</v>
      </c>
      <c r="AT65" t="s">
        <v>166</v>
      </c>
      <c r="AU65" t="s">
        <v>1407</v>
      </c>
      <c r="AY65" t="s">
        <v>1408</v>
      </c>
      <c r="AZ65" t="s">
        <v>1409</v>
      </c>
      <c r="BE65" t="s">
        <v>1410</v>
      </c>
      <c r="BI65" t="s">
        <v>1411</v>
      </c>
      <c r="BJ65" t="s">
        <v>241</v>
      </c>
    </row>
    <row r="66" spans="38:62" x14ac:dyDescent="0.35">
      <c r="AL66" t="s">
        <v>1077</v>
      </c>
      <c r="AM66" t="s">
        <v>1412</v>
      </c>
      <c r="AQ66" t="s">
        <v>1413</v>
      </c>
      <c r="AR66" t="s">
        <v>1414</v>
      </c>
      <c r="AS66" t="s">
        <v>1415</v>
      </c>
      <c r="AT66" t="s">
        <v>167</v>
      </c>
      <c r="AU66" t="s">
        <v>281</v>
      </c>
      <c r="AY66" t="s">
        <v>1416</v>
      </c>
      <c r="AZ66" t="s">
        <v>1417</v>
      </c>
      <c r="BE66" t="s">
        <v>1418</v>
      </c>
      <c r="BI66" t="s">
        <v>1419</v>
      </c>
      <c r="BJ66" t="s">
        <v>1420</v>
      </c>
    </row>
    <row r="67" spans="38:62" x14ac:dyDescent="0.35">
      <c r="AL67" t="s">
        <v>1421</v>
      </c>
      <c r="AM67" t="s">
        <v>1422</v>
      </c>
      <c r="AQ67" t="s">
        <v>1423</v>
      </c>
      <c r="AR67" t="s">
        <v>1424</v>
      </c>
      <c r="AS67" t="s">
        <v>1425</v>
      </c>
      <c r="AT67" t="s">
        <v>168</v>
      </c>
      <c r="AU67" t="s">
        <v>1426</v>
      </c>
      <c r="AY67" t="s">
        <v>1427</v>
      </c>
      <c r="AZ67" t="s">
        <v>1428</v>
      </c>
      <c r="BE67" t="s">
        <v>1429</v>
      </c>
      <c r="BI67" t="s">
        <v>465</v>
      </c>
      <c r="BJ67" t="s">
        <v>1430</v>
      </c>
    </row>
    <row r="68" spans="38:62" x14ac:dyDescent="0.35">
      <c r="AL68" t="s">
        <v>1431</v>
      </c>
      <c r="AM68" t="s">
        <v>1432</v>
      </c>
      <c r="AQ68" t="s">
        <v>1433</v>
      </c>
      <c r="AR68" t="s">
        <v>1434</v>
      </c>
      <c r="AS68" t="s">
        <v>1435</v>
      </c>
      <c r="AT68" t="s">
        <v>169</v>
      </c>
      <c r="AU68" t="s">
        <v>1436</v>
      </c>
      <c r="AY68" t="s">
        <v>1437</v>
      </c>
      <c r="AZ68" t="s">
        <v>1438</v>
      </c>
      <c r="BE68" t="s">
        <v>1439</v>
      </c>
      <c r="BI68" t="s">
        <v>1440</v>
      </c>
      <c r="BJ68" t="s">
        <v>1441</v>
      </c>
    </row>
    <row r="69" spans="38:62" x14ac:dyDescent="0.35">
      <c r="AL69" t="s">
        <v>1442</v>
      </c>
      <c r="AQ69" t="s">
        <v>1443</v>
      </c>
      <c r="AR69" t="s">
        <v>1444</v>
      </c>
      <c r="AS69" t="s">
        <v>1445</v>
      </c>
      <c r="AT69" t="s">
        <v>170</v>
      </c>
      <c r="AU69" t="s">
        <v>1446</v>
      </c>
      <c r="AY69" t="s">
        <v>1447</v>
      </c>
      <c r="AZ69" t="s">
        <v>1448</v>
      </c>
      <c r="BE69" t="s">
        <v>1449</v>
      </c>
      <c r="BI69" t="s">
        <v>1450</v>
      </c>
      <c r="BJ69" t="s">
        <v>1451</v>
      </c>
    </row>
    <row r="70" spans="38:62" x14ac:dyDescent="0.35">
      <c r="AL70" t="s">
        <v>1452</v>
      </c>
      <c r="AQ70" t="s">
        <v>1453</v>
      </c>
      <c r="AR70" t="s">
        <v>1454</v>
      </c>
      <c r="AS70" t="s">
        <v>1455</v>
      </c>
      <c r="AT70" t="s">
        <v>171</v>
      </c>
      <c r="AU70" t="s">
        <v>1456</v>
      </c>
      <c r="AY70" t="s">
        <v>1457</v>
      </c>
      <c r="AZ70" t="s">
        <v>1458</v>
      </c>
      <c r="BE70" t="s">
        <v>1459</v>
      </c>
      <c r="BI70" t="s">
        <v>1460</v>
      </c>
      <c r="BJ70" t="s">
        <v>1461</v>
      </c>
    </row>
    <row r="71" spans="38:62" x14ac:dyDescent="0.35">
      <c r="AL71" t="s">
        <v>1462</v>
      </c>
      <c r="AQ71" t="s">
        <v>1463</v>
      </c>
      <c r="AR71" t="s">
        <v>1464</v>
      </c>
      <c r="AS71" t="s">
        <v>1465</v>
      </c>
      <c r="AT71" t="s">
        <v>172</v>
      </c>
      <c r="AU71" t="s">
        <v>1466</v>
      </c>
      <c r="AY71" t="s">
        <v>1467</v>
      </c>
      <c r="AZ71" t="s">
        <v>1468</v>
      </c>
      <c r="BE71" t="s">
        <v>1305</v>
      </c>
      <c r="BI71" t="s">
        <v>1469</v>
      </c>
      <c r="BJ71" t="s">
        <v>1470</v>
      </c>
    </row>
    <row r="72" spans="38:62" x14ac:dyDescent="0.35">
      <c r="AL72" t="s">
        <v>1471</v>
      </c>
      <c r="AQ72" t="s">
        <v>1472</v>
      </c>
      <c r="AR72" t="s">
        <v>1473</v>
      </c>
      <c r="AS72" t="s">
        <v>1474</v>
      </c>
      <c r="AT72" t="s">
        <v>173</v>
      </c>
      <c r="AU72" t="s">
        <v>1475</v>
      </c>
      <c r="AY72" t="s">
        <v>1476</v>
      </c>
      <c r="AZ72" t="s">
        <v>1477</v>
      </c>
      <c r="BE72" t="s">
        <v>1478</v>
      </c>
      <c r="BI72" t="s">
        <v>1479</v>
      </c>
      <c r="BJ72" t="s">
        <v>1480</v>
      </c>
    </row>
    <row r="73" spans="38:62" x14ac:dyDescent="0.35">
      <c r="AL73" t="s">
        <v>1481</v>
      </c>
      <c r="AQ73" t="s">
        <v>1482</v>
      </c>
      <c r="AR73" t="s">
        <v>1483</v>
      </c>
      <c r="AS73" t="s">
        <v>1484</v>
      </c>
      <c r="AT73" t="s">
        <v>174</v>
      </c>
      <c r="AU73" t="s">
        <v>1485</v>
      </c>
      <c r="AY73" t="s">
        <v>1486</v>
      </c>
      <c r="AZ73" t="s">
        <v>1487</v>
      </c>
      <c r="BE73" t="s">
        <v>1488</v>
      </c>
      <c r="BI73" t="s">
        <v>1489</v>
      </c>
      <c r="BJ73" t="s">
        <v>1490</v>
      </c>
    </row>
    <row r="74" spans="38:62" x14ac:dyDescent="0.35">
      <c r="AL74" t="s">
        <v>1491</v>
      </c>
      <c r="AQ74" t="s">
        <v>1492</v>
      </c>
      <c r="AR74" t="s">
        <v>1493</v>
      </c>
      <c r="AS74" t="s">
        <v>1494</v>
      </c>
      <c r="AT74" t="s">
        <v>175</v>
      </c>
      <c r="AU74" t="s">
        <v>1495</v>
      </c>
      <c r="AY74" t="s">
        <v>1496</v>
      </c>
      <c r="AZ74" t="s">
        <v>1497</v>
      </c>
      <c r="BI74" t="s">
        <v>1498</v>
      </c>
      <c r="BJ74" t="s">
        <v>1499</v>
      </c>
    </row>
    <row r="75" spans="38:62" x14ac:dyDescent="0.35">
      <c r="AL75" t="s">
        <v>1500</v>
      </c>
      <c r="AQ75" t="s">
        <v>1501</v>
      </c>
      <c r="AR75" t="s">
        <v>1502</v>
      </c>
      <c r="AS75" t="s">
        <v>1503</v>
      </c>
      <c r="AT75" t="s">
        <v>176</v>
      </c>
      <c r="AU75" t="s">
        <v>1504</v>
      </c>
      <c r="AY75" t="s">
        <v>1505</v>
      </c>
      <c r="AZ75" t="s">
        <v>1506</v>
      </c>
      <c r="BI75" t="s">
        <v>1507</v>
      </c>
      <c r="BJ75" t="s">
        <v>1508</v>
      </c>
    </row>
    <row r="76" spans="38:62" x14ac:dyDescent="0.35">
      <c r="AL76" t="s">
        <v>1509</v>
      </c>
      <c r="AQ76" t="s">
        <v>1510</v>
      </c>
      <c r="AR76" t="s">
        <v>1511</v>
      </c>
      <c r="AS76" t="s">
        <v>1512</v>
      </c>
      <c r="AT76" t="s">
        <v>177</v>
      </c>
      <c r="AU76" t="s">
        <v>1513</v>
      </c>
      <c r="AY76" t="s">
        <v>1514</v>
      </c>
      <c r="AZ76" t="s">
        <v>1515</v>
      </c>
      <c r="BI76" t="s">
        <v>1516</v>
      </c>
      <c r="BJ76" t="s">
        <v>1517</v>
      </c>
    </row>
    <row r="77" spans="38:62" x14ac:dyDescent="0.35">
      <c r="AL77" t="s">
        <v>1518</v>
      </c>
      <c r="AQ77" t="s">
        <v>1519</v>
      </c>
      <c r="AR77" t="s">
        <v>1520</v>
      </c>
      <c r="AS77" t="s">
        <v>1383</v>
      </c>
      <c r="AT77" t="s">
        <v>178</v>
      </c>
      <c r="AU77" t="s">
        <v>1521</v>
      </c>
      <c r="AY77" t="s">
        <v>1522</v>
      </c>
      <c r="AZ77" t="s">
        <v>1523</v>
      </c>
      <c r="BI77" t="s">
        <v>1524</v>
      </c>
      <c r="BJ77" t="s">
        <v>1525</v>
      </c>
    </row>
    <row r="78" spans="38:62" x14ac:dyDescent="0.35">
      <c r="AL78" t="s">
        <v>1526</v>
      </c>
      <c r="AQ78" t="s">
        <v>1527</v>
      </c>
      <c r="AR78" t="s">
        <v>1528</v>
      </c>
      <c r="AS78" t="s">
        <v>1529</v>
      </c>
      <c r="AT78" t="s">
        <v>179</v>
      </c>
      <c r="AU78" t="s">
        <v>1530</v>
      </c>
      <c r="AY78" t="s">
        <v>1531</v>
      </c>
      <c r="AZ78" t="s">
        <v>1532</v>
      </c>
      <c r="BI78" t="s">
        <v>1533</v>
      </c>
      <c r="BJ78" t="s">
        <v>1534</v>
      </c>
    </row>
    <row r="79" spans="38:62" x14ac:dyDescent="0.35">
      <c r="AL79" t="s">
        <v>1535</v>
      </c>
      <c r="AQ79" t="s">
        <v>1536</v>
      </c>
      <c r="AR79" t="s">
        <v>1537</v>
      </c>
      <c r="AS79" t="s">
        <v>1538</v>
      </c>
      <c r="AT79" t="s">
        <v>180</v>
      </c>
      <c r="AU79" t="s">
        <v>1539</v>
      </c>
      <c r="AY79" t="s">
        <v>1540</v>
      </c>
      <c r="AZ79" t="s">
        <v>1541</v>
      </c>
      <c r="BI79" t="s">
        <v>1542</v>
      </c>
      <c r="BJ79" t="s">
        <v>1543</v>
      </c>
    </row>
    <row r="80" spans="38:62" x14ac:dyDescent="0.35">
      <c r="AL80" t="s">
        <v>1544</v>
      </c>
      <c r="AQ80" t="s">
        <v>1545</v>
      </c>
      <c r="AR80" t="s">
        <v>1546</v>
      </c>
      <c r="AS80" t="s">
        <v>1547</v>
      </c>
      <c r="AT80" t="s">
        <v>181</v>
      </c>
      <c r="AU80" t="s">
        <v>1548</v>
      </c>
      <c r="AY80" t="s">
        <v>1549</v>
      </c>
      <c r="AZ80" t="s">
        <v>1550</v>
      </c>
      <c r="BI80" t="s">
        <v>1551</v>
      </c>
      <c r="BJ80" t="s">
        <v>1552</v>
      </c>
    </row>
    <row r="81" spans="38:62" x14ac:dyDescent="0.35">
      <c r="AL81" t="s">
        <v>1553</v>
      </c>
      <c r="AQ81" t="s">
        <v>1554</v>
      </c>
      <c r="AR81" t="s">
        <v>1555</v>
      </c>
      <c r="AS81" t="s">
        <v>1556</v>
      </c>
      <c r="AT81" t="s">
        <v>182</v>
      </c>
      <c r="AU81" t="s">
        <v>1557</v>
      </c>
      <c r="AY81" t="s">
        <v>1558</v>
      </c>
      <c r="AZ81" t="s">
        <v>1559</v>
      </c>
      <c r="BI81" t="s">
        <v>1560</v>
      </c>
      <c r="BJ81" t="s">
        <v>1561</v>
      </c>
    </row>
    <row r="82" spans="38:62" x14ac:dyDescent="0.35">
      <c r="AL82" t="s">
        <v>1562</v>
      </c>
      <c r="AQ82" t="s">
        <v>1563</v>
      </c>
      <c r="AR82" t="s">
        <v>1564</v>
      </c>
      <c r="AS82" t="s">
        <v>1565</v>
      </c>
      <c r="AT82" t="s">
        <v>183</v>
      </c>
      <c r="AU82" t="s">
        <v>1566</v>
      </c>
      <c r="AY82" t="s">
        <v>1567</v>
      </c>
      <c r="AZ82" t="s">
        <v>1568</v>
      </c>
      <c r="BI82" t="s">
        <v>1569</v>
      </c>
      <c r="BJ82" t="s">
        <v>1570</v>
      </c>
    </row>
    <row r="83" spans="38:62" x14ac:dyDescent="0.35">
      <c r="AL83" t="s">
        <v>1571</v>
      </c>
      <c r="AQ83" t="s">
        <v>1572</v>
      </c>
      <c r="AR83" t="s">
        <v>1573</v>
      </c>
      <c r="AS83" t="s">
        <v>1574</v>
      </c>
      <c r="AT83" t="s">
        <v>184</v>
      </c>
      <c r="AU83" t="s">
        <v>1575</v>
      </c>
      <c r="AY83" t="s">
        <v>1576</v>
      </c>
      <c r="AZ83" t="s">
        <v>1577</v>
      </c>
      <c r="BI83" t="s">
        <v>1578</v>
      </c>
      <c r="BJ83" t="s">
        <v>1579</v>
      </c>
    </row>
    <row r="84" spans="38:62" x14ac:dyDescent="0.35">
      <c r="AL84" t="s">
        <v>1580</v>
      </c>
      <c r="AQ84" t="s">
        <v>1581</v>
      </c>
      <c r="AR84" t="s">
        <v>1582</v>
      </c>
      <c r="AS84" t="s">
        <v>645</v>
      </c>
      <c r="AT84" t="s">
        <v>185</v>
      </c>
      <c r="AU84" t="s">
        <v>1583</v>
      </c>
      <c r="AY84" t="s">
        <v>1584</v>
      </c>
      <c r="AZ84" t="s">
        <v>1585</v>
      </c>
      <c r="BI84" t="s">
        <v>1586</v>
      </c>
      <c r="BJ84" t="s">
        <v>1587</v>
      </c>
    </row>
    <row r="85" spans="38:62" x14ac:dyDescent="0.35">
      <c r="AL85" t="s">
        <v>175</v>
      </c>
      <c r="AQ85" t="s">
        <v>1588</v>
      </c>
      <c r="AR85" t="s">
        <v>1589</v>
      </c>
      <c r="AS85" t="s">
        <v>1590</v>
      </c>
      <c r="AT85" t="s">
        <v>186</v>
      </c>
      <c r="AU85" t="s">
        <v>1591</v>
      </c>
      <c r="AY85" t="s">
        <v>1592</v>
      </c>
      <c r="AZ85" t="s">
        <v>1593</v>
      </c>
      <c r="BI85" t="s">
        <v>1594</v>
      </c>
      <c r="BJ85" t="s">
        <v>1595</v>
      </c>
    </row>
    <row r="86" spans="38:62" x14ac:dyDescent="0.35">
      <c r="AL86" t="s">
        <v>1596</v>
      </c>
      <c r="AQ86" t="s">
        <v>1597</v>
      </c>
      <c r="AS86" t="s">
        <v>1598</v>
      </c>
      <c r="AT86" t="s">
        <v>187</v>
      </c>
      <c r="AU86" t="s">
        <v>1599</v>
      </c>
      <c r="AY86" t="s">
        <v>1600</v>
      </c>
      <c r="AZ86" t="s">
        <v>1601</v>
      </c>
      <c r="BI86" t="s">
        <v>1602</v>
      </c>
      <c r="BJ86" t="s">
        <v>1603</v>
      </c>
    </row>
    <row r="87" spans="38:62" x14ac:dyDescent="0.35">
      <c r="AL87" t="s">
        <v>1604</v>
      </c>
      <c r="AS87" t="s">
        <v>1605</v>
      </c>
      <c r="AT87" t="s">
        <v>188</v>
      </c>
      <c r="AU87" t="s">
        <v>1606</v>
      </c>
      <c r="AY87" t="s">
        <v>1607</v>
      </c>
      <c r="AZ87" t="s">
        <v>1608</v>
      </c>
      <c r="BI87" t="s">
        <v>1609</v>
      </c>
      <c r="BJ87" t="s">
        <v>1610</v>
      </c>
    </row>
    <row r="88" spans="38:62" x14ac:dyDescent="0.35">
      <c r="AL88" t="s">
        <v>1611</v>
      </c>
      <c r="AS88" t="s">
        <v>1612</v>
      </c>
      <c r="AT88" t="s">
        <v>189</v>
      </c>
      <c r="AU88" t="s">
        <v>1613</v>
      </c>
      <c r="AY88" t="s">
        <v>1614</v>
      </c>
      <c r="AZ88" t="s">
        <v>1615</v>
      </c>
      <c r="BI88" t="s">
        <v>1616</v>
      </c>
      <c r="BJ88" t="s">
        <v>1617</v>
      </c>
    </row>
    <row r="89" spans="38:62" x14ac:dyDescent="0.35">
      <c r="AL89" t="s">
        <v>1618</v>
      </c>
      <c r="AS89" t="s">
        <v>1619</v>
      </c>
      <c r="AT89" t="s">
        <v>190</v>
      </c>
      <c r="AU89" t="s">
        <v>1620</v>
      </c>
      <c r="AY89" t="s">
        <v>1621</v>
      </c>
      <c r="AZ89" t="s">
        <v>1622</v>
      </c>
      <c r="BI89" t="s">
        <v>1623</v>
      </c>
      <c r="BJ89" t="s">
        <v>1624</v>
      </c>
    </row>
    <row r="90" spans="38:62" x14ac:dyDescent="0.35">
      <c r="AL90" t="s">
        <v>1625</v>
      </c>
      <c r="AS90" t="s">
        <v>1626</v>
      </c>
      <c r="AT90" t="s">
        <v>191</v>
      </c>
      <c r="AU90" t="s">
        <v>1627</v>
      </c>
      <c r="AY90" t="s">
        <v>1628</v>
      </c>
      <c r="AZ90" t="s">
        <v>1629</v>
      </c>
      <c r="BI90" t="s">
        <v>1630</v>
      </c>
      <c r="BJ90" t="s">
        <v>1631</v>
      </c>
    </row>
    <row r="91" spans="38:62" x14ac:dyDescent="0.35">
      <c r="AL91" t="s">
        <v>1632</v>
      </c>
      <c r="AS91" t="s">
        <v>1633</v>
      </c>
      <c r="AT91" t="s">
        <v>192</v>
      </c>
      <c r="AU91" t="s">
        <v>1634</v>
      </c>
      <c r="AY91" t="s">
        <v>1635</v>
      </c>
      <c r="AZ91" t="s">
        <v>1636</v>
      </c>
      <c r="BI91" t="s">
        <v>1637</v>
      </c>
      <c r="BJ91" t="s">
        <v>1638</v>
      </c>
    </row>
    <row r="92" spans="38:62" x14ac:dyDescent="0.35">
      <c r="AL92" t="s">
        <v>1011</v>
      </c>
      <c r="AS92" t="s">
        <v>1639</v>
      </c>
      <c r="AT92" t="s">
        <v>193</v>
      </c>
      <c r="AU92" t="s">
        <v>1640</v>
      </c>
      <c r="AY92" t="s">
        <v>1641</v>
      </c>
      <c r="AZ92" t="s">
        <v>1642</v>
      </c>
      <c r="BI92" t="s">
        <v>1643</v>
      </c>
      <c r="BJ92" t="s">
        <v>1644</v>
      </c>
    </row>
    <row r="93" spans="38:62" x14ac:dyDescent="0.35">
      <c r="AL93" t="s">
        <v>1645</v>
      </c>
      <c r="AS93" t="s">
        <v>1646</v>
      </c>
      <c r="AT93" t="s">
        <v>194</v>
      </c>
      <c r="AU93" t="s">
        <v>1647</v>
      </c>
      <c r="AY93" t="s">
        <v>1648</v>
      </c>
      <c r="AZ93" t="s">
        <v>1649</v>
      </c>
      <c r="BI93" t="s">
        <v>149</v>
      </c>
      <c r="BJ93" t="s">
        <v>1650</v>
      </c>
    </row>
    <row r="94" spans="38:62" x14ac:dyDescent="0.35">
      <c r="AL94" t="s">
        <v>1548</v>
      </c>
      <c r="AS94" t="s">
        <v>1651</v>
      </c>
      <c r="AT94" t="s">
        <v>195</v>
      </c>
      <c r="AU94" t="s">
        <v>1652</v>
      </c>
      <c r="AY94" t="s">
        <v>1653</v>
      </c>
      <c r="AZ94" t="s">
        <v>1654</v>
      </c>
      <c r="BI94" t="s">
        <v>1655</v>
      </c>
      <c r="BJ94" t="s">
        <v>1656</v>
      </c>
    </row>
    <row r="95" spans="38:62" x14ac:dyDescent="0.35">
      <c r="AL95" t="s">
        <v>1657</v>
      </c>
      <c r="AS95" t="s">
        <v>1658</v>
      </c>
      <c r="AT95" t="s">
        <v>196</v>
      </c>
      <c r="AU95" t="s">
        <v>1659</v>
      </c>
      <c r="AY95" t="s">
        <v>1660</v>
      </c>
      <c r="AZ95" t="s">
        <v>1661</v>
      </c>
      <c r="BI95" t="s">
        <v>1662</v>
      </c>
      <c r="BJ95" t="s">
        <v>1663</v>
      </c>
    </row>
    <row r="96" spans="38:62" x14ac:dyDescent="0.35">
      <c r="AL96" t="s">
        <v>1664</v>
      </c>
      <c r="AS96" t="s">
        <v>1665</v>
      </c>
      <c r="AT96" t="s">
        <v>197</v>
      </c>
      <c r="AU96" t="s">
        <v>1666</v>
      </c>
      <c r="AY96" t="s">
        <v>1667</v>
      </c>
      <c r="AZ96" t="s">
        <v>1668</v>
      </c>
      <c r="BI96" t="s">
        <v>1669</v>
      </c>
      <c r="BJ96" t="s">
        <v>1670</v>
      </c>
    </row>
    <row r="97" spans="38:62" x14ac:dyDescent="0.35">
      <c r="AL97" t="s">
        <v>1671</v>
      </c>
      <c r="AS97" t="s">
        <v>1672</v>
      </c>
      <c r="AT97" t="s">
        <v>198</v>
      </c>
      <c r="AU97" t="s">
        <v>1673</v>
      </c>
      <c r="AY97" t="s">
        <v>1674</v>
      </c>
      <c r="AZ97" t="s">
        <v>1675</v>
      </c>
      <c r="BI97" t="s">
        <v>1676</v>
      </c>
      <c r="BJ97" t="s">
        <v>1677</v>
      </c>
    </row>
    <row r="98" spans="38:62" x14ac:dyDescent="0.35">
      <c r="AL98" t="s">
        <v>1678</v>
      </c>
      <c r="AS98" t="s">
        <v>1679</v>
      </c>
      <c r="AT98" t="s">
        <v>199</v>
      </c>
      <c r="AU98" t="s">
        <v>1680</v>
      </c>
      <c r="AY98" t="s">
        <v>1681</v>
      </c>
      <c r="AZ98" t="s">
        <v>1682</v>
      </c>
      <c r="BI98" t="s">
        <v>1683</v>
      </c>
      <c r="BJ98" t="s">
        <v>1684</v>
      </c>
    </row>
    <row r="99" spans="38:62" x14ac:dyDescent="0.35">
      <c r="AL99" t="s">
        <v>1685</v>
      </c>
      <c r="AS99" t="s">
        <v>1686</v>
      </c>
      <c r="AT99" t="s">
        <v>200</v>
      </c>
      <c r="AU99" t="s">
        <v>1687</v>
      </c>
      <c r="AY99" t="s">
        <v>1688</v>
      </c>
      <c r="AZ99" t="s">
        <v>1689</v>
      </c>
      <c r="BI99" t="s">
        <v>1690</v>
      </c>
      <c r="BJ99" t="s">
        <v>1691</v>
      </c>
    </row>
    <row r="100" spans="38:62" x14ac:dyDescent="0.35">
      <c r="AL100" t="s">
        <v>1692</v>
      </c>
      <c r="AS100" t="s">
        <v>1693</v>
      </c>
      <c r="AT100" t="s">
        <v>201</v>
      </c>
      <c r="AU100" t="s">
        <v>730</v>
      </c>
      <c r="AY100" t="s">
        <v>1694</v>
      </c>
      <c r="AZ100" t="s">
        <v>1695</v>
      </c>
      <c r="BI100" t="s">
        <v>1696</v>
      </c>
      <c r="BJ100" t="s">
        <v>1697</v>
      </c>
    </row>
    <row r="101" spans="38:62" x14ac:dyDescent="0.35">
      <c r="AL101" t="s">
        <v>1698</v>
      </c>
      <c r="AS101" t="s">
        <v>714</v>
      </c>
      <c r="AT101" t="s">
        <v>202</v>
      </c>
      <c r="AU101" t="s">
        <v>1699</v>
      </c>
      <c r="AY101" t="s">
        <v>1700</v>
      </c>
      <c r="AZ101" t="s">
        <v>1701</v>
      </c>
      <c r="BI101" t="s">
        <v>1702</v>
      </c>
      <c r="BJ101" t="s">
        <v>1703</v>
      </c>
    </row>
    <row r="102" spans="38:62" x14ac:dyDescent="0.35">
      <c r="AL102" t="s">
        <v>1704</v>
      </c>
      <c r="AS102" t="s">
        <v>1705</v>
      </c>
      <c r="AT102" t="s">
        <v>203</v>
      </c>
      <c r="AU102" t="s">
        <v>1706</v>
      </c>
      <c r="AY102" t="s">
        <v>1707</v>
      </c>
      <c r="AZ102" t="s">
        <v>1708</v>
      </c>
      <c r="BI102" t="s">
        <v>1709</v>
      </c>
      <c r="BJ102" t="s">
        <v>1710</v>
      </c>
    </row>
    <row r="103" spans="38:62" x14ac:dyDescent="0.35">
      <c r="AL103" t="s">
        <v>1711</v>
      </c>
      <c r="AS103" t="s">
        <v>1712</v>
      </c>
      <c r="AT103" t="s">
        <v>204</v>
      </c>
      <c r="AU103" t="s">
        <v>1713</v>
      </c>
      <c r="AY103" t="s">
        <v>1714</v>
      </c>
      <c r="AZ103" t="s">
        <v>93</v>
      </c>
      <c r="BI103" t="s">
        <v>1715</v>
      </c>
      <c r="BJ103" t="s">
        <v>1716</v>
      </c>
    </row>
    <row r="104" spans="38:62" x14ac:dyDescent="0.35">
      <c r="AL104" t="s">
        <v>1717</v>
      </c>
      <c r="AS104" t="s">
        <v>1718</v>
      </c>
      <c r="AT104" t="s">
        <v>205</v>
      </c>
      <c r="AU104" t="s">
        <v>1719</v>
      </c>
      <c r="AY104" t="s">
        <v>1720</v>
      </c>
      <c r="AZ104" t="s">
        <v>1721</v>
      </c>
      <c r="BI104" t="s">
        <v>1275</v>
      </c>
      <c r="BJ104" t="s">
        <v>1722</v>
      </c>
    </row>
    <row r="105" spans="38:62" x14ac:dyDescent="0.35">
      <c r="AL105" t="s">
        <v>1723</v>
      </c>
      <c r="AS105" t="s">
        <v>1724</v>
      </c>
      <c r="AT105" t="s">
        <v>206</v>
      </c>
      <c r="AU105" t="s">
        <v>638</v>
      </c>
      <c r="AY105" t="s">
        <v>1725</v>
      </c>
      <c r="AZ105" t="s">
        <v>1726</v>
      </c>
      <c r="BI105" t="s">
        <v>1060</v>
      </c>
      <c r="BJ105" t="s">
        <v>1727</v>
      </c>
    </row>
    <row r="106" spans="38:62" x14ac:dyDescent="0.35">
      <c r="AL106" t="s">
        <v>1728</v>
      </c>
      <c r="AS106" t="s">
        <v>1729</v>
      </c>
      <c r="AT106" t="s">
        <v>207</v>
      </c>
      <c r="AU106" t="s">
        <v>1730</v>
      </c>
      <c r="AY106" t="s">
        <v>1731</v>
      </c>
      <c r="AZ106" t="s">
        <v>1553</v>
      </c>
      <c r="BI106" t="s">
        <v>1732</v>
      </c>
      <c r="BJ106" t="s">
        <v>1733</v>
      </c>
    </row>
    <row r="107" spans="38:62" x14ac:dyDescent="0.35">
      <c r="AL107" t="s">
        <v>1734</v>
      </c>
      <c r="AS107" t="s">
        <v>1735</v>
      </c>
      <c r="AT107" t="s">
        <v>208</v>
      </c>
      <c r="AU107" t="s">
        <v>1736</v>
      </c>
      <c r="AY107" t="s">
        <v>1737</v>
      </c>
      <c r="AZ107" t="s">
        <v>1738</v>
      </c>
      <c r="BI107" t="s">
        <v>1739</v>
      </c>
      <c r="BJ107" t="s">
        <v>1740</v>
      </c>
    </row>
    <row r="108" spans="38:62" x14ac:dyDescent="0.35">
      <c r="AL108" t="s">
        <v>1741</v>
      </c>
      <c r="AS108" t="s">
        <v>1742</v>
      </c>
      <c r="AT108" t="s">
        <v>209</v>
      </c>
      <c r="AU108" t="s">
        <v>1743</v>
      </c>
      <c r="AY108" t="s">
        <v>1744</v>
      </c>
      <c r="AZ108" t="s">
        <v>1745</v>
      </c>
      <c r="BI108" t="s">
        <v>1746</v>
      </c>
    </row>
    <row r="109" spans="38:62" x14ac:dyDescent="0.35">
      <c r="AL109" t="s">
        <v>1747</v>
      </c>
      <c r="AS109" t="s">
        <v>1748</v>
      </c>
      <c r="AT109" t="s">
        <v>210</v>
      </c>
      <c r="AU109" t="s">
        <v>1749</v>
      </c>
      <c r="AY109" t="s">
        <v>1750</v>
      </c>
      <c r="AZ109" t="s">
        <v>1751</v>
      </c>
      <c r="BI109" t="s">
        <v>1752</v>
      </c>
    </row>
    <row r="110" spans="38:62" x14ac:dyDescent="0.35">
      <c r="AL110" t="s">
        <v>1753</v>
      </c>
      <c r="AS110" t="s">
        <v>730</v>
      </c>
      <c r="AT110" t="s">
        <v>211</v>
      </c>
      <c r="AU110" t="s">
        <v>1754</v>
      </c>
      <c r="AY110" t="s">
        <v>1755</v>
      </c>
      <c r="AZ110" t="s">
        <v>1756</v>
      </c>
      <c r="BI110" t="s">
        <v>1757</v>
      </c>
    </row>
    <row r="111" spans="38:62" x14ac:dyDescent="0.35">
      <c r="AL111" t="s">
        <v>1758</v>
      </c>
      <c r="AS111" t="s">
        <v>1759</v>
      </c>
      <c r="AT111" t="s">
        <v>212</v>
      </c>
      <c r="AU111" t="s">
        <v>1760</v>
      </c>
      <c r="AY111" t="s">
        <v>1761</v>
      </c>
      <c r="AZ111" t="s">
        <v>1762</v>
      </c>
      <c r="BI111" t="s">
        <v>1763</v>
      </c>
    </row>
    <row r="112" spans="38:62" x14ac:dyDescent="0.35">
      <c r="AL112" t="s">
        <v>1712</v>
      </c>
      <c r="AS112" t="s">
        <v>1764</v>
      </c>
      <c r="AT112" t="s">
        <v>213</v>
      </c>
      <c r="AU112" t="s">
        <v>1765</v>
      </c>
      <c r="AY112" t="s">
        <v>1766</v>
      </c>
      <c r="AZ112" t="s">
        <v>1491</v>
      </c>
      <c r="BI112" t="s">
        <v>1767</v>
      </c>
    </row>
    <row r="113" spans="38:61" x14ac:dyDescent="0.35">
      <c r="AL113" t="s">
        <v>1768</v>
      </c>
      <c r="AS113" t="s">
        <v>1769</v>
      </c>
      <c r="AT113" t="s">
        <v>214</v>
      </c>
      <c r="AU113" t="s">
        <v>1770</v>
      </c>
      <c r="AY113" t="s">
        <v>1771</v>
      </c>
      <c r="AZ113" t="s">
        <v>1772</v>
      </c>
      <c r="BI113" t="s">
        <v>1773</v>
      </c>
    </row>
    <row r="114" spans="38:61" x14ac:dyDescent="0.35">
      <c r="AL114" t="s">
        <v>1774</v>
      </c>
      <c r="AS114" t="s">
        <v>1775</v>
      </c>
      <c r="AT114" t="s">
        <v>215</v>
      </c>
      <c r="AU114" t="s">
        <v>1776</v>
      </c>
      <c r="AY114" t="s">
        <v>1777</v>
      </c>
      <c r="AZ114" t="s">
        <v>1778</v>
      </c>
      <c r="BI114" t="s">
        <v>470</v>
      </c>
    </row>
    <row r="115" spans="38:61" x14ac:dyDescent="0.35">
      <c r="AL115" t="s">
        <v>1779</v>
      </c>
      <c r="AS115" t="s">
        <v>1780</v>
      </c>
      <c r="AT115" t="s">
        <v>216</v>
      </c>
      <c r="AY115" t="s">
        <v>1781</v>
      </c>
      <c r="AZ115" t="s">
        <v>1782</v>
      </c>
      <c r="BI115" t="s">
        <v>1783</v>
      </c>
    </row>
    <row r="116" spans="38:61" x14ac:dyDescent="0.35">
      <c r="AL116" t="s">
        <v>1784</v>
      </c>
      <c r="AS116" t="s">
        <v>219</v>
      </c>
      <c r="AT116" t="s">
        <v>217</v>
      </c>
      <c r="AY116" t="s">
        <v>1785</v>
      </c>
      <c r="AZ116" t="s">
        <v>1786</v>
      </c>
      <c r="BI116" t="s">
        <v>1787</v>
      </c>
    </row>
    <row r="117" spans="38:61" x14ac:dyDescent="0.35">
      <c r="AL117" t="s">
        <v>1788</v>
      </c>
      <c r="AS117" t="s">
        <v>1305</v>
      </c>
      <c r="AT117" t="s">
        <v>218</v>
      </c>
      <c r="AY117" t="s">
        <v>1789</v>
      </c>
      <c r="AZ117" t="s">
        <v>1790</v>
      </c>
      <c r="BI117" t="s">
        <v>1791</v>
      </c>
    </row>
    <row r="118" spans="38:61" x14ac:dyDescent="0.35">
      <c r="AL118" t="s">
        <v>1792</v>
      </c>
      <c r="AS118" t="s">
        <v>1793</v>
      </c>
      <c r="AT118" t="s">
        <v>219</v>
      </c>
      <c r="AY118" t="s">
        <v>1794</v>
      </c>
      <c r="AZ118" t="s">
        <v>1795</v>
      </c>
      <c r="BI118" t="s">
        <v>1796</v>
      </c>
    </row>
    <row r="119" spans="38:61" x14ac:dyDescent="0.35">
      <c r="AL119" t="s">
        <v>1797</v>
      </c>
      <c r="AS119" t="s">
        <v>1798</v>
      </c>
      <c r="AT119" t="s">
        <v>220</v>
      </c>
      <c r="AY119" t="s">
        <v>1799</v>
      </c>
      <c r="AZ119" t="s">
        <v>1800</v>
      </c>
      <c r="BI119" t="s">
        <v>1801</v>
      </c>
    </row>
    <row r="120" spans="38:61" x14ac:dyDescent="0.35">
      <c r="AL120" t="s">
        <v>638</v>
      </c>
      <c r="AS120" t="s">
        <v>1802</v>
      </c>
      <c r="AT120" t="s">
        <v>221</v>
      </c>
      <c r="AY120" t="s">
        <v>1803</v>
      </c>
      <c r="AZ120" t="s">
        <v>1804</v>
      </c>
      <c r="BI120" t="s">
        <v>1805</v>
      </c>
    </row>
    <row r="121" spans="38:61" x14ac:dyDescent="0.35">
      <c r="AL121" t="s">
        <v>1806</v>
      </c>
      <c r="AS121" t="s">
        <v>1807</v>
      </c>
      <c r="AT121" t="s">
        <v>222</v>
      </c>
      <c r="AY121" t="s">
        <v>1808</v>
      </c>
      <c r="AZ121" t="s">
        <v>1809</v>
      </c>
      <c r="BI121" t="s">
        <v>1810</v>
      </c>
    </row>
    <row r="122" spans="38:61" x14ac:dyDescent="0.35">
      <c r="AL122" t="s">
        <v>1811</v>
      </c>
      <c r="AS122" t="s">
        <v>1812</v>
      </c>
      <c r="AT122" t="s">
        <v>223</v>
      </c>
      <c r="AY122" t="s">
        <v>1813</v>
      </c>
      <c r="AZ122" t="s">
        <v>1814</v>
      </c>
      <c r="BI122" t="s">
        <v>1815</v>
      </c>
    </row>
    <row r="123" spans="38:61" x14ac:dyDescent="0.35">
      <c r="AL123" t="s">
        <v>1816</v>
      </c>
      <c r="AS123" t="s">
        <v>1817</v>
      </c>
      <c r="AT123" t="s">
        <v>224</v>
      </c>
      <c r="AY123" t="s">
        <v>1818</v>
      </c>
      <c r="AZ123" t="s">
        <v>1819</v>
      </c>
      <c r="BI123" t="s">
        <v>1171</v>
      </c>
    </row>
    <row r="124" spans="38:61" x14ac:dyDescent="0.35">
      <c r="AL124" t="s">
        <v>1820</v>
      </c>
      <c r="AS124" t="s">
        <v>1821</v>
      </c>
      <c r="AT124" t="s">
        <v>225</v>
      </c>
      <c r="AY124" t="s">
        <v>1822</v>
      </c>
      <c r="AZ124" t="s">
        <v>1823</v>
      </c>
      <c r="BI124" t="s">
        <v>1824</v>
      </c>
    </row>
    <row r="125" spans="38:61" x14ac:dyDescent="0.35">
      <c r="AL125" t="s">
        <v>1825</v>
      </c>
      <c r="AS125" t="s">
        <v>1826</v>
      </c>
      <c r="AT125" t="s">
        <v>226</v>
      </c>
      <c r="AY125" t="s">
        <v>1827</v>
      </c>
      <c r="AZ125" t="s">
        <v>1828</v>
      </c>
      <c r="BI125" t="s">
        <v>1829</v>
      </c>
    </row>
    <row r="126" spans="38:61" x14ac:dyDescent="0.35">
      <c r="AS126" t="s">
        <v>1830</v>
      </c>
      <c r="AT126" t="s">
        <v>227</v>
      </c>
      <c r="AY126" t="s">
        <v>1831</v>
      </c>
      <c r="AZ126" t="s">
        <v>1832</v>
      </c>
      <c r="BI126" t="s">
        <v>1833</v>
      </c>
    </row>
    <row r="127" spans="38:61" x14ac:dyDescent="0.35">
      <c r="AY127" t="s">
        <v>1834</v>
      </c>
      <c r="AZ127" t="s">
        <v>1835</v>
      </c>
      <c r="BI127" t="s">
        <v>1836</v>
      </c>
    </row>
    <row r="128" spans="38:61" x14ac:dyDescent="0.35">
      <c r="AY128" t="s">
        <v>1837</v>
      </c>
      <c r="AZ128" t="s">
        <v>1838</v>
      </c>
      <c r="BI128" t="s">
        <v>1839</v>
      </c>
    </row>
    <row r="129" spans="51:61" x14ac:dyDescent="0.35">
      <c r="AY129" t="s">
        <v>1840</v>
      </c>
      <c r="AZ129" t="s">
        <v>1841</v>
      </c>
      <c r="BI129" t="s">
        <v>1842</v>
      </c>
    </row>
    <row r="130" spans="51:61" x14ac:dyDescent="0.35">
      <c r="AY130" t="s">
        <v>1843</v>
      </c>
      <c r="AZ130" t="s">
        <v>1844</v>
      </c>
      <c r="BI130" t="s">
        <v>1845</v>
      </c>
    </row>
    <row r="131" spans="51:61" x14ac:dyDescent="0.35">
      <c r="AY131" t="s">
        <v>1846</v>
      </c>
      <c r="AZ131" t="s">
        <v>1847</v>
      </c>
      <c r="BI131" t="s">
        <v>1048</v>
      </c>
    </row>
    <row r="132" spans="51:61" x14ac:dyDescent="0.35">
      <c r="AY132" t="s">
        <v>1848</v>
      </c>
      <c r="AZ132" t="s">
        <v>1849</v>
      </c>
      <c r="BI132" t="s">
        <v>1850</v>
      </c>
    </row>
    <row r="133" spans="51:61" x14ac:dyDescent="0.35">
      <c r="AY133" t="s">
        <v>1851</v>
      </c>
      <c r="AZ133" t="s">
        <v>1852</v>
      </c>
      <c r="BI133" t="s">
        <v>1853</v>
      </c>
    </row>
    <row r="134" spans="51:61" x14ac:dyDescent="0.35">
      <c r="AY134" t="s">
        <v>1854</v>
      </c>
      <c r="AZ134" t="s">
        <v>1855</v>
      </c>
      <c r="BI134" t="s">
        <v>1856</v>
      </c>
    </row>
    <row r="135" spans="51:61" x14ac:dyDescent="0.35">
      <c r="AY135" t="s">
        <v>1857</v>
      </c>
      <c r="AZ135" t="s">
        <v>1858</v>
      </c>
      <c r="BI135" t="s">
        <v>1859</v>
      </c>
    </row>
    <row r="136" spans="51:61" x14ac:dyDescent="0.35">
      <c r="AY136" t="s">
        <v>1860</v>
      </c>
      <c r="AZ136" t="s">
        <v>1861</v>
      </c>
      <c r="BI136" t="s">
        <v>1862</v>
      </c>
    </row>
    <row r="137" spans="51:61" x14ac:dyDescent="0.35">
      <c r="AY137" t="s">
        <v>1863</v>
      </c>
      <c r="AZ137" t="s">
        <v>1864</v>
      </c>
      <c r="BI137" t="s">
        <v>1865</v>
      </c>
    </row>
    <row r="138" spans="51:61" x14ac:dyDescent="0.35">
      <c r="AY138" t="s">
        <v>1866</v>
      </c>
      <c r="AZ138" t="s">
        <v>1867</v>
      </c>
      <c r="BI138" t="s">
        <v>1868</v>
      </c>
    </row>
    <row r="139" spans="51:61" x14ac:dyDescent="0.35">
      <c r="AY139" t="s">
        <v>1869</v>
      </c>
      <c r="AZ139" t="s">
        <v>1870</v>
      </c>
      <c r="BI139" t="s">
        <v>1871</v>
      </c>
    </row>
    <row r="140" spans="51:61" x14ac:dyDescent="0.35">
      <c r="AY140" t="s">
        <v>1872</v>
      </c>
      <c r="AZ140" t="s">
        <v>1873</v>
      </c>
      <c r="BI140" t="s">
        <v>1874</v>
      </c>
    </row>
    <row r="141" spans="51:61" x14ac:dyDescent="0.35">
      <c r="AY141" t="s">
        <v>1875</v>
      </c>
      <c r="AZ141" t="s">
        <v>529</v>
      </c>
      <c r="BI141" t="s">
        <v>1876</v>
      </c>
    </row>
    <row r="142" spans="51:61" x14ac:dyDescent="0.35">
      <c r="AY142" t="s">
        <v>1877</v>
      </c>
      <c r="AZ142" t="s">
        <v>1878</v>
      </c>
      <c r="BI142" t="s">
        <v>1879</v>
      </c>
    </row>
    <row r="143" spans="51:61" x14ac:dyDescent="0.35">
      <c r="AY143" t="s">
        <v>1880</v>
      </c>
      <c r="AZ143" t="s">
        <v>1881</v>
      </c>
      <c r="BI143" t="s">
        <v>1882</v>
      </c>
    </row>
    <row r="144" spans="51:61" x14ac:dyDescent="0.35">
      <c r="AY144" t="s">
        <v>1883</v>
      </c>
      <c r="AZ144" t="s">
        <v>1884</v>
      </c>
      <c r="BI144" t="s">
        <v>1885</v>
      </c>
    </row>
    <row r="145" spans="51:61" x14ac:dyDescent="0.35">
      <c r="AY145" t="s">
        <v>1886</v>
      </c>
      <c r="AZ145" t="s">
        <v>862</v>
      </c>
      <c r="BI145" t="s">
        <v>1887</v>
      </c>
    </row>
    <row r="146" spans="51:61" x14ac:dyDescent="0.35">
      <c r="AY146" t="s">
        <v>1888</v>
      </c>
      <c r="AZ146" t="s">
        <v>1889</v>
      </c>
      <c r="BI146" t="s">
        <v>1890</v>
      </c>
    </row>
    <row r="147" spans="51:61" x14ac:dyDescent="0.35">
      <c r="AY147" t="s">
        <v>1891</v>
      </c>
      <c r="AZ147" t="s">
        <v>1892</v>
      </c>
      <c r="BI147" t="s">
        <v>1893</v>
      </c>
    </row>
    <row r="148" spans="51:61" x14ac:dyDescent="0.35">
      <c r="AY148" t="s">
        <v>1894</v>
      </c>
      <c r="AZ148" t="s">
        <v>1895</v>
      </c>
      <c r="BI148" t="s">
        <v>1896</v>
      </c>
    </row>
    <row r="149" spans="51:61" x14ac:dyDescent="0.35">
      <c r="AY149" t="s">
        <v>1897</v>
      </c>
      <c r="AZ149" t="s">
        <v>1898</v>
      </c>
      <c r="BI149" t="s">
        <v>1899</v>
      </c>
    </row>
    <row r="150" spans="51:61" x14ac:dyDescent="0.35">
      <c r="AY150" t="s">
        <v>1900</v>
      </c>
      <c r="AZ150" t="s">
        <v>1901</v>
      </c>
      <c r="BI150" t="s">
        <v>1902</v>
      </c>
    </row>
    <row r="151" spans="51:61" x14ac:dyDescent="0.35">
      <c r="AY151" t="s">
        <v>1903</v>
      </c>
      <c r="AZ151" t="s">
        <v>500</v>
      </c>
      <c r="BI151" t="s">
        <v>1904</v>
      </c>
    </row>
    <row r="152" spans="51:61" x14ac:dyDescent="0.35">
      <c r="AY152" t="s">
        <v>1905</v>
      </c>
      <c r="AZ152" t="s">
        <v>701</v>
      </c>
      <c r="BI152" t="s">
        <v>1906</v>
      </c>
    </row>
    <row r="153" spans="51:61" x14ac:dyDescent="0.35">
      <c r="AY153" t="s">
        <v>1907</v>
      </c>
      <c r="AZ153" t="s">
        <v>1908</v>
      </c>
      <c r="BI153" t="s">
        <v>1909</v>
      </c>
    </row>
    <row r="154" spans="51:61" x14ac:dyDescent="0.35">
      <c r="AY154" t="s">
        <v>1910</v>
      </c>
      <c r="AZ154" t="s">
        <v>1911</v>
      </c>
      <c r="BI154" t="s">
        <v>1912</v>
      </c>
    </row>
    <row r="155" spans="51:61" x14ac:dyDescent="0.35">
      <c r="AY155" t="s">
        <v>1913</v>
      </c>
      <c r="AZ155" t="s">
        <v>1914</v>
      </c>
      <c r="BI155" t="s">
        <v>1915</v>
      </c>
    </row>
    <row r="156" spans="51:61" x14ac:dyDescent="0.35">
      <c r="AY156" t="s">
        <v>1916</v>
      </c>
      <c r="AZ156" t="s">
        <v>1917</v>
      </c>
      <c r="BI156" t="s">
        <v>1918</v>
      </c>
    </row>
    <row r="157" spans="51:61" x14ac:dyDescent="0.35">
      <c r="AY157" t="s">
        <v>1919</v>
      </c>
      <c r="AZ157" t="s">
        <v>745</v>
      </c>
      <c r="BI157" t="s">
        <v>1920</v>
      </c>
    </row>
    <row r="158" spans="51:61" x14ac:dyDescent="0.35">
      <c r="AY158" t="s">
        <v>1921</v>
      </c>
      <c r="AZ158" t="s">
        <v>1922</v>
      </c>
      <c r="BI158" t="s">
        <v>1923</v>
      </c>
    </row>
    <row r="159" spans="51:61" x14ac:dyDescent="0.35">
      <c r="AY159" t="s">
        <v>1924</v>
      </c>
      <c r="AZ159" t="s">
        <v>1925</v>
      </c>
      <c r="BI159" t="s">
        <v>1926</v>
      </c>
    </row>
    <row r="160" spans="51:61" x14ac:dyDescent="0.35">
      <c r="AY160" t="s">
        <v>1927</v>
      </c>
      <c r="AZ160" t="s">
        <v>1928</v>
      </c>
      <c r="BI160" t="s">
        <v>1929</v>
      </c>
    </row>
    <row r="161" spans="51:61" x14ac:dyDescent="0.35">
      <c r="AY161" t="s">
        <v>1930</v>
      </c>
      <c r="AZ161" t="s">
        <v>1931</v>
      </c>
      <c r="BI161" t="s">
        <v>1932</v>
      </c>
    </row>
    <row r="162" spans="51:61" x14ac:dyDescent="0.35">
      <c r="AY162" t="s">
        <v>1933</v>
      </c>
      <c r="AZ162" t="s">
        <v>1934</v>
      </c>
      <c r="BI162" t="s">
        <v>1935</v>
      </c>
    </row>
    <row r="163" spans="51:61" x14ac:dyDescent="0.35">
      <c r="AY163" t="s">
        <v>1936</v>
      </c>
      <c r="AZ163" t="s">
        <v>1937</v>
      </c>
      <c r="BI163" t="s">
        <v>1938</v>
      </c>
    </row>
    <row r="164" spans="51:61" x14ac:dyDescent="0.35">
      <c r="AY164" t="s">
        <v>1939</v>
      </c>
      <c r="AZ164" t="s">
        <v>1940</v>
      </c>
      <c r="BI164" t="s">
        <v>1941</v>
      </c>
    </row>
    <row r="165" spans="51:61" x14ac:dyDescent="0.35">
      <c r="AY165" t="s">
        <v>1942</v>
      </c>
      <c r="AZ165" t="s">
        <v>1943</v>
      </c>
      <c r="BI165" t="s">
        <v>1944</v>
      </c>
    </row>
    <row r="166" spans="51:61" x14ac:dyDescent="0.35">
      <c r="AY166" t="s">
        <v>1945</v>
      </c>
      <c r="AZ166" t="s">
        <v>133</v>
      </c>
      <c r="BI166" t="s">
        <v>1946</v>
      </c>
    </row>
    <row r="167" spans="51:61" x14ac:dyDescent="0.35">
      <c r="AY167" t="s">
        <v>1947</v>
      </c>
      <c r="AZ167" t="s">
        <v>1948</v>
      </c>
      <c r="BI167" t="s">
        <v>1949</v>
      </c>
    </row>
    <row r="168" spans="51:61" x14ac:dyDescent="0.35">
      <c r="AY168" t="s">
        <v>1950</v>
      </c>
      <c r="AZ168" t="s">
        <v>650</v>
      </c>
      <c r="BI168" t="s">
        <v>1951</v>
      </c>
    </row>
    <row r="169" spans="51:61" x14ac:dyDescent="0.35">
      <c r="AY169" t="s">
        <v>1952</v>
      </c>
      <c r="AZ169" t="s">
        <v>1953</v>
      </c>
      <c r="BI169" t="s">
        <v>1954</v>
      </c>
    </row>
    <row r="170" spans="51:61" x14ac:dyDescent="0.35">
      <c r="AY170" t="s">
        <v>1955</v>
      </c>
      <c r="AZ170" t="s">
        <v>1956</v>
      </c>
      <c r="BI170" t="s">
        <v>1957</v>
      </c>
    </row>
    <row r="171" spans="51:61" x14ac:dyDescent="0.35">
      <c r="AY171" t="s">
        <v>1958</v>
      </c>
      <c r="AZ171" t="s">
        <v>1959</v>
      </c>
      <c r="BI171" t="s">
        <v>1960</v>
      </c>
    </row>
    <row r="172" spans="51:61" x14ac:dyDescent="0.35">
      <c r="AY172" t="s">
        <v>1961</v>
      </c>
      <c r="AZ172" t="s">
        <v>1962</v>
      </c>
      <c r="BI172" t="s">
        <v>1963</v>
      </c>
    </row>
    <row r="173" spans="51:61" x14ac:dyDescent="0.35">
      <c r="AY173" t="s">
        <v>1964</v>
      </c>
      <c r="AZ173" t="s">
        <v>1230</v>
      </c>
      <c r="BI173" t="s">
        <v>1253</v>
      </c>
    </row>
    <row r="174" spans="51:61" x14ac:dyDescent="0.35">
      <c r="AY174" t="s">
        <v>1965</v>
      </c>
      <c r="AZ174" t="s">
        <v>1966</v>
      </c>
      <c r="BI174" t="s">
        <v>1672</v>
      </c>
    </row>
    <row r="175" spans="51:61" x14ac:dyDescent="0.35">
      <c r="AY175" t="s">
        <v>1967</v>
      </c>
      <c r="AZ175" t="s">
        <v>1968</v>
      </c>
      <c r="BI175" t="s">
        <v>1969</v>
      </c>
    </row>
    <row r="176" spans="51:61" x14ac:dyDescent="0.35">
      <c r="AY176" t="s">
        <v>1970</v>
      </c>
      <c r="AZ176" t="s">
        <v>1971</v>
      </c>
      <c r="BI176" t="s">
        <v>1972</v>
      </c>
    </row>
    <row r="177" spans="51:61" x14ac:dyDescent="0.35">
      <c r="AY177" t="s">
        <v>1973</v>
      </c>
      <c r="AZ177" t="s">
        <v>1974</v>
      </c>
      <c r="BI177" t="s">
        <v>1975</v>
      </c>
    </row>
    <row r="178" spans="51:61" x14ac:dyDescent="0.35">
      <c r="AY178" t="s">
        <v>1976</v>
      </c>
      <c r="AZ178" t="s">
        <v>1977</v>
      </c>
      <c r="BI178" t="s">
        <v>1978</v>
      </c>
    </row>
    <row r="179" spans="51:61" x14ac:dyDescent="0.35">
      <c r="AY179" t="s">
        <v>1979</v>
      </c>
      <c r="AZ179" t="s">
        <v>1980</v>
      </c>
      <c r="BI179" t="s">
        <v>1085</v>
      </c>
    </row>
    <row r="180" spans="51:61" x14ac:dyDescent="0.35">
      <c r="AY180" t="s">
        <v>1981</v>
      </c>
      <c r="AZ180" t="s">
        <v>1982</v>
      </c>
      <c r="BI180" t="s">
        <v>1983</v>
      </c>
    </row>
    <row r="181" spans="51:61" x14ac:dyDescent="0.35">
      <c r="AY181" t="s">
        <v>1984</v>
      </c>
      <c r="AZ181" t="s">
        <v>1985</v>
      </c>
      <c r="BI181" t="s">
        <v>1986</v>
      </c>
    </row>
    <row r="182" spans="51:61" x14ac:dyDescent="0.35">
      <c r="AY182" t="s">
        <v>1987</v>
      </c>
      <c r="AZ182" t="s">
        <v>1988</v>
      </c>
      <c r="BI182" t="s">
        <v>1989</v>
      </c>
    </row>
    <row r="183" spans="51:61" x14ac:dyDescent="0.35">
      <c r="AY183" t="s">
        <v>1990</v>
      </c>
      <c r="AZ183" t="s">
        <v>1991</v>
      </c>
      <c r="BI183" t="s">
        <v>1992</v>
      </c>
    </row>
    <row r="184" spans="51:61" x14ac:dyDescent="0.35">
      <c r="AY184" t="s">
        <v>1993</v>
      </c>
      <c r="AZ184" t="s">
        <v>1994</v>
      </c>
      <c r="BI184" t="s">
        <v>1995</v>
      </c>
    </row>
    <row r="185" spans="51:61" x14ac:dyDescent="0.35">
      <c r="AY185" t="s">
        <v>1996</v>
      </c>
      <c r="AZ185" t="s">
        <v>126</v>
      </c>
      <c r="BI185" t="s">
        <v>1997</v>
      </c>
    </row>
    <row r="186" spans="51:61" x14ac:dyDescent="0.35">
      <c r="AY186" t="s">
        <v>1998</v>
      </c>
      <c r="AZ186" t="s">
        <v>1999</v>
      </c>
      <c r="BI186" t="s">
        <v>2000</v>
      </c>
    </row>
    <row r="187" spans="51:61" x14ac:dyDescent="0.35">
      <c r="AY187" t="s">
        <v>2001</v>
      </c>
      <c r="AZ187" t="s">
        <v>2002</v>
      </c>
      <c r="BI187" t="s">
        <v>2003</v>
      </c>
    </row>
    <row r="188" spans="51:61" x14ac:dyDescent="0.35">
      <c r="AY188" t="s">
        <v>2004</v>
      </c>
      <c r="AZ188" t="s">
        <v>2005</v>
      </c>
      <c r="BI188" t="s">
        <v>2006</v>
      </c>
    </row>
    <row r="189" spans="51:61" x14ac:dyDescent="0.35">
      <c r="AY189" t="s">
        <v>2007</v>
      </c>
      <c r="AZ189" t="s">
        <v>2008</v>
      </c>
      <c r="BI189" t="s">
        <v>2009</v>
      </c>
    </row>
    <row r="190" spans="51:61" x14ac:dyDescent="0.35">
      <c r="AY190" t="s">
        <v>2010</v>
      </c>
      <c r="AZ190" t="s">
        <v>2011</v>
      </c>
      <c r="BI190" t="s">
        <v>2012</v>
      </c>
    </row>
    <row r="191" spans="51:61" x14ac:dyDescent="0.35">
      <c r="AY191" t="s">
        <v>2013</v>
      </c>
      <c r="AZ191" t="s">
        <v>2014</v>
      </c>
      <c r="BI191" t="s">
        <v>2015</v>
      </c>
    </row>
    <row r="192" spans="51:61" x14ac:dyDescent="0.35">
      <c r="AY192" t="s">
        <v>2016</v>
      </c>
      <c r="AZ192" t="s">
        <v>2017</v>
      </c>
      <c r="BI192" t="s">
        <v>1705</v>
      </c>
    </row>
    <row r="193" spans="51:61" x14ac:dyDescent="0.35">
      <c r="AY193" t="s">
        <v>2018</v>
      </c>
      <c r="AZ193" t="s">
        <v>2019</v>
      </c>
      <c r="BI193" t="s">
        <v>2020</v>
      </c>
    </row>
    <row r="194" spans="51:61" x14ac:dyDescent="0.35">
      <c r="AY194" t="s">
        <v>2021</v>
      </c>
      <c r="AZ194" t="s">
        <v>2022</v>
      </c>
      <c r="BI194" t="s">
        <v>2023</v>
      </c>
    </row>
    <row r="195" spans="51:61" x14ac:dyDescent="0.35">
      <c r="AY195" t="s">
        <v>2024</v>
      </c>
      <c r="AZ195" t="s">
        <v>2025</v>
      </c>
      <c r="BI195" t="s">
        <v>2026</v>
      </c>
    </row>
    <row r="196" spans="51:61" x14ac:dyDescent="0.35">
      <c r="AY196" t="s">
        <v>2027</v>
      </c>
      <c r="AZ196" t="s">
        <v>2028</v>
      </c>
      <c r="BI196" t="s">
        <v>730</v>
      </c>
    </row>
    <row r="197" spans="51:61" x14ac:dyDescent="0.35">
      <c r="AY197" t="s">
        <v>2029</v>
      </c>
      <c r="AZ197" t="s">
        <v>2030</v>
      </c>
      <c r="BI197" t="s">
        <v>2031</v>
      </c>
    </row>
    <row r="198" spans="51:61" x14ac:dyDescent="0.35">
      <c r="AY198" t="s">
        <v>2032</v>
      </c>
      <c r="AZ198" t="s">
        <v>2033</v>
      </c>
      <c r="BI198" t="s">
        <v>2034</v>
      </c>
    </row>
    <row r="199" spans="51:61" x14ac:dyDescent="0.35">
      <c r="AY199" t="s">
        <v>672</v>
      </c>
      <c r="AZ199" t="s">
        <v>2035</v>
      </c>
      <c r="BI199" t="s">
        <v>2036</v>
      </c>
    </row>
    <row r="200" spans="51:61" x14ac:dyDescent="0.35">
      <c r="AY200" t="s">
        <v>2037</v>
      </c>
      <c r="AZ200" t="s">
        <v>2038</v>
      </c>
      <c r="BI200" t="s">
        <v>2039</v>
      </c>
    </row>
    <row r="201" spans="51:61" x14ac:dyDescent="0.35">
      <c r="AY201" t="s">
        <v>2040</v>
      </c>
      <c r="AZ201" t="s">
        <v>2041</v>
      </c>
      <c r="BI201" t="s">
        <v>56</v>
      </c>
    </row>
    <row r="202" spans="51:61" x14ac:dyDescent="0.35">
      <c r="AY202" t="s">
        <v>2042</v>
      </c>
      <c r="AZ202" t="s">
        <v>2043</v>
      </c>
      <c r="BI202" t="s">
        <v>2044</v>
      </c>
    </row>
    <row r="203" spans="51:61" x14ac:dyDescent="0.35">
      <c r="AY203" t="s">
        <v>2045</v>
      </c>
      <c r="AZ203" t="s">
        <v>2046</v>
      </c>
      <c r="BI203" t="s">
        <v>2047</v>
      </c>
    </row>
    <row r="204" spans="51:61" x14ac:dyDescent="0.35">
      <c r="AY204" t="s">
        <v>2048</v>
      </c>
      <c r="AZ204" t="s">
        <v>2049</v>
      </c>
      <c r="BI204" t="s">
        <v>2050</v>
      </c>
    </row>
    <row r="205" spans="51:61" x14ac:dyDescent="0.35">
      <c r="AY205" t="s">
        <v>2051</v>
      </c>
      <c r="AZ205" t="s">
        <v>2052</v>
      </c>
      <c r="BI205" t="s">
        <v>952</v>
      </c>
    </row>
    <row r="206" spans="51:61" x14ac:dyDescent="0.35">
      <c r="AY206" t="s">
        <v>2053</v>
      </c>
      <c r="AZ206" t="s">
        <v>2054</v>
      </c>
      <c r="BI206" t="s">
        <v>2055</v>
      </c>
    </row>
    <row r="207" spans="51:61" x14ac:dyDescent="0.35">
      <c r="AY207" t="s">
        <v>2056</v>
      </c>
      <c r="AZ207" t="s">
        <v>2057</v>
      </c>
      <c r="BI207" t="s">
        <v>2058</v>
      </c>
    </row>
    <row r="208" spans="51:61" x14ac:dyDescent="0.35">
      <c r="AY208" t="s">
        <v>2059</v>
      </c>
      <c r="AZ208" t="s">
        <v>2060</v>
      </c>
      <c r="BI208" t="s">
        <v>224</v>
      </c>
    </row>
    <row r="209" spans="51:61" x14ac:dyDescent="0.35">
      <c r="AY209" t="s">
        <v>2061</v>
      </c>
      <c r="AZ209" t="s">
        <v>2062</v>
      </c>
      <c r="BI209" t="s">
        <v>296</v>
      </c>
    </row>
    <row r="210" spans="51:61" x14ac:dyDescent="0.35">
      <c r="AY210" t="s">
        <v>2063</v>
      </c>
      <c r="AZ210" t="s">
        <v>2064</v>
      </c>
      <c r="BI210" t="s">
        <v>2065</v>
      </c>
    </row>
    <row r="211" spans="51:61" x14ac:dyDescent="0.35">
      <c r="AY211" t="s">
        <v>2066</v>
      </c>
      <c r="AZ211" t="s">
        <v>2067</v>
      </c>
      <c r="BI211" t="s">
        <v>2068</v>
      </c>
    </row>
    <row r="212" spans="51:61" x14ac:dyDescent="0.35">
      <c r="AY212" t="s">
        <v>2069</v>
      </c>
      <c r="AZ212" t="s">
        <v>2070</v>
      </c>
      <c r="BI212" t="s">
        <v>2071</v>
      </c>
    </row>
    <row r="213" spans="51:61" x14ac:dyDescent="0.35">
      <c r="AY213" t="s">
        <v>2072</v>
      </c>
      <c r="AZ213" t="s">
        <v>341</v>
      </c>
      <c r="BI213" t="s">
        <v>2073</v>
      </c>
    </row>
    <row r="214" spans="51:61" x14ac:dyDescent="0.35">
      <c r="AY214" t="s">
        <v>2074</v>
      </c>
      <c r="AZ214" t="s">
        <v>2075</v>
      </c>
    </row>
    <row r="215" spans="51:61" x14ac:dyDescent="0.35">
      <c r="AY215" t="s">
        <v>2076</v>
      </c>
      <c r="AZ215" t="s">
        <v>2077</v>
      </c>
    </row>
    <row r="216" spans="51:61" x14ac:dyDescent="0.35">
      <c r="AY216" t="s">
        <v>2078</v>
      </c>
      <c r="AZ216" t="s">
        <v>314</v>
      </c>
    </row>
    <row r="217" spans="51:61" x14ac:dyDescent="0.35">
      <c r="AY217" t="s">
        <v>2079</v>
      </c>
      <c r="AZ217" t="s">
        <v>2080</v>
      </c>
    </row>
    <row r="218" spans="51:61" x14ac:dyDescent="0.35">
      <c r="AY218" t="s">
        <v>2081</v>
      </c>
      <c r="AZ218" t="s">
        <v>328</v>
      </c>
    </row>
    <row r="219" spans="51:61" x14ac:dyDescent="0.35">
      <c r="AY219" t="s">
        <v>2082</v>
      </c>
    </row>
    <row r="220" spans="51:61" x14ac:dyDescent="0.35">
      <c r="AY220" t="s">
        <v>2083</v>
      </c>
    </row>
    <row r="221" spans="51:61" x14ac:dyDescent="0.35">
      <c r="AY221" t="s">
        <v>2084</v>
      </c>
    </row>
    <row r="222" spans="51:61" x14ac:dyDescent="0.35">
      <c r="AY222" t="s">
        <v>2085</v>
      </c>
    </row>
    <row r="223" spans="51:61" x14ac:dyDescent="0.35">
      <c r="AY223" t="s">
        <v>2086</v>
      </c>
    </row>
    <row r="224" spans="51:61" x14ac:dyDescent="0.35">
      <c r="AY224" t="s">
        <v>2087</v>
      </c>
    </row>
    <row r="225" spans="51:51" x14ac:dyDescent="0.35">
      <c r="AY225" t="s">
        <v>2088</v>
      </c>
    </row>
    <row r="226" spans="51:51" x14ac:dyDescent="0.35">
      <c r="AY226" t="s">
        <v>2089</v>
      </c>
    </row>
    <row r="227" spans="51:51" x14ac:dyDescent="0.35">
      <c r="AY227" t="s">
        <v>2090</v>
      </c>
    </row>
    <row r="228" spans="51:51" x14ac:dyDescent="0.35">
      <c r="AY228" t="s">
        <v>2091</v>
      </c>
    </row>
    <row r="229" spans="51:51" x14ac:dyDescent="0.35">
      <c r="AY229" t="s">
        <v>2092</v>
      </c>
    </row>
    <row r="230" spans="51:51" x14ac:dyDescent="0.35">
      <c r="AY230" t="s">
        <v>2093</v>
      </c>
    </row>
    <row r="231" spans="51:51" x14ac:dyDescent="0.35">
      <c r="AY231" t="s">
        <v>2094</v>
      </c>
    </row>
    <row r="232" spans="51:51" x14ac:dyDescent="0.35">
      <c r="AY232" t="s">
        <v>2095</v>
      </c>
    </row>
    <row r="233" spans="51:51" x14ac:dyDescent="0.35">
      <c r="AY233" t="s">
        <v>2096</v>
      </c>
    </row>
    <row r="234" spans="51:51" x14ac:dyDescent="0.35">
      <c r="AY234" t="s">
        <v>2097</v>
      </c>
    </row>
    <row r="235" spans="51:51" x14ac:dyDescent="0.35">
      <c r="AY235" t="s">
        <v>2098</v>
      </c>
    </row>
    <row r="236" spans="51:51" x14ac:dyDescent="0.35">
      <c r="AY236" t="s">
        <v>2099</v>
      </c>
    </row>
    <row r="237" spans="51:51" x14ac:dyDescent="0.35">
      <c r="AY237" t="s">
        <v>2100</v>
      </c>
    </row>
    <row r="238" spans="51:51" x14ac:dyDescent="0.35">
      <c r="AY238" t="s">
        <v>2101</v>
      </c>
    </row>
    <row r="239" spans="51:51" x14ac:dyDescent="0.35">
      <c r="AY239" t="s">
        <v>2102</v>
      </c>
    </row>
    <row r="240" spans="51:51" x14ac:dyDescent="0.35">
      <c r="AY240" t="s">
        <v>2103</v>
      </c>
    </row>
    <row r="241" spans="51:51" x14ac:dyDescent="0.35">
      <c r="AY241" t="s">
        <v>2104</v>
      </c>
    </row>
    <row r="242" spans="51:51" x14ac:dyDescent="0.35">
      <c r="AY242" t="s">
        <v>2105</v>
      </c>
    </row>
    <row r="243" spans="51:51" x14ac:dyDescent="0.35">
      <c r="AY243" t="s">
        <v>2106</v>
      </c>
    </row>
    <row r="244" spans="51:51" x14ac:dyDescent="0.35">
      <c r="AY244" t="s">
        <v>2107</v>
      </c>
    </row>
    <row r="245" spans="51:51" x14ac:dyDescent="0.35">
      <c r="AY245" t="s">
        <v>2108</v>
      </c>
    </row>
    <row r="246" spans="51:51" x14ac:dyDescent="0.35">
      <c r="AY246" t="s">
        <v>2109</v>
      </c>
    </row>
    <row r="247" spans="51:51" x14ac:dyDescent="0.35">
      <c r="AY247" t="s">
        <v>2110</v>
      </c>
    </row>
    <row r="248" spans="51:51" x14ac:dyDescent="0.35">
      <c r="AY248" t="s">
        <v>2111</v>
      </c>
    </row>
    <row r="249" spans="51:51" x14ac:dyDescent="0.35">
      <c r="AY249" t="s">
        <v>2112</v>
      </c>
    </row>
    <row r="250" spans="51:51" x14ac:dyDescent="0.35">
      <c r="AY250" t="s">
        <v>2113</v>
      </c>
    </row>
    <row r="251" spans="51:51" x14ac:dyDescent="0.35">
      <c r="AY251" t="s">
        <v>2114</v>
      </c>
    </row>
    <row r="252" spans="51:51" x14ac:dyDescent="0.35">
      <c r="AY252" t="s">
        <v>2115</v>
      </c>
    </row>
    <row r="253" spans="51:51" x14ac:dyDescent="0.35">
      <c r="AY253" t="s">
        <v>2116</v>
      </c>
    </row>
    <row r="254" spans="51:51" x14ac:dyDescent="0.35">
      <c r="AY254" t="s">
        <v>2117</v>
      </c>
    </row>
    <row r="255" spans="51:51" x14ac:dyDescent="0.35">
      <c r="AY255" t="s">
        <v>2118</v>
      </c>
    </row>
    <row r="256" spans="51:51" x14ac:dyDescent="0.35">
      <c r="AY256" t="s">
        <v>2119</v>
      </c>
    </row>
    <row r="257" spans="51:51" x14ac:dyDescent="0.35">
      <c r="AY257" t="s">
        <v>2120</v>
      </c>
    </row>
    <row r="258" spans="51:51" x14ac:dyDescent="0.35">
      <c r="AY258" t="s">
        <v>2121</v>
      </c>
    </row>
    <row r="259" spans="51:51" x14ac:dyDescent="0.35">
      <c r="AY259" t="s">
        <v>2122</v>
      </c>
    </row>
    <row r="260" spans="51:51" x14ac:dyDescent="0.35">
      <c r="AY260" t="s">
        <v>2123</v>
      </c>
    </row>
    <row r="261" spans="51:51" x14ac:dyDescent="0.35">
      <c r="AY261" t="s">
        <v>2124</v>
      </c>
    </row>
    <row r="262" spans="51:51" x14ac:dyDescent="0.35">
      <c r="AY262" t="s">
        <v>2125</v>
      </c>
    </row>
    <row r="263" spans="51:51" x14ac:dyDescent="0.35">
      <c r="AY263" t="s">
        <v>2126</v>
      </c>
    </row>
    <row r="264" spans="51:51" x14ac:dyDescent="0.35">
      <c r="AY264" t="s">
        <v>2127</v>
      </c>
    </row>
    <row r="265" spans="51:51" x14ac:dyDescent="0.35">
      <c r="AY265" t="s">
        <v>2128</v>
      </c>
    </row>
    <row r="266" spans="51:51" x14ac:dyDescent="0.35">
      <c r="AY266" t="s">
        <v>2129</v>
      </c>
    </row>
    <row r="267" spans="51:51" x14ac:dyDescent="0.35">
      <c r="AY267" t="s">
        <v>2130</v>
      </c>
    </row>
    <row r="268" spans="51:51" x14ac:dyDescent="0.35">
      <c r="AY268" t="s">
        <v>2131</v>
      </c>
    </row>
    <row r="269" spans="51:51" x14ac:dyDescent="0.35">
      <c r="AY269" t="s">
        <v>2132</v>
      </c>
    </row>
    <row r="270" spans="51:51" x14ac:dyDescent="0.35">
      <c r="AY270" t="s">
        <v>2133</v>
      </c>
    </row>
    <row r="271" spans="51:51" x14ac:dyDescent="0.35">
      <c r="AY271" t="s">
        <v>2134</v>
      </c>
    </row>
    <row r="272" spans="51:51" x14ac:dyDescent="0.35">
      <c r="AY272" t="s">
        <v>2135</v>
      </c>
    </row>
    <row r="273" spans="51:51" x14ac:dyDescent="0.35">
      <c r="AY273" t="s">
        <v>2136</v>
      </c>
    </row>
    <row r="274" spans="51:51" x14ac:dyDescent="0.35">
      <c r="AY274" t="s">
        <v>2137</v>
      </c>
    </row>
    <row r="275" spans="51:51" x14ac:dyDescent="0.35">
      <c r="AY275" t="s">
        <v>2138</v>
      </c>
    </row>
    <row r="276" spans="51:51" x14ac:dyDescent="0.35">
      <c r="AY276" t="s">
        <v>2139</v>
      </c>
    </row>
    <row r="277" spans="51:51" x14ac:dyDescent="0.35">
      <c r="AY277" t="s">
        <v>2140</v>
      </c>
    </row>
    <row r="278" spans="51:51" x14ac:dyDescent="0.35">
      <c r="AY278" t="s">
        <v>2141</v>
      </c>
    </row>
    <row r="279" spans="51:51" x14ac:dyDescent="0.35">
      <c r="AY279" t="s">
        <v>2142</v>
      </c>
    </row>
    <row r="280" spans="51:51" x14ac:dyDescent="0.35">
      <c r="AY280" t="s">
        <v>2143</v>
      </c>
    </row>
    <row r="281" spans="51:51" x14ac:dyDescent="0.35">
      <c r="AY281" t="s">
        <v>2144</v>
      </c>
    </row>
    <row r="282" spans="51:51" x14ac:dyDescent="0.35">
      <c r="AY282" t="s">
        <v>2145</v>
      </c>
    </row>
    <row r="283" spans="51:51" x14ac:dyDescent="0.35">
      <c r="AY283" t="s">
        <v>2146</v>
      </c>
    </row>
    <row r="284" spans="51:51" x14ac:dyDescent="0.35">
      <c r="AY284" t="s">
        <v>2147</v>
      </c>
    </row>
    <row r="285" spans="51:51" x14ac:dyDescent="0.35">
      <c r="AY285" t="s">
        <v>2148</v>
      </c>
    </row>
    <row r="286" spans="51:51" x14ac:dyDescent="0.35">
      <c r="AY286" t="s">
        <v>2149</v>
      </c>
    </row>
    <row r="287" spans="51:51" x14ac:dyDescent="0.35">
      <c r="AY287" t="s">
        <v>2150</v>
      </c>
    </row>
    <row r="288" spans="51:51" x14ac:dyDescent="0.35">
      <c r="AY288" t="s">
        <v>2151</v>
      </c>
    </row>
    <row r="289" spans="51:51" x14ac:dyDescent="0.35">
      <c r="AY289" t="s">
        <v>2152</v>
      </c>
    </row>
    <row r="290" spans="51:51" x14ac:dyDescent="0.35">
      <c r="AY290" t="s">
        <v>2153</v>
      </c>
    </row>
    <row r="291" spans="51:51" x14ac:dyDescent="0.35">
      <c r="AY291" t="s">
        <v>1026</v>
      </c>
    </row>
    <row r="292" spans="51:51" x14ac:dyDescent="0.35">
      <c r="AY292" t="s">
        <v>2154</v>
      </c>
    </row>
    <row r="293" spans="51:51" x14ac:dyDescent="0.35">
      <c r="AY293" t="s">
        <v>2155</v>
      </c>
    </row>
    <row r="294" spans="51:51" x14ac:dyDescent="0.35">
      <c r="AY294" t="s">
        <v>2156</v>
      </c>
    </row>
    <row r="295" spans="51:51" x14ac:dyDescent="0.35">
      <c r="AY295" t="s">
        <v>2157</v>
      </c>
    </row>
    <row r="296" spans="51:51" x14ac:dyDescent="0.35">
      <c r="AY296" t="s">
        <v>2158</v>
      </c>
    </row>
    <row r="297" spans="51:51" x14ac:dyDescent="0.35">
      <c r="AY297" t="s">
        <v>2159</v>
      </c>
    </row>
    <row r="298" spans="51:51" x14ac:dyDescent="0.35">
      <c r="AY298" t="s">
        <v>2160</v>
      </c>
    </row>
    <row r="299" spans="51:51" x14ac:dyDescent="0.35">
      <c r="AY299" t="s">
        <v>2161</v>
      </c>
    </row>
    <row r="300" spans="51:51" x14ac:dyDescent="0.35">
      <c r="AY300" t="s">
        <v>2162</v>
      </c>
    </row>
    <row r="301" spans="51:51" x14ac:dyDescent="0.35">
      <c r="AY301" t="s">
        <v>2163</v>
      </c>
    </row>
    <row r="302" spans="51:51" x14ac:dyDescent="0.35">
      <c r="AY302" t="s">
        <v>2164</v>
      </c>
    </row>
    <row r="303" spans="51:51" x14ac:dyDescent="0.35">
      <c r="AY303" t="s">
        <v>2165</v>
      </c>
    </row>
    <row r="304" spans="51:51" x14ac:dyDescent="0.35">
      <c r="AY304" t="s">
        <v>2166</v>
      </c>
    </row>
    <row r="305" spans="51:51" x14ac:dyDescent="0.35">
      <c r="AY305" t="s">
        <v>2167</v>
      </c>
    </row>
    <row r="306" spans="51:51" x14ac:dyDescent="0.35">
      <c r="AY306" t="s">
        <v>2168</v>
      </c>
    </row>
    <row r="307" spans="51:51" x14ac:dyDescent="0.35">
      <c r="AY307" t="s">
        <v>2169</v>
      </c>
    </row>
    <row r="308" spans="51:51" x14ac:dyDescent="0.35">
      <c r="AY308" t="s">
        <v>2170</v>
      </c>
    </row>
    <row r="309" spans="51:51" x14ac:dyDescent="0.35">
      <c r="AY309" t="s">
        <v>2171</v>
      </c>
    </row>
    <row r="310" spans="51:51" x14ac:dyDescent="0.35">
      <c r="AY310" t="s">
        <v>2172</v>
      </c>
    </row>
    <row r="311" spans="51:51" x14ac:dyDescent="0.35">
      <c r="AY311" t="s">
        <v>2173</v>
      </c>
    </row>
    <row r="312" spans="51:51" x14ac:dyDescent="0.35">
      <c r="AY312" t="s">
        <v>2174</v>
      </c>
    </row>
    <row r="313" spans="51:51" x14ac:dyDescent="0.35">
      <c r="AY313" t="s">
        <v>2175</v>
      </c>
    </row>
    <row r="314" spans="51:51" x14ac:dyDescent="0.35">
      <c r="AY314" t="s">
        <v>2176</v>
      </c>
    </row>
    <row r="315" spans="51:51" x14ac:dyDescent="0.35">
      <c r="AY315" t="s">
        <v>2177</v>
      </c>
    </row>
    <row r="316" spans="51:51" x14ac:dyDescent="0.35">
      <c r="AY316" t="s">
        <v>2178</v>
      </c>
    </row>
    <row r="317" spans="51:51" x14ac:dyDescent="0.35">
      <c r="AY317" t="s">
        <v>2179</v>
      </c>
    </row>
    <row r="318" spans="51:51" x14ac:dyDescent="0.35">
      <c r="AY318" t="s">
        <v>2180</v>
      </c>
    </row>
    <row r="319" spans="51:51" x14ac:dyDescent="0.35">
      <c r="AY319" t="s">
        <v>2181</v>
      </c>
    </row>
    <row r="320" spans="51:51" x14ac:dyDescent="0.35">
      <c r="AY320" t="s">
        <v>2182</v>
      </c>
    </row>
    <row r="321" spans="51:51" x14ac:dyDescent="0.35">
      <c r="AY321" t="s">
        <v>2183</v>
      </c>
    </row>
    <row r="322" spans="51:51" x14ac:dyDescent="0.35">
      <c r="AY322" t="s">
        <v>2184</v>
      </c>
    </row>
    <row r="323" spans="51:51" x14ac:dyDescent="0.35">
      <c r="AY323" t="s">
        <v>2185</v>
      </c>
    </row>
    <row r="324" spans="51:51" x14ac:dyDescent="0.35">
      <c r="AY324" t="s">
        <v>2186</v>
      </c>
    </row>
    <row r="325" spans="51:51" x14ac:dyDescent="0.35">
      <c r="AY325" t="s">
        <v>2187</v>
      </c>
    </row>
    <row r="326" spans="51:51" x14ac:dyDescent="0.35">
      <c r="AY326" t="s">
        <v>2188</v>
      </c>
    </row>
    <row r="327" spans="51:51" x14ac:dyDescent="0.35">
      <c r="AY327" t="s">
        <v>2189</v>
      </c>
    </row>
    <row r="328" spans="51:51" x14ac:dyDescent="0.35">
      <c r="AY328" t="s">
        <v>2190</v>
      </c>
    </row>
    <row r="329" spans="51:51" x14ac:dyDescent="0.35">
      <c r="AY329" t="s">
        <v>2191</v>
      </c>
    </row>
    <row r="330" spans="51:51" x14ac:dyDescent="0.35">
      <c r="AY330" t="s">
        <v>2192</v>
      </c>
    </row>
    <row r="331" spans="51:51" x14ac:dyDescent="0.35">
      <c r="AY331" t="s">
        <v>2193</v>
      </c>
    </row>
    <row r="332" spans="51:51" x14ac:dyDescent="0.35">
      <c r="AY332" t="s">
        <v>2194</v>
      </c>
    </row>
    <row r="333" spans="51:51" x14ac:dyDescent="0.35">
      <c r="AY333" t="s">
        <v>2195</v>
      </c>
    </row>
    <row r="334" spans="51:51" x14ac:dyDescent="0.35">
      <c r="AY334" t="s">
        <v>2196</v>
      </c>
    </row>
    <row r="335" spans="51:51" x14ac:dyDescent="0.35">
      <c r="AY335" t="s">
        <v>2197</v>
      </c>
    </row>
    <row r="336" spans="51:51" x14ac:dyDescent="0.35">
      <c r="AY336" t="s">
        <v>2198</v>
      </c>
    </row>
    <row r="337" spans="51:51" x14ac:dyDescent="0.35">
      <c r="AY337" t="s">
        <v>2199</v>
      </c>
    </row>
    <row r="338" spans="51:51" x14ac:dyDescent="0.35">
      <c r="AY338" t="s">
        <v>2200</v>
      </c>
    </row>
    <row r="339" spans="51:51" x14ac:dyDescent="0.35">
      <c r="AY339" t="s">
        <v>2201</v>
      </c>
    </row>
    <row r="340" spans="51:51" x14ac:dyDescent="0.35">
      <c r="AY340" t="s">
        <v>2202</v>
      </c>
    </row>
    <row r="341" spans="51:51" x14ac:dyDescent="0.35">
      <c r="AY341" t="s">
        <v>2203</v>
      </c>
    </row>
    <row r="342" spans="51:51" x14ac:dyDescent="0.35">
      <c r="AY342" t="s">
        <v>2204</v>
      </c>
    </row>
    <row r="343" spans="51:51" x14ac:dyDescent="0.35">
      <c r="AY343" t="s">
        <v>2205</v>
      </c>
    </row>
    <row r="344" spans="51:51" x14ac:dyDescent="0.35">
      <c r="AY344" t="s">
        <v>2206</v>
      </c>
    </row>
    <row r="345" spans="51:51" x14ac:dyDescent="0.35">
      <c r="AY345" t="s">
        <v>2207</v>
      </c>
    </row>
    <row r="346" spans="51:51" x14ac:dyDescent="0.35">
      <c r="AY346" t="s">
        <v>2208</v>
      </c>
    </row>
    <row r="347" spans="51:51" x14ac:dyDescent="0.35">
      <c r="AY347" t="s">
        <v>2209</v>
      </c>
    </row>
    <row r="348" spans="51:51" x14ac:dyDescent="0.35">
      <c r="AY348" t="s">
        <v>2210</v>
      </c>
    </row>
    <row r="349" spans="51:51" x14ac:dyDescent="0.35">
      <c r="AY349" t="s">
        <v>2211</v>
      </c>
    </row>
    <row r="350" spans="51:51" x14ac:dyDescent="0.35">
      <c r="AY350" t="s">
        <v>2212</v>
      </c>
    </row>
    <row r="351" spans="51:51" x14ac:dyDescent="0.35">
      <c r="AY351" t="s">
        <v>2213</v>
      </c>
    </row>
    <row r="352" spans="51:51" x14ac:dyDescent="0.35">
      <c r="AY352" t="s">
        <v>2214</v>
      </c>
    </row>
    <row r="353" spans="51:51" x14ac:dyDescent="0.35">
      <c r="AY353" t="s">
        <v>2215</v>
      </c>
    </row>
    <row r="354" spans="51:51" x14ac:dyDescent="0.35">
      <c r="AY354" t="s">
        <v>2216</v>
      </c>
    </row>
    <row r="355" spans="51:51" x14ac:dyDescent="0.35">
      <c r="AY355" t="s">
        <v>2217</v>
      </c>
    </row>
    <row r="356" spans="51:51" x14ac:dyDescent="0.35">
      <c r="AY356" t="s">
        <v>1378</v>
      </c>
    </row>
    <row r="357" spans="51:51" x14ac:dyDescent="0.35">
      <c r="AY357" t="s">
        <v>2218</v>
      </c>
    </row>
    <row r="358" spans="51:51" x14ac:dyDescent="0.35">
      <c r="AY358" t="s">
        <v>2219</v>
      </c>
    </row>
    <row r="359" spans="51:51" x14ac:dyDescent="0.35">
      <c r="AY359" t="s">
        <v>2220</v>
      </c>
    </row>
    <row r="360" spans="51:51" x14ac:dyDescent="0.35">
      <c r="AY360" t="s">
        <v>2221</v>
      </c>
    </row>
    <row r="361" spans="51:51" x14ac:dyDescent="0.35">
      <c r="AY361" t="s">
        <v>2222</v>
      </c>
    </row>
    <row r="362" spans="51:51" x14ac:dyDescent="0.35">
      <c r="AY362" t="s">
        <v>2223</v>
      </c>
    </row>
    <row r="363" spans="51:51" x14ac:dyDescent="0.35">
      <c r="AY363" t="s">
        <v>2224</v>
      </c>
    </row>
    <row r="364" spans="51:51" x14ac:dyDescent="0.35">
      <c r="AY364" t="s">
        <v>2225</v>
      </c>
    </row>
    <row r="365" spans="51:51" x14ac:dyDescent="0.35">
      <c r="AY365" t="s">
        <v>2226</v>
      </c>
    </row>
    <row r="366" spans="51:51" x14ac:dyDescent="0.35">
      <c r="AY366" t="s">
        <v>2227</v>
      </c>
    </row>
    <row r="367" spans="51:51" x14ac:dyDescent="0.35">
      <c r="AY367" t="s">
        <v>2228</v>
      </c>
    </row>
    <row r="368" spans="51:51" x14ac:dyDescent="0.35">
      <c r="AY368" t="s">
        <v>2229</v>
      </c>
    </row>
    <row r="369" spans="51:51" x14ac:dyDescent="0.35">
      <c r="AY369" t="s">
        <v>2230</v>
      </c>
    </row>
    <row r="370" spans="51:51" x14ac:dyDescent="0.35">
      <c r="AY370" t="s">
        <v>2231</v>
      </c>
    </row>
    <row r="371" spans="51:51" x14ac:dyDescent="0.35">
      <c r="AY371" t="s">
        <v>2232</v>
      </c>
    </row>
    <row r="372" spans="51:51" x14ac:dyDescent="0.35">
      <c r="AY372" t="s">
        <v>2233</v>
      </c>
    </row>
    <row r="373" spans="51:51" x14ac:dyDescent="0.35">
      <c r="AY373" t="s">
        <v>2234</v>
      </c>
    </row>
    <row r="374" spans="51:51" x14ac:dyDescent="0.35">
      <c r="AY374" t="s">
        <v>2235</v>
      </c>
    </row>
    <row r="375" spans="51:51" x14ac:dyDescent="0.35">
      <c r="AY375" t="s">
        <v>2236</v>
      </c>
    </row>
    <row r="376" spans="51:51" x14ac:dyDescent="0.35">
      <c r="AY376" t="s">
        <v>2237</v>
      </c>
    </row>
    <row r="377" spans="51:51" x14ac:dyDescent="0.35">
      <c r="AY377" t="s">
        <v>2238</v>
      </c>
    </row>
    <row r="378" spans="51:51" x14ac:dyDescent="0.35">
      <c r="AY378" t="s">
        <v>2239</v>
      </c>
    </row>
    <row r="379" spans="51:51" x14ac:dyDescent="0.35">
      <c r="AY379" t="s">
        <v>2240</v>
      </c>
    </row>
    <row r="380" spans="51:51" x14ac:dyDescent="0.35">
      <c r="AY380" t="s">
        <v>2241</v>
      </c>
    </row>
    <row r="381" spans="51:51" x14ac:dyDescent="0.35">
      <c r="AY381" t="s">
        <v>2242</v>
      </c>
    </row>
    <row r="382" spans="51:51" x14ac:dyDescent="0.35">
      <c r="AY382" t="s">
        <v>2243</v>
      </c>
    </row>
    <row r="383" spans="51:51" x14ac:dyDescent="0.35">
      <c r="AY383" t="s">
        <v>2244</v>
      </c>
    </row>
    <row r="384" spans="51:51" x14ac:dyDescent="0.35">
      <c r="AY384" t="s">
        <v>2245</v>
      </c>
    </row>
    <row r="385" spans="51:51" x14ac:dyDescent="0.35">
      <c r="AY385" t="s">
        <v>2246</v>
      </c>
    </row>
    <row r="386" spans="51:51" x14ac:dyDescent="0.35">
      <c r="AY386" t="s">
        <v>2247</v>
      </c>
    </row>
    <row r="387" spans="51:51" x14ac:dyDescent="0.35">
      <c r="AY387" t="s">
        <v>2248</v>
      </c>
    </row>
    <row r="388" spans="51:51" x14ac:dyDescent="0.35">
      <c r="AY388" t="s">
        <v>2249</v>
      </c>
    </row>
    <row r="389" spans="51:51" x14ac:dyDescent="0.35">
      <c r="AY389" t="s">
        <v>2250</v>
      </c>
    </row>
    <row r="390" spans="51:51" x14ac:dyDescent="0.35">
      <c r="AY390" t="s">
        <v>2251</v>
      </c>
    </row>
    <row r="391" spans="51:51" x14ac:dyDescent="0.35">
      <c r="AY391" t="s">
        <v>2252</v>
      </c>
    </row>
    <row r="392" spans="51:51" x14ac:dyDescent="0.35">
      <c r="AY392" t="s">
        <v>2253</v>
      </c>
    </row>
    <row r="393" spans="51:51" x14ac:dyDescent="0.35">
      <c r="AY393" t="s">
        <v>2254</v>
      </c>
    </row>
    <row r="394" spans="51:51" x14ac:dyDescent="0.35">
      <c r="AY394" t="s">
        <v>2255</v>
      </c>
    </row>
    <row r="395" spans="51:51" x14ac:dyDescent="0.35">
      <c r="AY395" t="s">
        <v>2256</v>
      </c>
    </row>
    <row r="396" spans="51:51" x14ac:dyDescent="0.35">
      <c r="AY396" t="s">
        <v>2257</v>
      </c>
    </row>
    <row r="397" spans="51:51" x14ac:dyDescent="0.35">
      <c r="AY397" t="s">
        <v>2258</v>
      </c>
    </row>
    <row r="398" spans="51:51" x14ac:dyDescent="0.35">
      <c r="AY398" t="s">
        <v>2259</v>
      </c>
    </row>
    <row r="399" spans="51:51" x14ac:dyDescent="0.35">
      <c r="AY399" t="s">
        <v>2260</v>
      </c>
    </row>
    <row r="400" spans="51:51" x14ac:dyDescent="0.35">
      <c r="AY400" t="s">
        <v>2261</v>
      </c>
    </row>
    <row r="401" spans="51:51" x14ac:dyDescent="0.35">
      <c r="AY401" t="s">
        <v>2262</v>
      </c>
    </row>
    <row r="402" spans="51:51" x14ac:dyDescent="0.35">
      <c r="AY402" t="s">
        <v>2263</v>
      </c>
    </row>
    <row r="403" spans="51:51" x14ac:dyDescent="0.35">
      <c r="AY403" t="s">
        <v>2264</v>
      </c>
    </row>
    <row r="404" spans="51:51" x14ac:dyDescent="0.35">
      <c r="AY404" t="s">
        <v>2265</v>
      </c>
    </row>
    <row r="405" spans="51:51" x14ac:dyDescent="0.35">
      <c r="AY405" t="s">
        <v>2266</v>
      </c>
    </row>
    <row r="406" spans="51:51" x14ac:dyDescent="0.35">
      <c r="AY406" t="s">
        <v>2267</v>
      </c>
    </row>
    <row r="407" spans="51:51" x14ac:dyDescent="0.35">
      <c r="AY407" t="s">
        <v>2268</v>
      </c>
    </row>
    <row r="408" spans="51:51" x14ac:dyDescent="0.35">
      <c r="AY408" t="s">
        <v>2269</v>
      </c>
    </row>
    <row r="409" spans="51:51" x14ac:dyDescent="0.35">
      <c r="AY409" t="s">
        <v>2270</v>
      </c>
    </row>
    <row r="410" spans="51:51" x14ac:dyDescent="0.35">
      <c r="AY410" t="s">
        <v>2271</v>
      </c>
    </row>
    <row r="411" spans="51:51" x14ac:dyDescent="0.35">
      <c r="AY411" t="s">
        <v>2272</v>
      </c>
    </row>
    <row r="412" spans="51:51" x14ac:dyDescent="0.35">
      <c r="AY412" t="s">
        <v>2273</v>
      </c>
    </row>
    <row r="413" spans="51:51" x14ac:dyDescent="0.35">
      <c r="AY413" t="s">
        <v>2274</v>
      </c>
    </row>
    <row r="414" spans="51:51" x14ac:dyDescent="0.35">
      <c r="AY414" t="s">
        <v>2275</v>
      </c>
    </row>
    <row r="415" spans="51:51" x14ac:dyDescent="0.35">
      <c r="AY415" t="s">
        <v>2276</v>
      </c>
    </row>
    <row r="416" spans="51:51" x14ac:dyDescent="0.35">
      <c r="AY416" t="s">
        <v>2277</v>
      </c>
    </row>
    <row r="417" spans="51:51" x14ac:dyDescent="0.35">
      <c r="AY417" t="s">
        <v>2278</v>
      </c>
    </row>
    <row r="418" spans="51:51" x14ac:dyDescent="0.35">
      <c r="AY418" t="s">
        <v>2279</v>
      </c>
    </row>
    <row r="419" spans="51:51" x14ac:dyDescent="0.35">
      <c r="AY419" t="s">
        <v>2280</v>
      </c>
    </row>
    <row r="420" spans="51:51" x14ac:dyDescent="0.35">
      <c r="AY420" t="s">
        <v>2281</v>
      </c>
    </row>
    <row r="421" spans="51:51" x14ac:dyDescent="0.35">
      <c r="AY421" t="s">
        <v>2282</v>
      </c>
    </row>
    <row r="422" spans="51:51" x14ac:dyDescent="0.35">
      <c r="AY422" t="s">
        <v>2283</v>
      </c>
    </row>
    <row r="423" spans="51:51" x14ac:dyDescent="0.35">
      <c r="AY423" t="s">
        <v>2284</v>
      </c>
    </row>
    <row r="424" spans="51:51" x14ac:dyDescent="0.35">
      <c r="AY424" t="s">
        <v>2285</v>
      </c>
    </row>
    <row r="425" spans="51:51" x14ac:dyDescent="0.35">
      <c r="AY425" t="s">
        <v>2286</v>
      </c>
    </row>
    <row r="426" spans="51:51" x14ac:dyDescent="0.35">
      <c r="AY426" t="s">
        <v>2287</v>
      </c>
    </row>
    <row r="427" spans="51:51" x14ac:dyDescent="0.35">
      <c r="AY427" t="s">
        <v>2288</v>
      </c>
    </row>
    <row r="428" spans="51:51" x14ac:dyDescent="0.35">
      <c r="AY428" t="s">
        <v>2289</v>
      </c>
    </row>
    <row r="429" spans="51:51" x14ac:dyDescent="0.35">
      <c r="AY429" t="s">
        <v>2290</v>
      </c>
    </row>
    <row r="430" spans="51:51" x14ac:dyDescent="0.35">
      <c r="AY430" t="s">
        <v>2291</v>
      </c>
    </row>
    <row r="431" spans="51:51" x14ac:dyDescent="0.35">
      <c r="AY431" t="s">
        <v>2292</v>
      </c>
    </row>
    <row r="432" spans="51:51" x14ac:dyDescent="0.35">
      <c r="AY432" t="s">
        <v>2293</v>
      </c>
    </row>
    <row r="433" spans="51:51" x14ac:dyDescent="0.35">
      <c r="AY433" t="s">
        <v>2294</v>
      </c>
    </row>
    <row r="434" spans="51:51" x14ac:dyDescent="0.35">
      <c r="AY434" t="s">
        <v>2295</v>
      </c>
    </row>
    <row r="435" spans="51:51" x14ac:dyDescent="0.35">
      <c r="AY435" t="s">
        <v>2296</v>
      </c>
    </row>
    <row r="436" spans="51:51" x14ac:dyDescent="0.35">
      <c r="AY436" t="s">
        <v>2297</v>
      </c>
    </row>
    <row r="437" spans="51:51" x14ac:dyDescent="0.35">
      <c r="AY437" t="s">
        <v>2298</v>
      </c>
    </row>
    <row r="438" spans="51:51" x14ac:dyDescent="0.35">
      <c r="AY438" t="s">
        <v>2299</v>
      </c>
    </row>
    <row r="439" spans="51:51" x14ac:dyDescent="0.35">
      <c r="AY439" t="s">
        <v>2300</v>
      </c>
    </row>
    <row r="440" spans="51:51" x14ac:dyDescent="0.35">
      <c r="AY440" t="s">
        <v>2301</v>
      </c>
    </row>
    <row r="441" spans="51:51" x14ac:dyDescent="0.35">
      <c r="AY441" t="s">
        <v>2302</v>
      </c>
    </row>
    <row r="442" spans="51:51" x14ac:dyDescent="0.35">
      <c r="AY442" t="s">
        <v>2303</v>
      </c>
    </row>
    <row r="443" spans="51:51" x14ac:dyDescent="0.35">
      <c r="AY443" t="s">
        <v>2304</v>
      </c>
    </row>
    <row r="444" spans="51:51" x14ac:dyDescent="0.35">
      <c r="AY444" t="s">
        <v>2305</v>
      </c>
    </row>
    <row r="445" spans="51:51" x14ac:dyDescent="0.35">
      <c r="AY445" t="s">
        <v>2306</v>
      </c>
    </row>
    <row r="446" spans="51:51" x14ac:dyDescent="0.35">
      <c r="AY446" t="s">
        <v>2307</v>
      </c>
    </row>
    <row r="447" spans="51:51" x14ac:dyDescent="0.35">
      <c r="AY447" t="s">
        <v>2308</v>
      </c>
    </row>
    <row r="448" spans="51:51" x14ac:dyDescent="0.35">
      <c r="AY448" t="s">
        <v>2309</v>
      </c>
    </row>
    <row r="449" spans="51:51" x14ac:dyDescent="0.35">
      <c r="AY449" t="s">
        <v>2310</v>
      </c>
    </row>
    <row r="450" spans="51:51" x14ac:dyDescent="0.35">
      <c r="AY450" t="s">
        <v>2311</v>
      </c>
    </row>
    <row r="451" spans="51:51" x14ac:dyDescent="0.35">
      <c r="AY451" t="s">
        <v>2312</v>
      </c>
    </row>
    <row r="452" spans="51:51" x14ac:dyDescent="0.35">
      <c r="AY452" t="s">
        <v>2313</v>
      </c>
    </row>
    <row r="453" spans="51:51" x14ac:dyDescent="0.35">
      <c r="AY453" t="s">
        <v>2314</v>
      </c>
    </row>
    <row r="454" spans="51:51" x14ac:dyDescent="0.35">
      <c r="AY454" t="s">
        <v>2315</v>
      </c>
    </row>
    <row r="455" spans="51:51" x14ac:dyDescent="0.35">
      <c r="AY455" t="s">
        <v>2316</v>
      </c>
    </row>
    <row r="456" spans="51:51" x14ac:dyDescent="0.35">
      <c r="AY456" t="s">
        <v>2317</v>
      </c>
    </row>
    <row r="457" spans="51:51" x14ac:dyDescent="0.35">
      <c r="AY457" t="s">
        <v>2318</v>
      </c>
    </row>
    <row r="458" spans="51:51" x14ac:dyDescent="0.35">
      <c r="AY458" t="s">
        <v>2319</v>
      </c>
    </row>
    <row r="459" spans="51:51" x14ac:dyDescent="0.35">
      <c r="AY459" t="s">
        <v>2320</v>
      </c>
    </row>
    <row r="460" spans="51:51" x14ac:dyDescent="0.35">
      <c r="AY460" t="s">
        <v>2321</v>
      </c>
    </row>
    <row r="461" spans="51:51" x14ac:dyDescent="0.35">
      <c r="AY461" t="s">
        <v>2322</v>
      </c>
    </row>
    <row r="462" spans="51:51" x14ac:dyDescent="0.35">
      <c r="AY462" t="s">
        <v>2323</v>
      </c>
    </row>
    <row r="463" spans="51:51" x14ac:dyDescent="0.35">
      <c r="AY463" t="s">
        <v>2324</v>
      </c>
    </row>
    <row r="464" spans="51:51" x14ac:dyDescent="0.35">
      <c r="AY464" t="s">
        <v>2325</v>
      </c>
    </row>
    <row r="465" spans="51:51" x14ac:dyDescent="0.35">
      <c r="AY465" t="s">
        <v>2326</v>
      </c>
    </row>
    <row r="466" spans="51:51" x14ac:dyDescent="0.35">
      <c r="AY466" t="s">
        <v>2327</v>
      </c>
    </row>
    <row r="467" spans="51:51" x14ac:dyDescent="0.35">
      <c r="AY467" t="s">
        <v>2328</v>
      </c>
    </row>
    <row r="468" spans="51:51" x14ac:dyDescent="0.35">
      <c r="AY468" t="s">
        <v>2329</v>
      </c>
    </row>
    <row r="469" spans="51:51" x14ac:dyDescent="0.35">
      <c r="AY469" t="s">
        <v>2330</v>
      </c>
    </row>
    <row r="470" spans="51:51" x14ac:dyDescent="0.35">
      <c r="AY470" t="s">
        <v>2331</v>
      </c>
    </row>
    <row r="471" spans="51:51" x14ac:dyDescent="0.35">
      <c r="AY471" t="s">
        <v>2332</v>
      </c>
    </row>
    <row r="472" spans="51:51" x14ac:dyDescent="0.35">
      <c r="AY472" t="s">
        <v>2333</v>
      </c>
    </row>
    <row r="473" spans="51:51" x14ac:dyDescent="0.35">
      <c r="AY473" t="s">
        <v>2334</v>
      </c>
    </row>
    <row r="474" spans="51:51" x14ac:dyDescent="0.35">
      <c r="AY474" t="s">
        <v>2335</v>
      </c>
    </row>
    <row r="475" spans="51:51" x14ac:dyDescent="0.35">
      <c r="AY475" t="s">
        <v>2336</v>
      </c>
    </row>
    <row r="476" spans="51:51" x14ac:dyDescent="0.35">
      <c r="AY476" t="s">
        <v>2337</v>
      </c>
    </row>
    <row r="477" spans="51:51" x14ac:dyDescent="0.35">
      <c r="AY477" t="s">
        <v>2338</v>
      </c>
    </row>
    <row r="478" spans="51:51" x14ac:dyDescent="0.35">
      <c r="AY478" t="s">
        <v>2339</v>
      </c>
    </row>
    <row r="479" spans="51:51" x14ac:dyDescent="0.35">
      <c r="AY479" t="s">
        <v>2340</v>
      </c>
    </row>
    <row r="480" spans="51:51" x14ac:dyDescent="0.35">
      <c r="AY480" t="s">
        <v>2341</v>
      </c>
    </row>
    <row r="481" spans="51:51" x14ac:dyDescent="0.35">
      <c r="AY481" t="s">
        <v>2342</v>
      </c>
    </row>
    <row r="482" spans="51:51" x14ac:dyDescent="0.35">
      <c r="AY482" t="s">
        <v>2343</v>
      </c>
    </row>
    <row r="483" spans="51:51" x14ac:dyDescent="0.35">
      <c r="AY483" t="s">
        <v>2344</v>
      </c>
    </row>
    <row r="484" spans="51:51" x14ac:dyDescent="0.35">
      <c r="AY484" t="s">
        <v>2345</v>
      </c>
    </row>
    <row r="485" spans="51:51" x14ac:dyDescent="0.35">
      <c r="AY485" t="s">
        <v>2346</v>
      </c>
    </row>
    <row r="486" spans="51:51" x14ac:dyDescent="0.35">
      <c r="AY486" t="s">
        <v>2347</v>
      </c>
    </row>
    <row r="487" spans="51:51" x14ac:dyDescent="0.35">
      <c r="AY487" t="s">
        <v>2348</v>
      </c>
    </row>
    <row r="488" spans="51:51" x14ac:dyDescent="0.35">
      <c r="AY488" t="s">
        <v>2349</v>
      </c>
    </row>
    <row r="489" spans="51:51" x14ac:dyDescent="0.35">
      <c r="AY489" t="s">
        <v>2350</v>
      </c>
    </row>
    <row r="490" spans="51:51" x14ac:dyDescent="0.35">
      <c r="AY490" t="s">
        <v>2351</v>
      </c>
    </row>
    <row r="491" spans="51:51" x14ac:dyDescent="0.35">
      <c r="AY491" t="s">
        <v>2352</v>
      </c>
    </row>
    <row r="492" spans="51:51" x14ac:dyDescent="0.35">
      <c r="AY492" t="s">
        <v>2353</v>
      </c>
    </row>
    <row r="493" spans="51:51" x14ac:dyDescent="0.35">
      <c r="AY493" t="s">
        <v>2354</v>
      </c>
    </row>
    <row r="494" spans="51:51" x14ac:dyDescent="0.35">
      <c r="AY494" t="s">
        <v>2355</v>
      </c>
    </row>
    <row r="495" spans="51:51" x14ac:dyDescent="0.35">
      <c r="AY495" t="s">
        <v>2356</v>
      </c>
    </row>
    <row r="496" spans="51:51" x14ac:dyDescent="0.35">
      <c r="AY496" t="s">
        <v>2357</v>
      </c>
    </row>
    <row r="497" spans="51:51" x14ac:dyDescent="0.35">
      <c r="AY497" t="s">
        <v>2358</v>
      </c>
    </row>
    <row r="498" spans="51:51" x14ac:dyDescent="0.35">
      <c r="AY498" t="s">
        <v>2359</v>
      </c>
    </row>
    <row r="499" spans="51:51" x14ac:dyDescent="0.35">
      <c r="AY499" t="s">
        <v>2360</v>
      </c>
    </row>
    <row r="500" spans="51:51" x14ac:dyDescent="0.35">
      <c r="AY500" t="s">
        <v>2361</v>
      </c>
    </row>
    <row r="501" spans="51:51" x14ac:dyDescent="0.35">
      <c r="AY501" t="s">
        <v>2362</v>
      </c>
    </row>
    <row r="502" spans="51:51" x14ac:dyDescent="0.35">
      <c r="AY502" t="s">
        <v>2363</v>
      </c>
    </row>
    <row r="503" spans="51:51" x14ac:dyDescent="0.35">
      <c r="AY503" t="s">
        <v>2364</v>
      </c>
    </row>
    <row r="504" spans="51:51" x14ac:dyDescent="0.35">
      <c r="AY504" t="s">
        <v>2365</v>
      </c>
    </row>
    <row r="505" spans="51:51" x14ac:dyDescent="0.35">
      <c r="AY505" t="s">
        <v>2366</v>
      </c>
    </row>
    <row r="506" spans="51:51" x14ac:dyDescent="0.35">
      <c r="AY506" t="s">
        <v>2367</v>
      </c>
    </row>
    <row r="507" spans="51:51" x14ac:dyDescent="0.35">
      <c r="AY507" t="s">
        <v>2368</v>
      </c>
    </row>
    <row r="508" spans="51:51" x14ac:dyDescent="0.35">
      <c r="AY508" t="s">
        <v>2369</v>
      </c>
    </row>
    <row r="509" spans="51:51" x14ac:dyDescent="0.35">
      <c r="AY509" t="s">
        <v>2370</v>
      </c>
    </row>
    <row r="510" spans="51:51" x14ac:dyDescent="0.35">
      <c r="AY510" t="s">
        <v>2371</v>
      </c>
    </row>
    <row r="511" spans="51:51" x14ac:dyDescent="0.35">
      <c r="AY511" t="s">
        <v>2372</v>
      </c>
    </row>
    <row r="512" spans="51:51" x14ac:dyDescent="0.35">
      <c r="AY512" t="s">
        <v>2373</v>
      </c>
    </row>
    <row r="513" spans="51:51" x14ac:dyDescent="0.35">
      <c r="AY513" t="s">
        <v>2374</v>
      </c>
    </row>
    <row r="514" spans="51:51" x14ac:dyDescent="0.35">
      <c r="AY514" t="s">
        <v>2375</v>
      </c>
    </row>
    <row r="515" spans="51:51" x14ac:dyDescent="0.35">
      <c r="AY515" t="s">
        <v>2376</v>
      </c>
    </row>
    <row r="516" spans="51:51" x14ac:dyDescent="0.35">
      <c r="AY516" t="s">
        <v>2377</v>
      </c>
    </row>
    <row r="517" spans="51:51" x14ac:dyDescent="0.35">
      <c r="AY517" t="s">
        <v>2378</v>
      </c>
    </row>
    <row r="518" spans="51:51" x14ac:dyDescent="0.35">
      <c r="AY518" t="s">
        <v>2379</v>
      </c>
    </row>
    <row r="519" spans="51:51" x14ac:dyDescent="0.35">
      <c r="AY519" t="s">
        <v>2380</v>
      </c>
    </row>
    <row r="520" spans="51:51" x14ac:dyDescent="0.35">
      <c r="AY520" t="s">
        <v>2381</v>
      </c>
    </row>
    <row r="521" spans="51:51" x14ac:dyDescent="0.35">
      <c r="AY521" t="s">
        <v>2382</v>
      </c>
    </row>
    <row r="522" spans="51:51" x14ac:dyDescent="0.35">
      <c r="AY522" t="s">
        <v>2383</v>
      </c>
    </row>
    <row r="523" spans="51:51" x14ac:dyDescent="0.35">
      <c r="AY523" t="s">
        <v>2384</v>
      </c>
    </row>
    <row r="524" spans="51:51" x14ac:dyDescent="0.35">
      <c r="AY524" t="s">
        <v>2385</v>
      </c>
    </row>
    <row r="525" spans="51:51" x14ac:dyDescent="0.35">
      <c r="AY525" t="s">
        <v>2386</v>
      </c>
    </row>
    <row r="526" spans="51:51" x14ac:dyDescent="0.35">
      <c r="AY526" t="s">
        <v>2387</v>
      </c>
    </row>
    <row r="527" spans="51:51" x14ac:dyDescent="0.35">
      <c r="AY527" t="s">
        <v>2388</v>
      </c>
    </row>
    <row r="528" spans="51:51" x14ac:dyDescent="0.35">
      <c r="AY528" t="s">
        <v>2389</v>
      </c>
    </row>
    <row r="529" spans="51:51" x14ac:dyDescent="0.35">
      <c r="AY529" t="s">
        <v>2390</v>
      </c>
    </row>
    <row r="530" spans="51:51" x14ac:dyDescent="0.35">
      <c r="AY530" t="s">
        <v>2391</v>
      </c>
    </row>
    <row r="531" spans="51:51" x14ac:dyDescent="0.35">
      <c r="AY531" t="s">
        <v>2392</v>
      </c>
    </row>
    <row r="532" spans="51:51" x14ac:dyDescent="0.35">
      <c r="AY532" t="s">
        <v>2393</v>
      </c>
    </row>
    <row r="533" spans="51:51" x14ac:dyDescent="0.35">
      <c r="AY533" t="s">
        <v>2394</v>
      </c>
    </row>
    <row r="534" spans="51:51" x14ac:dyDescent="0.35">
      <c r="AY534" t="s">
        <v>2395</v>
      </c>
    </row>
    <row r="535" spans="51:51" x14ac:dyDescent="0.35">
      <c r="AY535" t="s">
        <v>2396</v>
      </c>
    </row>
    <row r="536" spans="51:51" x14ac:dyDescent="0.35">
      <c r="AY536" t="s">
        <v>2397</v>
      </c>
    </row>
    <row r="537" spans="51:51" x14ac:dyDescent="0.35">
      <c r="AY537" t="s">
        <v>2398</v>
      </c>
    </row>
    <row r="538" spans="51:51" x14ac:dyDescent="0.35">
      <c r="AY538" t="s">
        <v>2399</v>
      </c>
    </row>
    <row r="539" spans="51:51" x14ac:dyDescent="0.35">
      <c r="AY539" t="s">
        <v>2400</v>
      </c>
    </row>
    <row r="540" spans="51:51" x14ac:dyDescent="0.35">
      <c r="AY540" t="s">
        <v>2401</v>
      </c>
    </row>
    <row r="541" spans="51:51" x14ac:dyDescent="0.35">
      <c r="AY541" t="s">
        <v>2402</v>
      </c>
    </row>
    <row r="542" spans="51:51" x14ac:dyDescent="0.35">
      <c r="AY542" t="s">
        <v>2403</v>
      </c>
    </row>
    <row r="543" spans="51:51" x14ac:dyDescent="0.35">
      <c r="AY543" t="s">
        <v>2404</v>
      </c>
    </row>
    <row r="544" spans="51:51" x14ac:dyDescent="0.35">
      <c r="AY544" t="s">
        <v>2405</v>
      </c>
    </row>
    <row r="545" spans="51:51" x14ac:dyDescent="0.35">
      <c r="AY545" t="s">
        <v>2406</v>
      </c>
    </row>
    <row r="546" spans="51:51" x14ac:dyDescent="0.35">
      <c r="AY546" t="s">
        <v>2407</v>
      </c>
    </row>
    <row r="547" spans="51:51" x14ac:dyDescent="0.35">
      <c r="AY547" t="s">
        <v>2408</v>
      </c>
    </row>
    <row r="548" spans="51:51" x14ac:dyDescent="0.35">
      <c r="AY548" t="s">
        <v>2409</v>
      </c>
    </row>
    <row r="549" spans="51:51" x14ac:dyDescent="0.35">
      <c r="AY549" t="s">
        <v>2410</v>
      </c>
    </row>
    <row r="550" spans="51:51" x14ac:dyDescent="0.35">
      <c r="AY550" t="s">
        <v>2411</v>
      </c>
    </row>
    <row r="551" spans="51:51" x14ac:dyDescent="0.35">
      <c r="AY551" t="s">
        <v>2412</v>
      </c>
    </row>
    <row r="552" spans="51:51" x14ac:dyDescent="0.35">
      <c r="AY552" t="s">
        <v>2413</v>
      </c>
    </row>
    <row r="553" spans="51:51" x14ac:dyDescent="0.35">
      <c r="AY553" t="s">
        <v>2414</v>
      </c>
    </row>
    <row r="554" spans="51:51" x14ac:dyDescent="0.35">
      <c r="AY554" t="s">
        <v>2415</v>
      </c>
    </row>
    <row r="555" spans="51:51" x14ac:dyDescent="0.35">
      <c r="AY555" t="s">
        <v>2416</v>
      </c>
    </row>
    <row r="556" spans="51:51" x14ac:dyDescent="0.35">
      <c r="AY556" t="s">
        <v>2417</v>
      </c>
    </row>
    <row r="557" spans="51:51" x14ac:dyDescent="0.35">
      <c r="AY557" t="s">
        <v>2418</v>
      </c>
    </row>
    <row r="558" spans="51:51" x14ac:dyDescent="0.35">
      <c r="AY558" t="s">
        <v>2419</v>
      </c>
    </row>
    <row r="559" spans="51:51" x14ac:dyDescent="0.35">
      <c r="AY559" t="s">
        <v>2420</v>
      </c>
    </row>
    <row r="560" spans="51:51" x14ac:dyDescent="0.35">
      <c r="AY560" t="s">
        <v>2421</v>
      </c>
    </row>
    <row r="561" spans="51:51" x14ac:dyDescent="0.35">
      <c r="AY561" t="s">
        <v>2422</v>
      </c>
    </row>
    <row r="562" spans="51:51" x14ac:dyDescent="0.35">
      <c r="AY562" t="s">
        <v>2423</v>
      </c>
    </row>
    <row r="563" spans="51:51" x14ac:dyDescent="0.35">
      <c r="AY563" t="s">
        <v>2424</v>
      </c>
    </row>
    <row r="564" spans="51:51" x14ac:dyDescent="0.35">
      <c r="AY564" t="s">
        <v>2425</v>
      </c>
    </row>
    <row r="565" spans="51:51" x14ac:dyDescent="0.35">
      <c r="AY565" t="s">
        <v>2426</v>
      </c>
    </row>
    <row r="566" spans="51:51" x14ac:dyDescent="0.35">
      <c r="AY566" t="s">
        <v>2427</v>
      </c>
    </row>
    <row r="567" spans="51:51" x14ac:dyDescent="0.35">
      <c r="AY567" t="s">
        <v>2428</v>
      </c>
    </row>
    <row r="568" spans="51:51" x14ac:dyDescent="0.35">
      <c r="AY568" t="s">
        <v>2429</v>
      </c>
    </row>
    <row r="569" spans="51:51" x14ac:dyDescent="0.35">
      <c r="AY569" t="s">
        <v>2430</v>
      </c>
    </row>
    <row r="570" spans="51:51" x14ac:dyDescent="0.35">
      <c r="AY570" t="s">
        <v>2431</v>
      </c>
    </row>
    <row r="571" spans="51:51" x14ac:dyDescent="0.35">
      <c r="AY571" t="s">
        <v>2432</v>
      </c>
    </row>
  </sheetData>
  <sheetProtection algorithmName="SHA-512" hashValue="t3bVw5IR5UaOZZ16EJCNGV6ywJ0FcV3+2yncLdhOF1IpZ3wXywKtlxK5B8o0cUc/1KyZJodubHjjQwI8sD37Pg==" saltValue="as/zAq7u+42ygLXan9j6lA==" spinCount="100000" sheet="1" objects="1" scenarios="1"/>
  <sortState ref="AB2:AB15">
    <sortCondition ref="AB2:AB15"/>
  </sortState>
  <pageMargins left="0.7" right="0.7" top="0.75" bottom="0.75" header="0.3" footer="0.3"/>
  <pageSetup orientation="portrait" r:id="rId1"/>
  <headerFooter>
    <oddFooter>&amp;C&amp;1#&amp;"Calibri"&amp;10&amp;K000000INTERNAL</oddFooter>
  </headerFooter>
  <tableParts count="55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  <tablePart r:id="rId53"/>
    <tablePart r:id="rId54"/>
    <tablePart r:id="rId55"/>
    <tablePart r:id="rId5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E3"/>
  <sheetViews>
    <sheetView zoomScaleNormal="100" workbookViewId="0">
      <selection activeCell="C2" sqref="C2"/>
    </sheetView>
  </sheetViews>
  <sheetFormatPr baseColWidth="10" defaultRowHeight="14.5" x14ac:dyDescent="0.35"/>
  <cols>
    <col min="1" max="1" width="14.7265625" customWidth="1"/>
    <col min="2" max="2" width="14.453125" customWidth="1"/>
    <col min="3" max="3" width="81.453125" customWidth="1"/>
    <col min="4" max="4" width="31.1796875" customWidth="1"/>
  </cols>
  <sheetData>
    <row r="1" spans="1:5" x14ac:dyDescent="0.35">
      <c r="A1" s="52" t="s">
        <v>2444</v>
      </c>
      <c r="B1" s="52" t="s">
        <v>2445</v>
      </c>
      <c r="C1" s="52" t="s">
        <v>2446</v>
      </c>
      <c r="D1" s="52" t="s">
        <v>2447</v>
      </c>
      <c r="E1" s="38"/>
    </row>
    <row r="2" spans="1:5" s="51" customFormat="1" ht="203" x14ac:dyDescent="0.35">
      <c r="A2" s="53" t="s">
        <v>2448</v>
      </c>
      <c r="B2" s="54">
        <v>45389</v>
      </c>
      <c r="C2" s="55" t="s">
        <v>2480</v>
      </c>
      <c r="D2" s="53" t="s">
        <v>2449</v>
      </c>
    </row>
    <row r="3" spans="1:5" ht="87" x14ac:dyDescent="0.35">
      <c r="A3" s="53" t="s">
        <v>2482</v>
      </c>
      <c r="B3" s="54">
        <v>45460</v>
      </c>
      <c r="C3" s="71" t="s">
        <v>2499</v>
      </c>
      <c r="D3" s="53" t="s">
        <v>2449</v>
      </c>
    </row>
  </sheetData>
  <sheetProtection algorithmName="SHA-512" hashValue="quxFpsjwKqIfv5a0t/YeYrJoBDW0lj1kxG1Bh2GxxoMx/o/SAcrSdTUXOFQ+3Mt0Y4naP+9p6iy9Hqw2VLAWOw==" saltValue="TjBdw0hqynhbN2/Ty+GmQw==" spinCount="100000" sheet="1" objects="1" scenarios="1"/>
  <pageMargins left="0.7" right="0.7" top="0.75" bottom="0.75" header="0.3" footer="0.3"/>
  <pageSetup orientation="portrait" r:id="rId1"/>
  <headerFooter>
    <oddFooter>&amp;C&amp;1#&amp;"Calibri"&amp;10&amp;K000000INTERNAL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57</vt:i4>
      </vt:variant>
    </vt:vector>
  </HeadingPairs>
  <TitlesOfParts>
    <vt:vector size="61" baseType="lpstr">
      <vt:lpstr>UserForm</vt:lpstr>
      <vt:lpstr>Instrucciones de Instalación</vt:lpstr>
      <vt:lpstr>Catalogos</vt:lpstr>
      <vt:lpstr>Control de Cambios</vt:lpstr>
      <vt:lpstr>ADQUISICIÓN_DE_VIVIENDA</vt:lpstr>
      <vt:lpstr>AGUASCALIENTES</vt:lpstr>
      <vt:lpstr>APOYO_INFONAVIT</vt:lpstr>
      <vt:lpstr>UserForm!Área_de_impresión</vt:lpstr>
      <vt:lpstr>BAJA_CALIFORNIA</vt:lpstr>
      <vt:lpstr>BAJA_CALIFORNIA_SUR</vt:lpstr>
      <vt:lpstr>CAMPECHE</vt:lpstr>
      <vt:lpstr>CATALOGOEXCEPCIONES</vt:lpstr>
      <vt:lpstr>CHIAPAS</vt:lpstr>
      <vt:lpstr>CHIHUAHUA</vt:lpstr>
      <vt:lpstr>CI_MAS_CB</vt:lpstr>
      <vt:lpstr>CIUDAD_DE_MÉXICO</vt:lpstr>
      <vt:lpstr>COAHUILA</vt:lpstr>
      <vt:lpstr>COFINANCIAMIENTO</vt:lpstr>
      <vt:lpstr>COLIMA</vt:lpstr>
      <vt:lpstr>COMPROBANTEDEINGRESOS</vt:lpstr>
      <vt:lpstr>CONSTRUCCIÓN</vt:lpstr>
      <vt:lpstr>CONSTRUCCIÓN_MAS_TERRENO</vt:lpstr>
      <vt:lpstr>DURANGO</vt:lpstr>
      <vt:lpstr>ESTADO_DE_MEXICO</vt:lpstr>
      <vt:lpstr>ESTADOS</vt:lpstr>
      <vt:lpstr>GERRERO</vt:lpstr>
      <vt:lpstr>GUANAJUATO</vt:lpstr>
      <vt:lpstr>HIDALGO</vt:lpstr>
      <vt:lpstr>JALISCO</vt:lpstr>
      <vt:lpstr>LIQUIDEZ</vt:lpstr>
      <vt:lpstr>LIQUIDEZ_TOPUP</vt:lpstr>
      <vt:lpstr>MICHOACÁN</vt:lpstr>
      <vt:lpstr>MORELOS</vt:lpstr>
      <vt:lpstr>NAYARIT</vt:lpstr>
      <vt:lpstr>NUEVO_LEÓN</vt:lpstr>
      <vt:lpstr>NUMDEEXCEPCIONES</vt:lpstr>
      <vt:lpstr>OAXACA</vt:lpstr>
      <vt:lpstr>PAGO_DE_HIPOTECAS</vt:lpstr>
      <vt:lpstr>PAGO_HIPOTECA_MAS_LÍQUIDEZ</vt:lpstr>
      <vt:lpstr>PF</vt:lpstr>
      <vt:lpstr>PF_Y_PFAE_O_PROF</vt:lpstr>
      <vt:lpstr>PFAE</vt:lpstr>
      <vt:lpstr>PLAZOS</vt:lpstr>
      <vt:lpstr>PRODUCTO</vt:lpstr>
      <vt:lpstr>PROF</vt:lpstr>
      <vt:lpstr>PUEBLA</vt:lpstr>
      <vt:lpstr>QUERÉTARO</vt:lpstr>
      <vt:lpstr>QUINTANA_ROO</vt:lpstr>
      <vt:lpstr>REMODELACION</vt:lpstr>
      <vt:lpstr>SAN_LUIS_POTOSI</vt:lpstr>
      <vt:lpstr>SINALOA</vt:lpstr>
      <vt:lpstr>SONORA</vt:lpstr>
      <vt:lpstr>TABASCO</vt:lpstr>
      <vt:lpstr>TAMAULIPAS</vt:lpstr>
      <vt:lpstr>TIPODECLIENTE</vt:lpstr>
      <vt:lpstr>TIPODEPERSONA</vt:lpstr>
      <vt:lpstr>UserForm!Títulos_a_imprimir</vt:lpstr>
      <vt:lpstr>TLAXCALA</vt:lpstr>
      <vt:lpstr>VERACRUZ</vt:lpstr>
      <vt:lpstr>YUCATÁN</vt:lpstr>
      <vt:lpstr>ZACATECAS</vt:lpstr>
    </vt:vector>
  </TitlesOfParts>
  <Company>HSBC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Nelson SILVA</dc:creator>
  <cp:lastModifiedBy>Jesus Garay</cp:lastModifiedBy>
  <cp:lastPrinted>2024-06-18T02:00:38Z</cp:lastPrinted>
  <dcterms:created xsi:type="dcterms:W3CDTF">2023-10-31T15:46:06Z</dcterms:created>
  <dcterms:modified xsi:type="dcterms:W3CDTF">2024-06-24T21:03:06Z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a8e637f-7bb7-4040-a22f-4e3924ef3558_Enabled">
    <vt:lpwstr>true</vt:lpwstr>
  </property>
  <property fmtid="{D5CDD505-2E9C-101B-9397-08002B2CF9AE}" pid="3" name="MSIP_Label_0a8e637f-7bb7-4040-a22f-4e3924ef3558_SetDate">
    <vt:lpwstr>2024-06-24T15:30:25Z</vt:lpwstr>
  </property>
  <property fmtid="{D5CDD505-2E9C-101B-9397-08002B2CF9AE}" pid="4" name="MSIP_Label_0a8e637f-7bb7-4040-a22f-4e3924ef3558_Method">
    <vt:lpwstr>Privileged</vt:lpwstr>
  </property>
  <property fmtid="{D5CDD505-2E9C-101B-9397-08002B2CF9AE}" pid="5" name="MSIP_Label_0a8e637f-7bb7-4040-a22f-4e3924ef3558_Name">
    <vt:lpwstr>CLAINTERN</vt:lpwstr>
  </property>
  <property fmtid="{D5CDD505-2E9C-101B-9397-08002B2CF9AE}" pid="6" name="MSIP_Label_0a8e637f-7bb7-4040-a22f-4e3924ef3558_SiteId">
    <vt:lpwstr>e0fd434d-ba64-497b-90d2-859c472e1a92</vt:lpwstr>
  </property>
  <property fmtid="{D5CDD505-2E9C-101B-9397-08002B2CF9AE}" pid="7" name="MSIP_Label_0a8e637f-7bb7-4040-a22f-4e3924ef3558_ActionId">
    <vt:lpwstr>c31306aa-645c-4f90-a817-ab0f2fa1a61c</vt:lpwstr>
  </property>
  <property fmtid="{D5CDD505-2E9C-101B-9397-08002B2CF9AE}" pid="8" name="MSIP_Label_0a8e637f-7bb7-4040-a22f-4e3924ef3558_ContentBits">
    <vt:lpwstr>2</vt:lpwstr>
  </property>
  <property fmtid="{D5CDD505-2E9C-101B-9397-08002B2CF9AE}" pid="9" name="Classification">
    <vt:lpwstr>INTERNAL</vt:lpwstr>
  </property>
</Properties>
</file>