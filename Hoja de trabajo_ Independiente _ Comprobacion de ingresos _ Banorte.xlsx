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 Romero\Documents\GIMNASIO\BANORTE\TEMAS\COMPROBANTE DE INGRESOS\"/>
    </mc:Choice>
  </mc:AlternateContent>
  <xr:revisionPtr revIDLastSave="0" documentId="8_{A8BE3BE8-CD52-4D0A-8F3B-50142F2B6D6D}" xr6:coauthVersionLast="47" xr6:coauthVersionMax="47" xr10:uidLastSave="{00000000-0000-0000-0000-000000000000}"/>
  <bookViews>
    <workbookView xWindow="-108" yWindow="-108" windowWidth="23256" windowHeight="12456" activeTab="1" xr2:uid="{DD725471-7F83-424A-AF20-5713A129CEAF}"/>
  </bookViews>
  <sheets>
    <sheet name="Instrucciones" sheetId="2" r:id="rId1"/>
    <sheet name="Hoja de trabajo" sheetId="1" r:id="rId2"/>
    <sheet name="Cálculo" sheetId="3" r:id="rId3"/>
  </sheets>
  <definedNames>
    <definedName name="_xlnm._FilterDatabase" localSheetId="1" hidden="1">'Hoja de trabajo'!$B$29:$F$52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3" l="1"/>
  <c r="J21" i="3"/>
  <c r="F34" i="1" s="1"/>
  <c r="F21" i="3"/>
  <c r="F32" i="1" s="1"/>
  <c r="D21" i="3"/>
  <c r="F31" i="1" s="1"/>
  <c r="B21" i="3"/>
  <c r="F30" i="1" s="1"/>
  <c r="L20" i="3"/>
  <c r="L19" i="3"/>
  <c r="H19" i="3"/>
  <c r="L18" i="3"/>
  <c r="H18" i="3"/>
  <c r="L17" i="3"/>
  <c r="H17" i="3"/>
  <c r="L16" i="3"/>
  <c r="H16" i="3"/>
  <c r="L15" i="3"/>
  <c r="H15" i="3"/>
  <c r="L14" i="3"/>
  <c r="H14" i="3"/>
  <c r="L13" i="3"/>
  <c r="H13" i="3"/>
  <c r="L12" i="3"/>
  <c r="H12" i="3"/>
  <c r="L11" i="3"/>
  <c r="H11" i="3"/>
  <c r="L10" i="3"/>
  <c r="H10" i="3"/>
  <c r="H9" i="3"/>
  <c r="L21" i="3" l="1"/>
  <c r="F35" i="1" s="1"/>
  <c r="H21" i="3"/>
  <c r="F33" i="1" s="1"/>
  <c r="F36" i="1" l="1"/>
  <c r="N5" i="3"/>
  <c r="N6" i="3" s="1"/>
</calcChain>
</file>

<file path=xl/sharedStrings.xml><?xml version="1.0" encoding="utf-8"?>
<sst xmlns="http://schemas.openxmlformats.org/spreadsheetml/2006/main" count="100" uniqueCount="63">
  <si>
    <t>HOJA DE TRABAJO</t>
  </si>
  <si>
    <t xml:space="preserve">5 minutos </t>
  </si>
  <si>
    <t>Lectura</t>
  </si>
  <si>
    <t>NO</t>
  </si>
  <si>
    <t>a.</t>
  </si>
  <si>
    <t xml:space="preserve">Morado </t>
  </si>
  <si>
    <t>Naranja</t>
  </si>
  <si>
    <t>Rojo</t>
  </si>
  <si>
    <t>Verde</t>
  </si>
  <si>
    <t>Amarillo</t>
  </si>
  <si>
    <t>Intrucciones</t>
  </si>
  <si>
    <t>Azul</t>
  </si>
  <si>
    <t>Pregunta</t>
  </si>
  <si>
    <t>Pregunta 1: Inciso a y b</t>
  </si>
  <si>
    <t>Pregunta 1: Inciso c, d y e</t>
  </si>
  <si>
    <t>Pregunta 4: Todos los incisos</t>
  </si>
  <si>
    <t>Pregunta 3: Todos los incisos</t>
  </si>
  <si>
    <t>Pregunta 2: Inciso d y e</t>
  </si>
  <si>
    <t>Pregunta 2: Inciso a, b y c</t>
  </si>
  <si>
    <t>Respuesta</t>
  </si>
  <si>
    <t>Mes 1</t>
  </si>
  <si>
    <t>Mes 2</t>
  </si>
  <si>
    <t>Mes 3</t>
  </si>
  <si>
    <t>Mes 4</t>
  </si>
  <si>
    <t>Mes 5</t>
  </si>
  <si>
    <t>Mes 6</t>
  </si>
  <si>
    <t xml:space="preserve">Total de ingresos  : </t>
  </si>
  <si>
    <t>Los estados de cuenta ¿ vienen completos?</t>
  </si>
  <si>
    <t xml:space="preserve"> Ingresos </t>
  </si>
  <si>
    <t xml:space="preserve">Calcula </t>
  </si>
  <si>
    <t>¿Los ingresos declarados en la solicitud de crédito coinciden contra el calculo que realizaron ?</t>
  </si>
  <si>
    <t>SI  ¿ Porque?</t>
  </si>
  <si>
    <t>NO ¿ Porque?</t>
  </si>
  <si>
    <t xml:space="preserve">JUSTIFICA TU RESPUESTA </t>
  </si>
  <si>
    <t xml:space="preserve">CASO COMPROBACION DE INGRESOS </t>
  </si>
  <si>
    <t xml:space="preserve">Mes 6 </t>
  </si>
  <si>
    <t>b</t>
  </si>
  <si>
    <t>c</t>
  </si>
  <si>
    <t>d</t>
  </si>
  <si>
    <t>e</t>
  </si>
  <si>
    <t>f</t>
  </si>
  <si>
    <t xml:space="preserve">Antigüedad laboral </t>
  </si>
  <si>
    <t>¿ Cumple con el arraigo laboral mínimo por la actividad economica ?</t>
  </si>
  <si>
    <t>MES 1</t>
  </si>
  <si>
    <t>MES 2</t>
  </si>
  <si>
    <t>MES 3</t>
  </si>
  <si>
    <t>MES 4</t>
  </si>
  <si>
    <t>MES 5</t>
  </si>
  <si>
    <t>MES 6</t>
  </si>
  <si>
    <t>CONCEPTO</t>
  </si>
  <si>
    <t xml:space="preserve">MONTO </t>
  </si>
  <si>
    <t>MONTO</t>
  </si>
  <si>
    <t xml:space="preserve">TOTAL </t>
  </si>
  <si>
    <t xml:space="preserve">INGRESO MENSUAL </t>
  </si>
  <si>
    <t>TOTAL</t>
  </si>
  <si>
    <t>¿ Que conceptos si se deben considerar para el calculo de ingresos por mes de acuerdo a la actvidad económica ?</t>
  </si>
  <si>
    <t>MAYO</t>
  </si>
  <si>
    <t>ABRIL</t>
  </si>
  <si>
    <t>MARZO</t>
  </si>
  <si>
    <t>FEBRERO</t>
  </si>
  <si>
    <t>ENERO</t>
  </si>
  <si>
    <t xml:space="preserve">DICIEMBRE 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</si>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</sst>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580"/>
        <bgColor indexed="64"/>
      </patternFill>
    </fill>
    <fill>
      <patternFill patternType="solid">
        <fgColor rgb="FFF38B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7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16" xfId="0" applyBorder="1"/>
    <xf numFmtId="0" fontId="2" fillId="0" borderId="16" xfId="0" applyFont="1" applyBorder="1" applyAlignment="1">
      <alignment horizontal="center"/>
    </xf>
    <xf numFmtId="44" fontId="15" fillId="0" borderId="12" xfId="1" applyFont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44" fontId="3" fillId="0" borderId="0" xfId="1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44" fontId="3" fillId="0" borderId="0" xfId="0" applyNumberFormat="1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44" fontId="15" fillId="0" borderId="13" xfId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8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1" fillId="8" borderId="14" xfId="0" applyFont="1" applyFill="1" applyBorder="1" applyAlignment="1">
      <alignment horizontal="center" vertical="center" wrapText="1"/>
    </xf>
    <xf numFmtId="44" fontId="2" fillId="0" borderId="14" xfId="1" applyFont="1" applyBorder="1" applyAlignment="1">
      <alignment horizontal="center" vertical="center" wrapText="1"/>
    </xf>
    <xf numFmtId="44" fontId="2" fillId="0" borderId="14" xfId="1" applyFont="1" applyBorder="1" applyAlignment="1">
      <alignment vertical="center" wrapText="1"/>
    </xf>
    <xf numFmtId="0" fontId="0" fillId="0" borderId="0" xfId="0" applyAlignment="1">
      <alignment horizontal="center" wrapText="1"/>
    </xf>
    <xf numFmtId="44" fontId="0" fillId="0" borderId="0" xfId="0" applyNumberFormat="1" applyFill="1"/>
    <xf numFmtId="0" fontId="14" fillId="10" borderId="21" xfId="0" applyFont="1" applyFill="1" applyBorder="1" applyAlignment="1">
      <alignment horizontal="center" vertical="center" wrapText="1"/>
    </xf>
    <xf numFmtId="44" fontId="0" fillId="5" borderId="14" xfId="0" applyNumberFormat="1" applyFill="1" applyBorder="1" applyAlignment="1">
      <alignment horizontal="center" wrapText="1"/>
    </xf>
    <xf numFmtId="0" fontId="14" fillId="5" borderId="14" xfId="0" applyFont="1" applyFill="1" applyBorder="1" applyAlignment="1">
      <alignment horizontal="center" vertical="center" wrapText="1"/>
    </xf>
    <xf numFmtId="0" fontId="0" fillId="13" borderId="14" xfId="0" applyFill="1" applyBorder="1"/>
    <xf numFmtId="0" fontId="0" fillId="0" borderId="14" xfId="0" applyBorder="1"/>
    <xf numFmtId="44" fontId="0" fillId="0" borderId="14" xfId="1" applyFont="1" applyBorder="1"/>
    <xf numFmtId="0" fontId="0" fillId="14" borderId="14" xfId="0" applyFill="1" applyBorder="1"/>
    <xf numFmtId="0" fontId="0" fillId="11" borderId="14" xfId="0" applyFill="1" applyBorder="1"/>
    <xf numFmtId="44" fontId="0" fillId="11" borderId="14" xfId="0" applyNumberFormat="1" applyFill="1" applyBorder="1"/>
    <xf numFmtId="0" fontId="0" fillId="2" borderId="14" xfId="0" applyFill="1" applyBorder="1"/>
    <xf numFmtId="44" fontId="0" fillId="2" borderId="14" xfId="1" applyFont="1" applyFill="1" applyBorder="1"/>
    <xf numFmtId="44" fontId="0" fillId="11" borderId="14" xfId="1" applyFont="1" applyFill="1" applyBorder="1"/>
    <xf numFmtId="0" fontId="0" fillId="9" borderId="14" xfId="0" applyFill="1" applyBorder="1"/>
    <xf numFmtId="44" fontId="0" fillId="9" borderId="14" xfId="1" applyFont="1" applyFill="1" applyBorder="1"/>
    <xf numFmtId="0" fontId="0" fillId="12" borderId="14" xfId="0" applyFill="1" applyBorder="1"/>
    <xf numFmtId="44" fontId="0" fillId="12" borderId="14" xfId="1" applyFont="1" applyFill="1" applyBorder="1"/>
    <xf numFmtId="0" fontId="0" fillId="7" borderId="14" xfId="0" applyFill="1" applyBorder="1"/>
    <xf numFmtId="44" fontId="0" fillId="7" borderId="14" xfId="1" applyFont="1" applyFill="1" applyBorder="1"/>
    <xf numFmtId="0" fontId="0" fillId="3" borderId="14" xfId="0" applyFill="1" applyBorder="1"/>
    <xf numFmtId="44" fontId="0" fillId="3" borderId="14" xfId="1" applyFont="1" applyFill="1" applyBorder="1"/>
    <xf numFmtId="0" fontId="16" fillId="14" borderId="14" xfId="0" applyFont="1" applyFill="1" applyBorder="1" applyAlignment="1">
      <alignment horizontal="center"/>
    </xf>
    <xf numFmtId="0" fontId="16" fillId="13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2" fillId="12" borderId="21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textRotation="90" wrapText="1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44" fontId="0" fillId="0" borderId="14" xfId="1" applyFont="1" applyFill="1" applyBorder="1"/>
  </cellXfs>
  <cellStyles count="3">
    <cellStyle name="Currency 2" xfId="2" xr:uid="{E69FEA7F-BC47-4AF3-9622-B500A31C075E}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38B00"/>
      <color rgb="FFA3EBFF"/>
      <color rgb="FF006580"/>
      <color rgb="FFEA6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91440</xdr:rowOff>
    </xdr:from>
    <xdr:to>
      <xdr:col>13</xdr:col>
      <xdr:colOff>129540</xdr:colOff>
      <xdr:row>6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A5DB10-8106-7CE9-52E4-9945F4045536}"/>
            </a:ext>
          </a:extLst>
        </xdr:cNvPr>
        <xdr:cNvSpPr txBox="1"/>
      </xdr:nvSpPr>
      <xdr:spPr>
        <a:xfrm>
          <a:off x="133350" y="501015"/>
          <a:ext cx="10664190" cy="8039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equipo resuelvan el caso presentado en este archivo, asignen a una persona quién será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responsable 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llenar el documento y tendrá que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compartir pantalla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deberán distribuirse equitativamente las preguntas, para ello, identifica el nombre de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color asignado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tu </a:t>
          </a:r>
          <a:r>
            <a:rPr lang="es-MX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usuario </a:t>
          </a:r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resuelve las preguntas con el mismo color.</a:t>
          </a:r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400"/>
        </a:p>
      </xdr:txBody>
    </xdr:sp>
    <xdr:clientData/>
  </xdr:twoCellAnchor>
  <xdr:twoCellAnchor>
    <xdr:from>
      <xdr:col>0</xdr:col>
      <xdr:colOff>123825</xdr:colOff>
      <xdr:row>13</xdr:row>
      <xdr:rowOff>140970</xdr:rowOff>
    </xdr:from>
    <xdr:to>
      <xdr:col>13</xdr:col>
      <xdr:colOff>120015</xdr:colOff>
      <xdr:row>19</xdr:row>
      <xdr:rowOff>99060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8CCE7-4478-47CF-AC37-AA4DE13A9E77}"/>
            </a:ext>
          </a:extLst>
        </xdr:cNvPr>
        <xdr:cNvSpPr txBox="1"/>
      </xdr:nvSpPr>
      <xdr:spPr>
        <a:xfrm>
          <a:off x="123825" y="2838450"/>
          <a:ext cx="10687050" cy="1055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caso de tener alguna duda</a:t>
          </a:r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presiona el botón "Ayuda" en zoom.</a:t>
          </a:r>
        </a:p>
        <a:p>
          <a:endParaRPr lang="es-MX" sz="14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realizar la actividad en equipo: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min</a:t>
          </a:r>
        </a:p>
        <a:p>
          <a:r>
            <a:rPr lang="es-MX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para presentar respuestas al grupo: </a:t>
          </a:r>
          <a:r>
            <a:rPr lang="es-MX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min</a:t>
          </a:r>
          <a:endParaRPr lang="es-MX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28284</xdr:colOff>
      <xdr:row>0</xdr:row>
      <xdr:rowOff>161925</xdr:rowOff>
    </xdr:from>
    <xdr:to>
      <xdr:col>7</xdr:col>
      <xdr:colOff>155054</xdr:colOff>
      <xdr:row>3</xdr:row>
      <xdr:rowOff>97631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3BC43-197C-42FF-85FE-CD2308B53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409" y="161925"/>
          <a:ext cx="1241195" cy="1126331"/>
        </a:xfrm>
        <a:prstGeom prst="rect">
          <a:avLst/>
        </a:prstGeom>
      </xdr:spPr>
    </xdr:pic>
    <xdr:clientData/>
  </xdr:twoCellAnchor>
  <xdr:oneCellAnchor>
    <xdr:from>
      <xdr:col>1</xdr:col>
      <xdr:colOff>95249</xdr:colOff>
      <xdr:row>4</xdr:row>
      <xdr:rowOff>55721</xdr:rowOff>
    </xdr:from>
    <xdr:ext cx="10465595" cy="96898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4805438-C1BC-901E-47B4-DEAD308BCDD8}"/>
            </a:ext>
          </a:extLst>
        </xdr:cNvPr>
        <xdr:cNvSpPr txBox="1"/>
      </xdr:nvSpPr>
      <xdr:spPr>
        <a:xfrm>
          <a:off x="240029" y="1427321"/>
          <a:ext cx="10465595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Eres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analista del área de dictaminación de Banorte  y te enviaron el expediente del cliente Olga Rebeca Sanchez  para que puedas revisar los ingresos declarados en la solicitud de crédito contra los estados de cuenta y constancia de situación fiscal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 solicitan que revises uno por uno los documentos para saber si la integración  del expediente es la correcta con base en la siguiente información   :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97154</xdr:colOff>
      <xdr:row>10</xdr:row>
      <xdr:rowOff>59055</xdr:rowOff>
    </xdr:from>
    <xdr:ext cx="4932045" cy="206479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D5DA86B-73A1-45AD-82FC-0C6B1CE115C4}"/>
            </a:ext>
          </a:extLst>
        </xdr:cNvPr>
        <xdr:cNvSpPr txBox="1"/>
      </xdr:nvSpPr>
      <xdr:spPr>
        <a:xfrm>
          <a:off x="241934" y="2527935"/>
          <a:ext cx="4932045" cy="20647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 de Crédito: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Adquisicion de vivienda 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Vivienda: $6,200,000.00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Monto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crédito: $5,000,000.00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Actividad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económica:  Independiente 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Ingresos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declarados en solicitud: $221,000.00</a:t>
          </a:r>
          <a:endParaRPr lang="es-MX" sz="14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Apoyo gubernamental: No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Edad: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46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Plazo: 20 años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Tipo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e</a:t>
          </a:r>
          <a:r>
            <a:rPr lang="es-MX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squema:</a:t>
          </a:r>
          <a:r>
            <a:rPr lang="es-MX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Hipoteca Fuerte </a:t>
          </a:r>
        </a:p>
      </xdr:txBody>
    </xdr:sp>
    <xdr:clientData/>
  </xdr:oneCellAnchor>
  <xdr:twoCellAnchor editAs="oneCell">
    <xdr:from>
      <xdr:col>3</xdr:col>
      <xdr:colOff>525779</xdr:colOff>
      <xdr:row>11</xdr:row>
      <xdr:rowOff>30480</xdr:rowOff>
    </xdr:from>
    <xdr:to>
      <xdr:col>5</xdr:col>
      <xdr:colOff>2171138</xdr:colOff>
      <xdr:row>23</xdr:row>
      <xdr:rowOff>15240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32E574-EC05-4430-BD72-33E3483A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79" y="2682240"/>
          <a:ext cx="4144719" cy="2179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FB0-7A05-4F8D-A8ED-0497D1D340D3}">
  <sheetPr>
    <tabColor theme="1"/>
  </sheetPr>
  <dimension ref="B2:C13"/>
  <sheetViews>
    <sheetView showGridLines="0" workbookViewId="0">
      <selection activeCell="F25" sqref="F25"/>
    </sheetView>
  </sheetViews>
  <sheetFormatPr baseColWidth="10" defaultRowHeight="14.4" x14ac:dyDescent="0.3"/>
  <cols>
    <col min="1" max="1" width="2.77734375" customWidth="1"/>
    <col min="2" max="2" width="14.88671875" bestFit="1" customWidth="1"/>
    <col min="3" max="3" width="22.6640625" bestFit="1" customWidth="1"/>
  </cols>
  <sheetData>
    <row r="2" spans="2:3" ht="18" x14ac:dyDescent="0.35">
      <c r="B2" s="1" t="s">
        <v>10</v>
      </c>
    </row>
    <row r="3" spans="2:3" x14ac:dyDescent="0.3">
      <c r="B3" s="2"/>
    </row>
    <row r="8" spans="2:3" ht="18" x14ac:dyDescent="0.3">
      <c r="B8" s="5" t="s">
        <v>8</v>
      </c>
      <c r="C8" s="25" t="s">
        <v>13</v>
      </c>
    </row>
    <row r="9" spans="2:3" ht="18" x14ac:dyDescent="0.3">
      <c r="B9" s="6" t="s">
        <v>9</v>
      </c>
      <c r="C9" s="25" t="s">
        <v>14</v>
      </c>
    </row>
    <row r="10" spans="2:3" ht="18" x14ac:dyDescent="0.3">
      <c r="B10" s="7" t="s">
        <v>6</v>
      </c>
      <c r="C10" s="25" t="s">
        <v>18</v>
      </c>
    </row>
    <row r="11" spans="2:3" ht="18" x14ac:dyDescent="0.3">
      <c r="B11" s="4" t="s">
        <v>7</v>
      </c>
      <c r="C11" s="25" t="s">
        <v>17</v>
      </c>
    </row>
    <row r="12" spans="2:3" ht="18" x14ac:dyDescent="0.3">
      <c r="B12" s="3" t="s">
        <v>5</v>
      </c>
      <c r="C12" s="25" t="s">
        <v>16</v>
      </c>
    </row>
    <row r="13" spans="2:3" ht="18" x14ac:dyDescent="0.35">
      <c r="B13" s="8" t="s">
        <v>11</v>
      </c>
      <c r="C13" s="25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7400-21A9-4B35-B516-2CE96F02406A}">
  <sheetPr>
    <tabColor rgb="FFFFFF00"/>
  </sheetPr>
  <dimension ref="B1:Q52"/>
  <sheetViews>
    <sheetView showGridLines="0" tabSelected="1" zoomScaleNormal="100" workbookViewId="0">
      <selection activeCell="F52" sqref="F52"/>
    </sheetView>
  </sheetViews>
  <sheetFormatPr baseColWidth="10" defaultRowHeight="14.4" x14ac:dyDescent="0.3"/>
  <cols>
    <col min="1" max="1" width="2.109375" customWidth="1"/>
    <col min="2" max="2" width="52.109375" customWidth="1"/>
    <col min="3" max="3" width="10.77734375" style="20" customWidth="1"/>
    <col min="4" max="4" width="24.5546875" customWidth="1"/>
    <col min="5" max="5" width="11.88671875" customWidth="1"/>
    <col min="6" max="6" width="36" style="66" customWidth="1"/>
    <col min="7" max="7" width="16.21875" bestFit="1" customWidth="1"/>
    <col min="14" max="17" width="0" hidden="1" customWidth="1"/>
  </cols>
  <sheetData>
    <row r="1" spans="2:13" ht="15" thickBot="1" x14ac:dyDescent="0.35">
      <c r="B1" s="9"/>
      <c r="C1" s="10"/>
      <c r="D1" s="9"/>
      <c r="E1" s="9"/>
      <c r="F1" s="55"/>
      <c r="G1" s="10"/>
      <c r="H1" s="10"/>
      <c r="I1" s="10"/>
      <c r="J1" s="10"/>
      <c r="K1" s="10"/>
      <c r="L1" s="10"/>
      <c r="M1" s="10"/>
    </row>
    <row r="2" spans="2:13" ht="46.8" thickBot="1" x14ac:dyDescent="0.35">
      <c r="B2" s="120" t="s">
        <v>0</v>
      </c>
      <c r="C2" s="121"/>
      <c r="D2" s="121"/>
      <c r="E2" s="121"/>
      <c r="F2" s="121"/>
      <c r="G2" s="11"/>
      <c r="H2" s="11"/>
      <c r="I2" s="11"/>
      <c r="J2" s="12"/>
      <c r="K2" s="13"/>
      <c r="L2" s="13"/>
      <c r="M2" s="13"/>
    </row>
    <row r="3" spans="2:13" ht="31.8" thickBot="1" x14ac:dyDescent="0.65">
      <c r="B3" s="122" t="s">
        <v>34</v>
      </c>
      <c r="C3" s="123"/>
      <c r="D3" s="123"/>
      <c r="E3" s="123"/>
      <c r="F3" s="123"/>
      <c r="G3" s="14"/>
      <c r="H3" s="14"/>
      <c r="I3" s="14"/>
      <c r="J3" s="15"/>
      <c r="K3" s="13"/>
      <c r="L3" s="13"/>
      <c r="M3" s="13"/>
    </row>
    <row r="4" spans="2:13" ht="14.4" customHeight="1" thickBot="1" x14ac:dyDescent="0.35">
      <c r="B4" s="16"/>
      <c r="C4" s="17"/>
      <c r="D4" s="17"/>
      <c r="E4" s="17"/>
      <c r="F4" s="56"/>
      <c r="G4" s="17"/>
      <c r="H4" s="17"/>
      <c r="I4" s="17"/>
      <c r="J4" s="18"/>
      <c r="K4" s="13"/>
      <c r="L4" s="13"/>
      <c r="M4" s="13"/>
    </row>
    <row r="5" spans="2:13" ht="14.4" customHeight="1" thickBot="1" x14ac:dyDescent="0.35">
      <c r="B5" s="16"/>
      <c r="C5" s="17"/>
      <c r="D5" s="17"/>
      <c r="E5" s="17"/>
      <c r="F5" s="56"/>
      <c r="G5" s="17"/>
      <c r="H5" s="17"/>
      <c r="I5" s="17"/>
      <c r="J5" s="18"/>
      <c r="K5" s="13"/>
      <c r="L5" s="13"/>
      <c r="M5" s="13"/>
    </row>
    <row r="6" spans="2:13" ht="14.4" customHeight="1" thickBot="1" x14ac:dyDescent="0.35">
      <c r="B6" s="16"/>
      <c r="C6" s="17"/>
      <c r="D6" s="17"/>
      <c r="E6" s="17"/>
      <c r="F6" s="56"/>
      <c r="G6" s="17"/>
      <c r="H6" s="17"/>
      <c r="I6" s="17"/>
      <c r="J6" s="18"/>
      <c r="K6" s="13"/>
      <c r="L6" s="13"/>
      <c r="M6" s="13"/>
    </row>
    <row r="7" spans="2:13" ht="14.4" customHeight="1" thickBot="1" x14ac:dyDescent="0.35">
      <c r="B7" s="16"/>
      <c r="C7" s="17"/>
      <c r="D7" s="17"/>
      <c r="E7" s="17"/>
      <c r="F7" s="56"/>
      <c r="G7" s="17"/>
      <c r="H7" s="17"/>
      <c r="I7" s="17"/>
      <c r="J7" s="18"/>
      <c r="K7" s="13"/>
      <c r="L7" s="13"/>
      <c r="M7" s="13"/>
    </row>
    <row r="8" spans="2:13" ht="14.4" customHeight="1" thickBot="1" x14ac:dyDescent="0.35">
      <c r="B8" s="16"/>
      <c r="C8" s="17"/>
      <c r="D8" s="17"/>
      <c r="E8" s="17"/>
      <c r="F8" s="56"/>
      <c r="G8" s="17"/>
      <c r="H8" s="17"/>
      <c r="I8" s="17"/>
      <c r="J8" s="18"/>
      <c r="K8" s="13"/>
      <c r="L8" s="13"/>
      <c r="M8" s="13"/>
    </row>
    <row r="9" spans="2:13" ht="14.4" customHeight="1" thickBot="1" x14ac:dyDescent="0.35">
      <c r="B9" s="16"/>
      <c r="C9" s="17"/>
      <c r="D9" s="17"/>
      <c r="E9" s="17"/>
      <c r="F9" s="56"/>
      <c r="G9" s="17"/>
      <c r="H9" s="17"/>
      <c r="I9" s="17"/>
      <c r="J9" s="18"/>
      <c r="K9" s="13"/>
      <c r="L9" s="13"/>
      <c r="M9" s="13"/>
    </row>
    <row r="10" spans="2:13" ht="14.4" customHeight="1" thickBot="1" x14ac:dyDescent="0.35">
      <c r="B10" s="16"/>
      <c r="C10" s="17"/>
      <c r="D10" s="17"/>
      <c r="E10" s="17"/>
      <c r="F10" s="57"/>
      <c r="G10" s="26"/>
      <c r="H10" s="25"/>
      <c r="I10" s="26"/>
      <c r="J10" s="27"/>
      <c r="K10" s="13"/>
      <c r="L10" s="13"/>
      <c r="M10" s="13"/>
    </row>
    <row r="11" spans="2:13" ht="14.4" customHeight="1" thickBot="1" x14ac:dyDescent="0.35">
      <c r="B11" s="16"/>
      <c r="C11" s="17"/>
      <c r="D11" s="17"/>
      <c r="E11" s="31"/>
      <c r="F11" s="58"/>
      <c r="G11" s="32"/>
      <c r="H11" s="25"/>
      <c r="I11" s="26"/>
      <c r="J11" s="27"/>
      <c r="K11" s="13"/>
      <c r="L11" s="13"/>
      <c r="M11" s="13"/>
    </row>
    <row r="12" spans="2:13" ht="14.4" customHeight="1" thickBot="1" x14ac:dyDescent="0.35">
      <c r="B12" s="16"/>
      <c r="C12" s="17"/>
      <c r="D12" s="17"/>
      <c r="E12" s="33"/>
      <c r="F12" s="59"/>
      <c r="G12" s="37"/>
      <c r="H12" s="25"/>
      <c r="I12" s="26"/>
      <c r="J12" s="27"/>
      <c r="K12" s="13"/>
      <c r="L12" s="13"/>
      <c r="M12" s="13"/>
    </row>
    <row r="13" spans="2:13" ht="14.4" customHeight="1" thickBot="1" x14ac:dyDescent="0.35">
      <c r="B13" s="16"/>
      <c r="C13" s="17"/>
      <c r="D13" s="17"/>
      <c r="E13" s="33"/>
      <c r="F13" s="59"/>
      <c r="G13" s="34"/>
      <c r="H13" s="25"/>
      <c r="I13" s="26"/>
      <c r="J13" s="27"/>
      <c r="K13" s="13"/>
      <c r="L13" s="13"/>
      <c r="M13" s="13"/>
    </row>
    <row r="14" spans="2:13" ht="14.4" customHeight="1" thickBot="1" x14ac:dyDescent="0.35">
      <c r="B14" s="16"/>
      <c r="C14" s="17"/>
      <c r="D14" s="17"/>
      <c r="E14" s="33"/>
      <c r="F14" s="59"/>
      <c r="G14" s="34"/>
      <c r="H14" s="26"/>
      <c r="I14" s="26"/>
      <c r="J14" s="27"/>
      <c r="K14" s="13"/>
      <c r="L14" s="13"/>
      <c r="M14" s="13"/>
    </row>
    <row r="15" spans="2:13" ht="14.4" customHeight="1" thickBot="1" x14ac:dyDescent="0.35">
      <c r="B15" s="16"/>
      <c r="C15" s="17"/>
      <c r="D15" s="17"/>
      <c r="E15" s="129"/>
      <c r="F15" s="60"/>
      <c r="G15" s="35"/>
      <c r="H15" s="26"/>
      <c r="I15" s="26"/>
      <c r="J15" s="27"/>
      <c r="K15" s="13"/>
      <c r="L15" s="13"/>
      <c r="M15" s="13"/>
    </row>
    <row r="16" spans="2:13" ht="14.4" customHeight="1" thickBot="1" x14ac:dyDescent="0.35">
      <c r="B16" s="16"/>
      <c r="C16" s="17"/>
      <c r="D16" s="17"/>
      <c r="E16" s="129"/>
      <c r="F16" s="60"/>
      <c r="G16" s="36"/>
      <c r="H16" s="26"/>
      <c r="I16" s="26"/>
      <c r="J16" s="27"/>
      <c r="K16" s="13"/>
      <c r="L16" s="13"/>
      <c r="M16" s="13"/>
    </row>
    <row r="17" spans="2:17" ht="14.4" customHeight="1" thickBot="1" x14ac:dyDescent="0.35">
      <c r="B17" s="16"/>
      <c r="C17" s="17"/>
      <c r="D17" s="17"/>
      <c r="E17" s="129"/>
      <c r="F17" s="60"/>
      <c r="G17" s="37"/>
      <c r="H17" s="26"/>
      <c r="I17" s="26"/>
      <c r="J17" s="27"/>
      <c r="K17" s="13"/>
      <c r="L17" s="13"/>
      <c r="M17" s="13"/>
    </row>
    <row r="18" spans="2:17" ht="14.4" customHeight="1" thickBot="1" x14ac:dyDescent="0.35">
      <c r="B18" s="16"/>
      <c r="C18" s="17"/>
      <c r="D18" s="17"/>
      <c r="E18" s="129"/>
      <c r="F18" s="60"/>
      <c r="G18" s="38"/>
      <c r="H18" s="26"/>
      <c r="I18" s="26"/>
      <c r="J18" s="27"/>
      <c r="K18" s="13"/>
      <c r="L18" s="13"/>
      <c r="M18" s="13"/>
    </row>
    <row r="19" spans="2:17" ht="14.4" customHeight="1" thickBot="1" x14ac:dyDescent="0.35">
      <c r="B19" s="16"/>
      <c r="C19" s="17"/>
      <c r="D19" s="17"/>
      <c r="E19" s="129"/>
      <c r="F19" s="60"/>
      <c r="G19" s="37"/>
      <c r="H19" s="26"/>
      <c r="I19" s="26"/>
      <c r="J19" s="27"/>
      <c r="K19" s="13"/>
      <c r="L19" s="13"/>
      <c r="M19" s="13"/>
    </row>
    <row r="20" spans="2:17" ht="14.4" customHeight="1" thickBot="1" x14ac:dyDescent="0.35">
      <c r="B20" s="16"/>
      <c r="C20" s="17"/>
      <c r="D20" s="17"/>
      <c r="E20" s="129"/>
      <c r="F20" s="60"/>
      <c r="G20" s="38"/>
      <c r="H20" s="26"/>
      <c r="I20" s="26"/>
      <c r="J20" s="27"/>
      <c r="K20" s="13"/>
      <c r="L20" s="13"/>
      <c r="M20" s="13"/>
    </row>
    <row r="21" spans="2:17" ht="14.4" customHeight="1" thickBot="1" x14ac:dyDescent="0.35">
      <c r="B21" s="16"/>
      <c r="C21" s="17"/>
      <c r="D21" s="17"/>
      <c r="E21" s="129"/>
      <c r="F21" s="60"/>
      <c r="G21" s="36"/>
      <c r="H21" s="26"/>
      <c r="I21" s="26"/>
      <c r="J21" s="27"/>
      <c r="K21" s="13"/>
      <c r="L21" s="13"/>
      <c r="M21" s="13"/>
    </row>
    <row r="22" spans="2:17" ht="14.4" customHeight="1" thickBot="1" x14ac:dyDescent="0.35">
      <c r="B22" s="16"/>
      <c r="C22" s="17"/>
      <c r="D22" s="17"/>
      <c r="E22" s="129"/>
      <c r="F22" s="60"/>
      <c r="G22" s="36"/>
      <c r="H22" s="26"/>
      <c r="I22" s="26"/>
      <c r="J22" s="27"/>
      <c r="K22" s="13"/>
      <c r="L22" s="13"/>
      <c r="M22" s="13"/>
    </row>
    <row r="23" spans="2:17" ht="14.4" customHeight="1" thickBot="1" x14ac:dyDescent="0.35">
      <c r="B23" s="16"/>
      <c r="C23" s="17"/>
      <c r="D23" s="17"/>
      <c r="E23" s="129"/>
      <c r="F23" s="60"/>
      <c r="G23" s="36"/>
      <c r="H23" s="26"/>
      <c r="I23" s="26"/>
      <c r="J23" s="27"/>
      <c r="K23" s="13"/>
      <c r="L23" s="13"/>
      <c r="M23" s="13"/>
    </row>
    <row r="24" spans="2:17" ht="14.4" customHeight="1" thickBot="1" x14ac:dyDescent="0.35">
      <c r="B24" s="16"/>
      <c r="C24" s="17"/>
      <c r="D24" s="17"/>
      <c r="E24" s="129"/>
      <c r="F24" s="60"/>
      <c r="G24" s="36"/>
      <c r="H24" s="26"/>
      <c r="I24" s="26"/>
      <c r="J24" s="27"/>
      <c r="K24" s="13"/>
      <c r="L24" s="13"/>
      <c r="M24" s="13"/>
    </row>
    <row r="25" spans="2:17" ht="14.4" customHeight="1" thickBot="1" x14ac:dyDescent="0.35">
      <c r="B25" s="16"/>
      <c r="C25" s="17"/>
      <c r="D25" s="17"/>
      <c r="E25" s="129"/>
      <c r="F25" s="60"/>
      <c r="G25" s="36"/>
      <c r="H25" s="26"/>
      <c r="I25" s="26"/>
      <c r="J25" s="27"/>
      <c r="K25" s="13"/>
      <c r="L25" s="13"/>
      <c r="M25" s="13"/>
    </row>
    <row r="26" spans="2:17" ht="14.4" customHeight="1" thickBot="1" x14ac:dyDescent="0.35">
      <c r="B26" s="16"/>
      <c r="C26" s="17"/>
      <c r="D26" s="17"/>
      <c r="E26" s="129"/>
      <c r="F26" s="60"/>
      <c r="G26" s="39"/>
      <c r="H26" s="26"/>
      <c r="I26" s="17"/>
      <c r="J26" s="18"/>
      <c r="K26" s="13"/>
      <c r="L26" s="13"/>
      <c r="M26" s="13"/>
    </row>
    <row r="27" spans="2:17" ht="16.2" thickBot="1" x14ac:dyDescent="0.35">
      <c r="B27" s="19"/>
      <c r="C27" s="13"/>
      <c r="D27" s="19"/>
      <c r="E27" s="28"/>
      <c r="F27" s="61"/>
      <c r="G27" s="29"/>
      <c r="H27" s="13"/>
      <c r="I27" s="13"/>
      <c r="J27" s="13"/>
      <c r="K27" s="13"/>
      <c r="L27" s="13"/>
      <c r="M27" s="13"/>
      <c r="P27" t="s">
        <v>1</v>
      </c>
      <c r="Q27" t="s">
        <v>2</v>
      </c>
    </row>
    <row r="28" spans="2:17" ht="15" thickBot="1" x14ac:dyDescent="0.35">
      <c r="B28" s="21"/>
      <c r="C28" s="22"/>
      <c r="D28" s="21"/>
      <c r="E28" s="21"/>
      <c r="F28" s="62"/>
      <c r="G28" s="13"/>
      <c r="H28" s="13"/>
      <c r="I28" s="13"/>
      <c r="J28" s="13"/>
      <c r="K28" s="13"/>
      <c r="L28" s="13"/>
      <c r="M28" s="13"/>
      <c r="O28" t="s">
        <v>3</v>
      </c>
    </row>
    <row r="29" spans="2:17" ht="45.6" customHeight="1" x14ac:dyDescent="0.3">
      <c r="B29" s="40" t="s">
        <v>12</v>
      </c>
      <c r="C29" s="127" t="s">
        <v>29</v>
      </c>
      <c r="D29" s="127"/>
      <c r="E29" s="127"/>
      <c r="F29" s="63" t="s">
        <v>19</v>
      </c>
    </row>
    <row r="30" spans="2:17" ht="24.9" customHeight="1" x14ac:dyDescent="0.3">
      <c r="B30" s="126" t="s">
        <v>28</v>
      </c>
      <c r="C30" s="23" t="s">
        <v>4</v>
      </c>
      <c r="D30" s="91" t="s">
        <v>20</v>
      </c>
      <c r="E30" s="91"/>
      <c r="F30" s="64">
        <f>+Cálculo!B21</f>
        <v>0</v>
      </c>
    </row>
    <row r="31" spans="2:17" ht="24.9" customHeight="1" x14ac:dyDescent="0.3">
      <c r="B31" s="126"/>
      <c r="C31" s="42" t="s">
        <v>36</v>
      </c>
      <c r="D31" s="91" t="s">
        <v>21</v>
      </c>
      <c r="E31" s="91"/>
      <c r="F31" s="64">
        <f>+Cálculo!D21</f>
        <v>0</v>
      </c>
    </row>
    <row r="32" spans="2:17" ht="24.9" customHeight="1" x14ac:dyDescent="0.3">
      <c r="B32" s="126"/>
      <c r="C32" s="43" t="s">
        <v>37</v>
      </c>
      <c r="D32" s="91" t="s">
        <v>22</v>
      </c>
      <c r="E32" s="91"/>
      <c r="F32" s="64">
        <f>+Cálculo!F21</f>
        <v>0</v>
      </c>
    </row>
    <row r="33" spans="2:7" ht="24.9" customHeight="1" x14ac:dyDescent="0.3">
      <c r="B33" s="126"/>
      <c r="C33" s="44" t="s">
        <v>38</v>
      </c>
      <c r="D33" s="90" t="s">
        <v>23</v>
      </c>
      <c r="E33" s="90"/>
      <c r="F33" s="64">
        <f>+Cálculo!H21</f>
        <v>0</v>
      </c>
    </row>
    <row r="34" spans="2:7" ht="24.9" customHeight="1" x14ac:dyDescent="0.3">
      <c r="B34" s="126"/>
      <c r="C34" s="45" t="s">
        <v>39</v>
      </c>
      <c r="D34" s="90" t="s">
        <v>24</v>
      </c>
      <c r="E34" s="90"/>
      <c r="F34" s="64">
        <f>+Cálculo!J21</f>
        <v>0</v>
      </c>
    </row>
    <row r="35" spans="2:7" ht="24.9" customHeight="1" x14ac:dyDescent="0.3">
      <c r="B35" s="126"/>
      <c r="C35" s="46" t="s">
        <v>40</v>
      </c>
      <c r="D35" s="90" t="s">
        <v>25</v>
      </c>
      <c r="E35" s="90"/>
      <c r="F35" s="64">
        <f>+Cálculo!L21</f>
        <v>39932.39</v>
      </c>
    </row>
    <row r="36" spans="2:7" ht="24.9" customHeight="1" x14ac:dyDescent="0.3">
      <c r="B36" s="126"/>
      <c r="C36" s="128" t="s">
        <v>26</v>
      </c>
      <c r="D36" s="128"/>
      <c r="E36" s="128"/>
      <c r="F36" s="69">
        <f>SUM(F30:F35)</f>
        <v>39932.39</v>
      </c>
      <c r="G36" s="67"/>
    </row>
    <row r="37" spans="2:7" ht="31.2" customHeight="1" x14ac:dyDescent="0.3">
      <c r="B37" s="54" t="s">
        <v>41</v>
      </c>
      <c r="C37" s="92" t="s">
        <v>42</v>
      </c>
      <c r="D37" s="93"/>
      <c r="E37" s="94"/>
      <c r="F37" s="69" t="s">
        <v>62</v>
      </c>
      <c r="G37" s="67"/>
    </row>
    <row r="38" spans="2:7" ht="32.4" customHeight="1" x14ac:dyDescent="0.3">
      <c r="B38" s="126" t="s">
        <v>27</v>
      </c>
      <c r="C38" s="47" t="s">
        <v>4</v>
      </c>
      <c r="D38" s="91" t="s">
        <v>20</v>
      </c>
      <c r="E38" s="91"/>
      <c r="F38" s="65" t="s">
        <v>62</v>
      </c>
    </row>
    <row r="39" spans="2:7" ht="27.6" customHeight="1" x14ac:dyDescent="0.3">
      <c r="B39" s="126"/>
      <c r="C39" s="48" t="s">
        <v>36</v>
      </c>
      <c r="D39" s="91" t="s">
        <v>21</v>
      </c>
      <c r="E39" s="91"/>
      <c r="F39" s="65" t="s">
        <v>62</v>
      </c>
    </row>
    <row r="40" spans="2:7" ht="30.6" customHeight="1" x14ac:dyDescent="0.3">
      <c r="B40" s="126"/>
      <c r="C40" s="49" t="s">
        <v>37</v>
      </c>
      <c r="D40" s="91" t="s">
        <v>22</v>
      </c>
      <c r="E40" s="91"/>
      <c r="F40" s="65" t="s">
        <v>62</v>
      </c>
    </row>
    <row r="41" spans="2:7" ht="28.8" customHeight="1" x14ac:dyDescent="0.3">
      <c r="B41" s="126"/>
      <c r="C41" s="50" t="s">
        <v>38</v>
      </c>
      <c r="D41" s="90" t="s">
        <v>23</v>
      </c>
      <c r="E41" s="90"/>
      <c r="F41" s="65" t="s">
        <v>62</v>
      </c>
    </row>
    <row r="42" spans="2:7" ht="28.2" customHeight="1" x14ac:dyDescent="0.3">
      <c r="B42" s="126"/>
      <c r="C42" s="51" t="s">
        <v>39</v>
      </c>
      <c r="D42" s="90" t="s">
        <v>24</v>
      </c>
      <c r="E42" s="90"/>
      <c r="F42" s="65" t="s">
        <v>62</v>
      </c>
    </row>
    <row r="43" spans="2:7" ht="28.2" customHeight="1" x14ac:dyDescent="0.3">
      <c r="B43" s="126"/>
      <c r="C43" s="24" t="s">
        <v>40</v>
      </c>
      <c r="D43" s="90" t="s">
        <v>25</v>
      </c>
      <c r="E43" s="90"/>
      <c r="F43" s="41" t="s">
        <v>62</v>
      </c>
    </row>
    <row r="44" spans="2:7" ht="39.9" customHeight="1" x14ac:dyDescent="0.3">
      <c r="B44" s="97"/>
      <c r="C44" s="97"/>
      <c r="D44" s="97"/>
      <c r="E44" s="97"/>
      <c r="F44" s="52" t="s">
        <v>33</v>
      </c>
    </row>
    <row r="45" spans="2:7" ht="30" customHeight="1" x14ac:dyDescent="0.3">
      <c r="B45" s="124" t="s">
        <v>30</v>
      </c>
      <c r="C45" s="68"/>
      <c r="D45" s="100" t="s">
        <v>31</v>
      </c>
      <c r="E45" s="101"/>
      <c r="F45" s="70"/>
    </row>
    <row r="46" spans="2:7" ht="30" customHeight="1" thickBot="1" x14ac:dyDescent="0.35">
      <c r="B46" s="125"/>
      <c r="C46" s="68"/>
      <c r="D46" s="98" t="s">
        <v>32</v>
      </c>
      <c r="E46" s="99"/>
      <c r="F46" s="70"/>
    </row>
    <row r="47" spans="2:7" ht="36.6" customHeight="1" x14ac:dyDescent="0.3">
      <c r="B47" s="95" t="s">
        <v>55</v>
      </c>
      <c r="C47" s="117" t="s">
        <v>20</v>
      </c>
      <c r="D47" s="118"/>
      <c r="E47" s="119"/>
      <c r="F47" s="30"/>
    </row>
    <row r="48" spans="2:7" ht="36.6" customHeight="1" x14ac:dyDescent="0.3">
      <c r="B48" s="96"/>
      <c r="C48" s="114" t="s">
        <v>21</v>
      </c>
      <c r="D48" s="115"/>
      <c r="E48" s="116"/>
      <c r="F48" s="53"/>
    </row>
    <row r="49" spans="2:6" ht="36.6" customHeight="1" x14ac:dyDescent="0.3">
      <c r="B49" s="96"/>
      <c r="C49" s="111" t="s">
        <v>22</v>
      </c>
      <c r="D49" s="112"/>
      <c r="E49" s="113"/>
      <c r="F49" s="53"/>
    </row>
    <row r="50" spans="2:6" ht="36.6" customHeight="1" x14ac:dyDescent="0.3">
      <c r="B50" s="96"/>
      <c r="C50" s="108" t="s">
        <v>23</v>
      </c>
      <c r="D50" s="109"/>
      <c r="E50" s="110"/>
      <c r="F50" s="53"/>
    </row>
    <row r="51" spans="2:6" ht="36.6" customHeight="1" x14ac:dyDescent="0.3">
      <c r="B51" s="96"/>
      <c r="C51" s="105" t="s">
        <v>24</v>
      </c>
      <c r="D51" s="106"/>
      <c r="E51" s="107"/>
      <c r="F51" s="53"/>
    </row>
    <row r="52" spans="2:6" ht="36.6" customHeight="1" x14ac:dyDescent="0.3">
      <c r="B52" s="96"/>
      <c r="C52" s="102" t="s">
        <v>35</v>
      </c>
      <c r="D52" s="103"/>
      <c r="E52" s="104"/>
      <c r="F52" s="53"/>
    </row>
  </sheetData>
  <mergeCells count="32">
    <mergeCell ref="B2:F2"/>
    <mergeCell ref="B3:F3"/>
    <mergeCell ref="B45:B46"/>
    <mergeCell ref="B38:B43"/>
    <mergeCell ref="B30:B36"/>
    <mergeCell ref="C29:E29"/>
    <mergeCell ref="D30:E30"/>
    <mergeCell ref="D31:E31"/>
    <mergeCell ref="D32:E32"/>
    <mergeCell ref="D33:E33"/>
    <mergeCell ref="D35:E35"/>
    <mergeCell ref="C36:E36"/>
    <mergeCell ref="D41:E41"/>
    <mergeCell ref="E21:E26"/>
    <mergeCell ref="E15:E20"/>
    <mergeCell ref="D43:E43"/>
    <mergeCell ref="B47:B52"/>
    <mergeCell ref="D42:E42"/>
    <mergeCell ref="B44:E44"/>
    <mergeCell ref="D46:E46"/>
    <mergeCell ref="D45:E45"/>
    <mergeCell ref="C52:E52"/>
    <mergeCell ref="C51:E51"/>
    <mergeCell ref="C50:E50"/>
    <mergeCell ref="C49:E49"/>
    <mergeCell ref="C48:E48"/>
    <mergeCell ref="C47:E47"/>
    <mergeCell ref="D34:E34"/>
    <mergeCell ref="D38:E38"/>
    <mergeCell ref="D39:E39"/>
    <mergeCell ref="D40:E40"/>
    <mergeCell ref="C37:E37"/>
  </mergeCell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5B2F-7F7E-40D3-AFA8-AE8D571B4C4D}">
  <sheetPr>
    <tabColor rgb="FFFF0000"/>
  </sheetPr>
  <dimension ref="A2:N21"/>
  <sheetViews>
    <sheetView workbookViewId="0">
      <selection activeCell="A23" sqref="A23:XFD25"/>
    </sheetView>
  </sheetViews>
  <sheetFormatPr baseColWidth="10" defaultRowHeight="14.4" x14ac:dyDescent="0.3"/>
  <cols>
    <col min="2" max="2" width="13.77734375" bestFit="1" customWidth="1"/>
    <col min="4" max="4" width="13.33203125" customWidth="1"/>
    <col min="6" max="6" width="12.88671875" customWidth="1"/>
    <col min="8" max="8" width="13.109375" customWidth="1"/>
    <col min="10" max="10" width="13.21875" customWidth="1"/>
    <col min="12" max="12" width="14.33203125" customWidth="1"/>
    <col min="13" max="13" width="17.6640625" bestFit="1" customWidth="1"/>
    <col min="14" max="14" width="13.77734375" bestFit="1" customWidth="1"/>
  </cols>
  <sheetData>
    <row r="2" spans="1:14" x14ac:dyDescent="0.3">
      <c r="A2" s="132" t="s">
        <v>43</v>
      </c>
      <c r="B2" s="132"/>
      <c r="C2" s="133" t="s">
        <v>44</v>
      </c>
      <c r="D2" s="133"/>
      <c r="E2" s="134" t="s">
        <v>45</v>
      </c>
      <c r="F2" s="134"/>
      <c r="G2" s="135" t="s">
        <v>46</v>
      </c>
      <c r="H2" s="135"/>
      <c r="I2" s="136" t="s">
        <v>47</v>
      </c>
      <c r="J2" s="137"/>
      <c r="K2" s="130" t="s">
        <v>48</v>
      </c>
      <c r="L2" s="131"/>
    </row>
    <row r="3" spans="1:14" x14ac:dyDescent="0.3">
      <c r="A3" s="71" t="s">
        <v>49</v>
      </c>
      <c r="B3" s="72" t="s">
        <v>50</v>
      </c>
      <c r="C3" s="71" t="s">
        <v>49</v>
      </c>
      <c r="D3" s="72" t="s">
        <v>51</v>
      </c>
      <c r="E3" s="71" t="s">
        <v>49</v>
      </c>
      <c r="F3" s="72" t="s">
        <v>51</v>
      </c>
      <c r="G3" s="71" t="s">
        <v>49</v>
      </c>
      <c r="H3" s="72" t="s">
        <v>51</v>
      </c>
      <c r="I3" s="71" t="s">
        <v>49</v>
      </c>
      <c r="J3" s="72" t="s">
        <v>51</v>
      </c>
      <c r="K3" s="71" t="s">
        <v>49</v>
      </c>
      <c r="L3" s="72" t="s">
        <v>51</v>
      </c>
    </row>
    <row r="4" spans="1:14" x14ac:dyDescent="0.3">
      <c r="A4" s="71"/>
      <c r="B4" s="73"/>
      <c r="C4" s="71"/>
      <c r="D4" s="73"/>
      <c r="E4" s="71"/>
      <c r="F4" s="73"/>
      <c r="G4" s="71"/>
      <c r="H4" s="73"/>
      <c r="I4" s="71"/>
      <c r="J4" s="73"/>
      <c r="K4" s="74"/>
      <c r="L4" s="73">
        <v>39932.39</v>
      </c>
    </row>
    <row r="5" spans="1:14" x14ac:dyDescent="0.3">
      <c r="A5" s="71"/>
      <c r="B5" s="73"/>
      <c r="C5" s="71"/>
      <c r="D5" s="138"/>
      <c r="E5" s="71"/>
      <c r="F5" s="73"/>
      <c r="G5" s="71"/>
      <c r="H5" s="73"/>
      <c r="I5" s="71"/>
      <c r="J5" s="138"/>
      <c r="K5" s="74"/>
      <c r="L5" s="73"/>
      <c r="M5" s="75" t="s">
        <v>52</v>
      </c>
      <c r="N5" s="76">
        <f>B21+D21+F21+H21+J21+L21</f>
        <v>39932.39</v>
      </c>
    </row>
    <row r="6" spans="1:14" x14ac:dyDescent="0.3">
      <c r="A6" s="71"/>
      <c r="B6" s="73"/>
      <c r="C6" s="71"/>
      <c r="D6" s="73"/>
      <c r="E6" s="71"/>
      <c r="F6" s="73"/>
      <c r="G6" s="71"/>
      <c r="H6" s="73"/>
      <c r="I6" s="71"/>
      <c r="J6" s="73"/>
      <c r="K6" s="74"/>
      <c r="L6" s="73"/>
      <c r="M6" s="75" t="s">
        <v>53</v>
      </c>
      <c r="N6" s="76">
        <f>N5/6</f>
        <v>6655.3983333333335</v>
      </c>
    </row>
    <row r="7" spans="1:14" x14ac:dyDescent="0.3">
      <c r="A7" s="71"/>
      <c r="B7" s="73"/>
      <c r="C7" s="71"/>
      <c r="D7" s="73"/>
      <c r="E7" s="71"/>
      <c r="F7" s="73"/>
      <c r="G7" s="71"/>
      <c r="H7" s="73"/>
      <c r="I7" s="71"/>
      <c r="J7" s="73"/>
      <c r="K7" s="74"/>
      <c r="L7" s="73"/>
    </row>
    <row r="8" spans="1:14" x14ac:dyDescent="0.3">
      <c r="A8" s="71"/>
      <c r="B8" s="73"/>
      <c r="C8" s="71"/>
      <c r="D8" s="73"/>
      <c r="E8" s="71"/>
      <c r="F8" s="73"/>
      <c r="G8" s="71"/>
      <c r="H8" s="73"/>
      <c r="I8" s="71"/>
      <c r="J8" s="73"/>
      <c r="K8" s="74"/>
      <c r="L8" s="73"/>
    </row>
    <row r="9" spans="1:14" x14ac:dyDescent="0.3">
      <c r="A9" s="71"/>
      <c r="B9" s="138"/>
      <c r="C9" s="71"/>
      <c r="D9" s="73">
        <v>0</v>
      </c>
      <c r="E9" s="71"/>
      <c r="F9" s="73"/>
      <c r="G9" s="71"/>
      <c r="H9" s="73">
        <f t="shared" ref="H9:H20" si="0">SUM(F9:G9)</f>
        <v>0</v>
      </c>
      <c r="I9" s="71"/>
      <c r="J9" s="73">
        <v>0</v>
      </c>
      <c r="K9" s="74"/>
      <c r="L9" s="73"/>
    </row>
    <row r="10" spans="1:14" x14ac:dyDescent="0.3">
      <c r="A10" s="71"/>
      <c r="B10" s="73">
        <v>0</v>
      </c>
      <c r="C10" s="71"/>
      <c r="D10" s="73">
        <v>0</v>
      </c>
      <c r="E10" s="71"/>
      <c r="F10" s="73">
        <v>0</v>
      </c>
      <c r="G10" s="71"/>
      <c r="H10" s="73">
        <f t="shared" si="0"/>
        <v>0</v>
      </c>
      <c r="I10" s="71"/>
      <c r="J10" s="73">
        <v>0</v>
      </c>
      <c r="K10" s="74"/>
      <c r="L10" s="73">
        <f t="shared" ref="L10:L20" si="1">SUM(J10:K10)</f>
        <v>0</v>
      </c>
    </row>
    <row r="11" spans="1:14" x14ac:dyDescent="0.3">
      <c r="A11" s="89" t="s">
        <v>56</v>
      </c>
      <c r="B11" s="73">
        <v>0</v>
      </c>
      <c r="C11" s="89" t="s">
        <v>57</v>
      </c>
      <c r="D11" s="73">
        <v>0</v>
      </c>
      <c r="E11" s="89" t="s">
        <v>58</v>
      </c>
      <c r="F11" s="73">
        <v>0</v>
      </c>
      <c r="G11" s="89" t="s">
        <v>59</v>
      </c>
      <c r="H11" s="73">
        <f t="shared" si="0"/>
        <v>0</v>
      </c>
      <c r="I11" s="89" t="s">
        <v>60</v>
      </c>
      <c r="J11" s="73">
        <v>0</v>
      </c>
      <c r="K11" s="88" t="s">
        <v>61</v>
      </c>
      <c r="L11" s="73">
        <f t="shared" si="1"/>
        <v>0</v>
      </c>
    </row>
    <row r="12" spans="1:14" x14ac:dyDescent="0.3">
      <c r="A12" s="71"/>
      <c r="B12" s="73">
        <v>0</v>
      </c>
      <c r="C12" s="71"/>
      <c r="D12" s="73">
        <v>0</v>
      </c>
      <c r="E12" s="71"/>
      <c r="F12" s="73">
        <v>0</v>
      </c>
      <c r="G12" s="71"/>
      <c r="H12" s="73">
        <f t="shared" si="0"/>
        <v>0</v>
      </c>
      <c r="I12" s="71"/>
      <c r="J12" s="73">
        <v>0</v>
      </c>
      <c r="K12" s="74"/>
      <c r="L12" s="73">
        <f t="shared" si="1"/>
        <v>0</v>
      </c>
    </row>
    <row r="13" spans="1:14" x14ac:dyDescent="0.3">
      <c r="A13" s="71"/>
      <c r="B13" s="73">
        <v>0</v>
      </c>
      <c r="C13" s="71"/>
      <c r="D13" s="73">
        <v>0</v>
      </c>
      <c r="E13" s="71"/>
      <c r="F13" s="73">
        <v>0</v>
      </c>
      <c r="G13" s="71"/>
      <c r="H13" s="73">
        <f t="shared" si="0"/>
        <v>0</v>
      </c>
      <c r="I13" s="71"/>
      <c r="J13" s="73">
        <v>0</v>
      </c>
      <c r="K13" s="74"/>
      <c r="L13" s="73">
        <f t="shared" si="1"/>
        <v>0</v>
      </c>
    </row>
    <row r="14" spans="1:14" x14ac:dyDescent="0.3">
      <c r="A14" s="71"/>
      <c r="B14" s="73">
        <v>0</v>
      </c>
      <c r="C14" s="71"/>
      <c r="D14" s="73">
        <v>0</v>
      </c>
      <c r="E14" s="71"/>
      <c r="F14" s="73">
        <v>0</v>
      </c>
      <c r="G14" s="71"/>
      <c r="H14" s="73">
        <f t="shared" si="0"/>
        <v>0</v>
      </c>
      <c r="I14" s="71"/>
      <c r="J14" s="73">
        <v>0</v>
      </c>
      <c r="K14" s="74"/>
      <c r="L14" s="73">
        <f t="shared" si="1"/>
        <v>0</v>
      </c>
    </row>
    <row r="15" spans="1:14" x14ac:dyDescent="0.3">
      <c r="A15" s="71"/>
      <c r="B15" s="73">
        <v>0</v>
      </c>
      <c r="C15" s="71"/>
      <c r="D15" s="73">
        <v>0</v>
      </c>
      <c r="E15" s="71"/>
      <c r="F15" s="73">
        <v>0</v>
      </c>
      <c r="G15" s="71"/>
      <c r="H15" s="73">
        <f t="shared" si="0"/>
        <v>0</v>
      </c>
      <c r="I15" s="71"/>
      <c r="J15" s="73">
        <v>0</v>
      </c>
      <c r="K15" s="74"/>
      <c r="L15" s="73">
        <f t="shared" si="1"/>
        <v>0</v>
      </c>
    </row>
    <row r="16" spans="1:14" x14ac:dyDescent="0.3">
      <c r="A16" s="71"/>
      <c r="B16" s="73">
        <v>0</v>
      </c>
      <c r="C16" s="71"/>
      <c r="D16" s="73">
        <v>0</v>
      </c>
      <c r="E16" s="71"/>
      <c r="F16" s="73">
        <v>0</v>
      </c>
      <c r="G16" s="71"/>
      <c r="H16" s="73">
        <f t="shared" si="0"/>
        <v>0</v>
      </c>
      <c r="I16" s="71"/>
      <c r="J16" s="73">
        <v>0</v>
      </c>
      <c r="K16" s="74"/>
      <c r="L16" s="73">
        <f t="shared" si="1"/>
        <v>0</v>
      </c>
    </row>
    <row r="17" spans="1:12" x14ac:dyDescent="0.3">
      <c r="A17" s="71"/>
      <c r="B17" s="73">
        <v>0</v>
      </c>
      <c r="C17" s="71"/>
      <c r="D17" s="73">
        <v>0</v>
      </c>
      <c r="E17" s="71"/>
      <c r="F17" s="73">
        <v>0</v>
      </c>
      <c r="G17" s="71"/>
      <c r="H17" s="73">
        <f t="shared" si="0"/>
        <v>0</v>
      </c>
      <c r="I17" s="71"/>
      <c r="J17" s="73">
        <v>0</v>
      </c>
      <c r="K17" s="74"/>
      <c r="L17" s="73">
        <f t="shared" si="1"/>
        <v>0</v>
      </c>
    </row>
    <row r="18" spans="1:12" x14ac:dyDescent="0.3">
      <c r="A18" s="71"/>
      <c r="B18" s="73">
        <v>0</v>
      </c>
      <c r="C18" s="71"/>
      <c r="D18" s="73">
        <v>0</v>
      </c>
      <c r="E18" s="71"/>
      <c r="F18" s="73">
        <v>0</v>
      </c>
      <c r="G18" s="71"/>
      <c r="H18" s="73">
        <f t="shared" si="0"/>
        <v>0</v>
      </c>
      <c r="I18" s="71"/>
      <c r="J18" s="73">
        <v>0</v>
      </c>
      <c r="K18" s="74"/>
      <c r="L18" s="73">
        <f t="shared" si="1"/>
        <v>0</v>
      </c>
    </row>
    <row r="19" spans="1:12" x14ac:dyDescent="0.3">
      <c r="A19" s="71"/>
      <c r="B19" s="73">
        <v>0</v>
      </c>
      <c r="C19" s="71"/>
      <c r="D19" s="73">
        <v>0</v>
      </c>
      <c r="E19" s="71"/>
      <c r="F19" s="73">
        <v>0</v>
      </c>
      <c r="G19" s="71"/>
      <c r="H19" s="73">
        <f t="shared" si="0"/>
        <v>0</v>
      </c>
      <c r="I19" s="71"/>
      <c r="J19" s="73">
        <v>0</v>
      </c>
      <c r="K19" s="74"/>
      <c r="L19" s="73">
        <f t="shared" si="1"/>
        <v>0</v>
      </c>
    </row>
    <row r="20" spans="1:12" x14ac:dyDescent="0.3">
      <c r="A20" s="71"/>
      <c r="B20" s="73">
        <v>0</v>
      </c>
      <c r="C20" s="71"/>
      <c r="D20" s="73">
        <v>0</v>
      </c>
      <c r="E20" s="71"/>
      <c r="F20" s="73">
        <v>0</v>
      </c>
      <c r="G20" s="71"/>
      <c r="H20" s="73">
        <f t="shared" si="0"/>
        <v>0</v>
      </c>
      <c r="I20" s="71"/>
      <c r="J20" s="73">
        <v>0</v>
      </c>
      <c r="K20" s="74"/>
      <c r="L20" s="73">
        <f t="shared" si="1"/>
        <v>0</v>
      </c>
    </row>
    <row r="21" spans="1:12" x14ac:dyDescent="0.3">
      <c r="A21" s="77" t="s">
        <v>54</v>
      </c>
      <c r="B21" s="78">
        <f>SUM(B4:B20)</f>
        <v>0</v>
      </c>
      <c r="C21" s="75" t="s">
        <v>54</v>
      </c>
      <c r="D21" s="79">
        <f>SUM(D4:D20)</f>
        <v>0</v>
      </c>
      <c r="E21" s="80" t="s">
        <v>54</v>
      </c>
      <c r="F21" s="81">
        <f>SUM(F4:F20)</f>
        <v>0</v>
      </c>
      <c r="G21" s="82" t="s">
        <v>54</v>
      </c>
      <c r="H21" s="83">
        <f>SUM(H4:H20)</f>
        <v>0</v>
      </c>
      <c r="I21" s="84" t="s">
        <v>54</v>
      </c>
      <c r="J21" s="85">
        <f>SUM(J4:J20)</f>
        <v>0</v>
      </c>
      <c r="K21" s="86" t="s">
        <v>54</v>
      </c>
      <c r="L21" s="87">
        <f>SUM(L4:L20)</f>
        <v>39932.39</v>
      </c>
    </row>
  </sheetData>
  <mergeCells count="6">
    <mergeCell ref="K2:L2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Hoja de trabajo</vt:lpstr>
      <vt:lpstr>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Palma</dc:creator>
  <cp:lastModifiedBy>Marco Romero</cp:lastModifiedBy>
  <dcterms:created xsi:type="dcterms:W3CDTF">2023-05-04T20:36:10Z</dcterms:created>
  <dcterms:modified xsi:type="dcterms:W3CDTF">2023-11-03T16:19:23Z</dcterms:modified>
</cp:coreProperties>
</file>